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110443" documentId="8_{7B619CDE-97BE-4975-93B1-DA5389DF031C}" xr6:coauthVersionLast="46" xr6:coauthVersionMax="47" xr10:uidLastSave="{A699408A-7484-42A4-B96A-6C28D8B8B74B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ANÁLISE" sheetId="45" r:id="rId3"/>
    <sheet name="ROA" sheetId="48" r:id="rId4"/>
    <sheet name="FAROL" sheetId="43" r:id="rId5"/>
    <sheet name="JAN" sheetId="35" r:id="rId6"/>
    <sheet name="FEV" sheetId="42" r:id="rId7"/>
    <sheet name="MAR" sheetId="44" r:id="rId8"/>
    <sheet name="ABR" sheetId="50" r:id="rId9"/>
    <sheet name="MAI" sheetId="51" r:id="rId10"/>
  </sheets>
  <definedNames>
    <definedName name="_Adaptação_">'NÃO MEXER'!#REF!</definedName>
    <definedName name="_xlnm._FilterDatabase" localSheetId="0" hidden="1">CONSOLIDADO!$A$1:$S$504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43" l="1"/>
  <c r="G67" i="43"/>
  <c r="F68" i="43"/>
  <c r="G68" i="43"/>
  <c r="E64" i="43"/>
  <c r="F64" i="43" s="1"/>
  <c r="G64" i="43" s="1"/>
  <c r="E61" i="43"/>
  <c r="F61" i="43" s="1"/>
  <c r="G61" i="43" s="1"/>
  <c r="F58" i="43"/>
  <c r="F66" i="43"/>
  <c r="G66" i="43" s="1"/>
  <c r="F65" i="43"/>
  <c r="G65" i="43" s="1"/>
  <c r="F63" i="43"/>
  <c r="G63" i="43" s="1"/>
  <c r="F62" i="43"/>
  <c r="G62" i="43" s="1"/>
  <c r="F60" i="43"/>
  <c r="G60" i="43" s="1"/>
  <c r="F59" i="43"/>
  <c r="G59" i="43" s="1"/>
  <c r="G57" i="43"/>
  <c r="F57" i="43"/>
  <c r="F56" i="43"/>
  <c r="N13" i="43"/>
  <c r="N10" i="43"/>
  <c r="G58" i="43" l="1"/>
  <c r="F69" i="43"/>
  <c r="G56" i="43"/>
  <c r="C10" i="45"/>
  <c r="D10" i="45"/>
  <c r="E10" i="45"/>
  <c r="F10" i="45"/>
  <c r="G10" i="45"/>
  <c r="H10" i="45"/>
  <c r="I10" i="45"/>
  <c r="J10" i="45"/>
  <c r="K10" i="45"/>
  <c r="L10" i="45"/>
  <c r="M10" i="45"/>
  <c r="B10" i="45"/>
  <c r="C9" i="45"/>
  <c r="C11" i="45" s="1"/>
  <c r="D9" i="45"/>
  <c r="E9" i="45"/>
  <c r="E11" i="45" s="1"/>
  <c r="F9" i="45"/>
  <c r="G9" i="45"/>
  <c r="H9" i="45"/>
  <c r="I9" i="45"/>
  <c r="I11" i="45" s="1"/>
  <c r="J9" i="45"/>
  <c r="J11" i="45" s="1"/>
  <c r="K9" i="45"/>
  <c r="L9" i="45"/>
  <c r="M9" i="45"/>
  <c r="B9" i="45"/>
  <c r="G11" i="45" l="1"/>
  <c r="F11" i="45"/>
  <c r="H11" i="45"/>
  <c r="D11" i="45"/>
  <c r="G69" i="43"/>
  <c r="M11" i="45"/>
  <c r="L11" i="45"/>
  <c r="K11" i="45"/>
  <c r="B11" i="45"/>
  <c r="C3" i="45" l="1"/>
  <c r="D3" i="45"/>
  <c r="E3" i="45"/>
  <c r="F3" i="45"/>
  <c r="G3" i="45"/>
  <c r="H3" i="45"/>
  <c r="I3" i="45"/>
  <c r="J3" i="45"/>
  <c r="K3" i="45"/>
  <c r="L3" i="45"/>
  <c r="M3" i="45"/>
  <c r="C4" i="45"/>
  <c r="D4" i="45"/>
  <c r="D5" i="45" s="1"/>
  <c r="E4" i="45"/>
  <c r="E5" i="45" s="1"/>
  <c r="F4" i="45"/>
  <c r="G4" i="45"/>
  <c r="H4" i="45"/>
  <c r="I4" i="45"/>
  <c r="I5" i="45" s="1"/>
  <c r="J4" i="45"/>
  <c r="K4" i="45"/>
  <c r="L4" i="45"/>
  <c r="M4" i="45"/>
  <c r="M5" i="45" s="1"/>
  <c r="B4" i="45"/>
  <c r="B3" i="45"/>
  <c r="C9" i="48"/>
  <c r="D9" i="48"/>
  <c r="E9" i="48"/>
  <c r="F9" i="48"/>
  <c r="G9" i="48"/>
  <c r="H9" i="48"/>
  <c r="I9" i="48"/>
  <c r="J9" i="48"/>
  <c r="K9" i="48"/>
  <c r="L9" i="48"/>
  <c r="M9" i="48"/>
  <c r="C10" i="48"/>
  <c r="D10" i="48"/>
  <c r="E10" i="48"/>
  <c r="F10" i="48"/>
  <c r="T10" i="48" s="1"/>
  <c r="G10" i="48"/>
  <c r="H10" i="48"/>
  <c r="I10" i="48"/>
  <c r="J10" i="48"/>
  <c r="X10" i="48" s="1"/>
  <c r="K10" i="48"/>
  <c r="L10" i="48"/>
  <c r="M10" i="48"/>
  <c r="C11" i="48"/>
  <c r="Q11" i="48" s="1"/>
  <c r="D11" i="48"/>
  <c r="E11" i="48"/>
  <c r="F11" i="48"/>
  <c r="G11" i="48"/>
  <c r="U11" i="48" s="1"/>
  <c r="H11" i="48"/>
  <c r="I11" i="48"/>
  <c r="J11" i="48"/>
  <c r="K11" i="48"/>
  <c r="Y11" i="48" s="1"/>
  <c r="L11" i="48"/>
  <c r="M11" i="48"/>
  <c r="C12" i="48"/>
  <c r="D12" i="48"/>
  <c r="R12" i="48" s="1"/>
  <c r="E12" i="48"/>
  <c r="F12" i="48"/>
  <c r="T12" i="48" s="1"/>
  <c r="G12" i="48"/>
  <c r="H12" i="48"/>
  <c r="I12" i="48"/>
  <c r="J12" i="48"/>
  <c r="X12" i="48" s="1"/>
  <c r="K12" i="48"/>
  <c r="L12" i="48"/>
  <c r="M12" i="48"/>
  <c r="C13" i="48"/>
  <c r="Q13" i="48" s="1"/>
  <c r="D13" i="48"/>
  <c r="E13" i="48"/>
  <c r="S13" i="48" s="1"/>
  <c r="F13" i="48"/>
  <c r="G13" i="48"/>
  <c r="U13" i="48" s="1"/>
  <c r="H13" i="48"/>
  <c r="I13" i="48"/>
  <c r="W13" i="48" s="1"/>
  <c r="J13" i="48"/>
  <c r="K13" i="48"/>
  <c r="Y13" i="48" s="1"/>
  <c r="L13" i="48"/>
  <c r="M13" i="48"/>
  <c r="C14" i="48"/>
  <c r="D14" i="48"/>
  <c r="R14" i="48" s="1"/>
  <c r="E14" i="48"/>
  <c r="F14" i="48"/>
  <c r="T14" i="48" s="1"/>
  <c r="G14" i="48"/>
  <c r="H14" i="48"/>
  <c r="V14" i="48" s="1"/>
  <c r="I14" i="48"/>
  <c r="J14" i="48"/>
  <c r="X14" i="48" s="1"/>
  <c r="K14" i="48"/>
  <c r="L14" i="48"/>
  <c r="Z14" i="48" s="1"/>
  <c r="M14" i="48"/>
  <c r="C15" i="48"/>
  <c r="Q15" i="48" s="1"/>
  <c r="D15" i="48"/>
  <c r="E15" i="48"/>
  <c r="S15" i="48" s="1"/>
  <c r="F15" i="48"/>
  <c r="T15" i="48" s="1"/>
  <c r="G15" i="48"/>
  <c r="H15" i="48"/>
  <c r="I15" i="48"/>
  <c r="J15" i="48"/>
  <c r="X15" i="48" s="1"/>
  <c r="K15" i="48"/>
  <c r="Y15" i="48" s="1"/>
  <c r="L15" i="48"/>
  <c r="M15" i="48"/>
  <c r="C16" i="48"/>
  <c r="D16" i="48"/>
  <c r="R16" i="48" s="1"/>
  <c r="E16" i="48"/>
  <c r="F16" i="48"/>
  <c r="G16" i="48"/>
  <c r="H16" i="48"/>
  <c r="V16" i="48" s="1"/>
  <c r="I16" i="48"/>
  <c r="J16" i="48"/>
  <c r="K16" i="48"/>
  <c r="L16" i="48"/>
  <c r="Z16" i="48" s="1"/>
  <c r="M16" i="48"/>
  <c r="C17" i="48"/>
  <c r="D17" i="48"/>
  <c r="E17" i="48"/>
  <c r="S17" i="48" s="1"/>
  <c r="F17" i="48"/>
  <c r="G17" i="48"/>
  <c r="H17" i="48"/>
  <c r="I17" i="48"/>
  <c r="W17" i="48" s="1"/>
  <c r="J17" i="48"/>
  <c r="K17" i="48"/>
  <c r="L17" i="48"/>
  <c r="M17" i="48"/>
  <c r="AA17" i="48" s="1"/>
  <c r="C18" i="48"/>
  <c r="D18" i="48"/>
  <c r="E18" i="48"/>
  <c r="F18" i="48"/>
  <c r="T18" i="48" s="1"/>
  <c r="G18" i="48"/>
  <c r="H18" i="48"/>
  <c r="I18" i="48"/>
  <c r="J18" i="48"/>
  <c r="X18" i="48" s="1"/>
  <c r="K18" i="48"/>
  <c r="L18" i="48"/>
  <c r="M18" i="48"/>
  <c r="C19" i="48"/>
  <c r="Q19" i="48" s="1"/>
  <c r="D19" i="48"/>
  <c r="E19" i="48"/>
  <c r="F19" i="48"/>
  <c r="G19" i="48"/>
  <c r="U19" i="48" s="1"/>
  <c r="H19" i="48"/>
  <c r="I19" i="48"/>
  <c r="J19" i="48"/>
  <c r="K19" i="48"/>
  <c r="Y19" i="48" s="1"/>
  <c r="L19" i="48"/>
  <c r="M19" i="48"/>
  <c r="C20" i="48"/>
  <c r="D20" i="48"/>
  <c r="R20" i="48" s="1"/>
  <c r="E20" i="48"/>
  <c r="F20" i="48"/>
  <c r="T20" i="48" s="1"/>
  <c r="G20" i="48"/>
  <c r="H20" i="48"/>
  <c r="V20" i="48" s="1"/>
  <c r="I20" i="48"/>
  <c r="J20" i="48"/>
  <c r="X20" i="48" s="1"/>
  <c r="K20" i="48"/>
  <c r="L20" i="48"/>
  <c r="Z20" i="48" s="1"/>
  <c r="M20" i="48"/>
  <c r="C21" i="48"/>
  <c r="Q21" i="48" s="1"/>
  <c r="D21" i="48"/>
  <c r="E21" i="48"/>
  <c r="S21" i="48" s="1"/>
  <c r="F21" i="48"/>
  <c r="G21" i="48"/>
  <c r="U21" i="48" s="1"/>
  <c r="H21" i="48"/>
  <c r="I21" i="48"/>
  <c r="J21" i="48"/>
  <c r="K21" i="48"/>
  <c r="Y21" i="48" s="1"/>
  <c r="L21" i="48"/>
  <c r="M21" i="48"/>
  <c r="AA21" i="48" s="1"/>
  <c r="C22" i="48"/>
  <c r="D22" i="48"/>
  <c r="R22" i="48" s="1"/>
  <c r="E22" i="48"/>
  <c r="F22" i="48"/>
  <c r="T22" i="48" s="1"/>
  <c r="G22" i="48"/>
  <c r="H22" i="48"/>
  <c r="V22" i="48" s="1"/>
  <c r="I22" i="48"/>
  <c r="J22" i="48"/>
  <c r="X22" i="48" s="1"/>
  <c r="K22" i="48"/>
  <c r="L22" i="48"/>
  <c r="Z22" i="48" s="1"/>
  <c r="M22" i="48"/>
  <c r="C23" i="48"/>
  <c r="Q23" i="48" s="1"/>
  <c r="D23" i="48"/>
  <c r="E23" i="48"/>
  <c r="S23" i="48" s="1"/>
  <c r="F23" i="48"/>
  <c r="G23" i="48"/>
  <c r="H23" i="48"/>
  <c r="I23" i="48"/>
  <c r="W23" i="48" s="1"/>
  <c r="J23" i="48"/>
  <c r="K23" i="48"/>
  <c r="Y23" i="48" s="1"/>
  <c r="L23" i="48"/>
  <c r="M23" i="48"/>
  <c r="AA23" i="48" s="1"/>
  <c r="C24" i="48"/>
  <c r="Q24" i="48" s="1"/>
  <c r="D24" i="48"/>
  <c r="R24" i="48" s="1"/>
  <c r="E24" i="48"/>
  <c r="F24" i="48"/>
  <c r="T24" i="48" s="1"/>
  <c r="G24" i="48"/>
  <c r="U24" i="48" s="1"/>
  <c r="H24" i="48"/>
  <c r="V24" i="48" s="1"/>
  <c r="I24" i="48"/>
  <c r="J24" i="48"/>
  <c r="K24" i="48"/>
  <c r="L24" i="48"/>
  <c r="M24" i="48"/>
  <c r="C25" i="48"/>
  <c r="D25" i="48"/>
  <c r="R25" i="48" s="1"/>
  <c r="E25" i="48"/>
  <c r="S25" i="48" s="1"/>
  <c r="F25" i="48"/>
  <c r="G25" i="48"/>
  <c r="U25" i="48" s="1"/>
  <c r="H25" i="48"/>
  <c r="I25" i="48"/>
  <c r="W25" i="48" s="1"/>
  <c r="J25" i="48"/>
  <c r="K25" i="48"/>
  <c r="Y25" i="48" s="1"/>
  <c r="L25" i="48"/>
  <c r="M25" i="48"/>
  <c r="AA25" i="48" s="1"/>
  <c r="C26" i="48"/>
  <c r="D26" i="48"/>
  <c r="E26" i="48"/>
  <c r="S26" i="48" s="1"/>
  <c r="F26" i="48"/>
  <c r="T26" i="48" s="1"/>
  <c r="G26" i="48"/>
  <c r="H26" i="48"/>
  <c r="V26" i="48" s="1"/>
  <c r="I26" i="48"/>
  <c r="J26" i="48"/>
  <c r="X26" i="48" s="1"/>
  <c r="K26" i="48"/>
  <c r="L26" i="48"/>
  <c r="M26" i="48"/>
  <c r="C27" i="48"/>
  <c r="Q27" i="48" s="1"/>
  <c r="D27" i="48"/>
  <c r="E27" i="48"/>
  <c r="S27" i="48" s="1"/>
  <c r="F27" i="48"/>
  <c r="T27" i="48" s="1"/>
  <c r="G27" i="48"/>
  <c r="U27" i="48" s="1"/>
  <c r="H27" i="48"/>
  <c r="I27" i="48"/>
  <c r="J27" i="48"/>
  <c r="K27" i="48"/>
  <c r="Y27" i="48" s="1"/>
  <c r="L27" i="48"/>
  <c r="M27" i="48"/>
  <c r="AA27" i="48" s="1"/>
  <c r="C28" i="48"/>
  <c r="D28" i="48"/>
  <c r="R28" i="48" s="1"/>
  <c r="E28" i="48"/>
  <c r="F28" i="48"/>
  <c r="T28" i="48" s="1"/>
  <c r="G28" i="48"/>
  <c r="H28" i="48"/>
  <c r="V28" i="48" s="1"/>
  <c r="I28" i="48"/>
  <c r="J28" i="48"/>
  <c r="K28" i="48"/>
  <c r="L28" i="48"/>
  <c r="Z28" i="48" s="1"/>
  <c r="M28" i="48"/>
  <c r="C29" i="48"/>
  <c r="Q29" i="48" s="1"/>
  <c r="D29" i="48"/>
  <c r="E29" i="48"/>
  <c r="S29" i="48" s="1"/>
  <c r="F29" i="48"/>
  <c r="G29" i="48"/>
  <c r="U29" i="48" s="1"/>
  <c r="H29" i="48"/>
  <c r="V29" i="48" s="1"/>
  <c r="I29" i="48"/>
  <c r="W29" i="48" s="1"/>
  <c r="J29" i="48"/>
  <c r="K29" i="48"/>
  <c r="L29" i="48"/>
  <c r="M29" i="48"/>
  <c r="AA29" i="48" s="1"/>
  <c r="C30" i="48"/>
  <c r="D30" i="48"/>
  <c r="R30" i="48" s="1"/>
  <c r="E30" i="48"/>
  <c r="S30" i="48" s="1"/>
  <c r="F30" i="48"/>
  <c r="T30" i="48" s="1"/>
  <c r="G30" i="48"/>
  <c r="H30" i="48"/>
  <c r="V30" i="48" s="1"/>
  <c r="I30" i="48"/>
  <c r="J30" i="48"/>
  <c r="X30" i="48" s="1"/>
  <c r="K30" i="48"/>
  <c r="L30" i="48"/>
  <c r="Z30" i="48" s="1"/>
  <c r="M30" i="48"/>
  <c r="C31" i="48"/>
  <c r="Q31" i="48" s="1"/>
  <c r="D31" i="48"/>
  <c r="E31" i="48"/>
  <c r="S31" i="48" s="1"/>
  <c r="F31" i="48"/>
  <c r="T31" i="48" s="1"/>
  <c r="G31" i="48"/>
  <c r="U31" i="48" s="1"/>
  <c r="H31" i="48"/>
  <c r="I31" i="48"/>
  <c r="W31" i="48" s="1"/>
  <c r="J31" i="48"/>
  <c r="K31" i="48"/>
  <c r="Y31" i="48" s="1"/>
  <c r="L31" i="48"/>
  <c r="M31" i="48"/>
  <c r="AA31" i="48" s="1"/>
  <c r="C32" i="48"/>
  <c r="Q32" i="48" s="1"/>
  <c r="D32" i="48"/>
  <c r="R32" i="48" s="1"/>
  <c r="E32" i="48"/>
  <c r="F32" i="48"/>
  <c r="T32" i="48" s="1"/>
  <c r="G32" i="48"/>
  <c r="H32" i="48"/>
  <c r="V32" i="48" s="1"/>
  <c r="I32" i="48"/>
  <c r="J32" i="48"/>
  <c r="X32" i="48" s="1"/>
  <c r="K32" i="48"/>
  <c r="L32" i="48"/>
  <c r="Z32" i="48" s="1"/>
  <c r="M32" i="48"/>
  <c r="C33" i="48"/>
  <c r="D33" i="48"/>
  <c r="R33" i="48" s="1"/>
  <c r="E33" i="48"/>
  <c r="S33" i="48" s="1"/>
  <c r="F33" i="48"/>
  <c r="G33" i="48"/>
  <c r="H33" i="48"/>
  <c r="V33" i="48" s="1"/>
  <c r="I33" i="48"/>
  <c r="W33" i="48" s="1"/>
  <c r="J33" i="48"/>
  <c r="K33" i="48"/>
  <c r="Y33" i="48" s="1"/>
  <c r="L33" i="48"/>
  <c r="Z33" i="48" s="1"/>
  <c r="M33" i="48"/>
  <c r="AA33" i="48" s="1"/>
  <c r="C34" i="48"/>
  <c r="D34" i="48"/>
  <c r="R34" i="48" s="1"/>
  <c r="E34" i="48"/>
  <c r="S34" i="48" s="1"/>
  <c r="F34" i="48"/>
  <c r="T34" i="48" s="1"/>
  <c r="G34" i="48"/>
  <c r="H34" i="48"/>
  <c r="I34" i="48"/>
  <c r="W34" i="48" s="1"/>
  <c r="J34" i="48"/>
  <c r="X34" i="48" s="1"/>
  <c r="K34" i="48"/>
  <c r="L34" i="48"/>
  <c r="Z34" i="48" s="1"/>
  <c r="M34" i="48"/>
  <c r="AA34" i="48" s="1"/>
  <c r="C35" i="48"/>
  <c r="Q35" i="48" s="1"/>
  <c r="D35" i="48"/>
  <c r="E35" i="48"/>
  <c r="S35" i="48" s="1"/>
  <c r="F35" i="48"/>
  <c r="T35" i="48" s="1"/>
  <c r="G35" i="48"/>
  <c r="U35" i="48" s="1"/>
  <c r="H35" i="48"/>
  <c r="I35" i="48"/>
  <c r="J35" i="48"/>
  <c r="X35" i="48" s="1"/>
  <c r="K35" i="48"/>
  <c r="Y35" i="48" s="1"/>
  <c r="L35" i="48"/>
  <c r="M35" i="48"/>
  <c r="AA35" i="48" s="1"/>
  <c r="C36" i="48"/>
  <c r="Q36" i="48" s="1"/>
  <c r="D36" i="48"/>
  <c r="R36" i="48" s="1"/>
  <c r="E36" i="48"/>
  <c r="F36" i="48"/>
  <c r="G36" i="48"/>
  <c r="U36" i="48" s="1"/>
  <c r="H36" i="48"/>
  <c r="V36" i="48" s="1"/>
  <c r="I36" i="48"/>
  <c r="J36" i="48"/>
  <c r="K36" i="48"/>
  <c r="Y36" i="48" s="1"/>
  <c r="L36" i="48"/>
  <c r="Z36" i="48" s="1"/>
  <c r="M36" i="48"/>
  <c r="C37" i="48"/>
  <c r="Q37" i="48" s="1"/>
  <c r="D37" i="48"/>
  <c r="R37" i="48" s="1"/>
  <c r="E37" i="48"/>
  <c r="S37" i="48" s="1"/>
  <c r="F37" i="48"/>
  <c r="G37" i="48"/>
  <c r="H37" i="48"/>
  <c r="I37" i="48"/>
  <c r="W37" i="48" s="1"/>
  <c r="J37" i="48"/>
  <c r="K37" i="48"/>
  <c r="Y37" i="48" s="1"/>
  <c r="L37" i="48"/>
  <c r="M37" i="48"/>
  <c r="AA37" i="48" s="1"/>
  <c r="C38" i="48"/>
  <c r="D38" i="48"/>
  <c r="R38" i="48" s="1"/>
  <c r="E38" i="48"/>
  <c r="F38" i="48"/>
  <c r="T38" i="48" s="1"/>
  <c r="G38" i="48"/>
  <c r="H38" i="48"/>
  <c r="I38" i="48"/>
  <c r="J38" i="48"/>
  <c r="X38" i="48" s="1"/>
  <c r="K38" i="48"/>
  <c r="L38" i="48"/>
  <c r="M38" i="48"/>
  <c r="C39" i="48"/>
  <c r="Q39" i="48" s="1"/>
  <c r="D39" i="48"/>
  <c r="E39" i="48"/>
  <c r="S39" i="48" s="1"/>
  <c r="F39" i="48"/>
  <c r="T39" i="48" s="1"/>
  <c r="G39" i="48"/>
  <c r="U39" i="48" s="1"/>
  <c r="H39" i="48"/>
  <c r="I39" i="48"/>
  <c r="W39" i="48" s="1"/>
  <c r="J39" i="48"/>
  <c r="K39" i="48"/>
  <c r="Y39" i="48" s="1"/>
  <c r="L39" i="48"/>
  <c r="M39" i="48"/>
  <c r="AA39" i="48" s="1"/>
  <c r="C40" i="48"/>
  <c r="D40" i="48"/>
  <c r="R40" i="48" s="1"/>
  <c r="E40" i="48"/>
  <c r="F40" i="48"/>
  <c r="T40" i="48" s="1"/>
  <c r="G40" i="48"/>
  <c r="H40" i="48"/>
  <c r="V40" i="48" s="1"/>
  <c r="I40" i="48"/>
  <c r="J40" i="48"/>
  <c r="X40" i="48" s="1"/>
  <c r="K40" i="48"/>
  <c r="L40" i="48"/>
  <c r="Z40" i="48" s="1"/>
  <c r="M40" i="48"/>
  <c r="C41" i="48"/>
  <c r="D41" i="48"/>
  <c r="E41" i="48"/>
  <c r="S41" i="48" s="1"/>
  <c r="F41" i="48"/>
  <c r="G41" i="48"/>
  <c r="U41" i="48" s="1"/>
  <c r="H41" i="48"/>
  <c r="I41" i="48"/>
  <c r="W41" i="48" s="1"/>
  <c r="J41" i="48"/>
  <c r="K41" i="48"/>
  <c r="Y41" i="48" s="1"/>
  <c r="L41" i="48"/>
  <c r="M41" i="48"/>
  <c r="AA41" i="48" s="1"/>
  <c r="C42" i="48"/>
  <c r="D42" i="48"/>
  <c r="R42" i="48" s="1"/>
  <c r="E42" i="48"/>
  <c r="F42" i="48"/>
  <c r="T42" i="48" s="1"/>
  <c r="G42" i="48"/>
  <c r="H42" i="48"/>
  <c r="V42" i="48" s="1"/>
  <c r="I42" i="48"/>
  <c r="W42" i="48" s="1"/>
  <c r="J42" i="48"/>
  <c r="X42" i="48" s="1"/>
  <c r="K42" i="48"/>
  <c r="L42" i="48"/>
  <c r="M42" i="48"/>
  <c r="AA42" i="48" s="1"/>
  <c r="C43" i="48"/>
  <c r="Q43" i="48" s="1"/>
  <c r="D43" i="48"/>
  <c r="E43" i="48"/>
  <c r="F43" i="48"/>
  <c r="G43" i="48"/>
  <c r="U43" i="48" s="1"/>
  <c r="H43" i="48"/>
  <c r="I43" i="48"/>
  <c r="J43" i="48"/>
  <c r="K43" i="48"/>
  <c r="Y43" i="48" s="1"/>
  <c r="L43" i="48"/>
  <c r="M43" i="48"/>
  <c r="C44" i="48"/>
  <c r="D44" i="48"/>
  <c r="R44" i="48" s="1"/>
  <c r="E44" i="48"/>
  <c r="F44" i="48"/>
  <c r="T44" i="48" s="1"/>
  <c r="G44" i="48"/>
  <c r="H44" i="48"/>
  <c r="V44" i="48" s="1"/>
  <c r="I44" i="48"/>
  <c r="J44" i="48"/>
  <c r="X44" i="48" s="1"/>
  <c r="K44" i="48"/>
  <c r="Y44" i="48" s="1"/>
  <c r="L44" i="48"/>
  <c r="Z44" i="48" s="1"/>
  <c r="M44" i="48"/>
  <c r="C45" i="48"/>
  <c r="Q45" i="48" s="1"/>
  <c r="D45" i="48"/>
  <c r="R45" i="48" s="1"/>
  <c r="E45" i="48"/>
  <c r="S45" i="48" s="1"/>
  <c r="F45" i="48"/>
  <c r="G45" i="48"/>
  <c r="U45" i="48" s="1"/>
  <c r="H45" i="48"/>
  <c r="I45" i="48"/>
  <c r="W45" i="48" s="1"/>
  <c r="J45" i="48"/>
  <c r="K45" i="48"/>
  <c r="Y45" i="48" s="1"/>
  <c r="L45" i="48"/>
  <c r="M45" i="48"/>
  <c r="AA45" i="48" s="1"/>
  <c r="C46" i="48"/>
  <c r="D46" i="48"/>
  <c r="R46" i="48" s="1"/>
  <c r="E46" i="48"/>
  <c r="F46" i="48"/>
  <c r="T46" i="48" s="1"/>
  <c r="G46" i="48"/>
  <c r="H46" i="48"/>
  <c r="V46" i="48" s="1"/>
  <c r="I46" i="48"/>
  <c r="J46" i="48"/>
  <c r="X46" i="48" s="1"/>
  <c r="K46" i="48"/>
  <c r="L46" i="48"/>
  <c r="Z46" i="48" s="1"/>
  <c r="M46" i="48"/>
  <c r="AA46" i="48" s="1"/>
  <c r="C47" i="48"/>
  <c r="Q47" i="48" s="1"/>
  <c r="D47" i="48"/>
  <c r="E47" i="48"/>
  <c r="S47" i="48" s="1"/>
  <c r="F47" i="48"/>
  <c r="T47" i="48" s="1"/>
  <c r="G47" i="48"/>
  <c r="U47" i="48" s="1"/>
  <c r="H47" i="48"/>
  <c r="I47" i="48"/>
  <c r="W47" i="48" s="1"/>
  <c r="J47" i="48"/>
  <c r="X47" i="48" s="1"/>
  <c r="K47" i="48"/>
  <c r="Y47" i="48" s="1"/>
  <c r="L47" i="48"/>
  <c r="M47" i="48"/>
  <c r="AA47" i="48" s="1"/>
  <c r="C48" i="48"/>
  <c r="Q48" i="48" s="1"/>
  <c r="D48" i="48"/>
  <c r="R48" i="48" s="1"/>
  <c r="E48" i="48"/>
  <c r="F48" i="48"/>
  <c r="G48" i="48"/>
  <c r="U48" i="48" s="1"/>
  <c r="H48" i="48"/>
  <c r="V48" i="48" s="1"/>
  <c r="I48" i="48"/>
  <c r="J48" i="48"/>
  <c r="X48" i="48" s="1"/>
  <c r="K48" i="48"/>
  <c r="Y48" i="48" s="1"/>
  <c r="L48" i="48"/>
  <c r="Z48" i="48" s="1"/>
  <c r="M48" i="48"/>
  <c r="C49" i="48"/>
  <c r="Q49" i="48" s="1"/>
  <c r="D49" i="48"/>
  <c r="R49" i="48" s="1"/>
  <c r="E49" i="48"/>
  <c r="S49" i="48" s="1"/>
  <c r="F49" i="48"/>
  <c r="G49" i="48"/>
  <c r="U49" i="48" s="1"/>
  <c r="H49" i="48"/>
  <c r="I49" i="48"/>
  <c r="W49" i="48" s="1"/>
  <c r="J49" i="48"/>
  <c r="K49" i="48"/>
  <c r="Y49" i="48" s="1"/>
  <c r="L49" i="48"/>
  <c r="Z49" i="48" s="1"/>
  <c r="M49" i="48"/>
  <c r="AA49" i="48" s="1"/>
  <c r="C50" i="48"/>
  <c r="D50" i="48"/>
  <c r="R50" i="48" s="1"/>
  <c r="E50" i="48"/>
  <c r="F50" i="48"/>
  <c r="T50" i="48" s="1"/>
  <c r="G50" i="48"/>
  <c r="H50" i="48"/>
  <c r="V50" i="48" s="1"/>
  <c r="I50" i="48"/>
  <c r="W50" i="48" s="1"/>
  <c r="J50" i="48"/>
  <c r="X50" i="48" s="1"/>
  <c r="K50" i="48"/>
  <c r="L50" i="48"/>
  <c r="Z50" i="48" s="1"/>
  <c r="M50" i="48"/>
  <c r="AA50" i="48" s="1"/>
  <c r="C51" i="48"/>
  <c r="Q51" i="48" s="1"/>
  <c r="D51" i="48"/>
  <c r="E51" i="48"/>
  <c r="S51" i="48" s="1"/>
  <c r="F51" i="48"/>
  <c r="G51" i="48"/>
  <c r="U51" i="48" s="1"/>
  <c r="H51" i="48"/>
  <c r="I51" i="48"/>
  <c r="W51" i="48" s="1"/>
  <c r="J51" i="48"/>
  <c r="X51" i="48" s="1"/>
  <c r="K51" i="48"/>
  <c r="Y51" i="48" s="1"/>
  <c r="L51" i="48"/>
  <c r="M51" i="48"/>
  <c r="AA51" i="48" s="1"/>
  <c r="C52" i="48"/>
  <c r="Q52" i="48" s="1"/>
  <c r="D52" i="48"/>
  <c r="R52" i="48" s="1"/>
  <c r="E52" i="48"/>
  <c r="F52" i="48"/>
  <c r="T52" i="48" s="1"/>
  <c r="G52" i="48"/>
  <c r="H52" i="48"/>
  <c r="V52" i="48" s="1"/>
  <c r="I52" i="48"/>
  <c r="J52" i="48"/>
  <c r="X52" i="48" s="1"/>
  <c r="K52" i="48"/>
  <c r="L52" i="48"/>
  <c r="Z52" i="48" s="1"/>
  <c r="M52" i="48"/>
  <c r="C53" i="48"/>
  <c r="D53" i="48"/>
  <c r="R53" i="48" s="1"/>
  <c r="E53" i="48"/>
  <c r="S53" i="48" s="1"/>
  <c r="F53" i="48"/>
  <c r="G53" i="48"/>
  <c r="H53" i="48"/>
  <c r="V53" i="48" s="1"/>
  <c r="I53" i="48"/>
  <c r="W53" i="48" s="1"/>
  <c r="J53" i="48"/>
  <c r="K53" i="48"/>
  <c r="Y53" i="48" s="1"/>
  <c r="L53" i="48"/>
  <c r="Z53" i="48" s="1"/>
  <c r="M53" i="48"/>
  <c r="AA53" i="48" s="1"/>
  <c r="C54" i="48"/>
  <c r="D54" i="48"/>
  <c r="R54" i="48" s="1"/>
  <c r="E54" i="48"/>
  <c r="S54" i="48" s="1"/>
  <c r="F54" i="48"/>
  <c r="T54" i="48" s="1"/>
  <c r="G54" i="48"/>
  <c r="H54" i="48"/>
  <c r="V54" i="48" s="1"/>
  <c r="I54" i="48"/>
  <c r="W54" i="48" s="1"/>
  <c r="J54" i="48"/>
  <c r="X54" i="48" s="1"/>
  <c r="K54" i="48"/>
  <c r="L54" i="48"/>
  <c r="Z54" i="48" s="1"/>
  <c r="M54" i="48"/>
  <c r="AA54" i="48" s="1"/>
  <c r="C55" i="48"/>
  <c r="Q55" i="48" s="1"/>
  <c r="D55" i="48"/>
  <c r="E55" i="48"/>
  <c r="S55" i="48" s="1"/>
  <c r="F55" i="48"/>
  <c r="T55" i="48" s="1"/>
  <c r="G55" i="48"/>
  <c r="U55" i="48" s="1"/>
  <c r="H55" i="48"/>
  <c r="I55" i="48"/>
  <c r="W55" i="48" s="1"/>
  <c r="J55" i="48"/>
  <c r="X55" i="48" s="1"/>
  <c r="K55" i="48"/>
  <c r="Y55" i="48" s="1"/>
  <c r="L55" i="48"/>
  <c r="M55" i="48"/>
  <c r="AA55" i="48" s="1"/>
  <c r="C56" i="48"/>
  <c r="Q56" i="48" s="1"/>
  <c r="D56" i="48"/>
  <c r="R56" i="48" s="1"/>
  <c r="E56" i="48"/>
  <c r="F56" i="48"/>
  <c r="T56" i="48" s="1"/>
  <c r="G56" i="48"/>
  <c r="U56" i="48" s="1"/>
  <c r="H56" i="48"/>
  <c r="V56" i="48" s="1"/>
  <c r="I56" i="48"/>
  <c r="J56" i="48"/>
  <c r="X56" i="48" s="1"/>
  <c r="K56" i="48"/>
  <c r="Y56" i="48" s="1"/>
  <c r="L56" i="48"/>
  <c r="Z56" i="48" s="1"/>
  <c r="M56" i="48"/>
  <c r="C57" i="48"/>
  <c r="Q57" i="48" s="1"/>
  <c r="D57" i="48"/>
  <c r="R57" i="48" s="1"/>
  <c r="E57" i="48"/>
  <c r="S57" i="48" s="1"/>
  <c r="F57" i="48"/>
  <c r="G57" i="48"/>
  <c r="U57" i="48" s="1"/>
  <c r="H57" i="48"/>
  <c r="V57" i="48" s="1"/>
  <c r="I57" i="48"/>
  <c r="W57" i="48" s="1"/>
  <c r="J57" i="48"/>
  <c r="K57" i="48"/>
  <c r="L57" i="48"/>
  <c r="Z57" i="48" s="1"/>
  <c r="M57" i="48"/>
  <c r="AA57" i="48" s="1"/>
  <c r="C58" i="48"/>
  <c r="D58" i="48"/>
  <c r="R58" i="48" s="1"/>
  <c r="E58" i="48"/>
  <c r="S58" i="48" s="1"/>
  <c r="F58" i="48"/>
  <c r="T58" i="48" s="1"/>
  <c r="G58" i="48"/>
  <c r="H58" i="48"/>
  <c r="V58" i="48" s="1"/>
  <c r="I58" i="48"/>
  <c r="W58" i="48" s="1"/>
  <c r="J58" i="48"/>
  <c r="X58" i="48" s="1"/>
  <c r="K58" i="48"/>
  <c r="L58" i="48"/>
  <c r="Z58" i="48" s="1"/>
  <c r="M58" i="48"/>
  <c r="AA58" i="48" s="1"/>
  <c r="C59" i="48"/>
  <c r="Q59" i="48" s="1"/>
  <c r="D59" i="48"/>
  <c r="E59" i="48"/>
  <c r="S59" i="48" s="1"/>
  <c r="F59" i="48"/>
  <c r="T59" i="48" s="1"/>
  <c r="G59" i="48"/>
  <c r="U59" i="48" s="1"/>
  <c r="H59" i="48"/>
  <c r="I59" i="48"/>
  <c r="W59" i="48" s="1"/>
  <c r="J59" i="48"/>
  <c r="K59" i="48"/>
  <c r="Y59" i="48" s="1"/>
  <c r="L59" i="48"/>
  <c r="M59" i="48"/>
  <c r="AA59" i="48" s="1"/>
  <c r="C60" i="48"/>
  <c r="Q60" i="48" s="1"/>
  <c r="D60" i="48"/>
  <c r="R60" i="48" s="1"/>
  <c r="E60" i="48"/>
  <c r="F60" i="48"/>
  <c r="T60" i="48" s="1"/>
  <c r="G60" i="48"/>
  <c r="U60" i="48" s="1"/>
  <c r="H60" i="48"/>
  <c r="V60" i="48" s="1"/>
  <c r="I60" i="48"/>
  <c r="J60" i="48"/>
  <c r="X60" i="48" s="1"/>
  <c r="K60" i="48"/>
  <c r="Y60" i="48" s="1"/>
  <c r="L60" i="48"/>
  <c r="Z60" i="48" s="1"/>
  <c r="M60" i="48"/>
  <c r="C61" i="48"/>
  <c r="Q61" i="48" s="1"/>
  <c r="D61" i="48"/>
  <c r="R61" i="48" s="1"/>
  <c r="E61" i="48"/>
  <c r="S61" i="48" s="1"/>
  <c r="F61" i="48"/>
  <c r="G61" i="48"/>
  <c r="U61" i="48" s="1"/>
  <c r="H61" i="48"/>
  <c r="V61" i="48" s="1"/>
  <c r="I61" i="48"/>
  <c r="W61" i="48" s="1"/>
  <c r="J61" i="48"/>
  <c r="K61" i="48"/>
  <c r="Y61" i="48" s="1"/>
  <c r="L61" i="48"/>
  <c r="Z61" i="48" s="1"/>
  <c r="M61" i="48"/>
  <c r="AA61" i="48" s="1"/>
  <c r="C62" i="48"/>
  <c r="D62" i="48"/>
  <c r="R62" i="48" s="1"/>
  <c r="E62" i="48"/>
  <c r="S62" i="48" s="1"/>
  <c r="F62" i="48"/>
  <c r="T62" i="48" s="1"/>
  <c r="G62" i="48"/>
  <c r="H62" i="48"/>
  <c r="V62" i="48" s="1"/>
  <c r="I62" i="48"/>
  <c r="W62" i="48" s="1"/>
  <c r="J62" i="48"/>
  <c r="X62" i="48" s="1"/>
  <c r="K62" i="48"/>
  <c r="L62" i="48"/>
  <c r="Z62" i="48" s="1"/>
  <c r="M62" i="48"/>
  <c r="AA62" i="48" s="1"/>
  <c r="C63" i="48"/>
  <c r="Q63" i="48" s="1"/>
  <c r="D63" i="48"/>
  <c r="E63" i="48"/>
  <c r="S63" i="48" s="1"/>
  <c r="F63" i="48"/>
  <c r="T63" i="48" s="1"/>
  <c r="G63" i="48"/>
  <c r="U63" i="48" s="1"/>
  <c r="H63" i="48"/>
  <c r="I63" i="48"/>
  <c r="W63" i="48" s="1"/>
  <c r="J63" i="48"/>
  <c r="X63" i="48" s="1"/>
  <c r="K63" i="48"/>
  <c r="Y63" i="48" s="1"/>
  <c r="L63" i="48"/>
  <c r="M63" i="48"/>
  <c r="AA63" i="48" s="1"/>
  <c r="C64" i="48"/>
  <c r="Q64" i="48" s="1"/>
  <c r="D64" i="48"/>
  <c r="R64" i="48" s="1"/>
  <c r="E64" i="48"/>
  <c r="F64" i="48"/>
  <c r="T64" i="48" s="1"/>
  <c r="G64" i="48"/>
  <c r="U64" i="48" s="1"/>
  <c r="H64" i="48"/>
  <c r="V64" i="48" s="1"/>
  <c r="I64" i="48"/>
  <c r="J64" i="48"/>
  <c r="X64" i="48" s="1"/>
  <c r="K64" i="48"/>
  <c r="Y64" i="48" s="1"/>
  <c r="L64" i="48"/>
  <c r="Z64" i="48" s="1"/>
  <c r="M64" i="48"/>
  <c r="C65" i="48"/>
  <c r="Q65" i="48" s="1"/>
  <c r="D65" i="48"/>
  <c r="R65" i="48" s="1"/>
  <c r="E65" i="48"/>
  <c r="S65" i="48" s="1"/>
  <c r="F65" i="48"/>
  <c r="G65" i="48"/>
  <c r="U65" i="48" s="1"/>
  <c r="H65" i="48"/>
  <c r="V65" i="48" s="1"/>
  <c r="I65" i="48"/>
  <c r="W65" i="48" s="1"/>
  <c r="J65" i="48"/>
  <c r="K65" i="48"/>
  <c r="Y65" i="48" s="1"/>
  <c r="L65" i="48"/>
  <c r="Z65" i="48" s="1"/>
  <c r="M65" i="48"/>
  <c r="AA65" i="48" s="1"/>
  <c r="C66" i="48"/>
  <c r="D66" i="48"/>
  <c r="R66" i="48" s="1"/>
  <c r="E66" i="48"/>
  <c r="F66" i="48"/>
  <c r="T66" i="48" s="1"/>
  <c r="G66" i="48"/>
  <c r="H66" i="48"/>
  <c r="V66" i="48" s="1"/>
  <c r="I66" i="48"/>
  <c r="J66" i="48"/>
  <c r="X66" i="48" s="1"/>
  <c r="K66" i="48"/>
  <c r="L66" i="48"/>
  <c r="Z66" i="48" s="1"/>
  <c r="M66" i="48"/>
  <c r="C67" i="48"/>
  <c r="Q67" i="48" s="1"/>
  <c r="D67" i="48"/>
  <c r="E67" i="48"/>
  <c r="S67" i="48" s="1"/>
  <c r="F67" i="48"/>
  <c r="T67" i="48" s="1"/>
  <c r="G67" i="48"/>
  <c r="U67" i="48" s="1"/>
  <c r="H67" i="48"/>
  <c r="I67" i="48"/>
  <c r="W67" i="48" s="1"/>
  <c r="J67" i="48"/>
  <c r="X67" i="48" s="1"/>
  <c r="K67" i="48"/>
  <c r="Y67" i="48" s="1"/>
  <c r="L67" i="48"/>
  <c r="M67" i="48"/>
  <c r="AA67" i="48" s="1"/>
  <c r="C68" i="48"/>
  <c r="Q68" i="48" s="1"/>
  <c r="D68" i="48"/>
  <c r="R68" i="48" s="1"/>
  <c r="E68" i="48"/>
  <c r="F68" i="48"/>
  <c r="T68" i="48" s="1"/>
  <c r="G68" i="48"/>
  <c r="U68" i="48" s="1"/>
  <c r="H68" i="48"/>
  <c r="V68" i="48" s="1"/>
  <c r="I68" i="48"/>
  <c r="J68" i="48"/>
  <c r="X68" i="48" s="1"/>
  <c r="K68" i="48"/>
  <c r="Y68" i="48" s="1"/>
  <c r="L68" i="48"/>
  <c r="Z68" i="48" s="1"/>
  <c r="M68" i="48"/>
  <c r="C69" i="48"/>
  <c r="Q69" i="48" s="1"/>
  <c r="D69" i="48"/>
  <c r="R69" i="48" s="1"/>
  <c r="E69" i="48"/>
  <c r="S69" i="48" s="1"/>
  <c r="F69" i="48"/>
  <c r="G69" i="48"/>
  <c r="U69" i="48" s="1"/>
  <c r="H69" i="48"/>
  <c r="V69" i="48" s="1"/>
  <c r="I69" i="48"/>
  <c r="W69" i="48" s="1"/>
  <c r="J69" i="48"/>
  <c r="K69" i="48"/>
  <c r="Y69" i="48" s="1"/>
  <c r="L69" i="48"/>
  <c r="Z69" i="48" s="1"/>
  <c r="M69" i="48"/>
  <c r="AA69" i="48" s="1"/>
  <c r="C70" i="48"/>
  <c r="D70" i="48"/>
  <c r="R70" i="48" s="1"/>
  <c r="E70" i="48"/>
  <c r="S70" i="48" s="1"/>
  <c r="F70" i="48"/>
  <c r="T70" i="48" s="1"/>
  <c r="G70" i="48"/>
  <c r="H70" i="48"/>
  <c r="V70" i="48" s="1"/>
  <c r="I70" i="48"/>
  <c r="W70" i="48" s="1"/>
  <c r="J70" i="48"/>
  <c r="X70" i="48" s="1"/>
  <c r="K70" i="48"/>
  <c r="Y70" i="48" s="1"/>
  <c r="L70" i="48"/>
  <c r="Z70" i="48" s="1"/>
  <c r="M70" i="48"/>
  <c r="AA70" i="48" s="1"/>
  <c r="C71" i="48"/>
  <c r="Q71" i="48" s="1"/>
  <c r="D71" i="48"/>
  <c r="E71" i="48"/>
  <c r="S71" i="48" s="1"/>
  <c r="F71" i="48"/>
  <c r="T71" i="48" s="1"/>
  <c r="G71" i="48"/>
  <c r="U71" i="48" s="1"/>
  <c r="H71" i="48"/>
  <c r="V71" i="48" s="1"/>
  <c r="I71" i="48"/>
  <c r="W71" i="48" s="1"/>
  <c r="J71" i="48"/>
  <c r="X71" i="48" s="1"/>
  <c r="K71" i="48"/>
  <c r="Y71" i="48" s="1"/>
  <c r="L71" i="48"/>
  <c r="Z71" i="48" s="1"/>
  <c r="M71" i="48"/>
  <c r="AA71" i="48" s="1"/>
  <c r="C72" i="48"/>
  <c r="Q72" i="48" s="1"/>
  <c r="D72" i="48"/>
  <c r="R72" i="48" s="1"/>
  <c r="E72" i="48"/>
  <c r="F72" i="48"/>
  <c r="T72" i="48" s="1"/>
  <c r="G72" i="48"/>
  <c r="U72" i="48" s="1"/>
  <c r="H72" i="48"/>
  <c r="V72" i="48" s="1"/>
  <c r="I72" i="48"/>
  <c r="J72" i="48"/>
  <c r="X72" i="48" s="1"/>
  <c r="K72" i="48"/>
  <c r="Y72" i="48" s="1"/>
  <c r="L72" i="48"/>
  <c r="Z72" i="48" s="1"/>
  <c r="M72" i="48"/>
  <c r="AA72" i="48" s="1"/>
  <c r="C73" i="48"/>
  <c r="Q73" i="48" s="1"/>
  <c r="D73" i="48"/>
  <c r="R73" i="48" s="1"/>
  <c r="E73" i="48"/>
  <c r="S73" i="48" s="1"/>
  <c r="F73" i="48"/>
  <c r="G73" i="48"/>
  <c r="U73" i="48" s="1"/>
  <c r="H73" i="48"/>
  <c r="V73" i="48" s="1"/>
  <c r="I73" i="48"/>
  <c r="W73" i="48" s="1"/>
  <c r="J73" i="48"/>
  <c r="K73" i="48"/>
  <c r="Y73" i="48" s="1"/>
  <c r="L73" i="48"/>
  <c r="Z73" i="48" s="1"/>
  <c r="M73" i="48"/>
  <c r="AA73" i="48" s="1"/>
  <c r="C74" i="48"/>
  <c r="Q74" i="48" s="1"/>
  <c r="D74" i="48"/>
  <c r="R74" i="48" s="1"/>
  <c r="E74" i="48"/>
  <c r="S74" i="48" s="1"/>
  <c r="F74" i="48"/>
  <c r="T74" i="48" s="1"/>
  <c r="G74" i="48"/>
  <c r="U74" i="48" s="1"/>
  <c r="H74" i="48"/>
  <c r="V74" i="48" s="1"/>
  <c r="I74" i="48"/>
  <c r="W74" i="48" s="1"/>
  <c r="J74" i="48"/>
  <c r="X74" i="48" s="1"/>
  <c r="K74" i="48"/>
  <c r="L74" i="48"/>
  <c r="Z74" i="48" s="1"/>
  <c r="M74" i="48"/>
  <c r="AA74" i="48" s="1"/>
  <c r="C75" i="48"/>
  <c r="Q75" i="48" s="1"/>
  <c r="D75" i="48"/>
  <c r="E75" i="48"/>
  <c r="S75" i="48" s="1"/>
  <c r="F75" i="48"/>
  <c r="T75" i="48" s="1"/>
  <c r="G75" i="48"/>
  <c r="U75" i="48" s="1"/>
  <c r="H75" i="48"/>
  <c r="V75" i="48" s="1"/>
  <c r="I75" i="48"/>
  <c r="W75" i="48" s="1"/>
  <c r="J75" i="48"/>
  <c r="K75" i="48"/>
  <c r="Y75" i="48" s="1"/>
  <c r="L75" i="48"/>
  <c r="M75" i="48"/>
  <c r="AA75" i="48" s="1"/>
  <c r="C76" i="48"/>
  <c r="D76" i="48"/>
  <c r="R76" i="48" s="1"/>
  <c r="E76" i="48"/>
  <c r="S76" i="48" s="1"/>
  <c r="F76" i="48"/>
  <c r="T76" i="48" s="1"/>
  <c r="G76" i="48"/>
  <c r="U76" i="48" s="1"/>
  <c r="H76" i="48"/>
  <c r="V76" i="48" s="1"/>
  <c r="I76" i="48"/>
  <c r="J76" i="48"/>
  <c r="X76" i="48" s="1"/>
  <c r="K76" i="48"/>
  <c r="Y76" i="48" s="1"/>
  <c r="L76" i="48"/>
  <c r="Z76" i="48" s="1"/>
  <c r="M76" i="48"/>
  <c r="C77" i="48"/>
  <c r="D77" i="48"/>
  <c r="R77" i="48" s="1"/>
  <c r="E77" i="48"/>
  <c r="S77" i="48" s="1"/>
  <c r="F77" i="48"/>
  <c r="T77" i="48" s="1"/>
  <c r="G77" i="48"/>
  <c r="U77" i="48" s="1"/>
  <c r="H77" i="48"/>
  <c r="V77" i="48" s="1"/>
  <c r="I77" i="48"/>
  <c r="W77" i="48" s="1"/>
  <c r="J77" i="48"/>
  <c r="K77" i="48"/>
  <c r="Y77" i="48" s="1"/>
  <c r="L77" i="48"/>
  <c r="Z77" i="48" s="1"/>
  <c r="M77" i="48"/>
  <c r="AA77" i="48" s="1"/>
  <c r="C78" i="48"/>
  <c r="D78" i="48"/>
  <c r="R78" i="48" s="1"/>
  <c r="E78" i="48"/>
  <c r="S78" i="48" s="1"/>
  <c r="F78" i="48"/>
  <c r="T78" i="48" s="1"/>
  <c r="G78" i="48"/>
  <c r="H78" i="48"/>
  <c r="V78" i="48" s="1"/>
  <c r="I78" i="48"/>
  <c r="W78" i="48" s="1"/>
  <c r="J78" i="48"/>
  <c r="X78" i="48" s="1"/>
  <c r="K78" i="48"/>
  <c r="L78" i="48"/>
  <c r="Z78" i="48" s="1"/>
  <c r="M78" i="48"/>
  <c r="AA78" i="48" s="1"/>
  <c r="C79" i="48"/>
  <c r="Q79" i="48" s="1"/>
  <c r="D79" i="48"/>
  <c r="E79" i="48"/>
  <c r="S79" i="48" s="1"/>
  <c r="F79" i="48"/>
  <c r="T79" i="48" s="1"/>
  <c r="G79" i="48"/>
  <c r="U79" i="48" s="1"/>
  <c r="H79" i="48"/>
  <c r="I79" i="48"/>
  <c r="W79" i="48" s="1"/>
  <c r="J79" i="48"/>
  <c r="X79" i="48" s="1"/>
  <c r="K79" i="48"/>
  <c r="Y79" i="48" s="1"/>
  <c r="L79" i="48"/>
  <c r="Z79" i="48" s="1"/>
  <c r="M79" i="48"/>
  <c r="AA79" i="48" s="1"/>
  <c r="C80" i="48"/>
  <c r="Q80" i="48" s="1"/>
  <c r="D80" i="48"/>
  <c r="R80" i="48" s="1"/>
  <c r="E80" i="48"/>
  <c r="F80" i="48"/>
  <c r="T80" i="48" s="1"/>
  <c r="G80" i="48"/>
  <c r="U80" i="48" s="1"/>
  <c r="H80" i="48"/>
  <c r="V80" i="48" s="1"/>
  <c r="I80" i="48"/>
  <c r="W80" i="48" s="1"/>
  <c r="J80" i="48"/>
  <c r="X80" i="48" s="1"/>
  <c r="K80" i="48"/>
  <c r="Y80" i="48" s="1"/>
  <c r="L80" i="48"/>
  <c r="Z80" i="48" s="1"/>
  <c r="M80" i="48"/>
  <c r="C81" i="48"/>
  <c r="Q81" i="48" s="1"/>
  <c r="D81" i="48"/>
  <c r="R81" i="48" s="1"/>
  <c r="E81" i="48"/>
  <c r="S81" i="48" s="1"/>
  <c r="F81" i="48"/>
  <c r="T81" i="48" s="1"/>
  <c r="G81" i="48"/>
  <c r="U81" i="48" s="1"/>
  <c r="H81" i="48"/>
  <c r="I81" i="48"/>
  <c r="W81" i="48" s="1"/>
  <c r="J81" i="48"/>
  <c r="K81" i="48"/>
  <c r="Y81" i="48" s="1"/>
  <c r="L81" i="48"/>
  <c r="Z81" i="48" s="1"/>
  <c r="M81" i="48"/>
  <c r="AA81" i="48" s="1"/>
  <c r="C82" i="48"/>
  <c r="D82" i="48"/>
  <c r="R82" i="48" s="1"/>
  <c r="E82" i="48"/>
  <c r="S82" i="48" s="1"/>
  <c r="F82" i="48"/>
  <c r="T82" i="48" s="1"/>
  <c r="G82" i="48"/>
  <c r="U82" i="48" s="1"/>
  <c r="H82" i="48"/>
  <c r="V82" i="48" s="1"/>
  <c r="I82" i="48"/>
  <c r="W82" i="48" s="1"/>
  <c r="J82" i="48"/>
  <c r="X82" i="48" s="1"/>
  <c r="K82" i="48"/>
  <c r="Y82" i="48" s="1"/>
  <c r="L82" i="48"/>
  <c r="Z82" i="48" s="1"/>
  <c r="M82" i="48"/>
  <c r="AA82" i="48" s="1"/>
  <c r="C83" i="48"/>
  <c r="Q83" i="48" s="1"/>
  <c r="D83" i="48"/>
  <c r="E83" i="48"/>
  <c r="S83" i="48" s="1"/>
  <c r="F83" i="48"/>
  <c r="T83" i="48" s="1"/>
  <c r="G83" i="48"/>
  <c r="U83" i="48" s="1"/>
  <c r="H83" i="48"/>
  <c r="V83" i="48" s="1"/>
  <c r="I83" i="48"/>
  <c r="W83" i="48" s="1"/>
  <c r="J83" i="48"/>
  <c r="X83" i="48" s="1"/>
  <c r="K83" i="48"/>
  <c r="Y83" i="48" s="1"/>
  <c r="L83" i="48"/>
  <c r="M83" i="48"/>
  <c r="AA83" i="48" s="1"/>
  <c r="C84" i="48"/>
  <c r="Q84" i="48" s="1"/>
  <c r="D84" i="48"/>
  <c r="R84" i="48" s="1"/>
  <c r="E84" i="48"/>
  <c r="S84" i="48" s="1"/>
  <c r="F84" i="48"/>
  <c r="T84" i="48" s="1"/>
  <c r="G84" i="48"/>
  <c r="U84" i="48" s="1"/>
  <c r="H84" i="48"/>
  <c r="V84" i="48" s="1"/>
  <c r="I84" i="48"/>
  <c r="J84" i="48"/>
  <c r="X84" i="48" s="1"/>
  <c r="K84" i="48"/>
  <c r="Y84" i="48" s="1"/>
  <c r="L84" i="48"/>
  <c r="Z84" i="48" s="1"/>
  <c r="M84" i="48"/>
  <c r="AA84" i="48" s="1"/>
  <c r="C85" i="48"/>
  <c r="Q85" i="48" s="1"/>
  <c r="D85" i="48"/>
  <c r="R85" i="48" s="1"/>
  <c r="E85" i="48"/>
  <c r="S85" i="48" s="1"/>
  <c r="F85" i="48"/>
  <c r="G85" i="48"/>
  <c r="U85" i="48" s="1"/>
  <c r="H85" i="48"/>
  <c r="V85" i="48" s="1"/>
  <c r="I85" i="48"/>
  <c r="W85" i="48" s="1"/>
  <c r="J85" i="48"/>
  <c r="K85" i="48"/>
  <c r="Y85" i="48" s="1"/>
  <c r="L85" i="48"/>
  <c r="Z85" i="48" s="1"/>
  <c r="M85" i="48"/>
  <c r="AA85" i="48" s="1"/>
  <c r="C86" i="48"/>
  <c r="D86" i="48"/>
  <c r="R86" i="48" s="1"/>
  <c r="E86" i="48"/>
  <c r="S86" i="48" s="1"/>
  <c r="F86" i="48"/>
  <c r="T86" i="48" s="1"/>
  <c r="G86" i="48"/>
  <c r="H86" i="48"/>
  <c r="V86" i="48" s="1"/>
  <c r="I86" i="48"/>
  <c r="W86" i="48" s="1"/>
  <c r="J86" i="48"/>
  <c r="X86" i="48" s="1"/>
  <c r="K86" i="48"/>
  <c r="L86" i="48"/>
  <c r="Z86" i="48" s="1"/>
  <c r="M86" i="48"/>
  <c r="AA86" i="48" s="1"/>
  <c r="C87" i="48"/>
  <c r="Q87" i="48" s="1"/>
  <c r="D87" i="48"/>
  <c r="E87" i="48"/>
  <c r="S87" i="48" s="1"/>
  <c r="F87" i="48"/>
  <c r="T87" i="48" s="1"/>
  <c r="G87" i="48"/>
  <c r="U87" i="48" s="1"/>
  <c r="H87" i="48"/>
  <c r="I87" i="48"/>
  <c r="W87" i="48" s="1"/>
  <c r="J87" i="48"/>
  <c r="X87" i="48" s="1"/>
  <c r="K87" i="48"/>
  <c r="Y87" i="48" s="1"/>
  <c r="L87" i="48"/>
  <c r="M87" i="48"/>
  <c r="AA87" i="48" s="1"/>
  <c r="C88" i="48"/>
  <c r="Q88" i="48" s="1"/>
  <c r="D88" i="48"/>
  <c r="R88" i="48" s="1"/>
  <c r="E88" i="48"/>
  <c r="S88" i="48" s="1"/>
  <c r="F88" i="48"/>
  <c r="T88" i="48" s="1"/>
  <c r="G88" i="48"/>
  <c r="U88" i="48" s="1"/>
  <c r="H88" i="48"/>
  <c r="V88" i="48" s="1"/>
  <c r="I88" i="48"/>
  <c r="J88" i="48"/>
  <c r="X88" i="48" s="1"/>
  <c r="K88" i="48"/>
  <c r="Y88" i="48" s="1"/>
  <c r="L88" i="48"/>
  <c r="Z88" i="48" s="1"/>
  <c r="M88" i="48"/>
  <c r="C89" i="48"/>
  <c r="Q89" i="48" s="1"/>
  <c r="D89" i="48"/>
  <c r="R89" i="48" s="1"/>
  <c r="E89" i="48"/>
  <c r="S89" i="48" s="1"/>
  <c r="F89" i="48"/>
  <c r="T89" i="48" s="1"/>
  <c r="G89" i="48"/>
  <c r="U89" i="48" s="1"/>
  <c r="H89" i="48"/>
  <c r="V89" i="48" s="1"/>
  <c r="I89" i="48"/>
  <c r="W89" i="48" s="1"/>
  <c r="J89" i="48"/>
  <c r="K89" i="48"/>
  <c r="Y89" i="48" s="1"/>
  <c r="L89" i="48"/>
  <c r="Z89" i="48" s="1"/>
  <c r="M89" i="48"/>
  <c r="AA89" i="48" s="1"/>
  <c r="C90" i="48"/>
  <c r="D90" i="48"/>
  <c r="R90" i="48" s="1"/>
  <c r="E90" i="48"/>
  <c r="S90" i="48" s="1"/>
  <c r="F90" i="48"/>
  <c r="T90" i="48" s="1"/>
  <c r="G90" i="48"/>
  <c r="H90" i="48"/>
  <c r="V90" i="48" s="1"/>
  <c r="I90" i="48"/>
  <c r="W90" i="48" s="1"/>
  <c r="J90" i="48"/>
  <c r="X90" i="48" s="1"/>
  <c r="K90" i="48"/>
  <c r="Y90" i="48" s="1"/>
  <c r="L90" i="48"/>
  <c r="Z90" i="48" s="1"/>
  <c r="M90" i="48"/>
  <c r="AA90" i="48" s="1"/>
  <c r="C91" i="48"/>
  <c r="Q91" i="48" s="1"/>
  <c r="D91" i="48"/>
  <c r="R91" i="48" s="1"/>
  <c r="E91" i="48"/>
  <c r="S91" i="48" s="1"/>
  <c r="F91" i="48"/>
  <c r="T91" i="48" s="1"/>
  <c r="G91" i="48"/>
  <c r="U91" i="48" s="1"/>
  <c r="H91" i="48"/>
  <c r="V91" i="48" s="1"/>
  <c r="I91" i="48"/>
  <c r="W91" i="48" s="1"/>
  <c r="J91" i="48"/>
  <c r="X91" i="48" s="1"/>
  <c r="K91" i="48"/>
  <c r="Y91" i="48" s="1"/>
  <c r="L91" i="48"/>
  <c r="Z91" i="48" s="1"/>
  <c r="M91" i="48"/>
  <c r="AA91" i="48" s="1"/>
  <c r="C92" i="48"/>
  <c r="Q92" i="48" s="1"/>
  <c r="D92" i="48"/>
  <c r="R92" i="48" s="1"/>
  <c r="E92" i="48"/>
  <c r="S92" i="48" s="1"/>
  <c r="F92" i="48"/>
  <c r="T92" i="48" s="1"/>
  <c r="G92" i="48"/>
  <c r="U92" i="48" s="1"/>
  <c r="H92" i="48"/>
  <c r="V92" i="48" s="1"/>
  <c r="I92" i="48"/>
  <c r="W92" i="48" s="1"/>
  <c r="J92" i="48"/>
  <c r="X92" i="48" s="1"/>
  <c r="K92" i="48"/>
  <c r="Y92" i="48" s="1"/>
  <c r="L92" i="48"/>
  <c r="Z92" i="48" s="1"/>
  <c r="M92" i="48"/>
  <c r="AA92" i="48" s="1"/>
  <c r="C93" i="48"/>
  <c r="Q93" i="48" s="1"/>
  <c r="D93" i="48"/>
  <c r="R93" i="48" s="1"/>
  <c r="E93" i="48"/>
  <c r="S93" i="48" s="1"/>
  <c r="F93" i="48"/>
  <c r="T93" i="48" s="1"/>
  <c r="G93" i="48"/>
  <c r="U93" i="48" s="1"/>
  <c r="H93" i="48"/>
  <c r="V93" i="48" s="1"/>
  <c r="I93" i="48"/>
  <c r="W93" i="48" s="1"/>
  <c r="J93" i="48"/>
  <c r="K93" i="48"/>
  <c r="Y93" i="48" s="1"/>
  <c r="L93" i="48"/>
  <c r="Z93" i="48" s="1"/>
  <c r="M93" i="48"/>
  <c r="AA93" i="48" s="1"/>
  <c r="C94" i="48"/>
  <c r="Q94" i="48" s="1"/>
  <c r="D94" i="48"/>
  <c r="R94" i="48" s="1"/>
  <c r="E94" i="48"/>
  <c r="S94" i="48" s="1"/>
  <c r="F94" i="48"/>
  <c r="T94" i="48" s="1"/>
  <c r="G94" i="48"/>
  <c r="U94" i="48" s="1"/>
  <c r="H94" i="48"/>
  <c r="V94" i="48" s="1"/>
  <c r="I94" i="48"/>
  <c r="W94" i="48" s="1"/>
  <c r="J94" i="48"/>
  <c r="X94" i="48" s="1"/>
  <c r="K94" i="48"/>
  <c r="Y94" i="48" s="1"/>
  <c r="L94" i="48"/>
  <c r="Z94" i="48" s="1"/>
  <c r="M94" i="48"/>
  <c r="AA94" i="48" s="1"/>
  <c r="C95" i="48"/>
  <c r="Q95" i="48" s="1"/>
  <c r="D95" i="48"/>
  <c r="R95" i="48" s="1"/>
  <c r="E95" i="48"/>
  <c r="S95" i="48" s="1"/>
  <c r="F95" i="48"/>
  <c r="T95" i="48" s="1"/>
  <c r="G95" i="48"/>
  <c r="U95" i="48" s="1"/>
  <c r="H95" i="48"/>
  <c r="V95" i="48" s="1"/>
  <c r="I95" i="48"/>
  <c r="W95" i="48" s="1"/>
  <c r="J95" i="48"/>
  <c r="X95" i="48" s="1"/>
  <c r="K95" i="48"/>
  <c r="Y95" i="48" s="1"/>
  <c r="L95" i="48"/>
  <c r="M95" i="48"/>
  <c r="AA95" i="48" s="1"/>
  <c r="C96" i="48"/>
  <c r="Q96" i="48" s="1"/>
  <c r="D96" i="48"/>
  <c r="R96" i="48" s="1"/>
  <c r="E96" i="48"/>
  <c r="F96" i="48"/>
  <c r="T96" i="48" s="1"/>
  <c r="G96" i="48"/>
  <c r="U96" i="48" s="1"/>
  <c r="H96" i="48"/>
  <c r="V96" i="48" s="1"/>
  <c r="I96" i="48"/>
  <c r="W96" i="48" s="1"/>
  <c r="J96" i="48"/>
  <c r="X96" i="48" s="1"/>
  <c r="K96" i="48"/>
  <c r="Y96" i="48" s="1"/>
  <c r="L96" i="48"/>
  <c r="Z96" i="48" s="1"/>
  <c r="M96" i="48"/>
  <c r="AA96" i="48" s="1"/>
  <c r="C97" i="48"/>
  <c r="Q97" i="48" s="1"/>
  <c r="D97" i="48"/>
  <c r="R97" i="48" s="1"/>
  <c r="E97" i="48"/>
  <c r="S97" i="48" s="1"/>
  <c r="F97" i="48"/>
  <c r="T97" i="48" s="1"/>
  <c r="G97" i="48"/>
  <c r="U97" i="48" s="1"/>
  <c r="H97" i="48"/>
  <c r="V97" i="48" s="1"/>
  <c r="I97" i="48"/>
  <c r="W97" i="48" s="1"/>
  <c r="J97" i="48"/>
  <c r="X97" i="48" s="1"/>
  <c r="K97" i="48"/>
  <c r="Y97" i="48" s="1"/>
  <c r="L97" i="48"/>
  <c r="Z97" i="48" s="1"/>
  <c r="M97" i="48"/>
  <c r="AA97" i="48" s="1"/>
  <c r="C98" i="48"/>
  <c r="Q98" i="48" s="1"/>
  <c r="D98" i="48"/>
  <c r="R98" i="48" s="1"/>
  <c r="E98" i="48"/>
  <c r="S98" i="48" s="1"/>
  <c r="F98" i="48"/>
  <c r="T98" i="48" s="1"/>
  <c r="G98" i="48"/>
  <c r="U98" i="48" s="1"/>
  <c r="H98" i="48"/>
  <c r="V98" i="48" s="1"/>
  <c r="I98" i="48"/>
  <c r="W98" i="48" s="1"/>
  <c r="J98" i="48"/>
  <c r="X98" i="48" s="1"/>
  <c r="K98" i="48"/>
  <c r="L98" i="48"/>
  <c r="Z98" i="48" s="1"/>
  <c r="M98" i="48"/>
  <c r="AA98" i="48" s="1"/>
  <c r="C99" i="48"/>
  <c r="Q99" i="48" s="1"/>
  <c r="D99" i="48"/>
  <c r="E99" i="48"/>
  <c r="S99" i="48" s="1"/>
  <c r="F99" i="48"/>
  <c r="T99" i="48" s="1"/>
  <c r="G99" i="48"/>
  <c r="U99" i="48" s="1"/>
  <c r="H99" i="48"/>
  <c r="V99" i="48" s="1"/>
  <c r="I99" i="48"/>
  <c r="W99" i="48" s="1"/>
  <c r="J99" i="48"/>
  <c r="X99" i="48" s="1"/>
  <c r="K99" i="48"/>
  <c r="Y99" i="48" s="1"/>
  <c r="L99" i="48"/>
  <c r="M99" i="48"/>
  <c r="AA99" i="48" s="1"/>
  <c r="B10" i="48"/>
  <c r="P10" i="48" s="1"/>
  <c r="B11" i="48"/>
  <c r="P11" i="48" s="1"/>
  <c r="B12" i="48"/>
  <c r="P12" i="48" s="1"/>
  <c r="B13" i="48"/>
  <c r="P13" i="48" s="1"/>
  <c r="B14" i="48"/>
  <c r="P14" i="48" s="1"/>
  <c r="B15" i="48"/>
  <c r="P15" i="48" s="1"/>
  <c r="B16" i="48"/>
  <c r="B17" i="48"/>
  <c r="P17" i="48" s="1"/>
  <c r="B18" i="48"/>
  <c r="P18" i="48" s="1"/>
  <c r="B19" i="48"/>
  <c r="P19" i="48" s="1"/>
  <c r="B20" i="48"/>
  <c r="P20" i="48" s="1"/>
  <c r="B21" i="48"/>
  <c r="P21" i="48" s="1"/>
  <c r="B22" i="48"/>
  <c r="P22" i="48" s="1"/>
  <c r="B23" i="48"/>
  <c r="P23" i="48" s="1"/>
  <c r="B24" i="48"/>
  <c r="B25" i="48"/>
  <c r="P25" i="48" s="1"/>
  <c r="B26" i="48"/>
  <c r="P26" i="48" s="1"/>
  <c r="B27" i="48"/>
  <c r="P27" i="48" s="1"/>
  <c r="B28" i="48"/>
  <c r="P28" i="48" s="1"/>
  <c r="B29" i="48"/>
  <c r="P29" i="48" s="1"/>
  <c r="B30" i="48"/>
  <c r="P30" i="48" s="1"/>
  <c r="B31" i="48"/>
  <c r="P31" i="48" s="1"/>
  <c r="B32" i="48"/>
  <c r="P32" i="48" s="1"/>
  <c r="B33" i="48"/>
  <c r="P33" i="48" s="1"/>
  <c r="B34" i="48"/>
  <c r="P34" i="48" s="1"/>
  <c r="B35" i="48"/>
  <c r="P35" i="48" s="1"/>
  <c r="B36" i="48"/>
  <c r="P36" i="48" s="1"/>
  <c r="B37" i="48"/>
  <c r="P37" i="48" s="1"/>
  <c r="B38" i="48"/>
  <c r="P38" i="48" s="1"/>
  <c r="B39" i="48"/>
  <c r="P39" i="48" s="1"/>
  <c r="B40" i="48"/>
  <c r="P40" i="48" s="1"/>
  <c r="B41" i="48"/>
  <c r="P41" i="48" s="1"/>
  <c r="B42" i="48"/>
  <c r="P42" i="48" s="1"/>
  <c r="B43" i="48"/>
  <c r="P43" i="48" s="1"/>
  <c r="B44" i="48"/>
  <c r="P44" i="48" s="1"/>
  <c r="B45" i="48"/>
  <c r="P45" i="48" s="1"/>
  <c r="B46" i="48"/>
  <c r="P46" i="48" s="1"/>
  <c r="B47" i="48"/>
  <c r="P47" i="48" s="1"/>
  <c r="B48" i="48"/>
  <c r="P48" i="48" s="1"/>
  <c r="B49" i="48"/>
  <c r="P49" i="48" s="1"/>
  <c r="B50" i="48"/>
  <c r="P50" i="48" s="1"/>
  <c r="B51" i="48"/>
  <c r="P51" i="48" s="1"/>
  <c r="B52" i="48"/>
  <c r="B53" i="48"/>
  <c r="P53" i="48" s="1"/>
  <c r="B54" i="48"/>
  <c r="P54" i="48" s="1"/>
  <c r="B55" i="48"/>
  <c r="P55" i="48" s="1"/>
  <c r="B56" i="48"/>
  <c r="P56" i="48" s="1"/>
  <c r="B57" i="48"/>
  <c r="P57" i="48" s="1"/>
  <c r="B58" i="48"/>
  <c r="P58" i="48" s="1"/>
  <c r="B59" i="48"/>
  <c r="P59" i="48" s="1"/>
  <c r="B60" i="48"/>
  <c r="P60" i="48" s="1"/>
  <c r="B61" i="48"/>
  <c r="P61" i="48" s="1"/>
  <c r="B62" i="48"/>
  <c r="P62" i="48" s="1"/>
  <c r="B63" i="48"/>
  <c r="P63" i="48" s="1"/>
  <c r="B64" i="48"/>
  <c r="B65" i="48"/>
  <c r="P65" i="48" s="1"/>
  <c r="B66" i="48"/>
  <c r="P66" i="48" s="1"/>
  <c r="B67" i="48"/>
  <c r="P67" i="48" s="1"/>
  <c r="B68" i="48"/>
  <c r="P68" i="48" s="1"/>
  <c r="B69" i="48"/>
  <c r="P69" i="48" s="1"/>
  <c r="B70" i="48"/>
  <c r="P70" i="48" s="1"/>
  <c r="B71" i="48"/>
  <c r="P71" i="48" s="1"/>
  <c r="B72" i="48"/>
  <c r="P72" i="48" s="1"/>
  <c r="B73" i="48"/>
  <c r="P73" i="48" s="1"/>
  <c r="B74" i="48"/>
  <c r="P74" i="48" s="1"/>
  <c r="B75" i="48"/>
  <c r="P75" i="48" s="1"/>
  <c r="B76" i="48"/>
  <c r="P76" i="48" s="1"/>
  <c r="B77" i="48"/>
  <c r="P77" i="48" s="1"/>
  <c r="B78" i="48"/>
  <c r="P78" i="48" s="1"/>
  <c r="B79" i="48"/>
  <c r="P79" i="48" s="1"/>
  <c r="B80" i="48"/>
  <c r="P80" i="48" s="1"/>
  <c r="B81" i="48"/>
  <c r="P81" i="48" s="1"/>
  <c r="B82" i="48"/>
  <c r="P82" i="48" s="1"/>
  <c r="B83" i="48"/>
  <c r="P83" i="48" s="1"/>
  <c r="B84" i="48"/>
  <c r="P84" i="48" s="1"/>
  <c r="B85" i="48"/>
  <c r="P85" i="48" s="1"/>
  <c r="B86" i="48"/>
  <c r="P86" i="48" s="1"/>
  <c r="B87" i="48"/>
  <c r="P87" i="48" s="1"/>
  <c r="B88" i="48"/>
  <c r="P88" i="48" s="1"/>
  <c r="B89" i="48"/>
  <c r="P89" i="48" s="1"/>
  <c r="B90" i="48"/>
  <c r="P90" i="48" s="1"/>
  <c r="B91" i="48"/>
  <c r="P91" i="48" s="1"/>
  <c r="B92" i="48"/>
  <c r="P92" i="48" s="1"/>
  <c r="B93" i="48"/>
  <c r="P93" i="48" s="1"/>
  <c r="B94" i="48"/>
  <c r="P94" i="48" s="1"/>
  <c r="B95" i="48"/>
  <c r="P95" i="48" s="1"/>
  <c r="B96" i="48"/>
  <c r="P96" i="48" s="1"/>
  <c r="B97" i="48"/>
  <c r="P97" i="48" s="1"/>
  <c r="B98" i="48"/>
  <c r="P98" i="48" s="1"/>
  <c r="B99" i="48"/>
  <c r="P99" i="48" s="1"/>
  <c r="B9" i="48"/>
  <c r="D116" i="48"/>
  <c r="D115" i="48"/>
  <c r="D114" i="48"/>
  <c r="D113" i="48"/>
  <c r="D112" i="48"/>
  <c r="D117" i="48" s="1"/>
  <c r="D109" i="48"/>
  <c r="C109" i="48"/>
  <c r="B109" i="48"/>
  <c r="D107" i="48"/>
  <c r="N100" i="48"/>
  <c r="Z99" i="48"/>
  <c r="R99" i="48"/>
  <c r="Y98" i="48"/>
  <c r="S96" i="48"/>
  <c r="Z95" i="48"/>
  <c r="X93" i="48"/>
  <c r="U90" i="48"/>
  <c r="Q90" i="48"/>
  <c r="X89" i="48"/>
  <c r="AA88" i="48"/>
  <c r="W88" i="48"/>
  <c r="Z87" i="48"/>
  <c r="V87" i="48"/>
  <c r="R87" i="48"/>
  <c r="Y86" i="48"/>
  <c r="U86" i="48"/>
  <c r="Q86" i="48"/>
  <c r="X85" i="48"/>
  <c r="T85" i="48"/>
  <c r="W84" i="48"/>
  <c r="Z83" i="48"/>
  <c r="R83" i="48"/>
  <c r="Q82" i="48"/>
  <c r="X81" i="48"/>
  <c r="V81" i="48"/>
  <c r="AA80" i="48"/>
  <c r="S80" i="48"/>
  <c r="V79" i="48"/>
  <c r="R79" i="48"/>
  <c r="Y78" i="48"/>
  <c r="U78" i="48"/>
  <c r="Q78" i="48"/>
  <c r="X77" i="48"/>
  <c r="Q77" i="48"/>
  <c r="W76" i="48"/>
  <c r="AA76" i="48"/>
  <c r="Q76" i="48"/>
  <c r="Z75" i="48"/>
  <c r="X75" i="48"/>
  <c r="R75" i="48"/>
  <c r="Y74" i="48"/>
  <c r="X73" i="48"/>
  <c r="T73" i="48"/>
  <c r="W72" i="48"/>
  <c r="S72" i="48"/>
  <c r="R71" i="48"/>
  <c r="Q70" i="48"/>
  <c r="U70" i="48"/>
  <c r="X69" i="48"/>
  <c r="T69" i="48"/>
  <c r="AA68" i="48"/>
  <c r="W68" i="48"/>
  <c r="S68" i="48"/>
  <c r="Z67" i="48"/>
  <c r="V67" i="48"/>
  <c r="R67" i="48"/>
  <c r="Q66" i="48"/>
  <c r="AA66" i="48"/>
  <c r="Y66" i="48"/>
  <c r="W66" i="48"/>
  <c r="U66" i="48"/>
  <c r="S66" i="48"/>
  <c r="X65" i="48"/>
  <c r="T65" i="48"/>
  <c r="AA64" i="48"/>
  <c r="W64" i="48"/>
  <c r="S64" i="48"/>
  <c r="P64" i="48"/>
  <c r="Z63" i="48"/>
  <c r="V63" i="48"/>
  <c r="R63" i="48"/>
  <c r="Q62" i="48"/>
  <c r="Y62" i="48"/>
  <c r="U62" i="48"/>
  <c r="X61" i="48"/>
  <c r="T61" i="48"/>
  <c r="AA60" i="48"/>
  <c r="S60" i="48"/>
  <c r="W60" i="48"/>
  <c r="Z59" i="48"/>
  <c r="X59" i="48"/>
  <c r="V59" i="48"/>
  <c r="R59" i="48"/>
  <c r="Y58" i="48"/>
  <c r="U58" i="48"/>
  <c r="Q58" i="48"/>
  <c r="Y57" i="48"/>
  <c r="X57" i="48"/>
  <c r="T57" i="48"/>
  <c r="AA56" i="48"/>
  <c r="S56" i="48"/>
  <c r="W56" i="48"/>
  <c r="Z55" i="48"/>
  <c r="V55" i="48"/>
  <c r="R55" i="48"/>
  <c r="Y54" i="48"/>
  <c r="U54" i="48"/>
  <c r="Q54" i="48"/>
  <c r="Q53" i="48"/>
  <c r="X53" i="48"/>
  <c r="U53" i="48"/>
  <c r="T53" i="48"/>
  <c r="AA52" i="48"/>
  <c r="U52" i="48"/>
  <c r="S52" i="48"/>
  <c r="Y52" i="48"/>
  <c r="W52" i="48"/>
  <c r="P52" i="48"/>
  <c r="Z51" i="48"/>
  <c r="V51" i="48"/>
  <c r="R51" i="48"/>
  <c r="T51" i="48"/>
  <c r="S50" i="48"/>
  <c r="Q50" i="48"/>
  <c r="Y50" i="48"/>
  <c r="U50" i="48"/>
  <c r="X49" i="48"/>
  <c r="T49" i="48"/>
  <c r="V49" i="48"/>
  <c r="AA48" i="48"/>
  <c r="W48" i="48"/>
  <c r="T48" i="48"/>
  <c r="S48" i="48"/>
  <c r="Z47" i="48"/>
  <c r="V47" i="48"/>
  <c r="R47" i="48"/>
  <c r="Y46" i="48"/>
  <c r="W46" i="48"/>
  <c r="U46" i="48"/>
  <c r="S46" i="48"/>
  <c r="Q46" i="48"/>
  <c r="X45" i="48"/>
  <c r="T45" i="48"/>
  <c r="Z45" i="48"/>
  <c r="V45" i="48"/>
  <c r="AA44" i="48"/>
  <c r="W44" i="48"/>
  <c r="U44" i="48"/>
  <c r="S44" i="48"/>
  <c r="Q44" i="48"/>
  <c r="AA43" i="48"/>
  <c r="Z43" i="48"/>
  <c r="X43" i="48"/>
  <c r="W43" i="48"/>
  <c r="V43" i="48"/>
  <c r="T43" i="48"/>
  <c r="S43" i="48"/>
  <c r="R43" i="48"/>
  <c r="Z42" i="48"/>
  <c r="Y42" i="48"/>
  <c r="U42" i="48"/>
  <c r="S42" i="48"/>
  <c r="Q42" i="48"/>
  <c r="Z41" i="48"/>
  <c r="X41" i="48"/>
  <c r="V41" i="48"/>
  <c r="T41" i="48"/>
  <c r="R41" i="48"/>
  <c r="Q41" i="48"/>
  <c r="AA40" i="48"/>
  <c r="Y40" i="48"/>
  <c r="W40" i="48"/>
  <c r="U40" i="48"/>
  <c r="S40" i="48"/>
  <c r="Q40" i="48"/>
  <c r="Z39" i="48"/>
  <c r="X39" i="48"/>
  <c r="V39" i="48"/>
  <c r="R39" i="48"/>
  <c r="AA38" i="48"/>
  <c r="Z38" i="48"/>
  <c r="Y38" i="48"/>
  <c r="W38" i="48"/>
  <c r="V38" i="48"/>
  <c r="U38" i="48"/>
  <c r="S38" i="48"/>
  <c r="Q38" i="48"/>
  <c r="U37" i="48"/>
  <c r="Z37" i="48"/>
  <c r="X37" i="48"/>
  <c r="V37" i="48"/>
  <c r="T37" i="48"/>
  <c r="T36" i="48"/>
  <c r="AA36" i="48"/>
  <c r="X36" i="48"/>
  <c r="W36" i="48"/>
  <c r="S36" i="48"/>
  <c r="Z35" i="48"/>
  <c r="W35" i="48"/>
  <c r="V35" i="48"/>
  <c r="R35" i="48"/>
  <c r="Y34" i="48"/>
  <c r="V34" i="48"/>
  <c r="U34" i="48"/>
  <c r="Q34" i="48"/>
  <c r="U33" i="48"/>
  <c r="X33" i="48"/>
  <c r="T33" i="48"/>
  <c r="Q33" i="48"/>
  <c r="AA32" i="48"/>
  <c r="Y32" i="48"/>
  <c r="W32" i="48"/>
  <c r="U32" i="48"/>
  <c r="S32" i="48"/>
  <c r="Z31" i="48"/>
  <c r="X31" i="48"/>
  <c r="V31" i="48"/>
  <c r="R31" i="48"/>
  <c r="AA30" i="48"/>
  <c r="Y30" i="48"/>
  <c r="W30" i="48"/>
  <c r="U30" i="48"/>
  <c r="Q30" i="48"/>
  <c r="Y29" i="48"/>
  <c r="X29" i="48"/>
  <c r="T29" i="48"/>
  <c r="Z29" i="48"/>
  <c r="R29" i="48"/>
  <c r="Y28" i="48"/>
  <c r="U28" i="48"/>
  <c r="AA28" i="48"/>
  <c r="X28" i="48"/>
  <c r="W28" i="48"/>
  <c r="S28" i="48"/>
  <c r="Q28" i="48"/>
  <c r="Z27" i="48"/>
  <c r="V27" i="48"/>
  <c r="X27" i="48"/>
  <c r="W27" i="48"/>
  <c r="R27" i="48"/>
  <c r="AA26" i="48"/>
  <c r="Z26" i="48"/>
  <c r="Y26" i="48"/>
  <c r="W26" i="48"/>
  <c r="U26" i="48"/>
  <c r="R26" i="48"/>
  <c r="Q26" i="48"/>
  <c r="X25" i="48"/>
  <c r="T25" i="48"/>
  <c r="Z25" i="48"/>
  <c r="V25" i="48"/>
  <c r="Q25" i="48"/>
  <c r="Z24" i="48"/>
  <c r="Y24" i="48"/>
  <c r="AA24" i="48"/>
  <c r="X24" i="48"/>
  <c r="W24" i="48"/>
  <c r="S24" i="48"/>
  <c r="P24" i="48"/>
  <c r="Z23" i="48"/>
  <c r="X23" i="48"/>
  <c r="V23" i="48"/>
  <c r="U23" i="48"/>
  <c r="T23" i="48"/>
  <c r="R23" i="48"/>
  <c r="AA22" i="48"/>
  <c r="Y22" i="48"/>
  <c r="W22" i="48"/>
  <c r="U22" i="48"/>
  <c r="S22" i="48"/>
  <c r="Q22" i="48"/>
  <c r="Z21" i="48"/>
  <c r="X21" i="48"/>
  <c r="W21" i="48"/>
  <c r="V21" i="48"/>
  <c r="T21" i="48"/>
  <c r="R21" i="48"/>
  <c r="AA20" i="48"/>
  <c r="Y20" i="48"/>
  <c r="W20" i="48"/>
  <c r="U20" i="48"/>
  <c r="S20" i="48"/>
  <c r="Q20" i="48"/>
  <c r="AA19" i="48"/>
  <c r="Z19" i="48"/>
  <c r="X19" i="48"/>
  <c r="W19" i="48"/>
  <c r="V19" i="48"/>
  <c r="T19" i="48"/>
  <c r="S19" i="48"/>
  <c r="R19" i="48"/>
  <c r="AA18" i="48"/>
  <c r="Z18" i="48"/>
  <c r="Y18" i="48"/>
  <c r="W18" i="48"/>
  <c r="V18" i="48"/>
  <c r="U18" i="48"/>
  <c r="S18" i="48"/>
  <c r="R18" i="48"/>
  <c r="Q18" i="48"/>
  <c r="Z17" i="48"/>
  <c r="Y17" i="48"/>
  <c r="X17" i="48"/>
  <c r="V17" i="48"/>
  <c r="U17" i="48"/>
  <c r="T17" i="48"/>
  <c r="R17" i="48"/>
  <c r="Q17" i="48"/>
  <c r="AA16" i="48"/>
  <c r="Y16" i="48"/>
  <c r="X16" i="48"/>
  <c r="W16" i="48"/>
  <c r="U16" i="48"/>
  <c r="T16" i="48"/>
  <c r="S16" i="48"/>
  <c r="Q16" i="48"/>
  <c r="P16" i="48"/>
  <c r="AA15" i="48"/>
  <c r="Z15" i="48"/>
  <c r="W15" i="48"/>
  <c r="V15" i="48"/>
  <c r="U15" i="48"/>
  <c r="R15" i="48"/>
  <c r="AA14" i="48"/>
  <c r="Y14" i="48"/>
  <c r="W14" i="48"/>
  <c r="U14" i="48"/>
  <c r="S14" i="48"/>
  <c r="Q14" i="48"/>
  <c r="AA13" i="48"/>
  <c r="Z13" i="48"/>
  <c r="X13" i="48"/>
  <c r="V13" i="48"/>
  <c r="T13" i="48"/>
  <c r="R13" i="48"/>
  <c r="AA12" i="48"/>
  <c r="Z12" i="48"/>
  <c r="Y12" i="48"/>
  <c r="W12" i="48"/>
  <c r="V12" i="48"/>
  <c r="U12" i="48"/>
  <c r="S12" i="48"/>
  <c r="Q12" i="48"/>
  <c r="AA11" i="48"/>
  <c r="Z11" i="48"/>
  <c r="X11" i="48"/>
  <c r="W11" i="48"/>
  <c r="V11" i="48"/>
  <c r="T11" i="48"/>
  <c r="S11" i="48"/>
  <c r="R11" i="48"/>
  <c r="AA10" i="48"/>
  <c r="Z10" i="48"/>
  <c r="Y10" i="48"/>
  <c r="W10" i="48"/>
  <c r="V10" i="48"/>
  <c r="U10" i="48"/>
  <c r="S10" i="48"/>
  <c r="R10" i="48"/>
  <c r="Q10" i="48"/>
  <c r="L5" i="45" l="1"/>
  <c r="H5" i="45"/>
  <c r="J5" i="45"/>
  <c r="F5" i="45"/>
  <c r="G5" i="45"/>
  <c r="C5" i="45"/>
  <c r="K5" i="45"/>
  <c r="M100" i="48"/>
  <c r="E100" i="48"/>
  <c r="B5" i="45"/>
  <c r="I100" i="48"/>
  <c r="S9" i="48"/>
  <c r="S100" i="48" s="1"/>
  <c r="W9" i="48"/>
  <c r="W100" i="48" s="1"/>
  <c r="AA9" i="48"/>
  <c r="AA100" i="48" s="1"/>
  <c r="F100" i="48"/>
  <c r="B100" i="48"/>
  <c r="J100" i="48"/>
  <c r="P9" i="48"/>
  <c r="P100" i="48" s="1"/>
  <c r="T9" i="48"/>
  <c r="T100" i="48" s="1"/>
  <c r="X9" i="48"/>
  <c r="X100" i="48" s="1"/>
  <c r="C100" i="48"/>
  <c r="G100" i="48"/>
  <c r="K100" i="48"/>
  <c r="Q9" i="48"/>
  <c r="Q100" i="48" s="1"/>
  <c r="U9" i="48"/>
  <c r="U100" i="48" s="1"/>
  <c r="Y9" i="48"/>
  <c r="Y100" i="48" s="1"/>
  <c r="D100" i="48"/>
  <c r="H100" i="48"/>
  <c r="L100" i="48"/>
  <c r="R9" i="48"/>
  <c r="R100" i="48" s="1"/>
  <c r="V9" i="48"/>
  <c r="V100" i="48" s="1"/>
  <c r="Z9" i="48"/>
  <c r="Z100" i="48" s="1"/>
  <c r="M106" i="48" l="1"/>
  <c r="M105" i="48"/>
  <c r="K106" i="48"/>
  <c r="K105" i="48"/>
  <c r="P106" i="48"/>
  <c r="P105" i="48"/>
  <c r="G106" i="48"/>
  <c r="G105" i="48"/>
  <c r="R106" i="48"/>
  <c r="R105" i="48"/>
  <c r="I106" i="48"/>
  <c r="N5" i="43" s="1"/>
  <c r="I105" i="48"/>
  <c r="L106" i="48"/>
  <c r="L105" i="48"/>
  <c r="N106" i="48"/>
  <c r="N105" i="48"/>
  <c r="Q106" i="48"/>
  <c r="Q105" i="48"/>
  <c r="H106" i="48"/>
  <c r="H105" i="48"/>
  <c r="O106" i="48"/>
  <c r="O105" i="48"/>
  <c r="J106" i="48"/>
  <c r="J105" i="48"/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 s="1"/>
  <c r="F6" i="43"/>
  <c r="G6" i="43"/>
  <c r="O6" i="43"/>
  <c r="P6" i="43" s="1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 s="1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 s="1"/>
  <c r="F17" i="43"/>
  <c r="G17" i="43"/>
  <c r="O17" i="43"/>
  <c r="P17" i="43" s="1"/>
  <c r="F18" i="43"/>
  <c r="G18" i="43"/>
  <c r="O18" i="43" l="1"/>
  <c r="P18" i="43"/>
</calcChain>
</file>

<file path=xl/sharedStrings.xml><?xml version="1.0" encoding="utf-8"?>
<sst xmlns="http://schemas.openxmlformats.org/spreadsheetml/2006/main" count="15716" uniqueCount="769">
  <si>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</si>
  <si>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</si>
  <si>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</si>
  <si>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</si>
  <si>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</si>
  <si>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</si>
  <si>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</si>
  <si>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</si>
  <si>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</si>
  <si>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</si>
  <si>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</si>
  <si>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</si>
  <si>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</si>
  <si>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</si>
  <si>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</si>
  <si>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</si>
  <si>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</si>
  <si>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</si>
  <si>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ENTREGAS PASSIVAS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</si>
  <si>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</si>
  <si>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</si>
  <si>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</si>
  <si>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</si>
  <si>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</si>
  <si>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</si>
  <si>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</si>
  <si>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</si>
  <si>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</si>
  <si>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</si>
  <si>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</si>
  <si>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</si>
  <si>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</si>
  <si>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</si>
  <si>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</si>
  <si>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</si>
  <si>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</si>
  <si>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</si>
  <si>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</si>
  <si>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</si>
  <si>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</si>
  <si>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</si>
  <si>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</si>
  <si>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</si>
  <si>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</si>
  <si>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</si>
  <si>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</si>
  <si>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</si>
  <si>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</si>
  <si>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</si>
  <si>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</si>
  <si>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</si>
  <si>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</si>
  <si>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</si>
  <si>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</si>
  <si>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</si>
  <si>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</si>
  <si>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</si>
  <si>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</si>
  <si>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</si>
  <si>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</si>
  <si>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</si>
  <si>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</si>
  <si>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</si>
  <si>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</si>
  <si>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</si>
  <si>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</si>
  <si>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</si>
  <si>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</si>
  <si>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</si>
  <si>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</si>
  <si>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</si>
  <si>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</si>
  <si>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</si>
  <si>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</si>
  <si>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</si>
  <si>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</si>
  <si>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</si>
  <si>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</si>
  <si>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</si>
  <si>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</si>
  <si>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</si>
  <si>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</si>
  <si>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</si>
  <si>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</si>
  <si>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</si>
  <si>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</si>
  <si>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</si>
  <si>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</si>
  <si>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</si>
  <si>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</si>
  <si>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</si>
  <si>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</si>
  <si>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</si>
  <si>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</si>
  <si>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</si>
  <si>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</si>
  <si>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</si>
  <si>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</si>
  <si>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</si>
  <si>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</si>
  <si>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</si>
  <si>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</si>
  <si>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</si>
  <si>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</si>
  <si>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</si>
  <si>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</si>
  <si>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</si>
  <si>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</si>
  <si>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</si>
  <si>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</si>
  <si>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</si>
  <si>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</si>
  <si>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</si>
  <si>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</si>
  <si>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</si>
  <si>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</si>
  <si>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</si>
  <si>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</si>
  <si>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</si>
  <si>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</si>
  <si>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</si>
  <si>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</si>
  <si>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</si>
  <si>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</si>
  <si>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</si>
  <si>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</si>
  <si>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</si>
  <si>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</si>
  <si>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</si>
  <si>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</si>
  <si>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</si>
  <si>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</si>
  <si>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</si>
  <si>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</si>
  <si>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</si>
  <si>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</si>
  <si>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</si>
  <si>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</si>
  <si>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</si>
  <si>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</si>
  <si>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</si>
  <si>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</si>
  <si>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</si>
  <si>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</si>
  <si>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</si>
  <si>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</si>
  <si>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</si>
  <si>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</si>
  <si>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</si>
  <si>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</si>
  <si>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</si>
  <si>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</si>
  <si>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</si>
  <si>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</si>
  <si>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</si>
  <si>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</si>
  <si>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</si>
  <si>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</si>
  <si>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</si>
  <si>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</si>
  <si>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</si>
  <si>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</si>
  <si>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</si>
  <si>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</si>
  <si>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</si>
  <si>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</si>
  <si>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</si>
  <si>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</si>
  <si>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</si>
  <si>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</si>
  <si>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</si>
  <si>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</si>
  <si>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</si>
  <si>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</si>
  <si>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</si>
  <si>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</si>
  <si>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</si>
  <si>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</si>
  <si>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</si>
  <si>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</si>
  <si>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</si>
  <si>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</si>
  <si>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</si>
  <si>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</si>
  <si>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</si>
  <si>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</si>
  <si>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</si>
  <si>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</si>
  <si>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</si>
  <si>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</si>
  <si>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</si>
  <si>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</si>
  <si>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</si>
  <si>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</si>
  <si>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</si>
  <si>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</si>
  <si>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</si>
  <si>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</si>
  <si>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</si>
  <si>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</si>
  <si>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</si>
  <si>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</si>
  <si>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</si>
  <si>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</si>
  <si>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</si>
  <si>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</si>
  <si>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</si>
  <si>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</si>
  <si>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</si>
  <si>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</si>
  <si>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</si>
  <si>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</si>
  <si>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</si>
  <si>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</si>
  <si>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</si>
  <si>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</si>
  <si>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</si>
  <si>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</si>
  <si>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</si>
  <si>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</si>
  <si>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</si>
  <si>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</si>
  <si>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</si>
  <si>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</si>
  <si>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</si>
  <si>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</si>
  <si>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</si>
  <si>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</si>
  <si>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</si>
  <si>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</si>
  <si>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</si>
  <si>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</si>
  <si>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</si>
  <si>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</si>
  <si>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</si>
  <si>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</si>
  <si>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</si>
  <si>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</si>
  <si>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</si>
  <si>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</si>
  <si>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</si>
  <si>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</si>
  <si>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</si>
  <si>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</si>
  <si>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</si>
  <si>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</si>
  <si>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</si>
  <si>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</si>
  <si>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</si>
  <si>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</si>
  <si>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</si>
  <si>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</si>
  <si>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</si>
  <si>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</si>
  <si>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</si>
  <si>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</si>
  <si>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</si>
  <si>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</si>
  <si>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</si>
  <si>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</si>
  <si>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</si>
  <si>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</si>
  <si>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</si>
  <si>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</si>
  <si>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</si>
  <si>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</si>
  <si>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</si>
  <si>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</si>
  <si>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</si>
  <si>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</si>
  <si>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</si>
  <si>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</si>
  <si>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</si>
  <si>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</si>
  <si>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</si>
  <si>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</si>
  <si>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certificado</t>
  </si>
  <si>
    <t>Máscaras; moleskine; caneta; álcool em gel</t>
  </si>
  <si>
    <t>Credencial</t>
  </si>
  <si>
    <t>Fotos na peça do aniversariante do mês</t>
  </si>
  <si>
    <t>MARÇO - ABRIL</t>
  </si>
  <si>
    <t>ok</t>
  </si>
  <si>
    <t>FEVEREIRO</t>
  </si>
  <si>
    <t>Identidade Visual Grupo de Corrida</t>
  </si>
  <si>
    <t>Boné ,Squeeze, Wind Flag, Mochila Sacola.</t>
  </si>
  <si>
    <t xml:space="preserve">6° Boletim Cultural </t>
  </si>
  <si>
    <t>1 - Muito Ruim</t>
  </si>
  <si>
    <t>Adesivos para paredes</t>
  </si>
  <si>
    <t>Quadro</t>
  </si>
  <si>
    <t>RELATÓRIO DE GESTÃO 2020 - AGO</t>
  </si>
  <si>
    <t>IMPRIMINDO</t>
  </si>
  <si>
    <t>FOTOS INSTITUCIONAIS DOS FUNCIONÁRIOS PARA CRACHÁS</t>
  </si>
  <si>
    <t>Ação Dia Internacional da Mulher - 8 de Março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</si>
  <si>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</si>
  <si>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</si>
  <si>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</si>
  <si>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</si>
  <si>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</si>
  <si>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</si>
  <si>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</si>
  <si>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</si>
  <si>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</si>
  <si>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Roteiro</t>
  </si>
  <si>
    <t>Roteiro finalizado e está no e-mail</t>
  </si>
  <si>
    <t>SOLICITAÇÃO ARTE - PACTO DE ETICA SICOOB</t>
  </si>
  <si>
    <t>RORAIMA_CUIDADOS_PANDEMIA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</si>
  <si>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</si>
  <si>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</si>
  <si>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</si>
  <si>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</si>
  <si>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</si>
  <si>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</si>
  <si>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</si>
  <si>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</si>
  <si>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</si>
  <si>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</si>
  <si>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</si>
  <si>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</si>
  <si>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Lâminas para Vídeo</t>
  </si>
  <si>
    <t>Relatório de Gestão 2020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</si>
  <si>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</si>
  <si>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</si>
  <si>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</si>
  <si>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</si>
  <si>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</si>
  <si>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</si>
  <si>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</si>
  <si>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</si>
  <si>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</si>
  <si>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</si>
  <si>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</si>
  <si>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</si>
  <si>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</si>
  <si>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</si>
  <si>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</si>
  <si>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</si>
  <si>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</si>
  <si>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</si>
  <si>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</si>
  <si>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</si>
  <si>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</si>
  <si>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</si>
  <si>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</si>
  <si>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Redação no e-mail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</si>
  <si>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</si>
  <si>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</si>
  <si>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</si>
  <si>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</si>
  <si>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</si>
  <si>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</si>
  <si>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Impresso</t>
  </si>
  <si>
    <t>Arte para Whats app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</si>
  <si>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</si>
  <si>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</si>
  <si>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</si>
  <si>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</si>
  <si>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</si>
  <si>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</si>
  <si>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</si>
  <si>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Derivação de Outdoor Institucional</t>
  </si>
  <si>
    <t>SOLICITAÇÃO DE ARTE PARA PRÉ ASSEMBLEIA AGE/AGO</t>
  </si>
  <si>
    <t>3064 - Sicoob Goiânia</t>
  </si>
  <si>
    <t>Passo a Passo Moob</t>
  </si>
  <si>
    <t>Outdoor para Cristalina</t>
  </si>
  <si>
    <t>Campanha do Agasalho</t>
  </si>
  <si>
    <t>Solicitação de imagem</t>
  </si>
  <si>
    <t>Relatório de Gestão 2021</t>
  </si>
  <si>
    <t>Arte de divulgação de apoio em projeto</t>
  </si>
  <si>
    <t>Placa de sinalização - Pertences metálicos</t>
  </si>
  <si>
    <t>SOLICITAÇÃO DE ARTE PARA ASSEMBLEIA GERAL EXTRAORDINARIA E ORDINÁRIA</t>
  </si>
  <si>
    <t>Banner Físico</t>
  </si>
  <si>
    <t>Arte Institucional</t>
  </si>
  <si>
    <t>Nota de Pesar</t>
  </si>
  <si>
    <t>Assembleia virtual</t>
  </si>
  <si>
    <t>Envio de links de treinamento e apresentação para criação de AGO via Moob</t>
  </si>
  <si>
    <t>SOLICITAÇÃO DE AGENDAMENTO DE ESTÚDIO</t>
  </si>
  <si>
    <t>Reserva Estúdio para o Saulo</t>
  </si>
  <si>
    <t>Manual de retaguarda</t>
  </si>
  <si>
    <t>Enviar textos para Michel (Kátia)</t>
  </si>
  <si>
    <t>Stand-By</t>
  </si>
  <si>
    <t>Vídeo da Ambientação da Central</t>
  </si>
  <si>
    <t>Aguardando start Lila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</si>
  <si>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</si>
  <si>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</si>
  <si>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</si>
  <si>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</si>
  <si>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</si>
  <si>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Dia do Profissional do MKT</t>
  </si>
  <si>
    <t>Novo</t>
  </si>
  <si>
    <t>Dia do Jornalista</t>
  </si>
  <si>
    <t>Lâminas</t>
  </si>
  <si>
    <t>Telas PC</t>
  </si>
  <si>
    <t>Relatório de atividades</t>
  </si>
  <si>
    <t>Dia nacional da poesia</t>
  </si>
  <si>
    <t>Cooperativa irá abrir um chamado próximo a data correta 31/10.</t>
  </si>
  <si>
    <t>Quadro de fotos</t>
  </si>
  <si>
    <t>Chamado estava com a Ana Clara</t>
  </si>
  <si>
    <t>CARTAZES OBRIGATÓRIOS - MURAL EXTERNO DA AGENCIA</t>
  </si>
  <si>
    <t>Carômetro - Demanda ativa</t>
  </si>
  <si>
    <t>Aguadando o relatório de atividades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</si>
  <si>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</si>
  <si>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</si>
  <si>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</si>
  <si>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</si>
  <si>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Video - acesso aplicativo unimed goiania</t>
  </si>
  <si>
    <t>Kátia abrir chamado para o Michel</t>
  </si>
  <si>
    <t>Kátia abrir chamado para o Saulo</t>
  </si>
  <si>
    <t>Funções Aplicativo MOOB</t>
  </si>
  <si>
    <t>Aguardando retorno CCS</t>
  </si>
  <si>
    <t>Chamado aberto pra o Saulo em 18/03</t>
  </si>
  <si>
    <t>Jeovana</t>
  </si>
  <si>
    <t xml:space="preserve">ARTE CARTÃO DE VISITA </t>
  </si>
  <si>
    <t>Chamado aberto para Saulo em 11/03</t>
  </si>
  <si>
    <t xml:space="preserve">Peças AGO </t>
  </si>
  <si>
    <t>TV Corporativa</t>
  </si>
  <si>
    <t>Distanciamento</t>
  </si>
  <si>
    <t xml:space="preserve">QR code para acesso ao RG digital </t>
  </si>
  <si>
    <t>MOOB</t>
  </si>
  <si>
    <t>Biblioteca Virtual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</si>
  <si>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</si>
  <si>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</si>
  <si>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</si>
  <si>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</si>
  <si>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Redação para o dia 05/04</t>
  </si>
  <si>
    <t>Criação de identidade visual para evento de entrega do Troféu Colmeia</t>
  </si>
  <si>
    <t>Convite</t>
  </si>
  <si>
    <t>Diagramação - 4ª edição Credi-Rural em revista</t>
  </si>
  <si>
    <t>CAPA</t>
  </si>
  <si>
    <t>Campanha - juntos pelo HC</t>
  </si>
  <si>
    <t>Campanha endomarketing Páscoa</t>
  </si>
  <si>
    <t>DIAGRAMAÇÃO</t>
  </si>
  <si>
    <t>Chamado aberto em 23/03 para o Saulo para o vídeo</t>
  </si>
  <si>
    <t>Chamado aberto em 23/03 para Mônada para o planejamento de postagens</t>
  </si>
  <si>
    <t>Campanha Institucional Divulgação dos Números 2020</t>
  </si>
  <si>
    <t>Chamado aberto para o Michel em 05/04/2021</t>
  </si>
  <si>
    <t xml:space="preserve">VT de 15 segundos sem áudio </t>
  </si>
  <si>
    <t>Enviado para Saulo em 05/04 para ajustes</t>
  </si>
  <si>
    <t>Campeonato Goiano 2021</t>
  </si>
  <si>
    <t>Chamado aberto para o Michel. Prazo de entrega dia 08/04</t>
  </si>
  <si>
    <t>Concurso Fotográfico 2021</t>
  </si>
  <si>
    <t>Chamado aberto para o Michel para a Redação da peça conceito</t>
  </si>
  <si>
    <t>Aniversário da cooperativa - 29 anos</t>
  </si>
  <si>
    <t>Chamado aberto para o Michel para a Redação da peça conceito em 30/03</t>
  </si>
  <si>
    <t>Aguardar aprovação do conceito para fazer o vídeo</t>
  </si>
  <si>
    <t>Divulgação assembleia geral ordinária e extraordinária</t>
  </si>
  <si>
    <t>Derivação outdoors para cidades do Norte Goiano</t>
  </si>
  <si>
    <t>Divulgação PGD</t>
  </si>
  <si>
    <t>Campanha Dia das Mães – Endo</t>
  </si>
  <si>
    <t xml:space="preserve">Aguardando as ações que estão sendo criadas pela Gabi. </t>
  </si>
  <si>
    <t>Campanha Dia das Mães 2021</t>
  </si>
  <si>
    <t>ARQUIVO ABERTO</t>
  </si>
  <si>
    <t>Enviado no email do Saulo</t>
  </si>
  <si>
    <t>Diagramação conteúdo</t>
  </si>
  <si>
    <t>Criação layout</t>
  </si>
  <si>
    <t>Tv Senha</t>
  </si>
  <si>
    <t>Story Vídeo</t>
  </si>
  <si>
    <t>Camiseta</t>
  </si>
  <si>
    <t>Chamado aberto para o Saulo. Está sendo executado pelo Marcos. Aguardando locução</t>
  </si>
  <si>
    <t>Lâminas para vídeo . Roteiro já foi enviado para gravação da locução que será feita pelo Jordevá Rosa.</t>
  </si>
  <si>
    <t>Será feito outro chamado.</t>
  </si>
  <si>
    <t>Cooperativa irá enviar no chamado quais até o dia 26/04 as peças que serão necesárias para a campanha</t>
  </si>
  <si>
    <t>Dia das mães</t>
  </si>
  <si>
    <t>Arte para toalha</t>
  </si>
  <si>
    <t>Caixa</t>
  </si>
  <si>
    <t>Tampa da caixa</t>
  </si>
  <si>
    <t>Arte para chinelo</t>
  </si>
  <si>
    <t xml:space="preserve">Cartazes </t>
  </si>
  <si>
    <t>Post WhastApp para retirada do presente e dia das mães</t>
  </si>
  <si>
    <t>E-mail para e retirada e  para ser enviado no dias das Mães</t>
  </si>
  <si>
    <t>Boletim de MKT</t>
  </si>
  <si>
    <t>Politica Institucional De Segurança</t>
  </si>
  <si>
    <t>Acesso à Gôndola</t>
  </si>
  <si>
    <t>Demanda do Leandro</t>
  </si>
  <si>
    <t>Premiação Colaboradores</t>
  </si>
  <si>
    <t>Troféu</t>
  </si>
  <si>
    <t>Apresentação Institucional Sicoob UniCNG</t>
  </si>
  <si>
    <t>Cartaz de Páscoa A7</t>
  </si>
  <si>
    <t>Comunicados de Assembleia</t>
  </si>
  <si>
    <t>Projeto Salve Vidas</t>
  </si>
  <si>
    <t>Cuidados Covid</t>
  </si>
  <si>
    <t>Cartilha</t>
  </si>
  <si>
    <t>I2104-096864</t>
  </si>
  <si>
    <t>Divulgação de eventos</t>
  </si>
  <si>
    <t>Diego</t>
  </si>
  <si>
    <t>I2104-108253</t>
  </si>
  <si>
    <t>Valquiria</t>
  </si>
  <si>
    <t>Aniversário das Cidades de Maio</t>
  </si>
  <si>
    <t>Cartão Dia das Mães</t>
  </si>
  <si>
    <t>Usar a arte das mães do CCS</t>
  </si>
  <si>
    <t>BANNER DE BOAS VINDAS</t>
  </si>
  <si>
    <t>Chamado aberto para Michel em 14/04.Entrega dos textos em 28/04</t>
  </si>
  <si>
    <t>Diagramação - Informativo TOP</t>
  </si>
  <si>
    <t xml:space="preserve">Adesivo </t>
  </si>
  <si>
    <t>Projeto de Banners Identidade Visual Instituto Sicoob</t>
  </si>
  <si>
    <t>Verificar no e-mail</t>
  </si>
  <si>
    <t>Peças Pesquisa NPS Central</t>
  </si>
  <si>
    <t>I2104-057196</t>
  </si>
  <si>
    <t xml:space="preserve">Criação de arte - Laboral </t>
  </si>
  <si>
    <t>Chamado aberto para Michel em 14/04. PRazo de entrega do texto até 27/04</t>
  </si>
  <si>
    <t>I2104-085857</t>
  </si>
  <si>
    <t>Criação de arte - Divulgação do RG</t>
  </si>
  <si>
    <t>Chamado aberto para Michel em 15/04. Prazo de entrga em 20/04</t>
  </si>
  <si>
    <t>Plaquinha para mesa de gerente/atendente</t>
  </si>
  <si>
    <t>I2104-106081</t>
  </si>
  <si>
    <t>I2104-109625</t>
  </si>
  <si>
    <t>URA para cooperativa para PABX</t>
  </si>
  <si>
    <t>Spot</t>
  </si>
  <si>
    <t>Aguardadno retorno no chamado</t>
  </si>
  <si>
    <t>Faixa de futuras instalações Sicoob</t>
  </si>
  <si>
    <t>Cuidado com WhatsApp no horário de expediente</t>
  </si>
  <si>
    <t>Chamado aberto para Michel com pra zo de entrega do texto em 23/04</t>
  </si>
  <si>
    <t>Apresentação em Power Point</t>
  </si>
  <si>
    <t>Incluir as peças do Campeonato Goiano em um PPT, conforme modelo enviado pela Juliana</t>
  </si>
  <si>
    <t>I2104-130022</t>
  </si>
  <si>
    <t>Imagem no ATM</t>
  </si>
  <si>
    <t>ATM</t>
  </si>
  <si>
    <t>I2104-140626</t>
  </si>
  <si>
    <t>Mapa de Atuação</t>
  </si>
  <si>
    <t>I2104-130090</t>
  </si>
  <si>
    <t>Envio das peças Campanha do Agasalho</t>
  </si>
  <si>
    <t>Somente envio das peças abertas</t>
  </si>
  <si>
    <t>I2104-053954</t>
  </si>
  <si>
    <t>Incorporação Cooperativa</t>
  </si>
  <si>
    <t>I2104-125320</t>
  </si>
  <si>
    <t>AGEC</t>
  </si>
  <si>
    <t>I2104-132286</t>
  </si>
  <si>
    <t>Sinalização interna</t>
  </si>
  <si>
    <t>I2104-048986</t>
  </si>
  <si>
    <t>Redação vacina H1N1</t>
  </si>
  <si>
    <t>Agenda 2022  com layout do Concurso fotográfico</t>
  </si>
  <si>
    <t>Sugerir apenas o layout  e posteriormente o miolo</t>
  </si>
  <si>
    <t>Calendrário 2022  com layout do Concurso fotográfico</t>
  </si>
  <si>
    <t>Criação de peças</t>
  </si>
  <si>
    <t>DICIONÁRIO COOP - MONTANTE</t>
  </si>
  <si>
    <t>FATO OU FAKE - CONSÓRCIOS</t>
  </si>
  <si>
    <t>EDUCAÇÃO FINANCEIRA</t>
  </si>
  <si>
    <t>Derivação outdoor</t>
  </si>
  <si>
    <t>Modelo de PPT - Reporte Semanal</t>
  </si>
  <si>
    <t>Criação de PPT padrão no formato de E-mail Mkt. Mesmo tamanho do arquivo enviado pela Janaína.</t>
  </si>
  <si>
    <t>Selo - Sicoob Uni - NPS</t>
  </si>
  <si>
    <t>ativa</t>
  </si>
  <si>
    <t>Feriado de tiradentes</t>
  </si>
  <si>
    <t>Campanha do agasalho</t>
  </si>
  <si>
    <t>Botton</t>
  </si>
  <si>
    <t>Ilustração - Campanha do Agasalho - Reels</t>
  </si>
  <si>
    <t>Ilustração</t>
  </si>
  <si>
    <t xml:space="preserve">enviado para o Saulo </t>
  </si>
  <si>
    <t>Envio de PPT - Vagas</t>
  </si>
  <si>
    <t>5145 - Sicoob Medcred</t>
  </si>
  <si>
    <t>I2104-165544</t>
  </si>
  <si>
    <t>Criação de arte para Feriado</t>
  </si>
  <si>
    <t>Usar arte de Feriado do CCS</t>
  </si>
  <si>
    <t>I2104-160572</t>
  </si>
  <si>
    <t>Campanha de GPTW</t>
  </si>
  <si>
    <t>Enviar a campanha da Central para aprovação da Cooperativa</t>
  </si>
  <si>
    <t>mouse pad</t>
  </si>
  <si>
    <t>I2104-166355</t>
  </si>
  <si>
    <t>Incluir logo do Sicor na arte e da Credseguro</t>
  </si>
  <si>
    <t xml:space="preserve">Solicitação de arte de missão, visão e valores para UAD do Uni Sudeste </t>
  </si>
  <si>
    <t>Tratamento de Fotos</t>
  </si>
  <si>
    <t>Arrecadadora</t>
  </si>
  <si>
    <t>Filipeta</t>
  </si>
  <si>
    <t>Campanha do Agasalho - Onde Doar</t>
  </si>
  <si>
    <t>Cartão Diretor</t>
  </si>
  <si>
    <t>Aguardando texto Michel.</t>
  </si>
  <si>
    <t>I2104-170588</t>
  </si>
  <si>
    <t xml:space="preserve">Valorização dos profissionais de saúde </t>
  </si>
  <si>
    <t>https://sicoob.sharepoint.com/:w:/r/sites/Marketing-SicoobUni/_layouts/15/guestaccess.aspx?guestaccesstoken=dTtD4NTAH%2FOAzip%2FFlWHjhs6fA%2Bn7Ny4n5dg0Ciz6%2FM%3D&amp;docid=2_0937234ee73984806a03a381b76fcdf18&amp;rev=1&amp;e=zyJTn9</t>
  </si>
  <si>
    <t>Ação educacional</t>
  </si>
  <si>
    <t>Chamado aberto para o Michel com prazo e entrega em 28/04. Confirmar se podemos entregar em 03/05</t>
  </si>
  <si>
    <t>Banner para impressão - Campanha do Agasalho</t>
  </si>
  <si>
    <t>I2104-219463</t>
  </si>
  <si>
    <t>Evento GPTW colaboradores</t>
  </si>
  <si>
    <t>Aguardando as demais informaçoes do GP. Vamos usar a campanha de GPTW</t>
  </si>
  <si>
    <t>I2104-214251</t>
  </si>
  <si>
    <t>Verniz capa da revista</t>
  </si>
  <si>
    <t>Enviar a localização de verniz da capa da revista de Guarulhos</t>
  </si>
  <si>
    <t>I2104-226315</t>
  </si>
  <si>
    <t>Aniversário Cooperativa (Jaú)</t>
  </si>
  <si>
    <t>Cartelas para vídeo de apresentação do Concurso Fotográfico</t>
  </si>
  <si>
    <t>Faltam as fotos do Dr. Lindomar</t>
  </si>
  <si>
    <t>Cartão para press kit de imprensa</t>
  </si>
  <si>
    <t>Cartão para press kit tamanho 12x21cm. Michel já enviou o texto</t>
  </si>
  <si>
    <t>Boletim de Marketing</t>
  </si>
  <si>
    <t>Placa Diretoria</t>
  </si>
  <si>
    <t>Adesivo para placa com atualização dos nomes das cooperativas</t>
  </si>
  <si>
    <t>Comunicação Vagas - Singulares</t>
  </si>
  <si>
    <t>Sem PDC</t>
  </si>
  <si>
    <t>I2104-235159</t>
  </si>
  <si>
    <t>Pesquisa NPS</t>
  </si>
  <si>
    <t>Utilizar campanha pronta de pesquisa. Faremos apenas adaptação do texto</t>
  </si>
  <si>
    <t>Selo para Campanha Solidária</t>
  </si>
  <si>
    <t>I2104-242096</t>
  </si>
  <si>
    <t>Campanha do Agasalho para a Central e Corretora</t>
  </si>
  <si>
    <t>Cartaz A4</t>
  </si>
  <si>
    <t>I2104-236781</t>
  </si>
  <si>
    <t>Convite Ciclo de Conversas</t>
  </si>
  <si>
    <t>I2104-234791</t>
  </si>
  <si>
    <t>Divulgação do POP</t>
  </si>
  <si>
    <t>I2104-226076</t>
  </si>
  <si>
    <t>Branco</t>
  </si>
  <si>
    <t>Vai e vem</t>
  </si>
  <si>
    <t>Pasta com bolso</t>
  </si>
  <si>
    <t>I2104-196885</t>
  </si>
  <si>
    <t>Pesquisa cooperados</t>
  </si>
  <si>
    <t>Ju, vamos usar ae peças que já temos pronta de pesquisa</t>
  </si>
  <si>
    <t>I2104-059310</t>
  </si>
  <si>
    <t>Organograma</t>
  </si>
  <si>
    <t xml:space="preserve">rama da área. O mesmo que foi feito no Relatório de atividades. </t>
  </si>
  <si>
    <t>233702 </t>
  </si>
  <si>
    <t>Compra de imagens</t>
  </si>
  <si>
    <t>Campeonato Goiano</t>
  </si>
  <si>
    <t>I2104-255334</t>
  </si>
  <si>
    <t>Alteração de frase na Campanha</t>
  </si>
  <si>
    <t>Dia das Mães</t>
  </si>
  <si>
    <t>I2105-000358</t>
  </si>
  <si>
    <t>Incorporação</t>
  </si>
  <si>
    <t>Storie Campanha do Agasalho</t>
  </si>
  <si>
    <t>Artes para whatsapp chegada do Sicoob em Mozarlândia</t>
  </si>
  <si>
    <t>Post Valor</t>
  </si>
  <si>
    <t>Storie Interativo dia das mães</t>
  </si>
  <si>
    <t>DICOTÔMICA</t>
  </si>
  <si>
    <t>Retorno Dado à Central</t>
  </si>
  <si>
    <t>Sistêmico</t>
  </si>
  <si>
    <t>2015 - UniCorretora</t>
  </si>
  <si>
    <t>Bárbara</t>
  </si>
  <si>
    <t>Eventos e Apoio</t>
  </si>
  <si>
    <t>Brenda</t>
  </si>
  <si>
    <t>Balão</t>
  </si>
  <si>
    <t>3058 - Sicoob Credigoiás</t>
  </si>
  <si>
    <t>João</t>
  </si>
  <si>
    <t>Júlia</t>
  </si>
  <si>
    <t>Bateco</t>
  </si>
  <si>
    <t>Marina</t>
  </si>
  <si>
    <t>Caderno</t>
  </si>
  <si>
    <t>Mônada</t>
  </si>
  <si>
    <t>Pedro</t>
  </si>
  <si>
    <t>Caneta</t>
  </si>
  <si>
    <t>Espaço Instagramável</t>
  </si>
  <si>
    <t>Guia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</si>
  <si>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</si>
  <si>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</si>
  <si>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</si>
  <si>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</si>
  <si>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</si>
  <si>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</si>
  <si>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</si>
  <si>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</si>
  <si>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</si>
  <si>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</si>
  <si>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</si>
  <si>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</si>
  <si>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Testeira</t>
  </si>
  <si>
    <t>Totem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</si>
  <si>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</si>
  <si>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</si>
  <si>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</si>
  <si>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</si>
  <si>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</si>
  <si>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</si>
  <si>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</si>
  <si>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</si>
  <si>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</si>
  <si>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</si>
  <si>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</si>
  <si>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</si>
  <si>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</si>
  <si>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</si>
  <si>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</si>
  <si>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</si>
  <si>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</si>
  <si>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</si>
  <si>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</si>
  <si>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</si>
  <si>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</si>
  <si>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</si>
  <si>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</si>
  <si>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</si>
  <si>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</si>
  <si>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</si>
  <si>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</si>
  <si>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</si>
  <si>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</si>
  <si>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</si>
  <si>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</si>
  <si>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</si>
  <si>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</si>
  <si>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</si>
  <si>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</si>
  <si>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</si>
  <si>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</si>
  <si>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</si>
  <si>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</si>
  <si>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</si>
  <si>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</si>
  <si>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</si>
  <si>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</si>
  <si>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</si>
  <si>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</si>
  <si>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</si>
  <si>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</si>
  <si>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</si>
  <si>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</si>
  <si>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</si>
  <si>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</si>
  <si>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</si>
  <si>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</si>
  <si>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</si>
  <si>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</si>
  <si>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ENTREGAS PASSIVAS (STATUS OK X NOVOS)</t>
  </si>
  <si>
    <t>OK</t>
  </si>
  <si>
    <t>NOVO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</si>
  <si>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</si>
  <si>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</si>
  <si>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</si>
  <si>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</si>
  <si>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</si>
  <si>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</si>
  <si>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Diagramação (Revista)</t>
  </si>
  <si>
    <t>Diagramação (Relatório de gestão)</t>
  </si>
  <si>
    <t>Inflável</t>
  </si>
  <si>
    <t>Stopper</t>
  </si>
  <si>
    <t>Tenda</t>
  </si>
  <si>
    <t>TOTAL</t>
  </si>
  <si>
    <t>COLABORADOR</t>
  </si>
  <si>
    <t>SALÁRIO</t>
  </si>
  <si>
    <t>LICENÇA</t>
  </si>
  <si>
    <t>ITENS PARA EXERCER FUNÇÃO</t>
  </si>
  <si>
    <t>kátia</t>
  </si>
  <si>
    <t>ROI</t>
  </si>
  <si>
    <t>Nicolas</t>
  </si>
  <si>
    <t>ROA</t>
  </si>
  <si>
    <t>*SAMUEL TEM +750 SOMADO DEVIDO A UTILIZAÇÃO DO SHUTTERSTOCK VÍDEO (DIVIDIDO MEIO A MEIO COM O SAULO)</t>
  </si>
  <si>
    <t>META</t>
  </si>
  <si>
    <t>ATIVOS</t>
  </si>
  <si>
    <t>VALOR</t>
  </si>
  <si>
    <t>QUANTIDADE</t>
  </si>
  <si>
    <t>VALOR DE TIVOS TOTAIS</t>
  </si>
  <si>
    <t>MESA</t>
  </si>
  <si>
    <t>COMPUTADORES</t>
  </si>
  <si>
    <t>MONITORES</t>
  </si>
  <si>
    <t>MESA DIGITAL</t>
  </si>
  <si>
    <t>CADEIRAS</t>
  </si>
  <si>
    <t>-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</si>
  <si>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</si>
  <si>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</si>
  <si>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</si>
  <si>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</si>
  <si>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</si>
  <si>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</si>
  <si>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</si>
  <si>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</si>
  <si>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</si>
  <si>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</si>
  <si>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</si>
  <si>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</si>
  <si>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</si>
  <si>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</si>
  <si>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</si>
  <si>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</si>
  <si>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</si>
  <si>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</si>
  <si>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</si>
  <si>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</si>
  <si>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</si>
  <si>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</si>
  <si>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</si>
  <si>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FAROL DE METAS - INSTITUCIONAL MARÇO</t>
  </si>
  <si>
    <t>FAROL DE METAS - INSTITUCIONAL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</si>
</sst>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2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0"/>
      <color rgb="FF000000"/>
      <name val="Verdana"/>
      <family val="2"/>
    </font>
    <font>
      <sz val="11"/>
      <color rgb="FF000000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1" fillId="0" borderId="17" xfId="4" applyFont="1" applyBorder="1" applyAlignment="1">
      <alignment horizontal="left"/>
    </xf>
    <xf numFmtId="14" fontId="5" fillId="0" borderId="17" xfId="6" applyNumberFormat="1" applyBorder="1" applyAlignment="1">
      <alignment horizontal="center"/>
    </xf>
    <xf numFmtId="0" fontId="12" fillId="7" borderId="17" xfId="0" applyFont="1" applyFill="1" applyBorder="1"/>
    <xf numFmtId="0" fontId="3" fillId="0" borderId="17" xfId="0" applyFont="1" applyBorder="1"/>
    <xf numFmtId="0" fontId="0" fillId="0" borderId="17" xfId="0" applyBorder="1"/>
    <xf numFmtId="9" fontId="0" fillId="0" borderId="17" xfId="5" applyFont="1" applyBorder="1"/>
    <xf numFmtId="164" fontId="0" fillId="0" borderId="17" xfId="7" applyFont="1" applyBorder="1"/>
    <xf numFmtId="0" fontId="2" fillId="7" borderId="17" xfId="0" applyFont="1" applyFill="1" applyBorder="1"/>
    <xf numFmtId="0" fontId="19" fillId="7" borderId="17" xfId="0" applyFont="1" applyFill="1" applyBorder="1"/>
    <xf numFmtId="0" fontId="0" fillId="12" borderId="0" xfId="0" applyFill="1"/>
    <xf numFmtId="44" fontId="0" fillId="0" borderId="17" xfId="0" applyNumberFormat="1" applyBorder="1"/>
    <xf numFmtId="0" fontId="2" fillId="7" borderId="19" xfId="0" applyFont="1" applyFill="1" applyBorder="1"/>
    <xf numFmtId="0" fontId="2" fillId="7" borderId="20" xfId="0" applyFont="1" applyFill="1" applyBorder="1"/>
    <xf numFmtId="164" fontId="0" fillId="0" borderId="17" xfId="7" applyFont="1" applyBorder="1" applyAlignment="1">
      <alignment horizontal="center"/>
    </xf>
    <xf numFmtId="0" fontId="0" fillId="0" borderId="17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0" fontId="0" fillId="3" borderId="17" xfId="0" applyFill="1" applyBorder="1"/>
    <xf numFmtId="9" fontId="0" fillId="3" borderId="17" xfId="5" applyFont="1" applyFill="1" applyBorder="1"/>
    <xf numFmtId="9" fontId="0" fillId="0" borderId="0" xfId="5" applyFont="1"/>
    <xf numFmtId="0" fontId="2" fillId="6" borderId="0" xfId="0" applyFont="1" applyFill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14" fontId="3" fillId="0" borderId="1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5" fillId="11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14" fontId="3" fillId="13" borderId="14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19" fillId="6" borderId="0" xfId="0" applyFont="1" applyFill="1" applyAlignment="1">
      <alignment horizontal="center"/>
    </xf>
    <xf numFmtId="0" fontId="21" fillId="6" borderId="17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</cellXfs>
  <cellStyles count="9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  <cellStyle name="Vírgula" xfId="6" builtinId="3"/>
    <cellStyle name="Vírgula 2" xfId="8" xr:uid="{CA9513EE-3AF9-4B22-94B1-3DCC78FC4140}"/>
  </cellStyles>
  <dxfs count="944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874" dataDxfId="872" headerRowBorderDxfId="873" tableBorderDxfId="871" totalsRowBorderDxfId="870">
  <autoFilter ref="A1:R76" xr:uid="{616F6AF9-6EAE-4A73-9A90-ADE7B9B5259E}"/>
  <tableColumns count="18">
    <tableColumn id="1" xr3:uid="{F146CF48-D71A-4EED-80CA-3AA40AF95FD3}" name="Cliente" dataDxfId="869"/>
    <tableColumn id="2" xr3:uid="{852BBA59-8C61-46AA-B1FC-AD57362BD51C}" name="Origem" dataDxfId="868"/>
    <tableColumn id="3" xr3:uid="{0AC20F3E-C46F-48B3-A0A2-BA7FB5CC4FD8}" name="Atribuição" dataDxfId="867"/>
    <tableColumn id="4" xr3:uid="{CEB4E2A3-D390-40A3-A001-CE5C81CD9C77}" name="Nome do Chamado" dataDxfId="866"/>
    <tableColumn id="5" xr3:uid="{E86557CC-0D66-4E7B-8E88-DB9025FBF200}" name="Peça" dataDxfId="865"/>
    <tableColumn id="6" xr3:uid="{B049232B-E2B4-4E5C-86B6-0C56FF4643C5}" name="Quantidade" dataDxfId="864"/>
    <tableColumn id="7" xr3:uid="{995B993C-B9D2-4BD9-BAF5-67E34CDF78D0}" name="Data de Solicitação" dataDxfId="863"/>
    <tableColumn id="8" xr3:uid="{8A00E518-CFE2-40B3-8D28-08F2378717BA}" name="Prazo" dataDxfId="862"/>
    <tableColumn id="9" xr3:uid="{813E9AD4-3CD5-4BA5-90A6-EF7F7A8AC1A9}" name="Data de Conclusão" dataDxfId="861"/>
    <tableColumn id="10" xr3:uid="{D9A5A2C8-E4B4-4885-A4C3-98F9794B60EC}" name="Observações" dataDxfId="860"/>
    <tableColumn id="11" xr3:uid="{F2AD789C-C60A-443B-9A23-D509C6A58154}" name="Status" dataDxfId="859"/>
    <tableColumn id="12" xr3:uid="{7EEF3A3E-03D9-49D8-8DEC-2BB0DD69A30C}" name="Categoria" dataDxfId="858"/>
    <tableColumn id="13" xr3:uid="{6928BA96-ED7A-4B2B-A563-C5A76D428AEF}" name="Serviço" dataDxfId="857"/>
    <tableColumn id="14" xr3:uid="{ABEE7031-7072-497F-9C73-B55CBBF8288C}" name="Alterações" dataDxfId="856"/>
    <tableColumn id="15" xr3:uid="{2DAA5FAC-9B0A-4FA5-9BFA-07E920CBCDD8}" name="Gôndola" dataDxfId="855"/>
    <tableColumn id="16" xr3:uid="{0D15E0C3-0A9E-44E1-B290-3CFB8B046411}" name="Boas Práticas" dataDxfId="854"/>
    <tableColumn id="17" xr3:uid="{A59AF398-671E-462C-A8C0-A6052AC6411E}" name="Briefing" dataDxfId="853"/>
    <tableColumn id="18" xr3:uid="{9D832114-F9E5-45B0-9422-415C97D1B46A}" name="Retorno à Central" dataDxfId="85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846" dataDxfId="844" headerRowBorderDxfId="845" tableBorderDxfId="843" totalsRowBorderDxfId="842">
  <autoFilter ref="A1:R168" xr:uid="{2E4D77A8-4C08-4B13-BF3A-04E375640B47}"/>
  <tableColumns count="18">
    <tableColumn id="1" xr3:uid="{E529FC9D-A4A3-472F-9A39-A1FD6F7CAF72}" name="Cliente" dataDxfId="841"/>
    <tableColumn id="2" xr3:uid="{D19CF4B0-59F7-4DCF-A0EA-0A35D5622A3C}" name="Origem" dataDxfId="840"/>
    <tableColumn id="3" xr3:uid="{4BF6B879-83D2-473B-AC82-958CE99AC2AB}" name="Atribuição" dataDxfId="839"/>
    <tableColumn id="4" xr3:uid="{91CEC4D9-6DF4-44F3-A425-980B7D4E9ACD}" name="Nome do Chamado" dataDxfId="838"/>
    <tableColumn id="5" xr3:uid="{C551859E-D338-414D-8F3A-CE890D1BE3C2}" name="Peça" dataDxfId="837"/>
    <tableColumn id="6" xr3:uid="{0593A3B7-BC9A-4993-8A5C-5D69BE9D577E}" name="Quantidade" dataDxfId="836"/>
    <tableColumn id="7" xr3:uid="{72D11B73-7872-4FBA-AC16-8044ED61E0C6}" name="Data de Solicitação" dataDxfId="835"/>
    <tableColumn id="8" xr3:uid="{29708A1F-D155-453B-B57B-4D9F28B021D9}" name="Prazo" dataDxfId="834"/>
    <tableColumn id="9" xr3:uid="{4FFA0775-36BA-4BC3-9963-0EC103A33337}" name="Data de Conclusão" dataDxfId="833"/>
    <tableColumn id="10" xr3:uid="{4FDCB311-4255-4DE7-B210-97193729FE6C}" name="Observações" dataDxfId="832"/>
    <tableColumn id="11" xr3:uid="{82D683FB-783A-41D1-828D-B5C6BB384765}" name="Status" dataDxfId="831"/>
    <tableColumn id="12" xr3:uid="{25F7ADB0-9160-45E8-8ACF-DF0FB283758C}" name="Categoria" dataDxfId="830"/>
    <tableColumn id="13" xr3:uid="{32D01AEF-FC1F-46A6-970A-10020705193F}" name="Serviço" dataDxfId="829"/>
    <tableColumn id="14" xr3:uid="{8E66B55B-4188-41CE-930E-F6B06DED68BA}" name="Alterações" dataDxfId="828"/>
    <tableColumn id="15" xr3:uid="{8C4BF246-0D63-4AAC-A6BF-90E60057FC95}" name="Gôndola" dataDxfId="827"/>
    <tableColumn id="16" xr3:uid="{F12B6C75-F0E8-4C1D-BCCA-015381DD67BD}" name="Boas Práticas" dataDxfId="826"/>
    <tableColumn id="17" xr3:uid="{9EE7C5DF-6E9F-4A1D-BDB4-B3ADC44EEEC0}" name="Briefing" dataDxfId="825"/>
    <tableColumn id="18" xr3:uid="{2D20CD8C-B38D-4EF6-ACEE-C21B224DF743}" name="Retorno à Central" dataDxfId="82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228" dataDxfId="226" headerRowBorderDxfId="227" tableBorderDxfId="225" totalsRowBorderDxfId="224">
  <autoFilter ref="A1:R157" xr:uid="{3051176B-438F-4271-ACAD-CF30C5DF5CAC}">
    <filterColumn colId="0">
      <filters>
        <filter val="2015 - Central Sicoob Uni"/>
      </filters>
    </filterColumn>
  </autoFilter>
  <tableColumns count="18">
    <tableColumn id="1" xr3:uid="{C0B018AA-625E-4173-94F1-79C5CF5DFCE5}" name="Cliente" dataDxfId="223"/>
    <tableColumn id="2" xr3:uid="{467AB80A-C739-4D99-AB97-B4B1FA2860A6}" name="Origem" dataDxfId="222"/>
    <tableColumn id="3" xr3:uid="{18F6A625-AF03-42D3-B722-8E6D05E744A0}" name="Atribuição" dataDxfId="221"/>
    <tableColumn id="4" xr3:uid="{20314FFE-CB82-493E-8D10-880F1C51B63E}" name="Nome do Chamado" dataDxfId="220"/>
    <tableColumn id="5" xr3:uid="{96BFCD42-1E0E-4A84-8F0B-8A89C35DCE7E}" name="Peça" dataDxfId="219"/>
    <tableColumn id="6" xr3:uid="{E89B28E1-5307-4547-BDF3-D13C9ED19AFF}" name="Quantidade" dataDxfId="218"/>
    <tableColumn id="7" xr3:uid="{D7A10DAF-2BCC-4932-80BC-C23C5ECD8BE7}" name="Data de Solicitação" dataDxfId="217"/>
    <tableColumn id="8" xr3:uid="{515542AC-BD24-423B-A95D-AEAF6C59B5A2}" name="Prazo" dataDxfId="216"/>
    <tableColumn id="9" xr3:uid="{9B530D3C-A9AC-4BC0-B370-BB142507E6F2}" name="Data de Conclusão" dataDxfId="215"/>
    <tableColumn id="10" xr3:uid="{75EB291C-CC0C-42DF-8305-8F4BDE8292B3}" name="Observações" dataDxfId="214"/>
    <tableColumn id="11" xr3:uid="{2DFE04B7-9CB1-451B-B127-5595870D35C9}" name="Status" dataDxfId="213"/>
    <tableColumn id="12" xr3:uid="{3F2EA5E4-9D12-4B8C-A0BD-1622C27747C2}" name="Categoria" dataDxfId="212"/>
    <tableColumn id="13" xr3:uid="{9CDB402A-F988-48A6-849D-FD1A8B3F5E42}" name="Serviço" dataDxfId="211"/>
    <tableColumn id="14" xr3:uid="{5B03F5D3-29FA-41B4-9B22-A56C629CCA8D}" name="Alterações" dataDxfId="210"/>
    <tableColumn id="15" xr3:uid="{701CDBDE-D064-4293-92E0-171F5B137E5B}" name="Gôndola" dataDxfId="209"/>
    <tableColumn id="16" xr3:uid="{CC3F4C76-9520-4548-A55D-F5A421B38019}" name="Boas Práticas" dataDxfId="208"/>
    <tableColumn id="17" xr3:uid="{A6116C2E-6880-4FE1-A63E-4EA720B7706F}" name="Briefing" dataDxfId="207"/>
    <tableColumn id="18" xr3:uid="{153E624F-C855-4F2F-B874-2CAC71897837}" name="Retorno à Central" dataDxfId="20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640F8-7C0B-4EE2-9FAD-9CA31E6E5EE6}" name="Tabela13232424262" displayName="Tabela13232424262" ref="A1:R277" totalsRowShown="0" headerRowDxfId="105" dataDxfId="103" headerRowBorderDxfId="104" tableBorderDxfId="102" totalsRowBorderDxfId="101">
  <autoFilter ref="A1:R277" xr:uid="{81CF2D9D-9194-4B32-A5F6-FE07AABA185D}"/>
  <tableColumns count="18">
    <tableColumn id="1" xr3:uid="{D50FD1FD-F46D-4D5D-A87E-9D8C51C0BCD9}" name="Cliente" dataDxfId="100"/>
    <tableColumn id="2" xr3:uid="{F4C5470F-427C-4F51-8B1F-8954B8A67F0C}" name="Origem" dataDxfId="99"/>
    <tableColumn id="3" xr3:uid="{2C1A9FDF-E8E6-4687-9396-11FE163E5D75}" name="Atribuição" dataDxfId="98"/>
    <tableColumn id="4" xr3:uid="{958BCBA0-098B-4CF2-82EE-AC54739721EE}" name="Nome do Chamado" dataDxfId="97"/>
    <tableColumn id="5" xr3:uid="{79C222FB-F6FC-4AD6-A37D-2A74A6E10572}" name="Peça" dataDxfId="96"/>
    <tableColumn id="6" xr3:uid="{8C6C59B1-099C-458B-929D-41AA6A83F4C6}" name="Quantidade" dataDxfId="95"/>
    <tableColumn id="7" xr3:uid="{16B1FAE5-96E1-4FD1-AE18-8576A3745708}" name="Data de Solicitação" dataDxfId="94"/>
    <tableColumn id="8" xr3:uid="{9E32104A-4BA8-4FE9-B0EC-AADC86820CB0}" name="Prazo" dataDxfId="93"/>
    <tableColumn id="9" xr3:uid="{07F6186B-6A53-466F-AD8C-02D4FD979472}" name="Data de Conclusão" dataDxfId="92"/>
    <tableColumn id="10" xr3:uid="{50D873A5-5B15-44E1-B694-5D64DC06318E}" name="Observações" dataDxfId="91"/>
    <tableColumn id="11" xr3:uid="{F8C8E536-5AC8-4958-B141-B9953A35DCED}" name="Status" dataDxfId="90"/>
    <tableColumn id="12" xr3:uid="{7E75B802-F186-48BC-96C0-1D2E52887145}" name="Categoria" dataDxfId="89"/>
    <tableColumn id="13" xr3:uid="{8693ED1B-4A00-4182-AA0F-469436D7ACC1}" name="Serviço" dataDxfId="88"/>
    <tableColumn id="14" xr3:uid="{9C63DAA8-DD26-42C3-88EB-57473082CC7D}" name="Alterações" dataDxfId="87"/>
    <tableColumn id="15" xr3:uid="{187474D0-D0A7-41E0-A7F8-F024F44B4945}" name="Gôndola" dataDxfId="86"/>
    <tableColumn id="16" xr3:uid="{466716D9-05D6-4AC4-8739-B3E8C28E2C57}" name="Boas Práticas" dataDxfId="85"/>
    <tableColumn id="17" xr3:uid="{9EA349AA-D299-4CA5-9EC3-F11DAEAD1039}" name="Briefing" dataDxfId="84"/>
    <tableColumn id="18" xr3:uid="{18A4BAF5-E930-4E44-BF50-4D39735FF6CB}" name="Retorno à Central" dataDxfId="8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7ECD38-A631-4FBC-B911-FB642609F76E}" name="Tabela132324242626" displayName="Tabela132324242626" ref="A1:R92" totalsRowShown="0" headerRowDxfId="22" dataDxfId="20" headerRowBorderDxfId="21" tableBorderDxfId="19" totalsRowBorderDxfId="18">
  <autoFilter ref="A1:R92" xr:uid="{81CF2D9D-9194-4B32-A5F6-FE07AABA185D}"/>
  <tableColumns count="18">
    <tableColumn id="1" xr3:uid="{FE6B256C-9740-4C27-A5F7-61EC60079EF1}" name="Cliente" dataDxfId="17"/>
    <tableColumn id="2" xr3:uid="{E08EE8A9-B519-4F1D-B5F8-CE2D99DCCD27}" name="Origem" dataDxfId="16"/>
    <tableColumn id="3" xr3:uid="{8D432125-0804-47C7-89B4-C90310D54774}" name="Atribuição" dataDxfId="15"/>
    <tableColumn id="4" xr3:uid="{132B15D3-4D3B-4A22-AF47-1E813F8AB663}" name="Nome do Chamado" dataDxfId="14"/>
    <tableColumn id="5" xr3:uid="{91B73C6C-D000-48C9-BE24-A81890FDBBB8}" name="Peça" dataDxfId="13"/>
    <tableColumn id="6" xr3:uid="{9A90AC43-BBE2-4CAF-97CE-8ECB55545B4A}" name="Quantidade" dataDxfId="12"/>
    <tableColumn id="7" xr3:uid="{1971969D-FFEA-4570-ABF8-3ABEFB8E3196}" name="Data de Solicitação" dataDxfId="11"/>
    <tableColumn id="8" xr3:uid="{049ADEDB-EE38-4D02-AF82-E067891C6A38}" name="Prazo" dataDxfId="10"/>
    <tableColumn id="9" xr3:uid="{6AE4929D-CC34-463B-BFE6-7711EACE908F}" name="Data de Conclusão" dataDxfId="9"/>
    <tableColumn id="10" xr3:uid="{1A47B6B9-C083-49C8-9918-A6034C56F204}" name="Observações" dataDxfId="8"/>
    <tableColumn id="11" xr3:uid="{A5AD9E1C-36F2-4555-B349-0B3074DD5958}" name="Status" dataDxfId="7"/>
    <tableColumn id="12" xr3:uid="{DEF36B40-DE1B-4A56-8B19-E90B7E38062B}" name="Categoria" dataDxfId="6"/>
    <tableColumn id="13" xr3:uid="{EBF425DF-6B36-406F-8E56-BD23378229C6}" name="Serviço" dataDxfId="5"/>
    <tableColumn id="14" xr3:uid="{BB949892-3E26-412A-8103-22765AB9324F}" name="Alterações" dataDxfId="4"/>
    <tableColumn id="15" xr3:uid="{0DE72252-CD10-4752-9739-F451F69D3F9B}" name="Gôndola" dataDxfId="3"/>
    <tableColumn id="16" xr3:uid="{E564CF97-0060-4590-A1A3-6CC42AD6C1AC}" name="Boas Práticas" dataDxfId="2"/>
    <tableColumn id="17" xr3:uid="{73A3911B-C71E-4DE8-A79A-5CC26F780A46}" name="Briefing" dataDxfId="1"/>
    <tableColumn id="18" xr3:uid="{15DE3238-B46B-4E6D-992A-AF4A6C42A66F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607"/>
  <sheetViews>
    <sheetView tabSelected="1" zoomScaleNormal="100" workbookViewId="0">
      <selection activeCell="G12" sqref="G12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95" customWidth="1"/>
    <col min="8" max="8" width="12" style="95" bestFit="1" customWidth="1"/>
    <col min="9" max="9" width="16.5703125" style="95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94" t="s">
        <v>6</v>
      </c>
      <c r="H1" s="94" t="s">
        <v>7</v>
      </c>
      <c r="I1" s="94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80" t="s">
        <v>18</v>
      </c>
    </row>
    <row r="2" spans="1:19" x14ac:dyDescent="0.25">
      <c r="A2" t="s">
        <v>19</v>
      </c>
      <c r="B2">
        <v>205734</v>
      </c>
      <c r="C2" t="s">
        <v>20</v>
      </c>
      <c r="D2" t="s">
        <v>21</v>
      </c>
      <c r="E2" t="s">
        <v>22</v>
      </c>
      <c r="F2">
        <v>11</v>
      </c>
      <c r="G2" s="95">
        <v>44173</v>
      </c>
      <c r="H2" s="95">
        <v>44221</v>
      </c>
      <c r="I2" s="95">
        <v>44221</v>
      </c>
      <c r="J2" t="s">
        <v>23</v>
      </c>
      <c r="K2" t="s">
        <v>24</v>
      </c>
      <c r="L2" t="s">
        <v>25</v>
      </c>
      <c r="M2" t="s">
        <v>26</v>
      </c>
      <c r="N2">
        <v>3</v>
      </c>
      <c r="O2" t="s">
        <v>27</v>
      </c>
      <c r="Q2" t="s">
        <v>28</v>
      </c>
      <c r="R2" t="s">
        <v>29</v>
      </c>
    </row>
    <row r="3" spans="1:19" x14ac:dyDescent="0.25">
      <c r="A3" t="s">
        <v>30</v>
      </c>
      <c r="B3">
        <v>202339</v>
      </c>
      <c r="C3" t="s">
        <v>31</v>
      </c>
      <c r="D3" t="s">
        <v>32</v>
      </c>
      <c r="E3" t="s">
        <v>33</v>
      </c>
      <c r="F3">
        <v>3</v>
      </c>
      <c r="G3" s="95">
        <v>44152</v>
      </c>
      <c r="H3" s="95">
        <v>44189</v>
      </c>
      <c r="I3" s="95">
        <v>44189</v>
      </c>
      <c r="K3" t="s">
        <v>24</v>
      </c>
      <c r="L3" t="s">
        <v>25</v>
      </c>
      <c r="M3" t="s">
        <v>34</v>
      </c>
      <c r="N3">
        <v>2</v>
      </c>
      <c r="O3" t="s">
        <v>27</v>
      </c>
      <c r="Q3" t="s">
        <v>29</v>
      </c>
      <c r="R3" t="s">
        <v>29</v>
      </c>
    </row>
    <row r="4" spans="1:19" x14ac:dyDescent="0.25">
      <c r="A4" t="s">
        <v>35</v>
      </c>
      <c r="B4">
        <v>212314</v>
      </c>
      <c r="C4" t="s">
        <v>31</v>
      </c>
      <c r="D4" t="s">
        <v>36</v>
      </c>
      <c r="E4" t="s">
        <v>33</v>
      </c>
      <c r="F4">
        <v>1</v>
      </c>
      <c r="G4" s="95">
        <v>44201</v>
      </c>
      <c r="H4" s="95">
        <v>44203</v>
      </c>
      <c r="I4" s="95">
        <v>44203</v>
      </c>
      <c r="K4" t="s">
        <v>24</v>
      </c>
      <c r="L4" t="s">
        <v>37</v>
      </c>
      <c r="M4" t="s">
        <v>34</v>
      </c>
      <c r="O4" t="s">
        <v>38</v>
      </c>
      <c r="P4" t="s">
        <v>38</v>
      </c>
      <c r="Q4" t="s">
        <v>29</v>
      </c>
      <c r="R4" t="s">
        <v>29</v>
      </c>
    </row>
    <row r="5" spans="1:19" x14ac:dyDescent="0.25">
      <c r="A5" t="s">
        <v>39</v>
      </c>
      <c r="B5">
        <v>207551</v>
      </c>
      <c r="C5" t="s">
        <v>31</v>
      </c>
      <c r="D5" t="s">
        <v>40</v>
      </c>
      <c r="E5" t="s">
        <v>41</v>
      </c>
      <c r="F5">
        <v>2</v>
      </c>
      <c r="G5" s="95">
        <v>44175</v>
      </c>
      <c r="H5" s="95">
        <v>44200</v>
      </c>
      <c r="I5" s="95">
        <v>44200</v>
      </c>
      <c r="K5" t="s">
        <v>24</v>
      </c>
      <c r="L5" t="s">
        <v>25</v>
      </c>
      <c r="M5" t="s">
        <v>26</v>
      </c>
      <c r="O5" t="s">
        <v>27</v>
      </c>
      <c r="Q5" t="s">
        <v>29</v>
      </c>
      <c r="R5" t="s">
        <v>29</v>
      </c>
    </row>
    <row r="6" spans="1:19" x14ac:dyDescent="0.25">
      <c r="A6" t="s">
        <v>39</v>
      </c>
      <c r="B6">
        <v>211739</v>
      </c>
      <c r="C6" t="s">
        <v>31</v>
      </c>
      <c r="D6" t="s">
        <v>42</v>
      </c>
      <c r="E6" t="s">
        <v>43</v>
      </c>
      <c r="F6">
        <v>1</v>
      </c>
      <c r="G6" s="95">
        <v>44195</v>
      </c>
      <c r="H6" s="95">
        <v>44208</v>
      </c>
      <c r="I6" s="95">
        <v>44208</v>
      </c>
      <c r="K6" t="s">
        <v>24</v>
      </c>
      <c r="L6" t="s">
        <v>25</v>
      </c>
      <c r="M6" t="s">
        <v>26</v>
      </c>
      <c r="N6">
        <v>2</v>
      </c>
      <c r="O6" t="s">
        <v>27</v>
      </c>
      <c r="Q6" t="s">
        <v>29</v>
      </c>
      <c r="R6" t="s">
        <v>29</v>
      </c>
    </row>
    <row r="7" spans="1:19" x14ac:dyDescent="0.25">
      <c r="A7" t="s">
        <v>39</v>
      </c>
      <c r="B7">
        <v>211739</v>
      </c>
      <c r="C7" t="s">
        <v>44</v>
      </c>
      <c r="D7" t="s">
        <v>42</v>
      </c>
      <c r="E7" t="s">
        <v>22</v>
      </c>
      <c r="F7">
        <v>3</v>
      </c>
      <c r="G7" s="95">
        <v>44195</v>
      </c>
      <c r="H7" s="95">
        <v>44208</v>
      </c>
      <c r="I7" s="95">
        <v>44208</v>
      </c>
      <c r="K7" t="s">
        <v>24</v>
      </c>
      <c r="L7" t="s">
        <v>45</v>
      </c>
      <c r="M7" t="s">
        <v>26</v>
      </c>
      <c r="N7">
        <v>2</v>
      </c>
      <c r="O7" t="s">
        <v>27</v>
      </c>
      <c r="Q7" t="s">
        <v>29</v>
      </c>
      <c r="R7" t="s">
        <v>29</v>
      </c>
    </row>
    <row r="8" spans="1:19" x14ac:dyDescent="0.25">
      <c r="A8" t="s">
        <v>39</v>
      </c>
      <c r="B8">
        <v>211739</v>
      </c>
      <c r="C8" t="s">
        <v>44</v>
      </c>
      <c r="D8" t="s">
        <v>42</v>
      </c>
      <c r="E8" t="s">
        <v>46</v>
      </c>
      <c r="F8">
        <v>3</v>
      </c>
      <c r="G8" s="95">
        <v>44195</v>
      </c>
      <c r="H8" s="95">
        <v>44208</v>
      </c>
      <c r="I8" s="95">
        <v>44208</v>
      </c>
      <c r="K8" t="s">
        <v>24</v>
      </c>
      <c r="L8" t="s">
        <v>45</v>
      </c>
      <c r="M8" t="s">
        <v>26</v>
      </c>
      <c r="N8">
        <v>2</v>
      </c>
      <c r="O8" t="s">
        <v>27</v>
      </c>
      <c r="Q8" t="s">
        <v>29</v>
      </c>
      <c r="R8" t="s">
        <v>29</v>
      </c>
    </row>
    <row r="9" spans="1:19" x14ac:dyDescent="0.25">
      <c r="A9" t="s">
        <v>30</v>
      </c>
      <c r="B9">
        <v>211687</v>
      </c>
      <c r="C9" t="s">
        <v>31</v>
      </c>
      <c r="D9" t="s">
        <v>47</v>
      </c>
      <c r="E9" t="s">
        <v>48</v>
      </c>
      <c r="F9">
        <v>2</v>
      </c>
      <c r="G9" s="95">
        <v>44195</v>
      </c>
      <c r="H9" s="95">
        <v>44208</v>
      </c>
      <c r="I9" s="95">
        <v>44208</v>
      </c>
      <c r="K9" t="s">
        <v>24</v>
      </c>
      <c r="L9" t="s">
        <v>25</v>
      </c>
      <c r="M9" t="s">
        <v>26</v>
      </c>
      <c r="O9" t="s">
        <v>38</v>
      </c>
      <c r="Q9" t="s">
        <v>29</v>
      </c>
      <c r="R9" t="s">
        <v>29</v>
      </c>
    </row>
    <row r="10" spans="1:19" x14ac:dyDescent="0.25">
      <c r="A10" t="s">
        <v>49</v>
      </c>
      <c r="B10">
        <v>212138</v>
      </c>
      <c r="C10" t="s">
        <v>31</v>
      </c>
      <c r="D10" t="s">
        <v>50</v>
      </c>
      <c r="E10" t="s">
        <v>51</v>
      </c>
      <c r="F10">
        <v>1</v>
      </c>
      <c r="G10" s="95">
        <v>44201</v>
      </c>
      <c r="H10" s="95">
        <v>44201</v>
      </c>
      <c r="I10" s="95">
        <v>44201</v>
      </c>
      <c r="K10" t="s">
        <v>24</v>
      </c>
      <c r="L10" t="s">
        <v>37</v>
      </c>
      <c r="M10" t="s">
        <v>26</v>
      </c>
      <c r="O10" t="s">
        <v>38</v>
      </c>
      <c r="P10" t="s">
        <v>38</v>
      </c>
      <c r="Q10" t="s">
        <v>29</v>
      </c>
      <c r="R10" t="s">
        <v>29</v>
      </c>
    </row>
    <row r="11" spans="1:19" x14ac:dyDescent="0.25">
      <c r="A11" t="s">
        <v>52</v>
      </c>
      <c r="B11">
        <v>212488</v>
      </c>
      <c r="C11" t="s">
        <v>20</v>
      </c>
      <c r="D11" t="s">
        <v>53</v>
      </c>
      <c r="E11" t="s">
        <v>33</v>
      </c>
      <c r="F11">
        <v>1</v>
      </c>
      <c r="G11" s="95">
        <v>44201</v>
      </c>
      <c r="H11" s="95">
        <v>44216</v>
      </c>
      <c r="I11" s="95">
        <v>44216</v>
      </c>
      <c r="K11" t="s">
        <v>24</v>
      </c>
      <c r="L11" t="s">
        <v>25</v>
      </c>
      <c r="M11" t="s">
        <v>34</v>
      </c>
      <c r="O11" t="s">
        <v>27</v>
      </c>
      <c r="Q11" t="s">
        <v>54</v>
      </c>
      <c r="R11" t="s">
        <v>29</v>
      </c>
    </row>
    <row r="12" spans="1:19" x14ac:dyDescent="0.25">
      <c r="A12" t="s">
        <v>52</v>
      </c>
      <c r="B12">
        <v>212488</v>
      </c>
      <c r="C12" t="s">
        <v>20</v>
      </c>
      <c r="D12" t="s">
        <v>53</v>
      </c>
      <c r="E12" t="s">
        <v>55</v>
      </c>
      <c r="F12">
        <v>12</v>
      </c>
      <c r="G12" s="95">
        <v>44201</v>
      </c>
      <c r="H12" s="95">
        <v>44216</v>
      </c>
      <c r="I12" s="95">
        <v>44216</v>
      </c>
      <c r="J12" t="s">
        <v>56</v>
      </c>
      <c r="K12" t="s">
        <v>24</v>
      </c>
      <c r="L12" t="s">
        <v>25</v>
      </c>
      <c r="M12" t="s">
        <v>34</v>
      </c>
      <c r="N12">
        <v>2</v>
      </c>
      <c r="O12" t="s">
        <v>27</v>
      </c>
      <c r="Q12" t="s">
        <v>54</v>
      </c>
      <c r="R12" t="s">
        <v>29</v>
      </c>
    </row>
    <row r="13" spans="1:19" x14ac:dyDescent="0.25">
      <c r="A13" t="s">
        <v>39</v>
      </c>
      <c r="B13">
        <v>213540</v>
      </c>
      <c r="C13" t="s">
        <v>20</v>
      </c>
      <c r="D13" t="s">
        <v>57</v>
      </c>
      <c r="E13" t="s">
        <v>46</v>
      </c>
      <c r="F13">
        <v>1</v>
      </c>
      <c r="G13" s="95">
        <v>44207</v>
      </c>
      <c r="H13" s="95">
        <v>44218</v>
      </c>
      <c r="I13" s="95">
        <v>44218</v>
      </c>
      <c r="K13" t="s">
        <v>24</v>
      </c>
      <c r="L13" t="s">
        <v>58</v>
      </c>
      <c r="M13" t="s">
        <v>26</v>
      </c>
      <c r="N13">
        <v>2</v>
      </c>
      <c r="O13" t="s">
        <v>38</v>
      </c>
      <c r="P13" t="s">
        <v>38</v>
      </c>
      <c r="Q13" t="s">
        <v>54</v>
      </c>
      <c r="R13" t="s">
        <v>29</v>
      </c>
    </row>
    <row r="14" spans="1:19" x14ac:dyDescent="0.25">
      <c r="A14" t="s">
        <v>35</v>
      </c>
      <c r="B14">
        <v>212314</v>
      </c>
      <c r="C14" t="s">
        <v>31</v>
      </c>
      <c r="D14" t="s">
        <v>36</v>
      </c>
      <c r="E14" t="s">
        <v>59</v>
      </c>
      <c r="F14">
        <v>1</v>
      </c>
      <c r="G14" s="95">
        <v>44201</v>
      </c>
      <c r="H14" s="95">
        <v>44203</v>
      </c>
      <c r="I14" s="95">
        <v>44203</v>
      </c>
      <c r="K14" t="s">
        <v>24</v>
      </c>
      <c r="L14" t="s">
        <v>37</v>
      </c>
      <c r="M14" t="s">
        <v>34</v>
      </c>
      <c r="O14" t="s">
        <v>38</v>
      </c>
      <c r="P14" t="s">
        <v>38</v>
      </c>
      <c r="Q14" t="s">
        <v>54</v>
      </c>
      <c r="R14" t="s">
        <v>29</v>
      </c>
    </row>
    <row r="15" spans="1:19" x14ac:dyDescent="0.25">
      <c r="A15" t="s">
        <v>60</v>
      </c>
      <c r="B15" t="s">
        <v>61</v>
      </c>
      <c r="C15" t="s">
        <v>62</v>
      </c>
      <c r="D15" t="s">
        <v>63</v>
      </c>
      <c r="G15" s="95">
        <v>44215</v>
      </c>
      <c r="H15" s="95">
        <v>44217</v>
      </c>
      <c r="I15" s="95">
        <v>44216</v>
      </c>
      <c r="K15" t="s">
        <v>24</v>
      </c>
    </row>
    <row r="16" spans="1:19" x14ac:dyDescent="0.25">
      <c r="A16" t="s">
        <v>39</v>
      </c>
      <c r="B16">
        <v>215100</v>
      </c>
      <c r="C16" t="s">
        <v>64</v>
      </c>
      <c r="D16" t="s">
        <v>65</v>
      </c>
      <c r="E16" t="s">
        <v>46</v>
      </c>
      <c r="F16">
        <v>1</v>
      </c>
      <c r="G16" s="95">
        <v>44214</v>
      </c>
      <c r="H16" s="95">
        <v>44214</v>
      </c>
      <c r="I16" s="95">
        <v>44214</v>
      </c>
      <c r="K16" t="s">
        <v>24</v>
      </c>
      <c r="L16" t="s">
        <v>58</v>
      </c>
      <c r="M16" t="s">
        <v>26</v>
      </c>
      <c r="O16" t="s">
        <v>38</v>
      </c>
      <c r="Q16" t="s">
        <v>54</v>
      </c>
      <c r="R16" t="s">
        <v>29</v>
      </c>
    </row>
    <row r="17" spans="1:18" x14ac:dyDescent="0.25">
      <c r="A17" t="s">
        <v>39</v>
      </c>
      <c r="B17">
        <v>215100</v>
      </c>
      <c r="C17" t="s">
        <v>64</v>
      </c>
      <c r="D17" t="s">
        <v>65</v>
      </c>
      <c r="E17" t="s">
        <v>22</v>
      </c>
      <c r="F17">
        <v>1</v>
      </c>
      <c r="G17" s="95">
        <v>44214</v>
      </c>
      <c r="H17" s="95">
        <v>44214</v>
      </c>
      <c r="I17" s="95">
        <v>44214</v>
      </c>
      <c r="K17" t="s">
        <v>24</v>
      </c>
      <c r="L17" t="s">
        <v>58</v>
      </c>
      <c r="M17" t="s">
        <v>26</v>
      </c>
      <c r="O17" t="s">
        <v>38</v>
      </c>
      <c r="Q17" t="s">
        <v>54</v>
      </c>
      <c r="R17" t="s">
        <v>29</v>
      </c>
    </row>
    <row r="18" spans="1:18" x14ac:dyDescent="0.25">
      <c r="A18" t="s">
        <v>49</v>
      </c>
      <c r="B18">
        <v>213706</v>
      </c>
      <c r="C18" t="s">
        <v>62</v>
      </c>
      <c r="D18" t="s">
        <v>66</v>
      </c>
      <c r="G18" s="95">
        <v>44214</v>
      </c>
      <c r="H18" s="95">
        <v>44216</v>
      </c>
      <c r="I18" s="95">
        <v>44216</v>
      </c>
      <c r="K18" t="s">
        <v>24</v>
      </c>
      <c r="L18" t="s">
        <v>25</v>
      </c>
    </row>
    <row r="19" spans="1:18" x14ac:dyDescent="0.25">
      <c r="A19" t="s">
        <v>49</v>
      </c>
      <c r="B19">
        <v>213706</v>
      </c>
      <c r="C19" t="s">
        <v>20</v>
      </c>
      <c r="D19" t="s">
        <v>66</v>
      </c>
      <c r="E19" t="s">
        <v>67</v>
      </c>
      <c r="F19">
        <v>1</v>
      </c>
      <c r="G19" s="95">
        <v>44214</v>
      </c>
      <c r="H19" s="95">
        <v>44218</v>
      </c>
      <c r="I19" s="95">
        <v>44218</v>
      </c>
      <c r="K19" t="s">
        <v>24</v>
      </c>
      <c r="L19" t="s">
        <v>25</v>
      </c>
      <c r="M19" t="s">
        <v>26</v>
      </c>
      <c r="O19" t="s">
        <v>27</v>
      </c>
      <c r="P19" t="s">
        <v>27</v>
      </c>
      <c r="Q19" t="s">
        <v>29</v>
      </c>
      <c r="R19" t="s">
        <v>29</v>
      </c>
    </row>
    <row r="20" spans="1:18" x14ac:dyDescent="0.25">
      <c r="A20" t="s">
        <v>49</v>
      </c>
      <c r="B20">
        <v>213706</v>
      </c>
      <c r="C20" t="s">
        <v>20</v>
      </c>
      <c r="D20" t="s">
        <v>66</v>
      </c>
      <c r="E20" t="s">
        <v>22</v>
      </c>
      <c r="F20">
        <v>1</v>
      </c>
      <c r="G20" s="95">
        <v>44214</v>
      </c>
      <c r="H20" s="95">
        <v>44218</v>
      </c>
      <c r="I20" s="95">
        <v>44218</v>
      </c>
      <c r="K20" t="s">
        <v>24</v>
      </c>
      <c r="L20" t="s">
        <v>25</v>
      </c>
      <c r="M20" t="s">
        <v>26</v>
      </c>
      <c r="O20" t="s">
        <v>27</v>
      </c>
      <c r="P20" t="s">
        <v>27</v>
      </c>
      <c r="Q20" t="s">
        <v>29</v>
      </c>
      <c r="R20" t="s">
        <v>29</v>
      </c>
    </row>
    <row r="21" spans="1:18" x14ac:dyDescent="0.25">
      <c r="A21" t="s">
        <v>49</v>
      </c>
      <c r="B21">
        <v>213706</v>
      </c>
      <c r="C21" t="s">
        <v>20</v>
      </c>
      <c r="D21" t="s">
        <v>66</v>
      </c>
      <c r="E21" t="s">
        <v>41</v>
      </c>
      <c r="F21">
        <v>4</v>
      </c>
      <c r="G21" s="95">
        <v>44214</v>
      </c>
      <c r="H21" s="95">
        <v>44218</v>
      </c>
      <c r="I21" s="95">
        <v>44218</v>
      </c>
      <c r="K21" t="s">
        <v>24</v>
      </c>
      <c r="L21" t="s">
        <v>25</v>
      </c>
      <c r="M21" t="s">
        <v>26</v>
      </c>
      <c r="O21" t="s">
        <v>27</v>
      </c>
      <c r="P21" t="s">
        <v>27</v>
      </c>
      <c r="Q21" t="s">
        <v>29</v>
      </c>
      <c r="R21" t="s">
        <v>29</v>
      </c>
    </row>
    <row r="22" spans="1:18" x14ac:dyDescent="0.25">
      <c r="A22" t="s">
        <v>49</v>
      </c>
      <c r="B22">
        <v>213706</v>
      </c>
      <c r="C22" t="s">
        <v>20</v>
      </c>
      <c r="D22" t="s">
        <v>66</v>
      </c>
      <c r="E22" t="s">
        <v>68</v>
      </c>
      <c r="F22">
        <v>1</v>
      </c>
      <c r="G22" s="95">
        <v>44214</v>
      </c>
      <c r="H22" s="95">
        <v>44218</v>
      </c>
      <c r="I22" s="95">
        <v>44218</v>
      </c>
      <c r="K22" t="s">
        <v>24</v>
      </c>
      <c r="L22" t="s">
        <v>25</v>
      </c>
      <c r="M22" t="s">
        <v>26</v>
      </c>
      <c r="O22" t="s">
        <v>27</v>
      </c>
      <c r="P22" t="s">
        <v>27</v>
      </c>
      <c r="Q22" t="s">
        <v>29</v>
      </c>
      <c r="R22" t="s">
        <v>29</v>
      </c>
    </row>
    <row r="23" spans="1:18" x14ac:dyDescent="0.25">
      <c r="A23" t="s">
        <v>49</v>
      </c>
      <c r="B23">
        <v>213706</v>
      </c>
      <c r="C23" t="s">
        <v>20</v>
      </c>
      <c r="D23" t="s">
        <v>66</v>
      </c>
      <c r="E23" t="s">
        <v>67</v>
      </c>
      <c r="F23">
        <v>1</v>
      </c>
      <c r="G23" s="95">
        <v>44214</v>
      </c>
      <c r="H23" s="95">
        <v>44218</v>
      </c>
      <c r="I23" s="95">
        <v>44218</v>
      </c>
      <c r="K23" t="s">
        <v>24</v>
      </c>
      <c r="L23" t="s">
        <v>25</v>
      </c>
      <c r="M23" t="s">
        <v>26</v>
      </c>
      <c r="O23" t="s">
        <v>27</v>
      </c>
      <c r="P23" t="s">
        <v>27</v>
      </c>
      <c r="Q23" t="s">
        <v>29</v>
      </c>
      <c r="R23" t="s">
        <v>29</v>
      </c>
    </row>
    <row r="24" spans="1:18" x14ac:dyDescent="0.25">
      <c r="A24" t="s">
        <v>49</v>
      </c>
      <c r="B24">
        <v>213706</v>
      </c>
      <c r="C24" t="s">
        <v>20</v>
      </c>
      <c r="D24" t="s">
        <v>66</v>
      </c>
      <c r="E24" t="s">
        <v>46</v>
      </c>
      <c r="F24">
        <v>1</v>
      </c>
      <c r="G24" s="95">
        <v>44214</v>
      </c>
      <c r="H24" s="95">
        <v>44218</v>
      </c>
      <c r="I24" s="95">
        <v>44218</v>
      </c>
      <c r="K24" t="s">
        <v>24</v>
      </c>
      <c r="L24" t="s">
        <v>25</v>
      </c>
      <c r="M24" t="s">
        <v>26</v>
      </c>
      <c r="O24" t="s">
        <v>27</v>
      </c>
      <c r="P24" t="s">
        <v>27</v>
      </c>
      <c r="Q24" t="s">
        <v>29</v>
      </c>
      <c r="R24" t="s">
        <v>29</v>
      </c>
    </row>
    <row r="25" spans="1:18" x14ac:dyDescent="0.25">
      <c r="A25" t="s">
        <v>49</v>
      </c>
      <c r="B25">
        <v>213706</v>
      </c>
      <c r="C25" t="s">
        <v>20</v>
      </c>
      <c r="D25" t="s">
        <v>66</v>
      </c>
      <c r="E25" t="s">
        <v>69</v>
      </c>
      <c r="F25">
        <v>1</v>
      </c>
      <c r="G25" s="95">
        <v>44214</v>
      </c>
      <c r="H25" s="95">
        <v>44218</v>
      </c>
      <c r="I25" s="95">
        <v>44218</v>
      </c>
      <c r="J25" t="s">
        <v>70</v>
      </c>
      <c r="K25" t="s">
        <v>24</v>
      </c>
      <c r="L25" t="s">
        <v>25</v>
      </c>
      <c r="M25" t="s">
        <v>26</v>
      </c>
      <c r="O25" t="s">
        <v>27</v>
      </c>
      <c r="P25" t="s">
        <v>27</v>
      </c>
      <c r="Q25" t="s">
        <v>29</v>
      </c>
      <c r="R25" t="s">
        <v>29</v>
      </c>
    </row>
    <row r="26" spans="1:18" x14ac:dyDescent="0.25">
      <c r="A26" t="s">
        <v>49</v>
      </c>
      <c r="B26">
        <v>213706</v>
      </c>
      <c r="C26" t="s">
        <v>20</v>
      </c>
      <c r="D26" t="s">
        <v>66</v>
      </c>
      <c r="E26" t="s">
        <v>71</v>
      </c>
      <c r="F26">
        <v>1</v>
      </c>
      <c r="G26" s="95">
        <v>44214</v>
      </c>
      <c r="H26" s="95">
        <v>44218</v>
      </c>
      <c r="I26" s="95">
        <v>44218</v>
      </c>
      <c r="K26" t="s">
        <v>24</v>
      </c>
      <c r="L26" t="s">
        <v>25</v>
      </c>
      <c r="M26" t="s">
        <v>26</v>
      </c>
      <c r="O26" t="s">
        <v>27</v>
      </c>
      <c r="P26" t="s">
        <v>27</v>
      </c>
      <c r="Q26" t="s">
        <v>29</v>
      </c>
      <c r="R26" t="s">
        <v>29</v>
      </c>
    </row>
    <row r="27" spans="1:18" x14ac:dyDescent="0.25">
      <c r="A27" t="s">
        <v>72</v>
      </c>
      <c r="B27">
        <v>215204</v>
      </c>
      <c r="C27" t="s">
        <v>62</v>
      </c>
      <c r="D27" t="s">
        <v>73</v>
      </c>
      <c r="E27" t="s">
        <v>74</v>
      </c>
      <c r="G27" s="95">
        <v>44214</v>
      </c>
      <c r="H27" s="95">
        <v>44221</v>
      </c>
      <c r="I27" s="95">
        <v>44221</v>
      </c>
      <c r="J27" t="s">
        <v>75</v>
      </c>
      <c r="K27" t="s">
        <v>24</v>
      </c>
    </row>
    <row r="28" spans="1:18" x14ac:dyDescent="0.25">
      <c r="A28" t="s">
        <v>76</v>
      </c>
      <c r="B28">
        <v>212635</v>
      </c>
      <c r="C28" t="s">
        <v>77</v>
      </c>
      <c r="D28" t="s">
        <v>78</v>
      </c>
      <c r="E28" t="s">
        <v>79</v>
      </c>
      <c r="F28">
        <v>1</v>
      </c>
      <c r="G28" s="95">
        <v>44202</v>
      </c>
      <c r="H28" s="95">
        <v>44202</v>
      </c>
      <c r="I28" s="95">
        <v>44202</v>
      </c>
      <c r="K28" t="s">
        <v>24</v>
      </c>
      <c r="L28" t="s">
        <v>37</v>
      </c>
      <c r="O28" t="s">
        <v>38</v>
      </c>
    </row>
    <row r="29" spans="1:18" x14ac:dyDescent="0.25">
      <c r="A29" t="s">
        <v>72</v>
      </c>
      <c r="B29">
        <v>215177</v>
      </c>
      <c r="C29" t="s">
        <v>64</v>
      </c>
      <c r="D29" t="s">
        <v>80</v>
      </c>
      <c r="E29" t="s">
        <v>46</v>
      </c>
      <c r="F29">
        <v>1</v>
      </c>
      <c r="G29" s="95">
        <v>44214</v>
      </c>
      <c r="H29" s="95">
        <v>44215</v>
      </c>
      <c r="I29" s="95">
        <v>44215</v>
      </c>
      <c r="K29" t="s">
        <v>24</v>
      </c>
      <c r="L29" t="s">
        <v>58</v>
      </c>
      <c r="M29" t="s">
        <v>26</v>
      </c>
      <c r="O29" t="s">
        <v>38</v>
      </c>
      <c r="P29" t="s">
        <v>38</v>
      </c>
      <c r="Q29" t="s">
        <v>54</v>
      </c>
      <c r="R29" t="s">
        <v>29</v>
      </c>
    </row>
    <row r="30" spans="1:18" x14ac:dyDescent="0.25">
      <c r="A30" t="s">
        <v>72</v>
      </c>
      <c r="B30">
        <v>215177</v>
      </c>
      <c r="C30" t="s">
        <v>64</v>
      </c>
      <c r="D30" t="s">
        <v>80</v>
      </c>
      <c r="E30" t="s">
        <v>22</v>
      </c>
      <c r="F30">
        <v>1</v>
      </c>
      <c r="G30" s="95">
        <v>44214</v>
      </c>
      <c r="H30" s="95">
        <v>44215</v>
      </c>
      <c r="I30" s="95">
        <v>44215</v>
      </c>
      <c r="K30" t="s">
        <v>24</v>
      </c>
      <c r="L30" t="s">
        <v>58</v>
      </c>
      <c r="M30" t="s">
        <v>26</v>
      </c>
      <c r="O30" t="s">
        <v>38</v>
      </c>
      <c r="P30" t="s">
        <v>38</v>
      </c>
      <c r="Q30" t="s">
        <v>54</v>
      </c>
      <c r="R30" t="s">
        <v>29</v>
      </c>
    </row>
    <row r="31" spans="1:18" x14ac:dyDescent="0.25">
      <c r="A31" t="s">
        <v>30</v>
      </c>
      <c r="B31">
        <v>215444</v>
      </c>
      <c r="C31" t="s">
        <v>20</v>
      </c>
      <c r="D31" t="s">
        <v>81</v>
      </c>
      <c r="E31" t="s">
        <v>68</v>
      </c>
      <c r="F31">
        <v>4</v>
      </c>
      <c r="G31" s="95">
        <v>44215</v>
      </c>
      <c r="H31" s="95">
        <v>44221</v>
      </c>
      <c r="I31" s="95">
        <v>44221</v>
      </c>
      <c r="K31" t="s">
        <v>24</v>
      </c>
      <c r="L31" t="s">
        <v>25</v>
      </c>
      <c r="M31" t="s">
        <v>26</v>
      </c>
      <c r="O31" t="s">
        <v>27</v>
      </c>
      <c r="Q31" t="s">
        <v>54</v>
      </c>
      <c r="R31" t="s">
        <v>29</v>
      </c>
    </row>
    <row r="32" spans="1:18" x14ac:dyDescent="0.25">
      <c r="A32" t="s">
        <v>30</v>
      </c>
      <c r="B32">
        <v>215444</v>
      </c>
      <c r="C32" t="s">
        <v>20</v>
      </c>
      <c r="D32" t="s">
        <v>81</v>
      </c>
      <c r="E32" t="s">
        <v>82</v>
      </c>
      <c r="F32">
        <v>1</v>
      </c>
      <c r="G32" s="95">
        <v>44215</v>
      </c>
      <c r="H32" s="95">
        <v>44221</v>
      </c>
      <c r="I32" s="95">
        <v>44221</v>
      </c>
      <c r="K32" t="s">
        <v>24</v>
      </c>
      <c r="L32" t="s">
        <v>25</v>
      </c>
      <c r="M32" t="s">
        <v>83</v>
      </c>
      <c r="O32" t="s">
        <v>27</v>
      </c>
      <c r="Q32" t="s">
        <v>54</v>
      </c>
      <c r="R32" t="s">
        <v>29</v>
      </c>
    </row>
    <row r="33" spans="1:18" x14ac:dyDescent="0.25">
      <c r="A33" t="s">
        <v>30</v>
      </c>
      <c r="B33">
        <v>215444</v>
      </c>
      <c r="C33" t="s">
        <v>20</v>
      </c>
      <c r="D33" t="s">
        <v>81</v>
      </c>
      <c r="E33" t="s">
        <v>22</v>
      </c>
      <c r="F33">
        <v>1</v>
      </c>
      <c r="G33" s="95">
        <v>44215</v>
      </c>
      <c r="H33" s="95">
        <v>44221</v>
      </c>
      <c r="I33" s="95">
        <v>44221</v>
      </c>
      <c r="K33" t="s">
        <v>24</v>
      </c>
      <c r="L33" t="s">
        <v>25</v>
      </c>
      <c r="M33" t="s">
        <v>26</v>
      </c>
      <c r="O33" t="s">
        <v>27</v>
      </c>
      <c r="Q33" t="s">
        <v>54</v>
      </c>
      <c r="R33" t="s">
        <v>29</v>
      </c>
    </row>
    <row r="34" spans="1:18" x14ac:dyDescent="0.25">
      <c r="A34" t="s">
        <v>30</v>
      </c>
      <c r="B34">
        <v>215444</v>
      </c>
      <c r="C34" t="s">
        <v>20</v>
      </c>
      <c r="D34" t="s">
        <v>81</v>
      </c>
      <c r="E34" t="s">
        <v>84</v>
      </c>
      <c r="F34">
        <v>3</v>
      </c>
      <c r="G34" s="95">
        <v>44215</v>
      </c>
      <c r="H34" s="95">
        <v>44221</v>
      </c>
      <c r="I34" s="95">
        <v>44221</v>
      </c>
      <c r="K34" t="s">
        <v>24</v>
      </c>
      <c r="L34" t="s">
        <v>37</v>
      </c>
      <c r="M34" t="s">
        <v>26</v>
      </c>
      <c r="O34" t="s">
        <v>27</v>
      </c>
      <c r="Q34" t="s">
        <v>54</v>
      </c>
      <c r="R34" t="s">
        <v>29</v>
      </c>
    </row>
    <row r="35" spans="1:18" x14ac:dyDescent="0.25">
      <c r="A35" t="s">
        <v>60</v>
      </c>
      <c r="B35" t="s">
        <v>61</v>
      </c>
      <c r="C35" t="s">
        <v>20</v>
      </c>
      <c r="D35" t="s">
        <v>85</v>
      </c>
      <c r="E35" t="s">
        <v>86</v>
      </c>
      <c r="G35" s="95">
        <v>44215</v>
      </c>
      <c r="H35" s="95">
        <v>44217</v>
      </c>
      <c r="I35" s="95">
        <v>44216</v>
      </c>
      <c r="K35" t="s">
        <v>24</v>
      </c>
    </row>
    <row r="36" spans="1:18" x14ac:dyDescent="0.25">
      <c r="A36" t="s">
        <v>87</v>
      </c>
      <c r="B36">
        <v>213062</v>
      </c>
      <c r="C36" t="s">
        <v>64</v>
      </c>
      <c r="D36" t="s">
        <v>88</v>
      </c>
      <c r="E36" t="s">
        <v>69</v>
      </c>
      <c r="F36">
        <v>1</v>
      </c>
      <c r="G36" s="95">
        <v>44203</v>
      </c>
      <c r="H36" s="95">
        <v>44209</v>
      </c>
      <c r="I36" s="95">
        <v>44208</v>
      </c>
      <c r="K36" t="s">
        <v>24</v>
      </c>
      <c r="L36" t="s">
        <v>45</v>
      </c>
      <c r="M36" t="s">
        <v>26</v>
      </c>
      <c r="N36">
        <v>0</v>
      </c>
      <c r="O36" t="s">
        <v>38</v>
      </c>
    </row>
    <row r="37" spans="1:18" x14ac:dyDescent="0.25">
      <c r="A37" t="s">
        <v>87</v>
      </c>
      <c r="B37">
        <v>213062</v>
      </c>
      <c r="C37" t="s">
        <v>64</v>
      </c>
      <c r="D37" t="s">
        <v>88</v>
      </c>
      <c r="E37" t="s">
        <v>46</v>
      </c>
      <c r="F37">
        <v>1</v>
      </c>
      <c r="G37" s="95">
        <v>44203</v>
      </c>
      <c r="H37" s="95">
        <v>44209</v>
      </c>
      <c r="I37" s="95">
        <v>44208</v>
      </c>
      <c r="K37" t="s">
        <v>24</v>
      </c>
      <c r="L37" t="s">
        <v>45</v>
      </c>
      <c r="M37" t="s">
        <v>26</v>
      </c>
      <c r="N37">
        <v>0</v>
      </c>
      <c r="O37" t="s">
        <v>38</v>
      </c>
    </row>
    <row r="38" spans="1:18" x14ac:dyDescent="0.25">
      <c r="B38">
        <v>213540</v>
      </c>
      <c r="C38" t="s">
        <v>62</v>
      </c>
      <c r="D38" t="s">
        <v>57</v>
      </c>
      <c r="F38">
        <v>3</v>
      </c>
      <c r="G38" s="95">
        <v>44208</v>
      </c>
      <c r="H38" s="95">
        <v>44211</v>
      </c>
      <c r="I38" s="95">
        <v>44211</v>
      </c>
      <c r="K38" t="s">
        <v>24</v>
      </c>
    </row>
    <row r="39" spans="1:18" x14ac:dyDescent="0.25">
      <c r="A39" t="s">
        <v>19</v>
      </c>
      <c r="B39">
        <v>213788</v>
      </c>
      <c r="C39" t="s">
        <v>62</v>
      </c>
      <c r="D39" t="s">
        <v>89</v>
      </c>
      <c r="E39" t="s">
        <v>74</v>
      </c>
      <c r="G39" s="95">
        <v>44208</v>
      </c>
      <c r="H39" s="95">
        <v>44208</v>
      </c>
      <c r="I39" s="95">
        <v>44211</v>
      </c>
      <c r="K39" t="s">
        <v>24</v>
      </c>
      <c r="L39" t="s">
        <v>25</v>
      </c>
    </row>
    <row r="40" spans="1:18" x14ac:dyDescent="0.25">
      <c r="A40" t="s">
        <v>39</v>
      </c>
      <c r="B40">
        <v>210519</v>
      </c>
      <c r="C40" t="s">
        <v>44</v>
      </c>
      <c r="D40" t="s">
        <v>90</v>
      </c>
      <c r="E40" t="s">
        <v>91</v>
      </c>
      <c r="F40">
        <v>1</v>
      </c>
      <c r="G40" s="95">
        <v>44208</v>
      </c>
      <c r="H40" s="95">
        <v>44211</v>
      </c>
      <c r="I40" s="95">
        <v>44210</v>
      </c>
      <c r="K40" t="s">
        <v>24</v>
      </c>
      <c r="O40" t="s">
        <v>38</v>
      </c>
    </row>
    <row r="41" spans="1:18" x14ac:dyDescent="0.25">
      <c r="A41" t="s">
        <v>39</v>
      </c>
      <c r="B41" t="s">
        <v>61</v>
      </c>
      <c r="C41" t="s">
        <v>44</v>
      </c>
      <c r="D41" t="s">
        <v>42</v>
      </c>
      <c r="E41" t="s">
        <v>46</v>
      </c>
      <c r="F41">
        <v>3</v>
      </c>
      <c r="G41" s="95">
        <v>44206</v>
      </c>
      <c r="H41" s="95">
        <v>44208</v>
      </c>
      <c r="I41" s="95">
        <v>44208</v>
      </c>
      <c r="K41" t="s">
        <v>24</v>
      </c>
      <c r="L41" t="s">
        <v>45</v>
      </c>
      <c r="M41" t="s">
        <v>26</v>
      </c>
      <c r="O41" t="s">
        <v>27</v>
      </c>
      <c r="Q41" t="s">
        <v>29</v>
      </c>
      <c r="R41" t="s">
        <v>29</v>
      </c>
    </row>
    <row r="42" spans="1:18" x14ac:dyDescent="0.25">
      <c r="A42" t="s">
        <v>39</v>
      </c>
      <c r="B42" t="s">
        <v>61</v>
      </c>
      <c r="C42" t="s">
        <v>44</v>
      </c>
      <c r="D42" t="s">
        <v>42</v>
      </c>
      <c r="E42" t="s">
        <v>22</v>
      </c>
      <c r="F42">
        <v>3</v>
      </c>
      <c r="G42" s="95">
        <v>44206</v>
      </c>
      <c r="H42" s="95">
        <v>44208</v>
      </c>
      <c r="I42" s="95">
        <v>44208</v>
      </c>
      <c r="K42" t="s">
        <v>24</v>
      </c>
      <c r="L42" t="s">
        <v>45</v>
      </c>
      <c r="M42" t="s">
        <v>26</v>
      </c>
      <c r="O42" t="s">
        <v>27</v>
      </c>
      <c r="Q42" t="s">
        <v>29</v>
      </c>
      <c r="R42" t="s">
        <v>29</v>
      </c>
    </row>
    <row r="43" spans="1:18" x14ac:dyDescent="0.25">
      <c r="A43" t="s">
        <v>49</v>
      </c>
      <c r="B43">
        <v>200660</v>
      </c>
      <c r="C43" t="s">
        <v>64</v>
      </c>
      <c r="D43" t="s">
        <v>92</v>
      </c>
      <c r="E43" t="s">
        <v>93</v>
      </c>
      <c r="F43">
        <v>1</v>
      </c>
      <c r="G43" s="95">
        <v>44201</v>
      </c>
      <c r="H43" s="95">
        <v>44207</v>
      </c>
      <c r="I43" s="95">
        <v>44202</v>
      </c>
      <c r="K43" t="s">
        <v>24</v>
      </c>
      <c r="L43" t="s">
        <v>45</v>
      </c>
      <c r="M43" t="s">
        <v>26</v>
      </c>
      <c r="N43">
        <v>0</v>
      </c>
      <c r="O43" t="s">
        <v>27</v>
      </c>
    </row>
    <row r="44" spans="1:18" x14ac:dyDescent="0.25">
      <c r="A44" t="s">
        <v>49</v>
      </c>
      <c r="B44">
        <v>212138</v>
      </c>
      <c r="C44" t="s">
        <v>31</v>
      </c>
      <c r="D44" t="s">
        <v>50</v>
      </c>
      <c r="E44" t="s">
        <v>94</v>
      </c>
      <c r="F44">
        <v>4</v>
      </c>
      <c r="G44" s="95">
        <v>44201</v>
      </c>
      <c r="H44" s="95">
        <v>44203</v>
      </c>
      <c r="I44" s="95">
        <v>44203</v>
      </c>
      <c r="K44" t="s">
        <v>24</v>
      </c>
      <c r="L44" t="s">
        <v>37</v>
      </c>
      <c r="O44" t="s">
        <v>38</v>
      </c>
    </row>
    <row r="45" spans="1:18" x14ac:dyDescent="0.25">
      <c r="A45" t="s">
        <v>39</v>
      </c>
      <c r="B45" t="s">
        <v>61</v>
      </c>
      <c r="C45" t="s">
        <v>44</v>
      </c>
      <c r="D45" t="s">
        <v>95</v>
      </c>
      <c r="E45" t="s">
        <v>33</v>
      </c>
      <c r="F45">
        <v>8</v>
      </c>
      <c r="G45" s="95">
        <v>44201</v>
      </c>
      <c r="H45" s="95">
        <v>44207</v>
      </c>
      <c r="I45" s="95">
        <v>44207</v>
      </c>
      <c r="K45" t="s">
        <v>24</v>
      </c>
      <c r="O45" t="s">
        <v>38</v>
      </c>
    </row>
    <row r="46" spans="1:18" x14ac:dyDescent="0.25">
      <c r="A46" t="s">
        <v>96</v>
      </c>
      <c r="B46">
        <v>211866</v>
      </c>
      <c r="C46" t="s">
        <v>64</v>
      </c>
      <c r="D46" t="s">
        <v>97</v>
      </c>
      <c r="E46" t="s">
        <v>98</v>
      </c>
      <c r="F46">
        <v>1</v>
      </c>
      <c r="G46" s="95">
        <v>44200</v>
      </c>
      <c r="H46" s="95">
        <v>44201</v>
      </c>
      <c r="I46" s="95">
        <v>44201</v>
      </c>
      <c r="K46" t="s">
        <v>24</v>
      </c>
      <c r="L46" t="s">
        <v>37</v>
      </c>
      <c r="M46" t="s">
        <v>26</v>
      </c>
      <c r="N46">
        <v>0</v>
      </c>
      <c r="O46" t="s">
        <v>38</v>
      </c>
      <c r="Q46" t="s">
        <v>54</v>
      </c>
      <c r="R46" t="s">
        <v>54</v>
      </c>
    </row>
    <row r="47" spans="1:18" x14ac:dyDescent="0.25">
      <c r="A47" t="s">
        <v>39</v>
      </c>
      <c r="B47" t="s">
        <v>61</v>
      </c>
      <c r="C47" t="s">
        <v>77</v>
      </c>
      <c r="D47" t="s">
        <v>99</v>
      </c>
      <c r="E47" t="s">
        <v>79</v>
      </c>
      <c r="F47">
        <v>1</v>
      </c>
      <c r="G47" s="95">
        <v>44200</v>
      </c>
      <c r="H47" s="95">
        <v>44202</v>
      </c>
      <c r="I47" s="95">
        <v>44202</v>
      </c>
      <c r="K47" t="s">
        <v>24</v>
      </c>
      <c r="L47" t="s">
        <v>25</v>
      </c>
      <c r="M47" t="s">
        <v>34</v>
      </c>
      <c r="O47" t="s">
        <v>27</v>
      </c>
      <c r="P47" t="s">
        <v>27</v>
      </c>
    </row>
    <row r="48" spans="1:18" x14ac:dyDescent="0.25">
      <c r="A48" t="s">
        <v>76</v>
      </c>
      <c r="B48">
        <v>215702</v>
      </c>
      <c r="C48" t="s">
        <v>100</v>
      </c>
      <c r="D48" t="s">
        <v>101</v>
      </c>
      <c r="E48" t="s">
        <v>102</v>
      </c>
      <c r="F48">
        <v>1</v>
      </c>
      <c r="G48" s="95">
        <v>44216</v>
      </c>
      <c r="H48" s="95">
        <v>44225</v>
      </c>
      <c r="I48" s="95">
        <v>44225</v>
      </c>
      <c r="J48" t="s">
        <v>103</v>
      </c>
      <c r="K48" t="s">
        <v>24</v>
      </c>
      <c r="L48" t="s">
        <v>45</v>
      </c>
      <c r="M48" t="s">
        <v>26</v>
      </c>
      <c r="N48">
        <v>1</v>
      </c>
      <c r="O48" t="s">
        <v>38</v>
      </c>
      <c r="P48" t="s">
        <v>38</v>
      </c>
      <c r="Q48" t="s">
        <v>54</v>
      </c>
      <c r="R48" t="s">
        <v>29</v>
      </c>
    </row>
    <row r="49" spans="1:18" x14ac:dyDescent="0.25">
      <c r="A49" t="s">
        <v>76</v>
      </c>
      <c r="B49">
        <v>215702</v>
      </c>
      <c r="C49" t="s">
        <v>100</v>
      </c>
      <c r="D49" t="s">
        <v>101</v>
      </c>
      <c r="E49" t="s">
        <v>104</v>
      </c>
      <c r="F49">
        <v>1</v>
      </c>
      <c r="G49" s="95">
        <v>44216</v>
      </c>
      <c r="H49" s="95">
        <v>44225</v>
      </c>
      <c r="I49" s="95">
        <v>44225</v>
      </c>
      <c r="J49" t="s">
        <v>103</v>
      </c>
      <c r="K49" t="s">
        <v>24</v>
      </c>
      <c r="L49" t="s">
        <v>58</v>
      </c>
      <c r="M49" t="s">
        <v>26</v>
      </c>
      <c r="N49">
        <v>1</v>
      </c>
      <c r="O49" t="s">
        <v>38</v>
      </c>
      <c r="P49" t="s">
        <v>38</v>
      </c>
      <c r="Q49" t="s">
        <v>54</v>
      </c>
    </row>
    <row r="50" spans="1:18" x14ac:dyDescent="0.25">
      <c r="A50" t="s">
        <v>76</v>
      </c>
      <c r="B50">
        <v>215702</v>
      </c>
      <c r="C50" t="s">
        <v>100</v>
      </c>
      <c r="D50" t="s">
        <v>101</v>
      </c>
      <c r="E50" t="s">
        <v>105</v>
      </c>
      <c r="F50">
        <v>1</v>
      </c>
      <c r="G50" s="95">
        <v>44216</v>
      </c>
      <c r="H50" s="95">
        <v>44225</v>
      </c>
      <c r="I50" s="95">
        <v>44225</v>
      </c>
      <c r="J50" t="s">
        <v>103</v>
      </c>
      <c r="K50" t="s">
        <v>24</v>
      </c>
      <c r="L50" t="s">
        <v>58</v>
      </c>
      <c r="M50" t="s">
        <v>26</v>
      </c>
      <c r="N50">
        <v>1</v>
      </c>
      <c r="O50" t="s">
        <v>38</v>
      </c>
      <c r="P50" t="s">
        <v>38</v>
      </c>
      <c r="Q50" t="s">
        <v>54</v>
      </c>
    </row>
    <row r="51" spans="1:18" x14ac:dyDescent="0.25">
      <c r="A51" t="s">
        <v>76</v>
      </c>
      <c r="B51">
        <v>215702</v>
      </c>
      <c r="C51" t="s">
        <v>100</v>
      </c>
      <c r="D51" t="s">
        <v>101</v>
      </c>
      <c r="E51" t="s">
        <v>106</v>
      </c>
      <c r="F51">
        <v>4</v>
      </c>
      <c r="G51" s="95">
        <v>44216</v>
      </c>
      <c r="H51" s="95">
        <v>44225</v>
      </c>
      <c r="I51" s="95">
        <v>44225</v>
      </c>
      <c r="J51" t="s">
        <v>103</v>
      </c>
      <c r="K51" t="s">
        <v>24</v>
      </c>
      <c r="L51" t="s">
        <v>58</v>
      </c>
      <c r="M51" t="s">
        <v>26</v>
      </c>
      <c r="N51">
        <v>1</v>
      </c>
      <c r="O51" t="s">
        <v>38</v>
      </c>
      <c r="P51" t="s">
        <v>38</v>
      </c>
      <c r="Q51" t="s">
        <v>54</v>
      </c>
      <c r="R51" t="s">
        <v>29</v>
      </c>
    </row>
    <row r="52" spans="1:18" x14ac:dyDescent="0.25">
      <c r="A52" t="s">
        <v>76</v>
      </c>
      <c r="B52">
        <v>215702</v>
      </c>
      <c r="C52" t="s">
        <v>100</v>
      </c>
      <c r="D52" t="s">
        <v>101</v>
      </c>
      <c r="E52" t="s">
        <v>107</v>
      </c>
      <c r="F52">
        <v>3</v>
      </c>
      <c r="G52" s="95">
        <v>44216</v>
      </c>
      <c r="H52" s="95">
        <v>44225</v>
      </c>
      <c r="I52" s="95">
        <v>44225</v>
      </c>
      <c r="J52" t="s">
        <v>103</v>
      </c>
      <c r="K52" t="s">
        <v>24</v>
      </c>
      <c r="L52" t="s">
        <v>58</v>
      </c>
      <c r="M52" t="s">
        <v>26</v>
      </c>
      <c r="N52">
        <v>1</v>
      </c>
      <c r="O52" t="s">
        <v>38</v>
      </c>
      <c r="P52" t="s">
        <v>38</v>
      </c>
      <c r="Q52" t="s">
        <v>54</v>
      </c>
      <c r="R52" t="s">
        <v>29</v>
      </c>
    </row>
    <row r="53" spans="1:18" x14ac:dyDescent="0.25">
      <c r="A53" t="s">
        <v>76</v>
      </c>
      <c r="B53">
        <v>215702</v>
      </c>
      <c r="C53" t="s">
        <v>100</v>
      </c>
      <c r="D53" t="s">
        <v>101</v>
      </c>
      <c r="E53" t="s">
        <v>46</v>
      </c>
      <c r="F53">
        <v>1</v>
      </c>
      <c r="G53" s="95">
        <v>44216</v>
      </c>
      <c r="H53" s="95">
        <v>44225</v>
      </c>
      <c r="I53" s="95">
        <v>44225</v>
      </c>
      <c r="J53" t="s">
        <v>103</v>
      </c>
      <c r="K53" t="s">
        <v>24</v>
      </c>
      <c r="L53" t="s">
        <v>58</v>
      </c>
      <c r="M53" t="s">
        <v>26</v>
      </c>
      <c r="N53">
        <v>1</v>
      </c>
      <c r="O53" t="s">
        <v>38</v>
      </c>
      <c r="P53" t="s">
        <v>38</v>
      </c>
      <c r="Q53" t="s">
        <v>54</v>
      </c>
      <c r="R53" t="s">
        <v>29</v>
      </c>
    </row>
    <row r="54" spans="1:18" x14ac:dyDescent="0.25">
      <c r="A54" t="s">
        <v>39</v>
      </c>
      <c r="B54">
        <v>215245</v>
      </c>
      <c r="C54" t="s">
        <v>64</v>
      </c>
      <c r="D54" t="s">
        <v>108</v>
      </c>
      <c r="E54" t="s">
        <v>46</v>
      </c>
      <c r="F54">
        <v>1</v>
      </c>
      <c r="G54" s="95">
        <v>44214</v>
      </c>
      <c r="H54" s="95">
        <v>44217</v>
      </c>
      <c r="I54" s="95">
        <v>44217</v>
      </c>
      <c r="K54" t="s">
        <v>24</v>
      </c>
      <c r="L54" t="s">
        <v>58</v>
      </c>
      <c r="M54" t="s">
        <v>26</v>
      </c>
      <c r="O54" t="s">
        <v>38</v>
      </c>
      <c r="P54" t="s">
        <v>27</v>
      </c>
      <c r="Q54" t="s">
        <v>54</v>
      </c>
      <c r="R54" t="s">
        <v>29</v>
      </c>
    </row>
    <row r="55" spans="1:18" x14ac:dyDescent="0.25">
      <c r="A55" t="s">
        <v>39</v>
      </c>
      <c r="B55">
        <v>215245</v>
      </c>
      <c r="C55" t="s">
        <v>64</v>
      </c>
      <c r="D55" t="s">
        <v>108</v>
      </c>
      <c r="E55" t="s">
        <v>22</v>
      </c>
      <c r="F55">
        <v>1</v>
      </c>
      <c r="G55" s="95">
        <v>44214</v>
      </c>
      <c r="H55" s="95">
        <v>44217</v>
      </c>
      <c r="I55" s="95">
        <v>44217</v>
      </c>
      <c r="K55" t="s">
        <v>24</v>
      </c>
      <c r="L55" t="s">
        <v>58</v>
      </c>
      <c r="M55" t="s">
        <v>26</v>
      </c>
      <c r="O55" t="s">
        <v>38</v>
      </c>
      <c r="P55" t="s">
        <v>27</v>
      </c>
      <c r="Q55" t="s">
        <v>54</v>
      </c>
      <c r="R55" t="s">
        <v>29</v>
      </c>
    </row>
    <row r="56" spans="1:18" x14ac:dyDescent="0.25">
      <c r="A56" t="s">
        <v>39</v>
      </c>
      <c r="B56">
        <v>215855</v>
      </c>
      <c r="C56" t="s">
        <v>20</v>
      </c>
      <c r="D56" t="s">
        <v>109</v>
      </c>
      <c r="E56" t="s">
        <v>110</v>
      </c>
      <c r="F56">
        <v>2</v>
      </c>
      <c r="G56" s="95">
        <v>44216</v>
      </c>
      <c r="H56" s="95">
        <v>44218</v>
      </c>
      <c r="I56" s="95">
        <v>44218</v>
      </c>
      <c r="K56" t="s">
        <v>24</v>
      </c>
      <c r="L56" t="s">
        <v>25</v>
      </c>
      <c r="M56" t="s">
        <v>26</v>
      </c>
      <c r="O56" t="s">
        <v>27</v>
      </c>
      <c r="P56" t="s">
        <v>27</v>
      </c>
      <c r="Q56" t="s">
        <v>54</v>
      </c>
      <c r="R56" t="s">
        <v>29</v>
      </c>
    </row>
    <row r="57" spans="1:18" x14ac:dyDescent="0.25">
      <c r="A57" t="s">
        <v>39</v>
      </c>
      <c r="B57">
        <v>215855</v>
      </c>
      <c r="C57" t="s">
        <v>20</v>
      </c>
      <c r="D57" t="s">
        <v>109</v>
      </c>
      <c r="E57" t="s">
        <v>111</v>
      </c>
      <c r="F57">
        <v>1</v>
      </c>
      <c r="G57" s="95">
        <v>44216</v>
      </c>
      <c r="H57" s="95">
        <v>44218</v>
      </c>
      <c r="I57" s="95">
        <v>44218</v>
      </c>
      <c r="J57" t="s">
        <v>112</v>
      </c>
      <c r="K57" t="s">
        <v>24</v>
      </c>
      <c r="L57" t="s">
        <v>45</v>
      </c>
      <c r="M57" t="s">
        <v>26</v>
      </c>
      <c r="N57">
        <v>1</v>
      </c>
      <c r="O57" t="s">
        <v>27</v>
      </c>
      <c r="P57" t="s">
        <v>27</v>
      </c>
      <c r="Q57" t="s">
        <v>54</v>
      </c>
      <c r="R57" t="s">
        <v>29</v>
      </c>
    </row>
    <row r="58" spans="1:18" x14ac:dyDescent="0.25">
      <c r="A58" t="s">
        <v>39</v>
      </c>
      <c r="B58">
        <v>215855</v>
      </c>
      <c r="C58" t="s">
        <v>20</v>
      </c>
      <c r="D58" t="s">
        <v>109</v>
      </c>
      <c r="E58" t="s">
        <v>104</v>
      </c>
      <c r="F58">
        <v>1</v>
      </c>
      <c r="G58" s="95">
        <v>44216</v>
      </c>
      <c r="H58" s="95">
        <v>44218</v>
      </c>
      <c r="I58" s="95">
        <v>44222</v>
      </c>
      <c r="K58" t="s">
        <v>24</v>
      </c>
      <c r="L58" t="s">
        <v>45</v>
      </c>
      <c r="M58" t="s">
        <v>26</v>
      </c>
      <c r="O58" t="s">
        <v>27</v>
      </c>
      <c r="P58" t="s">
        <v>27</v>
      </c>
      <c r="Q58" t="s">
        <v>54</v>
      </c>
      <c r="R58" t="s">
        <v>29</v>
      </c>
    </row>
    <row r="59" spans="1:18" x14ac:dyDescent="0.25">
      <c r="A59" t="s">
        <v>39</v>
      </c>
      <c r="B59">
        <v>215855</v>
      </c>
      <c r="C59" t="s">
        <v>20</v>
      </c>
      <c r="D59" t="s">
        <v>109</v>
      </c>
      <c r="E59" t="s">
        <v>55</v>
      </c>
      <c r="F59">
        <v>2</v>
      </c>
      <c r="G59" s="95">
        <v>44216</v>
      </c>
      <c r="H59" s="95">
        <v>44218</v>
      </c>
      <c r="I59" s="95">
        <v>44222</v>
      </c>
      <c r="J59" t="s">
        <v>113</v>
      </c>
      <c r="K59" t="s">
        <v>24</v>
      </c>
      <c r="L59" t="s">
        <v>45</v>
      </c>
      <c r="M59" t="s">
        <v>26</v>
      </c>
      <c r="O59" t="s">
        <v>27</v>
      </c>
      <c r="P59" t="s">
        <v>27</v>
      </c>
      <c r="Q59" t="s">
        <v>54</v>
      </c>
      <c r="R59" t="s">
        <v>29</v>
      </c>
    </row>
    <row r="60" spans="1:18" x14ac:dyDescent="0.25">
      <c r="A60" t="s">
        <v>39</v>
      </c>
      <c r="B60">
        <v>215855</v>
      </c>
      <c r="C60" t="s">
        <v>20</v>
      </c>
      <c r="D60" t="s">
        <v>109</v>
      </c>
      <c r="E60" t="s">
        <v>22</v>
      </c>
      <c r="F60">
        <v>1</v>
      </c>
      <c r="G60" s="95">
        <v>44216</v>
      </c>
      <c r="H60" s="95">
        <v>44218</v>
      </c>
      <c r="I60" s="95">
        <v>44222</v>
      </c>
      <c r="K60" t="s">
        <v>24</v>
      </c>
      <c r="L60" t="s">
        <v>25</v>
      </c>
      <c r="M60" t="s">
        <v>26</v>
      </c>
      <c r="O60" t="s">
        <v>27</v>
      </c>
      <c r="P60" t="s">
        <v>27</v>
      </c>
      <c r="Q60" t="s">
        <v>54</v>
      </c>
      <c r="R60" t="s">
        <v>29</v>
      </c>
    </row>
    <row r="61" spans="1:18" x14ac:dyDescent="0.25">
      <c r="A61" t="s">
        <v>39</v>
      </c>
      <c r="B61">
        <v>215855</v>
      </c>
      <c r="C61" t="s">
        <v>20</v>
      </c>
      <c r="D61" t="s">
        <v>109</v>
      </c>
      <c r="E61" t="s">
        <v>114</v>
      </c>
      <c r="F61">
        <v>1</v>
      </c>
      <c r="G61" s="95">
        <v>44216</v>
      </c>
      <c r="H61" s="95">
        <v>44218</v>
      </c>
      <c r="I61" s="95">
        <v>44222</v>
      </c>
      <c r="K61" t="s">
        <v>24</v>
      </c>
      <c r="L61" t="s">
        <v>25</v>
      </c>
      <c r="M61" t="s">
        <v>26</v>
      </c>
      <c r="O61" t="s">
        <v>27</v>
      </c>
      <c r="P61" t="s">
        <v>27</v>
      </c>
      <c r="Q61" t="s">
        <v>54</v>
      </c>
      <c r="R61" t="s">
        <v>29</v>
      </c>
    </row>
    <row r="62" spans="1:18" x14ac:dyDescent="0.25">
      <c r="A62" t="s">
        <v>39</v>
      </c>
      <c r="B62">
        <v>215855</v>
      </c>
      <c r="C62" t="s">
        <v>20</v>
      </c>
      <c r="D62" t="s">
        <v>109</v>
      </c>
      <c r="E62" t="s">
        <v>82</v>
      </c>
      <c r="F62">
        <v>2</v>
      </c>
      <c r="G62" s="95">
        <v>44216</v>
      </c>
      <c r="H62" s="95">
        <v>44218</v>
      </c>
      <c r="I62" s="95">
        <v>44222</v>
      </c>
      <c r="K62" t="s">
        <v>24</v>
      </c>
      <c r="L62" t="s">
        <v>25</v>
      </c>
      <c r="M62" t="s">
        <v>26</v>
      </c>
      <c r="O62" t="s">
        <v>27</v>
      </c>
      <c r="P62" t="s">
        <v>27</v>
      </c>
      <c r="Q62" t="s">
        <v>54</v>
      </c>
      <c r="R62" t="s">
        <v>29</v>
      </c>
    </row>
    <row r="63" spans="1:18" x14ac:dyDescent="0.25">
      <c r="A63" t="s">
        <v>39</v>
      </c>
      <c r="B63">
        <v>215855</v>
      </c>
      <c r="C63" t="s">
        <v>20</v>
      </c>
      <c r="D63" t="s">
        <v>109</v>
      </c>
      <c r="E63" t="s">
        <v>115</v>
      </c>
      <c r="F63">
        <v>4</v>
      </c>
      <c r="G63" s="95">
        <v>44216</v>
      </c>
      <c r="H63" s="95">
        <v>44218</v>
      </c>
      <c r="I63" s="95">
        <v>44222</v>
      </c>
      <c r="K63" t="s">
        <v>24</v>
      </c>
      <c r="L63" t="s">
        <v>25</v>
      </c>
      <c r="M63" t="s">
        <v>26</v>
      </c>
      <c r="O63" t="s">
        <v>27</v>
      </c>
      <c r="P63" t="s">
        <v>27</v>
      </c>
      <c r="Q63" t="s">
        <v>54</v>
      </c>
      <c r="R63" t="s">
        <v>29</v>
      </c>
    </row>
    <row r="64" spans="1:18" x14ac:dyDescent="0.25">
      <c r="A64" t="s">
        <v>39</v>
      </c>
      <c r="B64">
        <v>215855</v>
      </c>
      <c r="C64" t="s">
        <v>20</v>
      </c>
      <c r="D64" t="s">
        <v>109</v>
      </c>
      <c r="E64" t="s">
        <v>116</v>
      </c>
      <c r="F64">
        <v>1</v>
      </c>
      <c r="G64" s="95">
        <v>44216</v>
      </c>
      <c r="H64" s="95">
        <v>44218</v>
      </c>
      <c r="I64" s="95">
        <v>44222</v>
      </c>
      <c r="J64" t="s">
        <v>117</v>
      </c>
      <c r="K64" t="s">
        <v>24</v>
      </c>
      <c r="L64" t="s">
        <v>45</v>
      </c>
      <c r="M64" t="s">
        <v>26</v>
      </c>
      <c r="O64" t="s">
        <v>27</v>
      </c>
      <c r="P64" t="s">
        <v>27</v>
      </c>
      <c r="Q64" t="s">
        <v>54</v>
      </c>
      <c r="R64" t="s">
        <v>29</v>
      </c>
    </row>
    <row r="65" spans="1:18" x14ac:dyDescent="0.25">
      <c r="A65" t="s">
        <v>39</v>
      </c>
      <c r="B65">
        <v>215855</v>
      </c>
      <c r="C65" t="s">
        <v>20</v>
      </c>
      <c r="D65" t="s">
        <v>109</v>
      </c>
      <c r="E65" t="s">
        <v>107</v>
      </c>
      <c r="F65">
        <v>1</v>
      </c>
      <c r="G65" s="95">
        <v>44216</v>
      </c>
      <c r="H65" s="95">
        <v>44218</v>
      </c>
      <c r="I65" s="95">
        <v>44222</v>
      </c>
      <c r="J65" t="s">
        <v>118</v>
      </c>
      <c r="K65" t="s">
        <v>24</v>
      </c>
      <c r="L65" t="s">
        <v>45</v>
      </c>
      <c r="M65" t="s">
        <v>26</v>
      </c>
      <c r="O65" t="s">
        <v>27</v>
      </c>
      <c r="P65" t="s">
        <v>27</v>
      </c>
      <c r="Q65" t="s">
        <v>54</v>
      </c>
      <c r="R65" t="s">
        <v>29</v>
      </c>
    </row>
    <row r="66" spans="1:18" x14ac:dyDescent="0.25">
      <c r="A66" t="s">
        <v>39</v>
      </c>
      <c r="B66">
        <v>215855</v>
      </c>
      <c r="C66" t="s">
        <v>20</v>
      </c>
      <c r="D66" t="s">
        <v>109</v>
      </c>
      <c r="E66" t="s">
        <v>106</v>
      </c>
      <c r="F66">
        <v>1</v>
      </c>
      <c r="G66" s="95">
        <v>44216</v>
      </c>
      <c r="H66" s="95">
        <v>44218</v>
      </c>
      <c r="I66" s="95">
        <v>44222</v>
      </c>
      <c r="J66" t="s">
        <v>118</v>
      </c>
      <c r="K66" t="s">
        <v>24</v>
      </c>
      <c r="L66" t="s">
        <v>45</v>
      </c>
      <c r="M66" t="s">
        <v>26</v>
      </c>
      <c r="O66" t="s">
        <v>27</v>
      </c>
      <c r="P66" t="s">
        <v>27</v>
      </c>
      <c r="Q66" t="s">
        <v>54</v>
      </c>
      <c r="R66" t="s">
        <v>29</v>
      </c>
    </row>
    <row r="67" spans="1:18" x14ac:dyDescent="0.25">
      <c r="A67" t="s">
        <v>39</v>
      </c>
      <c r="B67">
        <v>214162</v>
      </c>
      <c r="C67" t="s">
        <v>100</v>
      </c>
      <c r="D67" t="s">
        <v>119</v>
      </c>
      <c r="E67" t="s">
        <v>107</v>
      </c>
      <c r="F67">
        <v>18</v>
      </c>
      <c r="G67" s="95">
        <v>44209</v>
      </c>
      <c r="H67" s="95">
        <v>44225</v>
      </c>
      <c r="I67" s="95">
        <v>44225</v>
      </c>
      <c r="J67" t="s">
        <v>120</v>
      </c>
      <c r="K67" t="s">
        <v>24</v>
      </c>
      <c r="L67" t="s">
        <v>58</v>
      </c>
      <c r="M67" t="s">
        <v>26</v>
      </c>
      <c r="O67" t="s">
        <v>38</v>
      </c>
    </row>
    <row r="68" spans="1:18" x14ac:dyDescent="0.25">
      <c r="A68" t="s">
        <v>39</v>
      </c>
      <c r="B68" t="s">
        <v>61</v>
      </c>
      <c r="C68" t="s">
        <v>44</v>
      </c>
      <c r="D68" t="s">
        <v>121</v>
      </c>
      <c r="E68" t="s">
        <v>79</v>
      </c>
      <c r="F68">
        <v>2</v>
      </c>
      <c r="G68" s="95">
        <v>44211</v>
      </c>
      <c r="H68" s="95">
        <v>44211</v>
      </c>
      <c r="I68" s="95">
        <v>44211</v>
      </c>
      <c r="K68" t="s">
        <v>24</v>
      </c>
      <c r="L68" t="s">
        <v>58</v>
      </c>
      <c r="M68" t="s">
        <v>26</v>
      </c>
      <c r="O68" t="s">
        <v>38</v>
      </c>
    </row>
    <row r="69" spans="1:18" x14ac:dyDescent="0.25">
      <c r="A69" t="s">
        <v>35</v>
      </c>
      <c r="B69">
        <v>217128</v>
      </c>
      <c r="C69" t="s">
        <v>20</v>
      </c>
      <c r="D69" t="s">
        <v>122</v>
      </c>
      <c r="E69" t="s">
        <v>84</v>
      </c>
      <c r="F69">
        <v>1</v>
      </c>
      <c r="G69" s="95">
        <v>44203</v>
      </c>
      <c r="H69" s="95">
        <v>44223</v>
      </c>
      <c r="I69" s="95">
        <v>44223</v>
      </c>
      <c r="K69" t="s">
        <v>24</v>
      </c>
      <c r="L69" t="s">
        <v>37</v>
      </c>
      <c r="M69" t="s">
        <v>34</v>
      </c>
      <c r="O69" t="s">
        <v>38</v>
      </c>
      <c r="P69" t="s">
        <v>38</v>
      </c>
      <c r="R69" t="s">
        <v>29</v>
      </c>
    </row>
    <row r="70" spans="1:18" x14ac:dyDescent="0.25">
      <c r="A70" t="s">
        <v>39</v>
      </c>
      <c r="B70" t="s">
        <v>61</v>
      </c>
      <c r="C70" t="s">
        <v>20</v>
      </c>
      <c r="D70" t="s">
        <v>123</v>
      </c>
      <c r="E70" t="s">
        <v>124</v>
      </c>
      <c r="F70">
        <v>1</v>
      </c>
      <c r="G70" s="95">
        <v>44203</v>
      </c>
      <c r="H70" s="95">
        <v>44223</v>
      </c>
      <c r="I70" s="95">
        <v>44223</v>
      </c>
      <c r="K70" t="s">
        <v>24</v>
      </c>
      <c r="L70" t="s">
        <v>25</v>
      </c>
      <c r="M70" t="s">
        <v>26</v>
      </c>
      <c r="O70" t="s">
        <v>38</v>
      </c>
    </row>
    <row r="71" spans="1:18" x14ac:dyDescent="0.25">
      <c r="A71" t="s">
        <v>39</v>
      </c>
      <c r="B71" t="s">
        <v>61</v>
      </c>
      <c r="C71" t="s">
        <v>20</v>
      </c>
      <c r="D71" t="s">
        <v>123</v>
      </c>
      <c r="E71" t="s">
        <v>22</v>
      </c>
      <c r="F71">
        <v>1</v>
      </c>
      <c r="G71" s="95">
        <v>44203</v>
      </c>
      <c r="H71" s="95">
        <v>44223</v>
      </c>
      <c r="I71" s="95">
        <v>44223</v>
      </c>
      <c r="K71" t="s">
        <v>24</v>
      </c>
      <c r="L71" t="s">
        <v>25</v>
      </c>
      <c r="M71" t="s">
        <v>26</v>
      </c>
      <c r="O71" t="s">
        <v>38</v>
      </c>
    </row>
    <row r="72" spans="1:18" x14ac:dyDescent="0.25">
      <c r="A72" t="s">
        <v>39</v>
      </c>
      <c r="B72" t="s">
        <v>61</v>
      </c>
      <c r="C72" t="s">
        <v>20</v>
      </c>
      <c r="D72" t="s">
        <v>123</v>
      </c>
      <c r="E72" t="s">
        <v>46</v>
      </c>
      <c r="F72">
        <v>1</v>
      </c>
      <c r="G72" s="95">
        <v>44203</v>
      </c>
      <c r="H72" s="95">
        <v>44223</v>
      </c>
      <c r="I72" s="95">
        <v>44223</v>
      </c>
      <c r="K72" t="s">
        <v>24</v>
      </c>
      <c r="L72" t="s">
        <v>25</v>
      </c>
      <c r="M72" t="s">
        <v>26</v>
      </c>
      <c r="O72" t="s">
        <v>38</v>
      </c>
    </row>
    <row r="73" spans="1:18" x14ac:dyDescent="0.25">
      <c r="A73" t="s">
        <v>19</v>
      </c>
      <c r="B73">
        <v>217228</v>
      </c>
      <c r="C73" t="s">
        <v>77</v>
      </c>
      <c r="D73" t="s">
        <v>125</v>
      </c>
      <c r="E73" t="s">
        <v>59</v>
      </c>
      <c r="F73">
        <v>1</v>
      </c>
      <c r="G73" s="95">
        <v>44223</v>
      </c>
      <c r="H73" s="95">
        <v>44224</v>
      </c>
      <c r="I73" s="95">
        <v>44224</v>
      </c>
      <c r="K73" t="s">
        <v>24</v>
      </c>
      <c r="L73" t="s">
        <v>37</v>
      </c>
      <c r="M73" t="s">
        <v>34</v>
      </c>
      <c r="O73" t="s">
        <v>38</v>
      </c>
      <c r="P73" t="s">
        <v>38</v>
      </c>
      <c r="Q73" t="s">
        <v>54</v>
      </c>
      <c r="R73" t="s">
        <v>54</v>
      </c>
    </row>
    <row r="74" spans="1:18" x14ac:dyDescent="0.25">
      <c r="A74" t="s">
        <v>76</v>
      </c>
      <c r="B74">
        <v>217170</v>
      </c>
      <c r="C74" t="s">
        <v>20</v>
      </c>
      <c r="D74" t="s">
        <v>126</v>
      </c>
      <c r="E74" t="s">
        <v>22</v>
      </c>
      <c r="F74">
        <v>1</v>
      </c>
      <c r="G74" s="95">
        <v>44223</v>
      </c>
      <c r="H74" s="95">
        <v>44225</v>
      </c>
      <c r="I74" s="95">
        <v>44225</v>
      </c>
      <c r="K74" t="s">
        <v>24</v>
      </c>
      <c r="L74" t="s">
        <v>58</v>
      </c>
      <c r="M74" t="s">
        <v>26</v>
      </c>
      <c r="O74" t="s">
        <v>38</v>
      </c>
      <c r="P74" t="s">
        <v>38</v>
      </c>
      <c r="Q74" t="s">
        <v>28</v>
      </c>
      <c r="R74" t="s">
        <v>54</v>
      </c>
    </row>
    <row r="75" spans="1:18" x14ac:dyDescent="0.25">
      <c r="A75" t="s">
        <v>76</v>
      </c>
      <c r="B75">
        <v>217170</v>
      </c>
      <c r="C75" t="s">
        <v>20</v>
      </c>
      <c r="D75" t="s">
        <v>126</v>
      </c>
      <c r="E75" t="s">
        <v>127</v>
      </c>
      <c r="F75">
        <v>1</v>
      </c>
      <c r="G75" s="95">
        <v>44223</v>
      </c>
      <c r="H75" s="95">
        <v>44225</v>
      </c>
      <c r="I75" s="95">
        <v>44225</v>
      </c>
      <c r="K75" t="s">
        <v>24</v>
      </c>
      <c r="L75" t="s">
        <v>58</v>
      </c>
      <c r="M75" t="s">
        <v>26</v>
      </c>
      <c r="O75" t="s">
        <v>38</v>
      </c>
      <c r="P75" t="s">
        <v>38</v>
      </c>
      <c r="Q75" t="s">
        <v>28</v>
      </c>
      <c r="R75" t="s">
        <v>54</v>
      </c>
    </row>
    <row r="76" spans="1:18" x14ac:dyDescent="0.25">
      <c r="A76" t="s">
        <v>30</v>
      </c>
      <c r="B76">
        <v>217670</v>
      </c>
      <c r="C76" t="s">
        <v>77</v>
      </c>
      <c r="D76" t="s">
        <v>128</v>
      </c>
      <c r="E76" t="s">
        <v>129</v>
      </c>
      <c r="F76">
        <v>1</v>
      </c>
      <c r="G76" s="95">
        <v>44225</v>
      </c>
      <c r="H76" s="95">
        <v>44225</v>
      </c>
      <c r="I76" s="95">
        <v>44225</v>
      </c>
      <c r="K76" t="s">
        <v>24</v>
      </c>
      <c r="L76" t="s">
        <v>37</v>
      </c>
      <c r="M76" t="s">
        <v>26</v>
      </c>
      <c r="O76" t="s">
        <v>38</v>
      </c>
      <c r="P76" t="s">
        <v>27</v>
      </c>
      <c r="Q76" t="s">
        <v>54</v>
      </c>
      <c r="R76" t="s">
        <v>54</v>
      </c>
    </row>
    <row r="77" spans="1:18" x14ac:dyDescent="0.25">
      <c r="A77" t="s">
        <v>130</v>
      </c>
      <c r="B77">
        <v>172644</v>
      </c>
      <c r="C77" t="s">
        <v>20</v>
      </c>
      <c r="D77" t="s">
        <v>131</v>
      </c>
      <c r="E77" t="s">
        <v>33</v>
      </c>
      <c r="F77">
        <v>1</v>
      </c>
      <c r="G77" s="95">
        <v>43912</v>
      </c>
      <c r="H77" s="95">
        <v>44225</v>
      </c>
      <c r="I77" s="95">
        <v>44228</v>
      </c>
      <c r="K77" t="s">
        <v>24</v>
      </c>
      <c r="L77" t="s">
        <v>25</v>
      </c>
      <c r="M77" t="s">
        <v>34</v>
      </c>
      <c r="O77" t="s">
        <v>38</v>
      </c>
    </row>
    <row r="78" spans="1:18" x14ac:dyDescent="0.25">
      <c r="A78" t="s">
        <v>132</v>
      </c>
      <c r="B78">
        <v>214097</v>
      </c>
      <c r="C78" t="s">
        <v>100</v>
      </c>
      <c r="D78" t="s">
        <v>133</v>
      </c>
      <c r="E78" t="s">
        <v>134</v>
      </c>
      <c r="F78">
        <v>5</v>
      </c>
      <c r="G78" s="95">
        <v>44216</v>
      </c>
      <c r="H78" s="95">
        <v>44228</v>
      </c>
      <c r="I78" s="95">
        <v>44228</v>
      </c>
      <c r="J78" t="s">
        <v>135</v>
      </c>
      <c r="K78" t="s">
        <v>24</v>
      </c>
      <c r="L78" t="s">
        <v>58</v>
      </c>
      <c r="O78" t="s">
        <v>38</v>
      </c>
    </row>
    <row r="79" spans="1:18" x14ac:dyDescent="0.25">
      <c r="A79" t="s">
        <v>30</v>
      </c>
      <c r="B79">
        <v>202339</v>
      </c>
      <c r="C79" t="s">
        <v>100</v>
      </c>
      <c r="D79" t="s">
        <v>32</v>
      </c>
      <c r="E79" t="s">
        <v>22</v>
      </c>
      <c r="F79">
        <v>1</v>
      </c>
      <c r="G79" s="95">
        <v>44152</v>
      </c>
      <c r="H79" s="95">
        <v>44189</v>
      </c>
      <c r="I79" s="95">
        <v>44228</v>
      </c>
      <c r="J79" t="s">
        <v>135</v>
      </c>
      <c r="K79" t="s">
        <v>24</v>
      </c>
      <c r="L79" t="s">
        <v>45</v>
      </c>
      <c r="M79" t="s">
        <v>34</v>
      </c>
      <c r="N79">
        <v>2</v>
      </c>
      <c r="O79" t="s">
        <v>27</v>
      </c>
      <c r="Q79" t="s">
        <v>29</v>
      </c>
      <c r="R79" t="s">
        <v>29</v>
      </c>
    </row>
    <row r="80" spans="1:18" x14ac:dyDescent="0.25">
      <c r="A80" t="s">
        <v>30</v>
      </c>
      <c r="B80">
        <v>202339</v>
      </c>
      <c r="C80" t="s">
        <v>100</v>
      </c>
      <c r="D80" t="s">
        <v>32</v>
      </c>
      <c r="E80" t="s">
        <v>107</v>
      </c>
      <c r="F80">
        <v>1</v>
      </c>
      <c r="G80" s="95">
        <v>44152</v>
      </c>
      <c r="H80" s="95">
        <v>44189</v>
      </c>
      <c r="I80" s="95">
        <v>44228</v>
      </c>
      <c r="J80" t="s">
        <v>135</v>
      </c>
      <c r="K80" t="s">
        <v>24</v>
      </c>
      <c r="L80" t="s">
        <v>45</v>
      </c>
      <c r="M80" t="s">
        <v>34</v>
      </c>
      <c r="N80">
        <v>2</v>
      </c>
      <c r="O80" t="s">
        <v>27</v>
      </c>
      <c r="Q80" t="s">
        <v>29</v>
      </c>
      <c r="R80" t="s">
        <v>29</v>
      </c>
    </row>
    <row r="81" spans="1:18" x14ac:dyDescent="0.25">
      <c r="A81" t="s">
        <v>30</v>
      </c>
      <c r="B81">
        <v>202339</v>
      </c>
      <c r="C81" t="s">
        <v>100</v>
      </c>
      <c r="D81" t="s">
        <v>32</v>
      </c>
      <c r="E81" t="s">
        <v>106</v>
      </c>
      <c r="F81">
        <v>1</v>
      </c>
      <c r="G81" s="95">
        <v>44152</v>
      </c>
      <c r="H81" s="95">
        <v>44189</v>
      </c>
      <c r="I81" s="95">
        <v>44228</v>
      </c>
      <c r="J81" t="s">
        <v>135</v>
      </c>
      <c r="K81" t="s">
        <v>24</v>
      </c>
      <c r="L81" t="s">
        <v>45</v>
      </c>
      <c r="M81" t="s">
        <v>34</v>
      </c>
      <c r="N81">
        <v>2</v>
      </c>
      <c r="O81" t="s">
        <v>27</v>
      </c>
      <c r="Q81" t="s">
        <v>29</v>
      </c>
      <c r="R81" t="s">
        <v>29</v>
      </c>
    </row>
    <row r="82" spans="1:18" x14ac:dyDescent="0.25">
      <c r="A82" t="s">
        <v>39</v>
      </c>
      <c r="B82">
        <v>213540</v>
      </c>
      <c r="C82" t="s">
        <v>20</v>
      </c>
      <c r="D82" t="s">
        <v>57</v>
      </c>
      <c r="E82" t="s">
        <v>22</v>
      </c>
      <c r="F82">
        <v>1</v>
      </c>
      <c r="G82" s="95">
        <v>44207</v>
      </c>
      <c r="H82" s="95">
        <v>44224</v>
      </c>
      <c r="I82" s="95">
        <v>44230</v>
      </c>
      <c r="J82" t="s">
        <v>136</v>
      </c>
      <c r="K82" t="s">
        <v>24</v>
      </c>
      <c r="L82" t="s">
        <v>25</v>
      </c>
      <c r="M82" t="s">
        <v>26</v>
      </c>
      <c r="O82" t="s">
        <v>38</v>
      </c>
      <c r="P82" t="s">
        <v>38</v>
      </c>
      <c r="Q82" t="s">
        <v>54</v>
      </c>
      <c r="R82" t="s">
        <v>29</v>
      </c>
    </row>
    <row r="83" spans="1:18" x14ac:dyDescent="0.25">
      <c r="A83" t="s">
        <v>39</v>
      </c>
      <c r="B83">
        <v>213540</v>
      </c>
      <c r="C83" t="s">
        <v>20</v>
      </c>
      <c r="D83" t="s">
        <v>57</v>
      </c>
      <c r="E83" t="s">
        <v>22</v>
      </c>
      <c r="F83">
        <v>1</v>
      </c>
      <c r="G83" s="95">
        <v>44207</v>
      </c>
      <c r="H83" s="95">
        <v>44224</v>
      </c>
      <c r="I83" s="95">
        <v>44230</v>
      </c>
      <c r="J83" t="s">
        <v>137</v>
      </c>
      <c r="K83" t="s">
        <v>24</v>
      </c>
      <c r="L83" t="s">
        <v>25</v>
      </c>
      <c r="M83" t="s">
        <v>26</v>
      </c>
      <c r="N83">
        <v>2</v>
      </c>
      <c r="O83" t="s">
        <v>38</v>
      </c>
      <c r="P83" t="s">
        <v>38</v>
      </c>
      <c r="Q83" t="s">
        <v>54</v>
      </c>
      <c r="R83" t="s">
        <v>29</v>
      </c>
    </row>
    <row r="84" spans="1:18" x14ac:dyDescent="0.25">
      <c r="A84" t="s">
        <v>60</v>
      </c>
      <c r="B84" t="s">
        <v>61</v>
      </c>
      <c r="C84" t="s">
        <v>138</v>
      </c>
      <c r="D84" t="s">
        <v>139</v>
      </c>
      <c r="E84" t="s">
        <v>83</v>
      </c>
      <c r="G84" s="95">
        <v>44215</v>
      </c>
      <c r="H84" s="95">
        <v>44218</v>
      </c>
      <c r="I84" s="95">
        <v>44218</v>
      </c>
      <c r="K84" t="s">
        <v>24</v>
      </c>
    </row>
    <row r="85" spans="1:18" x14ac:dyDescent="0.25">
      <c r="A85" t="s">
        <v>60</v>
      </c>
      <c r="B85" t="s">
        <v>61</v>
      </c>
      <c r="C85" t="s">
        <v>140</v>
      </c>
      <c r="D85" t="s">
        <v>141</v>
      </c>
      <c r="E85" t="s">
        <v>142</v>
      </c>
      <c r="F85">
        <v>3</v>
      </c>
      <c r="G85" s="95">
        <v>44225</v>
      </c>
      <c r="H85" s="95">
        <v>44232</v>
      </c>
      <c r="I85" s="95">
        <v>44230</v>
      </c>
      <c r="J85" t="s">
        <v>143</v>
      </c>
      <c r="K85" t="s">
        <v>24</v>
      </c>
      <c r="L85" t="s">
        <v>58</v>
      </c>
      <c r="M85" t="s">
        <v>26</v>
      </c>
      <c r="O85" t="s">
        <v>38</v>
      </c>
      <c r="P85" t="s">
        <v>38</v>
      </c>
      <c r="Q85" t="s">
        <v>54</v>
      </c>
      <c r="R85" t="s">
        <v>54</v>
      </c>
    </row>
    <row r="86" spans="1:18" x14ac:dyDescent="0.25">
      <c r="A86" t="s">
        <v>60</v>
      </c>
      <c r="B86" t="s">
        <v>61</v>
      </c>
      <c r="C86" t="s">
        <v>140</v>
      </c>
      <c r="D86" t="s">
        <v>141</v>
      </c>
      <c r="E86" t="s">
        <v>144</v>
      </c>
      <c r="F86">
        <v>1</v>
      </c>
      <c r="G86" s="95">
        <v>44225</v>
      </c>
      <c r="H86" s="95">
        <v>44232</v>
      </c>
      <c r="I86" s="95">
        <v>44230</v>
      </c>
      <c r="K86" t="s">
        <v>24</v>
      </c>
      <c r="L86" t="s">
        <v>58</v>
      </c>
      <c r="M86" t="s">
        <v>26</v>
      </c>
      <c r="O86" t="s">
        <v>38</v>
      </c>
      <c r="P86" t="s">
        <v>38</v>
      </c>
      <c r="Q86" t="s">
        <v>54</v>
      </c>
      <c r="R86" t="s">
        <v>54</v>
      </c>
    </row>
    <row r="87" spans="1:18" x14ac:dyDescent="0.25">
      <c r="A87" t="s">
        <v>60</v>
      </c>
      <c r="B87" t="s">
        <v>61</v>
      </c>
      <c r="C87" t="s">
        <v>140</v>
      </c>
      <c r="D87" t="s">
        <v>141</v>
      </c>
      <c r="F87">
        <v>1</v>
      </c>
      <c r="G87" s="95">
        <v>44225</v>
      </c>
      <c r="H87" s="95">
        <v>44232</v>
      </c>
      <c r="I87" s="95">
        <v>44230</v>
      </c>
      <c r="J87" t="s">
        <v>145</v>
      </c>
      <c r="K87" t="s">
        <v>24</v>
      </c>
      <c r="L87" t="s">
        <v>58</v>
      </c>
      <c r="M87" t="s">
        <v>26</v>
      </c>
      <c r="O87" t="s">
        <v>38</v>
      </c>
      <c r="P87" t="s">
        <v>38</v>
      </c>
      <c r="Q87" t="s">
        <v>54</v>
      </c>
      <c r="R87" t="s">
        <v>54</v>
      </c>
    </row>
    <row r="88" spans="1:18" x14ac:dyDescent="0.25">
      <c r="A88" t="s">
        <v>60</v>
      </c>
      <c r="B88" t="s">
        <v>61</v>
      </c>
      <c r="C88" t="s">
        <v>140</v>
      </c>
      <c r="D88" t="s">
        <v>141</v>
      </c>
      <c r="E88" t="s">
        <v>134</v>
      </c>
      <c r="F88">
        <v>6</v>
      </c>
      <c r="G88" s="95">
        <v>44225</v>
      </c>
      <c r="H88" s="95">
        <v>44232</v>
      </c>
      <c r="I88" s="95">
        <v>44230</v>
      </c>
      <c r="J88" t="s">
        <v>146</v>
      </c>
      <c r="K88" t="s">
        <v>24</v>
      </c>
      <c r="L88" t="s">
        <v>58</v>
      </c>
      <c r="M88" t="s">
        <v>26</v>
      </c>
      <c r="O88" t="s">
        <v>38</v>
      </c>
      <c r="P88" t="s">
        <v>38</v>
      </c>
      <c r="Q88" t="s">
        <v>54</v>
      </c>
      <c r="R88" t="s">
        <v>54</v>
      </c>
    </row>
    <row r="89" spans="1:18" x14ac:dyDescent="0.25">
      <c r="A89" t="s">
        <v>60</v>
      </c>
      <c r="B89" t="s">
        <v>61</v>
      </c>
      <c r="C89" t="s">
        <v>140</v>
      </c>
      <c r="D89" t="s">
        <v>141</v>
      </c>
      <c r="E89" t="s">
        <v>147</v>
      </c>
      <c r="F89">
        <v>1</v>
      </c>
      <c r="G89" s="95">
        <v>44225</v>
      </c>
      <c r="H89" s="95">
        <v>44232</v>
      </c>
      <c r="I89" s="95">
        <v>44230</v>
      </c>
      <c r="K89" t="s">
        <v>24</v>
      </c>
      <c r="L89" t="s">
        <v>58</v>
      </c>
      <c r="M89" t="s">
        <v>26</v>
      </c>
      <c r="O89" t="s">
        <v>38</v>
      </c>
      <c r="P89" t="s">
        <v>38</v>
      </c>
      <c r="Q89" t="s">
        <v>54</v>
      </c>
      <c r="R89" t="s">
        <v>54</v>
      </c>
    </row>
    <row r="90" spans="1:18" x14ac:dyDescent="0.25">
      <c r="A90" t="s">
        <v>60</v>
      </c>
      <c r="B90" t="s">
        <v>61</v>
      </c>
      <c r="C90" t="s">
        <v>140</v>
      </c>
      <c r="D90" t="s">
        <v>148</v>
      </c>
      <c r="E90" t="s">
        <v>79</v>
      </c>
      <c r="F90">
        <v>1</v>
      </c>
      <c r="G90" s="95">
        <v>44225</v>
      </c>
      <c r="H90" s="95">
        <v>44235</v>
      </c>
      <c r="I90" s="95">
        <v>44230</v>
      </c>
      <c r="K90" t="s">
        <v>24</v>
      </c>
      <c r="L90" t="s">
        <v>58</v>
      </c>
      <c r="M90" t="s">
        <v>26</v>
      </c>
      <c r="O90" t="s">
        <v>27</v>
      </c>
      <c r="P90" t="s">
        <v>27</v>
      </c>
      <c r="Q90" t="s">
        <v>54</v>
      </c>
      <c r="R90" t="s">
        <v>54</v>
      </c>
    </row>
    <row r="91" spans="1:18" x14ac:dyDescent="0.25">
      <c r="A91" t="s">
        <v>60</v>
      </c>
      <c r="B91" t="s">
        <v>61</v>
      </c>
      <c r="C91" t="s">
        <v>140</v>
      </c>
      <c r="D91" t="s">
        <v>148</v>
      </c>
      <c r="E91" t="s">
        <v>94</v>
      </c>
      <c r="F91">
        <v>1</v>
      </c>
      <c r="G91" s="95">
        <v>44225</v>
      </c>
      <c r="H91" s="95">
        <v>44235</v>
      </c>
      <c r="I91" s="95">
        <v>44236</v>
      </c>
      <c r="J91" t="s">
        <v>149</v>
      </c>
      <c r="K91" t="s">
        <v>24</v>
      </c>
      <c r="L91" t="s">
        <v>58</v>
      </c>
      <c r="M91" t="s">
        <v>26</v>
      </c>
      <c r="O91" t="s">
        <v>27</v>
      </c>
      <c r="P91" t="s">
        <v>27</v>
      </c>
      <c r="Q91" t="s">
        <v>54</v>
      </c>
      <c r="R91" t="s">
        <v>54</v>
      </c>
    </row>
    <row r="92" spans="1:18" x14ac:dyDescent="0.25">
      <c r="A92" t="s">
        <v>60</v>
      </c>
      <c r="B92" t="s">
        <v>61</v>
      </c>
      <c r="C92" t="s">
        <v>20</v>
      </c>
      <c r="D92" t="s">
        <v>148</v>
      </c>
      <c r="E92" t="s">
        <v>68</v>
      </c>
      <c r="F92">
        <v>3</v>
      </c>
      <c r="G92" s="95">
        <v>44215</v>
      </c>
      <c r="H92" s="95">
        <v>44222</v>
      </c>
      <c r="I92" s="95">
        <v>44222</v>
      </c>
      <c r="K92" t="s">
        <v>24</v>
      </c>
      <c r="L92" t="s">
        <v>58</v>
      </c>
      <c r="M92" t="s">
        <v>26</v>
      </c>
      <c r="O92" t="s">
        <v>27</v>
      </c>
      <c r="P92" t="s">
        <v>27</v>
      </c>
      <c r="Q92" t="s">
        <v>54</v>
      </c>
      <c r="R92" t="s">
        <v>54</v>
      </c>
    </row>
    <row r="93" spans="1:18" x14ac:dyDescent="0.25">
      <c r="A93" t="s">
        <v>60</v>
      </c>
      <c r="B93" t="s">
        <v>61</v>
      </c>
      <c r="C93" t="s">
        <v>20</v>
      </c>
      <c r="D93" t="s">
        <v>148</v>
      </c>
      <c r="E93" t="s">
        <v>107</v>
      </c>
      <c r="F93">
        <v>1</v>
      </c>
      <c r="G93" s="95">
        <v>44215</v>
      </c>
      <c r="H93" s="95">
        <v>44222</v>
      </c>
      <c r="I93" s="95">
        <v>44222</v>
      </c>
      <c r="K93" t="s">
        <v>24</v>
      </c>
      <c r="L93" t="s">
        <v>58</v>
      </c>
      <c r="M93" t="s">
        <v>26</v>
      </c>
      <c r="O93" t="s">
        <v>27</v>
      </c>
      <c r="P93" t="s">
        <v>27</v>
      </c>
      <c r="Q93" t="s">
        <v>54</v>
      </c>
      <c r="R93" t="s">
        <v>54</v>
      </c>
    </row>
    <row r="94" spans="1:18" x14ac:dyDescent="0.25">
      <c r="A94" t="s">
        <v>60</v>
      </c>
      <c r="B94" t="s">
        <v>61</v>
      </c>
      <c r="C94" t="s">
        <v>140</v>
      </c>
      <c r="D94" t="s">
        <v>150</v>
      </c>
      <c r="E94" t="s">
        <v>151</v>
      </c>
      <c r="F94">
        <v>1</v>
      </c>
      <c r="G94" s="95">
        <v>44215</v>
      </c>
      <c r="H94" s="95">
        <v>44232</v>
      </c>
      <c r="I94" s="95">
        <v>44232</v>
      </c>
      <c r="K94" t="s">
        <v>24</v>
      </c>
      <c r="L94" t="s">
        <v>45</v>
      </c>
      <c r="M94" t="s">
        <v>26</v>
      </c>
      <c r="O94" t="s">
        <v>27</v>
      </c>
      <c r="P94" t="s">
        <v>27</v>
      </c>
      <c r="Q94" t="s">
        <v>54</v>
      </c>
      <c r="R94" t="s">
        <v>54</v>
      </c>
    </row>
    <row r="95" spans="1:18" x14ac:dyDescent="0.25">
      <c r="A95" t="s">
        <v>60</v>
      </c>
      <c r="B95" t="s">
        <v>61</v>
      </c>
      <c r="C95" t="s">
        <v>20</v>
      </c>
      <c r="D95" t="s">
        <v>148</v>
      </c>
      <c r="E95" t="s">
        <v>106</v>
      </c>
      <c r="F95">
        <v>2</v>
      </c>
      <c r="G95" s="95">
        <v>44215</v>
      </c>
      <c r="H95" s="95">
        <v>44222</v>
      </c>
      <c r="I95" s="95">
        <v>44222</v>
      </c>
      <c r="K95" t="s">
        <v>24</v>
      </c>
      <c r="L95" t="s">
        <v>58</v>
      </c>
      <c r="M95" t="s">
        <v>26</v>
      </c>
      <c r="O95" t="s">
        <v>27</v>
      </c>
      <c r="P95" t="s">
        <v>27</v>
      </c>
      <c r="Q95" t="s">
        <v>54</v>
      </c>
      <c r="R95" t="s">
        <v>54</v>
      </c>
    </row>
    <row r="96" spans="1:18" x14ac:dyDescent="0.25">
      <c r="A96" t="s">
        <v>60</v>
      </c>
      <c r="B96" t="s">
        <v>61</v>
      </c>
      <c r="C96" t="s">
        <v>140</v>
      </c>
      <c r="D96" t="s">
        <v>152</v>
      </c>
      <c r="E96" t="s">
        <v>115</v>
      </c>
      <c r="F96">
        <v>1</v>
      </c>
      <c r="G96" s="95">
        <v>44244</v>
      </c>
      <c r="H96" s="95">
        <v>44244</v>
      </c>
      <c r="I96" s="95">
        <v>44244</v>
      </c>
      <c r="K96" t="s">
        <v>24</v>
      </c>
      <c r="L96" t="s">
        <v>58</v>
      </c>
      <c r="M96" t="s">
        <v>26</v>
      </c>
      <c r="O96" t="s">
        <v>38</v>
      </c>
      <c r="P96" t="s">
        <v>38</v>
      </c>
      <c r="Q96" t="s">
        <v>54</v>
      </c>
      <c r="R96" t="s">
        <v>54</v>
      </c>
    </row>
    <row r="97" spans="1:18" x14ac:dyDescent="0.25">
      <c r="A97" t="s">
        <v>72</v>
      </c>
      <c r="B97">
        <v>215204</v>
      </c>
      <c r="C97" t="s">
        <v>20</v>
      </c>
      <c r="D97" t="s">
        <v>73</v>
      </c>
      <c r="E97" t="s">
        <v>79</v>
      </c>
      <c r="F97">
        <v>1</v>
      </c>
      <c r="G97" s="95">
        <v>44214</v>
      </c>
      <c r="H97" s="95">
        <v>44228</v>
      </c>
      <c r="I97" s="95">
        <v>44225</v>
      </c>
      <c r="K97" t="s">
        <v>24</v>
      </c>
      <c r="L97" t="s">
        <v>58</v>
      </c>
      <c r="M97" t="s">
        <v>26</v>
      </c>
      <c r="O97" t="s">
        <v>27</v>
      </c>
      <c r="P97" t="s">
        <v>38</v>
      </c>
      <c r="Q97" t="s">
        <v>54</v>
      </c>
      <c r="R97" t="s">
        <v>54</v>
      </c>
    </row>
    <row r="98" spans="1:18" x14ac:dyDescent="0.25">
      <c r="A98" t="s">
        <v>72</v>
      </c>
      <c r="B98">
        <v>215204</v>
      </c>
      <c r="C98" t="s">
        <v>20</v>
      </c>
      <c r="D98" t="s">
        <v>73</v>
      </c>
      <c r="E98" t="s">
        <v>22</v>
      </c>
      <c r="F98">
        <v>1</v>
      </c>
      <c r="G98" s="95">
        <v>44214</v>
      </c>
      <c r="H98" s="95">
        <v>44228</v>
      </c>
      <c r="I98" s="95">
        <v>44225</v>
      </c>
      <c r="K98" t="s">
        <v>24</v>
      </c>
      <c r="L98" t="s">
        <v>58</v>
      </c>
      <c r="M98" t="s">
        <v>26</v>
      </c>
      <c r="O98" t="s">
        <v>27</v>
      </c>
      <c r="P98" t="s">
        <v>38</v>
      </c>
      <c r="Q98" t="s">
        <v>54</v>
      </c>
      <c r="R98" t="s">
        <v>29</v>
      </c>
    </row>
    <row r="99" spans="1:18" x14ac:dyDescent="0.25">
      <c r="A99" t="s">
        <v>72</v>
      </c>
      <c r="B99">
        <v>215204</v>
      </c>
      <c r="C99" t="s">
        <v>20</v>
      </c>
      <c r="D99" t="s">
        <v>73</v>
      </c>
      <c r="E99" t="s">
        <v>68</v>
      </c>
      <c r="F99">
        <v>3</v>
      </c>
      <c r="G99" s="95">
        <v>44214</v>
      </c>
      <c r="H99" s="95">
        <v>44228</v>
      </c>
      <c r="I99" s="95">
        <v>44225</v>
      </c>
      <c r="K99" t="s">
        <v>24</v>
      </c>
      <c r="L99" t="s">
        <v>45</v>
      </c>
      <c r="M99" t="s">
        <v>26</v>
      </c>
      <c r="O99" t="s">
        <v>27</v>
      </c>
      <c r="P99" t="s">
        <v>38</v>
      </c>
      <c r="Q99" t="s">
        <v>54</v>
      </c>
      <c r="R99" t="s">
        <v>29</v>
      </c>
    </row>
    <row r="100" spans="1:18" x14ac:dyDescent="0.25">
      <c r="A100" t="s">
        <v>72</v>
      </c>
      <c r="B100">
        <v>215204</v>
      </c>
      <c r="C100" t="s">
        <v>20</v>
      </c>
      <c r="D100" t="s">
        <v>73</v>
      </c>
      <c r="E100" t="s">
        <v>153</v>
      </c>
      <c r="F100">
        <v>3</v>
      </c>
      <c r="G100" s="95">
        <v>44214</v>
      </c>
      <c r="H100" s="95">
        <v>44228</v>
      </c>
      <c r="I100" s="95">
        <v>44225</v>
      </c>
      <c r="K100" t="s">
        <v>24</v>
      </c>
      <c r="L100" t="s">
        <v>45</v>
      </c>
      <c r="M100" t="s">
        <v>26</v>
      </c>
      <c r="O100" t="s">
        <v>27</v>
      </c>
      <c r="P100" t="s">
        <v>38</v>
      </c>
      <c r="Q100" t="s">
        <v>54</v>
      </c>
      <c r="R100" t="s">
        <v>29</v>
      </c>
    </row>
    <row r="101" spans="1:18" x14ac:dyDescent="0.25">
      <c r="A101" t="s">
        <v>39</v>
      </c>
      <c r="B101">
        <v>214857</v>
      </c>
      <c r="C101" t="s">
        <v>62</v>
      </c>
      <c r="D101" t="s">
        <v>154</v>
      </c>
      <c r="E101" t="s">
        <v>74</v>
      </c>
      <c r="G101" s="95">
        <v>44214</v>
      </c>
      <c r="H101" s="95">
        <v>44216</v>
      </c>
      <c r="I101" s="95">
        <v>44221</v>
      </c>
      <c r="J101" t="s">
        <v>155</v>
      </c>
      <c r="K101" t="s">
        <v>24</v>
      </c>
      <c r="L101" t="s">
        <v>25</v>
      </c>
    </row>
    <row r="102" spans="1:18" x14ac:dyDescent="0.25">
      <c r="A102" t="s">
        <v>39</v>
      </c>
      <c r="B102">
        <v>206968</v>
      </c>
      <c r="C102" t="s">
        <v>20</v>
      </c>
      <c r="D102" t="s">
        <v>156</v>
      </c>
      <c r="E102" t="s">
        <v>157</v>
      </c>
      <c r="F102">
        <v>1</v>
      </c>
      <c r="G102" s="95">
        <v>44214</v>
      </c>
      <c r="H102" s="95">
        <v>44228</v>
      </c>
      <c r="I102" s="95">
        <v>44249</v>
      </c>
      <c r="K102" t="s">
        <v>24</v>
      </c>
      <c r="L102" t="s">
        <v>25</v>
      </c>
      <c r="M102" t="s">
        <v>26</v>
      </c>
      <c r="N102">
        <v>1</v>
      </c>
      <c r="O102" t="s">
        <v>27</v>
      </c>
      <c r="P102" t="s">
        <v>27</v>
      </c>
      <c r="Q102" t="s">
        <v>29</v>
      </c>
      <c r="R102" t="s">
        <v>29</v>
      </c>
    </row>
    <row r="103" spans="1:18" x14ac:dyDescent="0.25">
      <c r="A103" t="s">
        <v>39</v>
      </c>
      <c r="B103">
        <v>206968</v>
      </c>
      <c r="C103" t="s">
        <v>20</v>
      </c>
      <c r="D103" t="s">
        <v>158</v>
      </c>
      <c r="E103" t="s">
        <v>157</v>
      </c>
      <c r="F103">
        <v>1</v>
      </c>
      <c r="G103" s="95">
        <v>44214</v>
      </c>
      <c r="H103" s="95">
        <v>44228</v>
      </c>
      <c r="I103" s="95">
        <v>44249</v>
      </c>
      <c r="K103" t="s">
        <v>24</v>
      </c>
      <c r="L103" t="s">
        <v>25</v>
      </c>
      <c r="M103" t="s">
        <v>26</v>
      </c>
      <c r="N103">
        <v>2</v>
      </c>
      <c r="O103" t="s">
        <v>27</v>
      </c>
      <c r="P103" t="s">
        <v>27</v>
      </c>
      <c r="Q103" t="s">
        <v>29</v>
      </c>
      <c r="R103" t="s">
        <v>29</v>
      </c>
    </row>
    <row r="104" spans="1:18" x14ac:dyDescent="0.25">
      <c r="A104" t="s">
        <v>159</v>
      </c>
      <c r="B104">
        <v>212978</v>
      </c>
      <c r="C104" t="s">
        <v>140</v>
      </c>
      <c r="D104" t="s">
        <v>160</v>
      </c>
      <c r="E104" t="s">
        <v>94</v>
      </c>
      <c r="F104">
        <v>1</v>
      </c>
      <c r="G104" s="95">
        <v>44208</v>
      </c>
      <c r="H104" s="95">
        <v>44230</v>
      </c>
      <c r="I104" s="95">
        <v>44230</v>
      </c>
      <c r="J104" t="s">
        <v>161</v>
      </c>
      <c r="K104" t="s">
        <v>24</v>
      </c>
      <c r="L104" t="s">
        <v>37</v>
      </c>
      <c r="M104" t="s">
        <v>34</v>
      </c>
      <c r="N104">
        <v>2</v>
      </c>
      <c r="O104" t="s">
        <v>38</v>
      </c>
      <c r="P104" t="s">
        <v>38</v>
      </c>
      <c r="Q104" t="s">
        <v>54</v>
      </c>
      <c r="R104" t="s">
        <v>29</v>
      </c>
    </row>
    <row r="105" spans="1:18" x14ac:dyDescent="0.25">
      <c r="A105" t="s">
        <v>19</v>
      </c>
      <c r="B105">
        <v>213464</v>
      </c>
      <c r="C105" t="s">
        <v>20</v>
      </c>
      <c r="D105" t="s">
        <v>89</v>
      </c>
      <c r="E105" t="s">
        <v>22</v>
      </c>
      <c r="F105">
        <v>11</v>
      </c>
      <c r="G105" s="95">
        <v>44208</v>
      </c>
      <c r="H105" s="95">
        <v>44210</v>
      </c>
      <c r="I105" s="95">
        <v>44221</v>
      </c>
      <c r="J105" t="s">
        <v>162</v>
      </c>
      <c r="K105" t="s">
        <v>24</v>
      </c>
      <c r="L105" t="s">
        <v>25</v>
      </c>
      <c r="M105" t="s">
        <v>26</v>
      </c>
      <c r="N105">
        <v>4</v>
      </c>
      <c r="O105" t="s">
        <v>27</v>
      </c>
      <c r="P105" t="s">
        <v>27</v>
      </c>
      <c r="Q105" t="s">
        <v>28</v>
      </c>
      <c r="R105" t="s">
        <v>29</v>
      </c>
    </row>
    <row r="106" spans="1:18" x14ac:dyDescent="0.25">
      <c r="A106" t="s">
        <v>163</v>
      </c>
      <c r="B106">
        <v>214878</v>
      </c>
      <c r="C106" t="s">
        <v>77</v>
      </c>
      <c r="D106" t="s">
        <v>164</v>
      </c>
      <c r="E106" t="s">
        <v>79</v>
      </c>
      <c r="F106">
        <v>1</v>
      </c>
      <c r="G106" s="95">
        <v>44211</v>
      </c>
      <c r="H106" s="95">
        <v>44211</v>
      </c>
      <c r="I106" s="95">
        <v>44211</v>
      </c>
      <c r="J106" t="s">
        <v>165</v>
      </c>
      <c r="K106" t="s">
        <v>24</v>
      </c>
      <c r="L106" t="s">
        <v>25</v>
      </c>
      <c r="M106" t="s">
        <v>34</v>
      </c>
      <c r="O106" t="s">
        <v>27</v>
      </c>
      <c r="Q106" t="s">
        <v>54</v>
      </c>
      <c r="R106" t="s">
        <v>54</v>
      </c>
    </row>
    <row r="107" spans="1:18" x14ac:dyDescent="0.25">
      <c r="A107" t="s">
        <v>39</v>
      </c>
      <c r="B107">
        <v>213425</v>
      </c>
      <c r="C107" t="s">
        <v>20</v>
      </c>
      <c r="D107" t="s">
        <v>166</v>
      </c>
      <c r="E107" t="s">
        <v>46</v>
      </c>
      <c r="F107">
        <v>3</v>
      </c>
      <c r="G107" s="95">
        <v>44209</v>
      </c>
      <c r="H107" s="95">
        <v>44239</v>
      </c>
      <c r="I107" s="95">
        <v>44257</v>
      </c>
      <c r="J107" t="s">
        <v>127</v>
      </c>
      <c r="K107" t="s">
        <v>24</v>
      </c>
      <c r="L107" t="s">
        <v>58</v>
      </c>
      <c r="M107" t="s">
        <v>26</v>
      </c>
      <c r="O107" t="s">
        <v>38</v>
      </c>
      <c r="P107" t="s">
        <v>38</v>
      </c>
      <c r="Q107" t="s">
        <v>54</v>
      </c>
      <c r="R107" t="s">
        <v>54</v>
      </c>
    </row>
    <row r="108" spans="1:18" x14ac:dyDescent="0.25">
      <c r="A108" t="s">
        <v>39</v>
      </c>
      <c r="B108">
        <v>213425</v>
      </c>
      <c r="C108" t="s">
        <v>20</v>
      </c>
      <c r="D108" t="s">
        <v>166</v>
      </c>
      <c r="E108" t="s">
        <v>46</v>
      </c>
      <c r="F108">
        <v>3</v>
      </c>
      <c r="G108" s="95">
        <v>44209</v>
      </c>
      <c r="H108" s="95">
        <v>44239</v>
      </c>
      <c r="I108" s="95">
        <v>44257</v>
      </c>
      <c r="J108" t="s">
        <v>127</v>
      </c>
      <c r="K108" t="s">
        <v>24</v>
      </c>
      <c r="L108" t="s">
        <v>58</v>
      </c>
      <c r="M108" t="s">
        <v>26</v>
      </c>
      <c r="O108" t="s">
        <v>38</v>
      </c>
      <c r="P108" t="s">
        <v>38</v>
      </c>
      <c r="Q108" t="s">
        <v>54</v>
      </c>
      <c r="R108" t="s">
        <v>54</v>
      </c>
    </row>
    <row r="109" spans="1:18" x14ac:dyDescent="0.25">
      <c r="A109" t="s">
        <v>39</v>
      </c>
      <c r="B109">
        <v>214031</v>
      </c>
      <c r="C109" t="s">
        <v>20</v>
      </c>
      <c r="D109" t="s">
        <v>167</v>
      </c>
      <c r="E109" t="s">
        <v>22</v>
      </c>
      <c r="F109">
        <v>1</v>
      </c>
      <c r="G109" s="95">
        <v>44208</v>
      </c>
      <c r="H109" s="95">
        <v>44225</v>
      </c>
      <c r="I109" s="95">
        <v>44225</v>
      </c>
      <c r="J109" t="s">
        <v>168</v>
      </c>
      <c r="K109" t="s">
        <v>24</v>
      </c>
      <c r="L109" t="s">
        <v>25</v>
      </c>
      <c r="M109" t="s">
        <v>26</v>
      </c>
      <c r="O109" t="s">
        <v>27</v>
      </c>
      <c r="P109" t="s">
        <v>27</v>
      </c>
      <c r="Q109" t="s">
        <v>29</v>
      </c>
      <c r="R109" t="s">
        <v>29</v>
      </c>
    </row>
    <row r="110" spans="1:18" x14ac:dyDescent="0.25">
      <c r="A110" t="s">
        <v>52</v>
      </c>
      <c r="B110">
        <v>215475</v>
      </c>
      <c r="C110" t="s">
        <v>140</v>
      </c>
      <c r="D110" t="s">
        <v>169</v>
      </c>
      <c r="E110" t="s">
        <v>102</v>
      </c>
      <c r="F110">
        <v>2</v>
      </c>
      <c r="G110" s="95">
        <v>44216</v>
      </c>
      <c r="H110" s="95">
        <v>44229</v>
      </c>
      <c r="I110" s="95">
        <v>44229</v>
      </c>
      <c r="K110" t="s">
        <v>24</v>
      </c>
      <c r="L110" t="s">
        <v>45</v>
      </c>
      <c r="M110" t="s">
        <v>26</v>
      </c>
      <c r="O110" t="s">
        <v>38</v>
      </c>
      <c r="P110" t="s">
        <v>38</v>
      </c>
      <c r="Q110" t="s">
        <v>54</v>
      </c>
      <c r="R110" t="s">
        <v>28</v>
      </c>
    </row>
    <row r="111" spans="1:18" x14ac:dyDescent="0.25">
      <c r="A111" t="s">
        <v>52</v>
      </c>
      <c r="B111">
        <v>215475</v>
      </c>
      <c r="C111" t="s">
        <v>140</v>
      </c>
      <c r="D111" t="s">
        <v>169</v>
      </c>
      <c r="E111" t="s">
        <v>170</v>
      </c>
      <c r="F111">
        <v>1</v>
      </c>
      <c r="G111" s="95">
        <v>44216</v>
      </c>
      <c r="H111" s="95">
        <v>44229</v>
      </c>
      <c r="I111" s="95">
        <v>44229</v>
      </c>
      <c r="K111" t="s">
        <v>24</v>
      </c>
      <c r="L111" t="s">
        <v>45</v>
      </c>
      <c r="M111" t="s">
        <v>26</v>
      </c>
      <c r="O111" t="s">
        <v>38</v>
      </c>
      <c r="P111" t="s">
        <v>38</v>
      </c>
      <c r="Q111" t="s">
        <v>54</v>
      </c>
      <c r="R111" t="s">
        <v>28</v>
      </c>
    </row>
    <row r="112" spans="1:18" x14ac:dyDescent="0.25">
      <c r="A112" t="s">
        <v>52</v>
      </c>
      <c r="B112">
        <v>215475</v>
      </c>
      <c r="C112" t="s">
        <v>140</v>
      </c>
      <c r="D112" t="s">
        <v>169</v>
      </c>
      <c r="E112" t="s">
        <v>142</v>
      </c>
      <c r="F112">
        <v>1</v>
      </c>
      <c r="G112" s="95">
        <v>44216</v>
      </c>
      <c r="H112" s="95">
        <v>44229</v>
      </c>
      <c r="I112" s="95">
        <v>44229</v>
      </c>
      <c r="K112" t="s">
        <v>24</v>
      </c>
      <c r="L112" t="s">
        <v>45</v>
      </c>
      <c r="M112" t="s">
        <v>26</v>
      </c>
      <c r="O112" t="s">
        <v>38</v>
      </c>
      <c r="P112" t="s">
        <v>38</v>
      </c>
      <c r="Q112" t="s">
        <v>54</v>
      </c>
      <c r="R112" t="s">
        <v>28</v>
      </c>
    </row>
    <row r="113" spans="1:18" x14ac:dyDescent="0.25">
      <c r="A113" t="s">
        <v>52</v>
      </c>
      <c r="B113">
        <v>215475</v>
      </c>
      <c r="C113" t="s">
        <v>140</v>
      </c>
      <c r="D113" t="s">
        <v>169</v>
      </c>
      <c r="E113" t="s">
        <v>94</v>
      </c>
      <c r="F113">
        <v>1</v>
      </c>
      <c r="G113" s="95">
        <v>44216</v>
      </c>
      <c r="H113" s="95">
        <v>44229</v>
      </c>
      <c r="I113" s="95">
        <v>44229</v>
      </c>
      <c r="J113" t="s">
        <v>171</v>
      </c>
      <c r="K113" t="s">
        <v>24</v>
      </c>
      <c r="L113" t="s">
        <v>45</v>
      </c>
      <c r="M113" t="s">
        <v>26</v>
      </c>
      <c r="O113" t="s">
        <v>38</v>
      </c>
      <c r="P113" t="s">
        <v>38</v>
      </c>
      <c r="Q113" t="s">
        <v>54</v>
      </c>
      <c r="R113" t="s">
        <v>28</v>
      </c>
    </row>
    <row r="114" spans="1:18" x14ac:dyDescent="0.25">
      <c r="A114" t="s">
        <v>52</v>
      </c>
      <c r="B114">
        <v>215475</v>
      </c>
      <c r="C114" t="s">
        <v>140</v>
      </c>
      <c r="D114" t="s">
        <v>169</v>
      </c>
      <c r="E114" t="s">
        <v>22</v>
      </c>
      <c r="F114">
        <v>1</v>
      </c>
      <c r="G114" s="95">
        <v>44216</v>
      </c>
      <c r="H114" s="95">
        <v>44229</v>
      </c>
      <c r="I114" s="95">
        <v>44229</v>
      </c>
      <c r="K114" t="s">
        <v>24</v>
      </c>
      <c r="L114" t="s">
        <v>58</v>
      </c>
      <c r="M114" t="s">
        <v>26</v>
      </c>
      <c r="O114" t="s">
        <v>38</v>
      </c>
      <c r="P114" t="s">
        <v>38</v>
      </c>
      <c r="Q114" t="s">
        <v>54</v>
      </c>
      <c r="R114" t="s">
        <v>28</v>
      </c>
    </row>
    <row r="115" spans="1:18" x14ac:dyDescent="0.25">
      <c r="A115" t="s">
        <v>52</v>
      </c>
      <c r="B115">
        <v>215475</v>
      </c>
      <c r="C115" t="s">
        <v>140</v>
      </c>
      <c r="D115" t="s">
        <v>169</v>
      </c>
      <c r="E115" t="s">
        <v>107</v>
      </c>
      <c r="F115">
        <v>2</v>
      </c>
      <c r="G115" s="95">
        <v>44216</v>
      </c>
      <c r="H115" s="95">
        <v>44229</v>
      </c>
      <c r="I115" s="95">
        <v>44229</v>
      </c>
      <c r="K115" t="s">
        <v>24</v>
      </c>
      <c r="L115" t="s">
        <v>58</v>
      </c>
      <c r="M115" t="s">
        <v>26</v>
      </c>
      <c r="O115" t="s">
        <v>38</v>
      </c>
      <c r="P115" t="s">
        <v>38</v>
      </c>
      <c r="Q115" t="s">
        <v>54</v>
      </c>
      <c r="R115" t="s">
        <v>28</v>
      </c>
    </row>
    <row r="116" spans="1:18" x14ac:dyDescent="0.25">
      <c r="A116" t="s">
        <v>52</v>
      </c>
      <c r="B116">
        <v>215475</v>
      </c>
      <c r="C116" t="s">
        <v>140</v>
      </c>
      <c r="D116" t="s">
        <v>169</v>
      </c>
      <c r="E116" t="s">
        <v>116</v>
      </c>
      <c r="F116">
        <v>1</v>
      </c>
      <c r="G116" s="95">
        <v>44216</v>
      </c>
      <c r="H116" s="95">
        <v>44229</v>
      </c>
      <c r="I116" s="95">
        <v>44229</v>
      </c>
      <c r="J116" t="s">
        <v>172</v>
      </c>
      <c r="K116" t="s">
        <v>24</v>
      </c>
      <c r="L116" t="s">
        <v>45</v>
      </c>
      <c r="M116" t="s">
        <v>26</v>
      </c>
      <c r="O116" t="s">
        <v>38</v>
      </c>
      <c r="P116" t="s">
        <v>38</v>
      </c>
      <c r="Q116" t="s">
        <v>54</v>
      </c>
      <c r="R116" t="s">
        <v>28</v>
      </c>
    </row>
    <row r="117" spans="1:18" x14ac:dyDescent="0.25">
      <c r="A117" t="s">
        <v>52</v>
      </c>
      <c r="B117">
        <v>215475</v>
      </c>
      <c r="C117" t="s">
        <v>20</v>
      </c>
      <c r="D117" t="s">
        <v>169</v>
      </c>
      <c r="E117" t="s">
        <v>79</v>
      </c>
      <c r="F117">
        <v>1</v>
      </c>
      <c r="G117" s="95">
        <v>44216</v>
      </c>
      <c r="H117" s="95">
        <v>44228</v>
      </c>
      <c r="I117" s="95">
        <v>44228</v>
      </c>
      <c r="J117" t="s">
        <v>173</v>
      </c>
      <c r="K117" t="s">
        <v>24</v>
      </c>
      <c r="L117" t="s">
        <v>25</v>
      </c>
      <c r="M117" t="s">
        <v>26</v>
      </c>
      <c r="O117" t="s">
        <v>38</v>
      </c>
      <c r="P117" t="s">
        <v>38</v>
      </c>
      <c r="Q117" t="s">
        <v>54</v>
      </c>
      <c r="R117" t="s">
        <v>54</v>
      </c>
    </row>
    <row r="118" spans="1:18" x14ac:dyDescent="0.25">
      <c r="A118" t="s">
        <v>39</v>
      </c>
      <c r="B118">
        <v>215708</v>
      </c>
      <c r="C118" t="s">
        <v>140</v>
      </c>
      <c r="D118" t="s">
        <v>174</v>
      </c>
      <c r="E118" t="s">
        <v>175</v>
      </c>
      <c r="F118">
        <v>1</v>
      </c>
      <c r="G118" s="95">
        <v>44216</v>
      </c>
      <c r="H118" s="95">
        <v>44229</v>
      </c>
      <c r="I118" s="95">
        <v>44229</v>
      </c>
      <c r="K118" t="s">
        <v>24</v>
      </c>
      <c r="L118" t="s">
        <v>58</v>
      </c>
      <c r="M118" t="s">
        <v>26</v>
      </c>
      <c r="O118" t="s">
        <v>38</v>
      </c>
      <c r="P118" t="s">
        <v>38</v>
      </c>
      <c r="Q118" t="s">
        <v>54</v>
      </c>
      <c r="R118" t="s">
        <v>54</v>
      </c>
    </row>
    <row r="119" spans="1:18" x14ac:dyDescent="0.25">
      <c r="A119" t="s">
        <v>39</v>
      </c>
      <c r="B119">
        <v>215280</v>
      </c>
      <c r="C119" t="s">
        <v>20</v>
      </c>
      <c r="D119" t="s">
        <v>176</v>
      </c>
      <c r="E119" t="s">
        <v>46</v>
      </c>
      <c r="F119">
        <v>1</v>
      </c>
      <c r="G119" s="95">
        <v>44245</v>
      </c>
      <c r="H119" s="95">
        <v>44250</v>
      </c>
      <c r="I119" s="95">
        <v>44250</v>
      </c>
      <c r="K119" t="s">
        <v>24</v>
      </c>
      <c r="L119" t="s">
        <v>58</v>
      </c>
      <c r="M119" t="s">
        <v>26</v>
      </c>
      <c r="O119" t="s">
        <v>27</v>
      </c>
      <c r="P119" t="s">
        <v>27</v>
      </c>
      <c r="Q119" t="s">
        <v>28</v>
      </c>
      <c r="R119" t="s">
        <v>29</v>
      </c>
    </row>
    <row r="120" spans="1:18" x14ac:dyDescent="0.25">
      <c r="A120" t="s">
        <v>39</v>
      </c>
      <c r="B120">
        <v>215280</v>
      </c>
      <c r="C120" t="s">
        <v>20</v>
      </c>
      <c r="D120" t="s">
        <v>176</v>
      </c>
      <c r="E120" t="s">
        <v>22</v>
      </c>
      <c r="F120">
        <v>1</v>
      </c>
      <c r="G120" s="95">
        <v>44245</v>
      </c>
      <c r="H120" s="95">
        <v>44250</v>
      </c>
      <c r="I120" s="95">
        <v>44250</v>
      </c>
      <c r="K120" t="s">
        <v>24</v>
      </c>
      <c r="L120" t="s">
        <v>58</v>
      </c>
      <c r="M120" t="s">
        <v>26</v>
      </c>
      <c r="O120" t="s">
        <v>27</v>
      </c>
      <c r="P120" t="s">
        <v>27</v>
      </c>
      <c r="Q120" t="s">
        <v>28</v>
      </c>
      <c r="R120" t="s">
        <v>29</v>
      </c>
    </row>
    <row r="121" spans="1:18" x14ac:dyDescent="0.25">
      <c r="A121" t="s">
        <v>39</v>
      </c>
      <c r="B121">
        <v>215280</v>
      </c>
      <c r="C121" t="s">
        <v>20</v>
      </c>
      <c r="D121" t="s">
        <v>176</v>
      </c>
      <c r="E121" t="s">
        <v>177</v>
      </c>
      <c r="F121">
        <v>1</v>
      </c>
      <c r="G121" s="95">
        <v>44245</v>
      </c>
      <c r="H121" s="95">
        <v>44230</v>
      </c>
      <c r="I121" s="95">
        <v>44230</v>
      </c>
      <c r="K121" t="s">
        <v>24</v>
      </c>
      <c r="L121" t="s">
        <v>58</v>
      </c>
      <c r="M121" t="s">
        <v>26</v>
      </c>
      <c r="O121" t="s">
        <v>27</v>
      </c>
      <c r="P121" t="s">
        <v>27</v>
      </c>
      <c r="Q121" t="s">
        <v>28</v>
      </c>
      <c r="R121" t="s">
        <v>29</v>
      </c>
    </row>
    <row r="122" spans="1:18" x14ac:dyDescent="0.25">
      <c r="A122" t="s">
        <v>39</v>
      </c>
      <c r="B122">
        <v>207793</v>
      </c>
      <c r="C122" t="s">
        <v>20</v>
      </c>
      <c r="D122" t="s">
        <v>178</v>
      </c>
      <c r="E122" t="s">
        <v>179</v>
      </c>
      <c r="F122">
        <v>16</v>
      </c>
      <c r="G122" s="95">
        <v>44176</v>
      </c>
      <c r="H122" s="95">
        <v>44207</v>
      </c>
      <c r="I122" s="95">
        <v>44232</v>
      </c>
      <c r="J122" t="s">
        <v>180</v>
      </c>
      <c r="K122" t="s">
        <v>24</v>
      </c>
      <c r="L122" t="s">
        <v>25</v>
      </c>
      <c r="M122" t="s">
        <v>26</v>
      </c>
      <c r="O122" t="s">
        <v>27</v>
      </c>
      <c r="P122" t="s">
        <v>27</v>
      </c>
      <c r="Q122" t="s">
        <v>28</v>
      </c>
      <c r="R122" t="s">
        <v>28</v>
      </c>
    </row>
    <row r="123" spans="1:18" x14ac:dyDescent="0.25">
      <c r="A123" t="s">
        <v>39</v>
      </c>
      <c r="B123">
        <v>207793</v>
      </c>
      <c r="C123" t="s">
        <v>20</v>
      </c>
      <c r="D123" t="s">
        <v>178</v>
      </c>
      <c r="E123" t="s">
        <v>181</v>
      </c>
      <c r="F123">
        <v>16</v>
      </c>
      <c r="G123" s="95">
        <v>44176</v>
      </c>
      <c r="H123" s="95">
        <v>44207</v>
      </c>
      <c r="I123" s="95">
        <v>44232</v>
      </c>
      <c r="J123" t="s">
        <v>180</v>
      </c>
      <c r="K123" t="s">
        <v>24</v>
      </c>
      <c r="L123" t="s">
        <v>25</v>
      </c>
      <c r="M123" t="s">
        <v>26</v>
      </c>
      <c r="O123" t="s">
        <v>27</v>
      </c>
      <c r="P123" t="s">
        <v>27</v>
      </c>
      <c r="Q123" t="s">
        <v>28</v>
      </c>
      <c r="R123" t="s">
        <v>28</v>
      </c>
    </row>
    <row r="124" spans="1:18" x14ac:dyDescent="0.25">
      <c r="A124" t="s">
        <v>182</v>
      </c>
      <c r="B124" t="s">
        <v>183</v>
      </c>
      <c r="C124" t="s">
        <v>20</v>
      </c>
      <c r="D124" t="s">
        <v>184</v>
      </c>
      <c r="E124" t="s">
        <v>22</v>
      </c>
      <c r="F124">
        <v>1</v>
      </c>
      <c r="G124" s="95">
        <v>44221</v>
      </c>
      <c r="H124" s="95">
        <v>44206</v>
      </c>
      <c r="I124" s="95">
        <v>44251</v>
      </c>
      <c r="K124" t="s">
        <v>24</v>
      </c>
      <c r="L124" t="s">
        <v>58</v>
      </c>
      <c r="M124" t="s">
        <v>26</v>
      </c>
      <c r="O124" t="s">
        <v>27</v>
      </c>
      <c r="P124" t="s">
        <v>38</v>
      </c>
      <c r="Q124" t="s">
        <v>185</v>
      </c>
      <c r="R124" t="s">
        <v>28</v>
      </c>
    </row>
    <row r="125" spans="1:18" x14ac:dyDescent="0.25">
      <c r="A125" t="s">
        <v>182</v>
      </c>
      <c r="B125" t="s">
        <v>183</v>
      </c>
      <c r="C125" t="s">
        <v>20</v>
      </c>
      <c r="D125" t="s">
        <v>184</v>
      </c>
      <c r="E125" t="s">
        <v>170</v>
      </c>
      <c r="F125">
        <v>1</v>
      </c>
      <c r="G125" s="95">
        <v>44221</v>
      </c>
      <c r="H125" s="95">
        <v>44206</v>
      </c>
      <c r="I125" s="95">
        <v>44251</v>
      </c>
      <c r="K125" t="s">
        <v>24</v>
      </c>
      <c r="L125" t="s">
        <v>58</v>
      </c>
      <c r="M125" t="s">
        <v>26</v>
      </c>
      <c r="O125" t="s">
        <v>27</v>
      </c>
      <c r="P125" t="s">
        <v>38</v>
      </c>
      <c r="Q125" t="s">
        <v>185</v>
      </c>
      <c r="R125" t="s">
        <v>28</v>
      </c>
    </row>
    <row r="126" spans="1:18" x14ac:dyDescent="0.25">
      <c r="A126" t="s">
        <v>182</v>
      </c>
      <c r="B126" t="s">
        <v>183</v>
      </c>
      <c r="C126" t="s">
        <v>140</v>
      </c>
      <c r="D126" t="s">
        <v>184</v>
      </c>
      <c r="E126" t="s">
        <v>107</v>
      </c>
      <c r="F126">
        <v>1</v>
      </c>
      <c r="G126" s="95">
        <v>44221</v>
      </c>
      <c r="H126" s="95">
        <v>44206</v>
      </c>
      <c r="I126" s="95">
        <v>44251</v>
      </c>
      <c r="K126" t="s">
        <v>24</v>
      </c>
      <c r="L126" t="s">
        <v>58</v>
      </c>
      <c r="M126" t="s">
        <v>26</v>
      </c>
      <c r="O126" t="s">
        <v>27</v>
      </c>
      <c r="P126" t="s">
        <v>38</v>
      </c>
      <c r="Q126" t="s">
        <v>185</v>
      </c>
      <c r="R126" t="s">
        <v>28</v>
      </c>
    </row>
    <row r="127" spans="1:18" x14ac:dyDescent="0.25">
      <c r="A127" t="s">
        <v>182</v>
      </c>
      <c r="B127" t="s">
        <v>183</v>
      </c>
      <c r="C127" t="s">
        <v>140</v>
      </c>
      <c r="D127" t="s">
        <v>184</v>
      </c>
      <c r="E127" t="s">
        <v>46</v>
      </c>
      <c r="F127">
        <v>1</v>
      </c>
      <c r="G127" s="95">
        <v>44221</v>
      </c>
      <c r="H127" s="95">
        <v>44206</v>
      </c>
      <c r="I127" s="95">
        <v>44251</v>
      </c>
      <c r="K127" t="s">
        <v>24</v>
      </c>
      <c r="L127" t="s">
        <v>58</v>
      </c>
      <c r="M127" t="s">
        <v>26</v>
      </c>
      <c r="O127" t="s">
        <v>27</v>
      </c>
      <c r="P127" t="s">
        <v>38</v>
      </c>
      <c r="Q127" t="s">
        <v>185</v>
      </c>
      <c r="R127" t="s">
        <v>28</v>
      </c>
    </row>
    <row r="128" spans="1:18" x14ac:dyDescent="0.25">
      <c r="A128" t="s">
        <v>182</v>
      </c>
      <c r="B128" t="s">
        <v>183</v>
      </c>
      <c r="C128" t="s">
        <v>140</v>
      </c>
      <c r="D128" t="s">
        <v>184</v>
      </c>
      <c r="E128" t="s">
        <v>106</v>
      </c>
      <c r="F128">
        <v>1</v>
      </c>
      <c r="G128" s="95">
        <v>44221</v>
      </c>
      <c r="H128" s="95">
        <v>44206</v>
      </c>
      <c r="I128" s="95">
        <v>44251</v>
      </c>
      <c r="K128" t="s">
        <v>24</v>
      </c>
      <c r="L128" t="s">
        <v>58</v>
      </c>
      <c r="M128" t="s">
        <v>26</v>
      </c>
      <c r="O128" t="s">
        <v>27</v>
      </c>
      <c r="P128" t="s">
        <v>38</v>
      </c>
      <c r="Q128" t="s">
        <v>185</v>
      </c>
      <c r="R128" t="s">
        <v>28</v>
      </c>
    </row>
    <row r="129" spans="1:18" x14ac:dyDescent="0.25">
      <c r="A129" t="s">
        <v>182</v>
      </c>
      <c r="B129" t="s">
        <v>183</v>
      </c>
      <c r="C129" t="s">
        <v>20</v>
      </c>
      <c r="D129" t="s">
        <v>184</v>
      </c>
      <c r="E129" t="s">
        <v>177</v>
      </c>
      <c r="F129">
        <v>1</v>
      </c>
      <c r="G129" s="95">
        <v>44221</v>
      </c>
      <c r="H129" s="95">
        <v>44206</v>
      </c>
      <c r="I129" s="95">
        <v>44251</v>
      </c>
      <c r="K129" t="s">
        <v>24</v>
      </c>
      <c r="L129" t="s">
        <v>58</v>
      </c>
      <c r="M129" t="s">
        <v>26</v>
      </c>
      <c r="O129" t="s">
        <v>27</v>
      </c>
      <c r="P129" t="s">
        <v>38</v>
      </c>
      <c r="Q129" t="s">
        <v>185</v>
      </c>
      <c r="R129" t="s">
        <v>28</v>
      </c>
    </row>
    <row r="130" spans="1:18" x14ac:dyDescent="0.25">
      <c r="A130" t="s">
        <v>39</v>
      </c>
      <c r="B130" t="s">
        <v>61</v>
      </c>
      <c r="C130" t="s">
        <v>140</v>
      </c>
      <c r="D130" t="s">
        <v>121</v>
      </c>
      <c r="E130" t="s">
        <v>79</v>
      </c>
      <c r="F130">
        <v>1</v>
      </c>
      <c r="G130" s="95">
        <v>44222</v>
      </c>
      <c r="H130" s="95">
        <v>44230</v>
      </c>
      <c r="I130" s="95">
        <v>44229</v>
      </c>
      <c r="J130" t="s">
        <v>186</v>
      </c>
      <c r="K130" t="s">
        <v>24</v>
      </c>
      <c r="L130" t="s">
        <v>58</v>
      </c>
      <c r="M130" t="s">
        <v>26</v>
      </c>
      <c r="O130" t="s">
        <v>38</v>
      </c>
      <c r="P130" t="s">
        <v>38</v>
      </c>
      <c r="Q130" t="s">
        <v>54</v>
      </c>
      <c r="R130" t="s">
        <v>54</v>
      </c>
    </row>
    <row r="131" spans="1:18" x14ac:dyDescent="0.25">
      <c r="A131" t="s">
        <v>30</v>
      </c>
      <c r="B131">
        <v>216522</v>
      </c>
      <c r="C131" t="s">
        <v>20</v>
      </c>
      <c r="D131" t="s">
        <v>187</v>
      </c>
      <c r="E131" t="s">
        <v>22</v>
      </c>
      <c r="F131">
        <v>1</v>
      </c>
      <c r="G131" s="95">
        <v>44221</v>
      </c>
      <c r="H131" s="95">
        <v>44225</v>
      </c>
      <c r="I131" s="95">
        <v>44225</v>
      </c>
      <c r="K131" t="s">
        <v>24</v>
      </c>
      <c r="L131" t="s">
        <v>25</v>
      </c>
      <c r="M131" t="s">
        <v>26</v>
      </c>
      <c r="O131" t="s">
        <v>27</v>
      </c>
      <c r="Q131" t="s">
        <v>54</v>
      </c>
      <c r="R131" t="s">
        <v>54</v>
      </c>
    </row>
    <row r="132" spans="1:18" x14ac:dyDescent="0.25">
      <c r="A132" t="s">
        <v>30</v>
      </c>
      <c r="B132">
        <v>216522</v>
      </c>
      <c r="C132" t="s">
        <v>20</v>
      </c>
      <c r="D132" t="s">
        <v>187</v>
      </c>
      <c r="E132" t="s">
        <v>82</v>
      </c>
      <c r="F132">
        <v>1</v>
      </c>
      <c r="G132" s="95">
        <v>44221</v>
      </c>
      <c r="H132" s="95">
        <v>44225</v>
      </c>
      <c r="I132" s="95">
        <v>44225</v>
      </c>
      <c r="K132" t="s">
        <v>24</v>
      </c>
      <c r="L132" t="s">
        <v>25</v>
      </c>
      <c r="M132" t="s">
        <v>83</v>
      </c>
      <c r="O132" t="s">
        <v>27</v>
      </c>
      <c r="Q132" t="s">
        <v>54</v>
      </c>
      <c r="R132" t="s">
        <v>54</v>
      </c>
    </row>
    <row r="133" spans="1:18" x14ac:dyDescent="0.25">
      <c r="A133" t="s">
        <v>30</v>
      </c>
      <c r="B133">
        <v>216522</v>
      </c>
      <c r="C133" t="s">
        <v>20</v>
      </c>
      <c r="D133" t="s">
        <v>187</v>
      </c>
      <c r="E133" t="s">
        <v>68</v>
      </c>
      <c r="F133">
        <v>5</v>
      </c>
      <c r="G133" s="95">
        <v>44221</v>
      </c>
      <c r="H133" s="95">
        <v>44225</v>
      </c>
      <c r="I133" s="95">
        <v>44225</v>
      </c>
      <c r="K133" t="s">
        <v>24</v>
      </c>
      <c r="L133" t="s">
        <v>45</v>
      </c>
      <c r="M133" t="s">
        <v>26</v>
      </c>
      <c r="O133" t="s">
        <v>27</v>
      </c>
      <c r="Q133" t="s">
        <v>54</v>
      </c>
      <c r="R133" t="s">
        <v>54</v>
      </c>
    </row>
    <row r="134" spans="1:18" x14ac:dyDescent="0.25">
      <c r="A134" t="s">
        <v>30</v>
      </c>
      <c r="B134">
        <v>216522</v>
      </c>
      <c r="C134" t="s">
        <v>20</v>
      </c>
      <c r="D134" t="s">
        <v>187</v>
      </c>
      <c r="E134" t="s">
        <v>124</v>
      </c>
      <c r="F134">
        <v>1</v>
      </c>
      <c r="G134" s="95">
        <v>44221</v>
      </c>
      <c r="H134" s="95">
        <v>44225</v>
      </c>
      <c r="I134" s="95">
        <v>44225</v>
      </c>
      <c r="K134" t="s">
        <v>24</v>
      </c>
      <c r="L134" t="s">
        <v>25</v>
      </c>
      <c r="M134" t="s">
        <v>26</v>
      </c>
      <c r="O134" t="s">
        <v>27</v>
      </c>
      <c r="Q134" t="s">
        <v>54</v>
      </c>
      <c r="R134" t="s">
        <v>54</v>
      </c>
    </row>
    <row r="135" spans="1:18" x14ac:dyDescent="0.25">
      <c r="A135" t="s">
        <v>30</v>
      </c>
      <c r="B135">
        <v>216522</v>
      </c>
      <c r="C135" t="s">
        <v>20</v>
      </c>
      <c r="D135" t="s">
        <v>187</v>
      </c>
      <c r="E135" t="s">
        <v>188</v>
      </c>
      <c r="F135">
        <v>1</v>
      </c>
      <c r="G135" s="95">
        <v>44221</v>
      </c>
      <c r="H135" s="95">
        <v>44225</v>
      </c>
      <c r="I135" s="95">
        <v>44225</v>
      </c>
      <c r="K135" t="s">
        <v>24</v>
      </c>
      <c r="L135" t="s">
        <v>25</v>
      </c>
      <c r="M135" t="s">
        <v>26</v>
      </c>
      <c r="O135" t="s">
        <v>27</v>
      </c>
      <c r="Q135" t="s">
        <v>54</v>
      </c>
      <c r="R135" t="s">
        <v>54</v>
      </c>
    </row>
    <row r="136" spans="1:18" x14ac:dyDescent="0.25">
      <c r="A136" t="s">
        <v>30</v>
      </c>
      <c r="B136">
        <v>216522</v>
      </c>
      <c r="C136" t="s">
        <v>20</v>
      </c>
      <c r="D136" t="s">
        <v>187</v>
      </c>
      <c r="E136" t="s">
        <v>84</v>
      </c>
      <c r="F136">
        <v>1</v>
      </c>
      <c r="G136" s="95">
        <v>44221</v>
      </c>
      <c r="H136" s="95">
        <v>44225</v>
      </c>
      <c r="I136" s="95">
        <v>44225</v>
      </c>
      <c r="K136" t="s">
        <v>24</v>
      </c>
      <c r="L136" t="s">
        <v>37</v>
      </c>
      <c r="O136" t="s">
        <v>27</v>
      </c>
      <c r="Q136" t="s">
        <v>54</v>
      </c>
      <c r="R136" t="s">
        <v>54</v>
      </c>
    </row>
    <row r="137" spans="1:18" x14ac:dyDescent="0.25">
      <c r="A137" t="s">
        <v>30</v>
      </c>
      <c r="B137">
        <v>217040</v>
      </c>
      <c r="C137" t="s">
        <v>20</v>
      </c>
      <c r="D137" t="s">
        <v>189</v>
      </c>
      <c r="E137" t="s">
        <v>79</v>
      </c>
      <c r="F137">
        <v>1</v>
      </c>
      <c r="G137" s="95">
        <v>44223</v>
      </c>
      <c r="H137" s="95">
        <v>44237</v>
      </c>
      <c r="I137" s="95">
        <v>44257</v>
      </c>
      <c r="K137" t="s">
        <v>24</v>
      </c>
      <c r="L137" t="s">
        <v>25</v>
      </c>
      <c r="M137" t="s">
        <v>34</v>
      </c>
      <c r="O137" t="s">
        <v>38</v>
      </c>
      <c r="P137" t="s">
        <v>27</v>
      </c>
      <c r="Q137" t="s">
        <v>29</v>
      </c>
      <c r="R137" t="s">
        <v>28</v>
      </c>
    </row>
    <row r="138" spans="1:18" x14ac:dyDescent="0.25">
      <c r="A138" t="s">
        <v>30</v>
      </c>
      <c r="B138">
        <v>217040</v>
      </c>
      <c r="C138" t="s">
        <v>20</v>
      </c>
      <c r="D138" t="s">
        <v>189</v>
      </c>
      <c r="E138" t="s">
        <v>124</v>
      </c>
      <c r="F138">
        <v>2</v>
      </c>
      <c r="G138" s="95">
        <v>44223</v>
      </c>
      <c r="H138" s="95">
        <v>44237</v>
      </c>
      <c r="I138" s="95">
        <v>44257</v>
      </c>
      <c r="K138" t="s">
        <v>24</v>
      </c>
      <c r="L138" t="s">
        <v>25</v>
      </c>
      <c r="M138" t="s">
        <v>34</v>
      </c>
      <c r="O138" t="s">
        <v>38</v>
      </c>
      <c r="P138" t="s">
        <v>27</v>
      </c>
      <c r="Q138" t="s">
        <v>29</v>
      </c>
      <c r="R138" t="s">
        <v>28</v>
      </c>
    </row>
    <row r="139" spans="1:18" x14ac:dyDescent="0.25">
      <c r="A139" t="s">
        <v>30</v>
      </c>
      <c r="B139">
        <v>217040</v>
      </c>
      <c r="C139" t="s">
        <v>20</v>
      </c>
      <c r="D139" t="s">
        <v>189</v>
      </c>
      <c r="E139" t="s">
        <v>22</v>
      </c>
      <c r="F139">
        <v>2</v>
      </c>
      <c r="G139" s="95">
        <v>44223</v>
      </c>
      <c r="H139" s="95">
        <v>44237</v>
      </c>
      <c r="I139" s="95">
        <v>44257</v>
      </c>
      <c r="K139" t="s">
        <v>24</v>
      </c>
      <c r="L139" t="s">
        <v>25</v>
      </c>
      <c r="M139" t="s">
        <v>34</v>
      </c>
      <c r="O139" t="s">
        <v>38</v>
      </c>
      <c r="P139" t="s">
        <v>27</v>
      </c>
      <c r="Q139" t="s">
        <v>29</v>
      </c>
      <c r="R139" t="s">
        <v>28</v>
      </c>
    </row>
    <row r="140" spans="1:18" x14ac:dyDescent="0.25">
      <c r="A140" t="s">
        <v>30</v>
      </c>
      <c r="B140">
        <v>217040</v>
      </c>
      <c r="C140" t="s">
        <v>20</v>
      </c>
      <c r="D140" t="s">
        <v>189</v>
      </c>
      <c r="E140" t="s">
        <v>46</v>
      </c>
      <c r="F140">
        <v>2</v>
      </c>
      <c r="G140" s="95">
        <v>44223</v>
      </c>
      <c r="H140" s="95">
        <v>44237</v>
      </c>
      <c r="I140" s="95">
        <v>44257</v>
      </c>
      <c r="K140" t="s">
        <v>24</v>
      </c>
      <c r="L140" t="s">
        <v>45</v>
      </c>
      <c r="M140" t="s">
        <v>34</v>
      </c>
      <c r="O140" t="s">
        <v>38</v>
      </c>
      <c r="P140" t="s">
        <v>27</v>
      </c>
      <c r="Q140" t="s">
        <v>29</v>
      </c>
      <c r="R140" t="s">
        <v>28</v>
      </c>
    </row>
    <row r="141" spans="1:18" x14ac:dyDescent="0.25">
      <c r="A141" t="s">
        <v>30</v>
      </c>
      <c r="B141">
        <v>217040</v>
      </c>
      <c r="C141" t="s">
        <v>20</v>
      </c>
      <c r="D141" t="s">
        <v>189</v>
      </c>
      <c r="E141" t="s">
        <v>93</v>
      </c>
      <c r="F141">
        <v>1</v>
      </c>
      <c r="G141" s="95">
        <v>44223</v>
      </c>
      <c r="H141" s="95">
        <v>44237</v>
      </c>
      <c r="I141" s="95">
        <v>44257</v>
      </c>
      <c r="K141" t="s">
        <v>24</v>
      </c>
      <c r="L141" t="s">
        <v>45</v>
      </c>
      <c r="M141" t="s">
        <v>34</v>
      </c>
      <c r="O141" t="s">
        <v>38</v>
      </c>
      <c r="P141" t="s">
        <v>27</v>
      </c>
      <c r="Q141" t="s">
        <v>29</v>
      </c>
      <c r="R141" t="s">
        <v>28</v>
      </c>
    </row>
    <row r="142" spans="1:18" x14ac:dyDescent="0.25">
      <c r="A142" t="s">
        <v>30</v>
      </c>
      <c r="B142">
        <v>217040</v>
      </c>
      <c r="C142" t="s">
        <v>190</v>
      </c>
      <c r="D142" t="s">
        <v>189</v>
      </c>
      <c r="E142" t="s">
        <v>79</v>
      </c>
      <c r="G142" s="95">
        <v>44223</v>
      </c>
      <c r="H142" s="95">
        <v>44231</v>
      </c>
      <c r="I142" s="95">
        <v>44237</v>
      </c>
      <c r="K142" t="s">
        <v>24</v>
      </c>
      <c r="L142" t="s">
        <v>25</v>
      </c>
      <c r="M142" t="s">
        <v>34</v>
      </c>
      <c r="O142" t="s">
        <v>38</v>
      </c>
      <c r="P142" t="s">
        <v>27</v>
      </c>
      <c r="Q142" t="s">
        <v>29</v>
      </c>
      <c r="R142" t="s">
        <v>28</v>
      </c>
    </row>
    <row r="143" spans="1:18" x14ac:dyDescent="0.25">
      <c r="A143" t="s">
        <v>30</v>
      </c>
      <c r="B143">
        <v>217040</v>
      </c>
      <c r="C143" t="s">
        <v>62</v>
      </c>
      <c r="D143" t="s">
        <v>189</v>
      </c>
      <c r="E143" t="s">
        <v>74</v>
      </c>
      <c r="G143" s="95">
        <v>44223</v>
      </c>
      <c r="H143" s="95">
        <v>44231</v>
      </c>
      <c r="I143" s="95">
        <v>44231</v>
      </c>
      <c r="J143" t="s">
        <v>191</v>
      </c>
      <c r="K143" t="s">
        <v>24</v>
      </c>
      <c r="L143" t="s">
        <v>25</v>
      </c>
      <c r="M143" t="s">
        <v>34</v>
      </c>
    </row>
    <row r="144" spans="1:18" x14ac:dyDescent="0.25">
      <c r="A144" t="s">
        <v>192</v>
      </c>
      <c r="B144">
        <v>217219</v>
      </c>
      <c r="C144" t="s">
        <v>20</v>
      </c>
      <c r="D144" t="s">
        <v>193</v>
      </c>
      <c r="E144" t="s">
        <v>48</v>
      </c>
      <c r="F144">
        <v>1</v>
      </c>
      <c r="G144" s="95">
        <v>44213</v>
      </c>
      <c r="H144" s="95">
        <v>44225</v>
      </c>
      <c r="I144" s="95">
        <v>44225</v>
      </c>
      <c r="K144" t="s">
        <v>24</v>
      </c>
      <c r="L144" t="s">
        <v>37</v>
      </c>
      <c r="M144" t="s">
        <v>26</v>
      </c>
      <c r="O144" t="s">
        <v>38</v>
      </c>
      <c r="P144" t="s">
        <v>38</v>
      </c>
      <c r="Q144" t="s">
        <v>54</v>
      </c>
      <c r="R144" t="s">
        <v>54</v>
      </c>
    </row>
    <row r="145" spans="1:18" x14ac:dyDescent="0.25">
      <c r="A145" t="s">
        <v>159</v>
      </c>
      <c r="B145">
        <v>217369</v>
      </c>
      <c r="C145" t="s">
        <v>77</v>
      </c>
      <c r="D145" t="s">
        <v>194</v>
      </c>
      <c r="E145" t="s">
        <v>195</v>
      </c>
      <c r="F145">
        <v>1</v>
      </c>
      <c r="G145" s="95">
        <v>44224</v>
      </c>
      <c r="H145" s="95">
        <v>44225</v>
      </c>
      <c r="I145" s="95">
        <v>44225</v>
      </c>
      <c r="K145" t="s">
        <v>24</v>
      </c>
      <c r="L145" t="s">
        <v>37</v>
      </c>
      <c r="M145" t="s">
        <v>26</v>
      </c>
      <c r="O145" t="s">
        <v>38</v>
      </c>
    </row>
    <row r="146" spans="1:18" x14ac:dyDescent="0.25">
      <c r="A146" t="s">
        <v>39</v>
      </c>
      <c r="B146" t="s">
        <v>61</v>
      </c>
      <c r="C146" t="s">
        <v>20</v>
      </c>
      <c r="D146" t="s">
        <v>196</v>
      </c>
      <c r="E146" t="s">
        <v>79</v>
      </c>
      <c r="F146">
        <v>1</v>
      </c>
      <c r="G146" s="95">
        <v>44225</v>
      </c>
      <c r="H146" s="95">
        <v>44228</v>
      </c>
      <c r="I146" s="95">
        <v>44228</v>
      </c>
      <c r="J146" t="s">
        <v>197</v>
      </c>
      <c r="K146" t="s">
        <v>24</v>
      </c>
      <c r="L146" t="s">
        <v>37</v>
      </c>
      <c r="M146" t="s">
        <v>26</v>
      </c>
      <c r="O146" t="s">
        <v>27</v>
      </c>
      <c r="P146" t="s">
        <v>27</v>
      </c>
    </row>
    <row r="147" spans="1:18" x14ac:dyDescent="0.25">
      <c r="A147" t="s">
        <v>30</v>
      </c>
      <c r="B147">
        <v>217648</v>
      </c>
      <c r="C147" t="s">
        <v>77</v>
      </c>
      <c r="D147" t="s">
        <v>198</v>
      </c>
      <c r="E147" t="s">
        <v>199</v>
      </c>
      <c r="F147">
        <v>2</v>
      </c>
      <c r="G147" s="95">
        <v>44225</v>
      </c>
      <c r="H147" s="95">
        <v>44225</v>
      </c>
      <c r="I147" s="95">
        <v>44225</v>
      </c>
      <c r="K147" t="s">
        <v>24</v>
      </c>
      <c r="L147" t="s">
        <v>37</v>
      </c>
      <c r="M147" t="s">
        <v>26</v>
      </c>
      <c r="O147" t="s">
        <v>38</v>
      </c>
      <c r="Q147" t="s">
        <v>54</v>
      </c>
      <c r="R147" t="s">
        <v>54</v>
      </c>
    </row>
    <row r="148" spans="1:18" x14ac:dyDescent="0.25">
      <c r="A148" t="s">
        <v>39</v>
      </c>
      <c r="B148" t="s">
        <v>61</v>
      </c>
      <c r="C148" t="s">
        <v>20</v>
      </c>
      <c r="D148" t="s">
        <v>200</v>
      </c>
      <c r="E148" t="s">
        <v>201</v>
      </c>
      <c r="F148">
        <v>6</v>
      </c>
      <c r="G148" s="95">
        <v>44225</v>
      </c>
      <c r="H148" s="95">
        <v>44235</v>
      </c>
      <c r="I148" s="95">
        <v>44235</v>
      </c>
      <c r="J148" t="s">
        <v>202</v>
      </c>
      <c r="K148" t="s">
        <v>24</v>
      </c>
      <c r="L148" t="s">
        <v>25</v>
      </c>
      <c r="M148" t="s">
        <v>26</v>
      </c>
      <c r="O148" t="s">
        <v>27</v>
      </c>
      <c r="P148" t="s">
        <v>27</v>
      </c>
    </row>
    <row r="149" spans="1:18" x14ac:dyDescent="0.25">
      <c r="A149" t="s">
        <v>39</v>
      </c>
      <c r="B149" t="s">
        <v>61</v>
      </c>
      <c r="C149" t="s">
        <v>20</v>
      </c>
      <c r="D149" t="s">
        <v>200</v>
      </c>
      <c r="E149" t="s">
        <v>79</v>
      </c>
      <c r="F149">
        <v>1</v>
      </c>
      <c r="G149" s="95">
        <v>44225</v>
      </c>
      <c r="H149" s="95">
        <v>44235</v>
      </c>
      <c r="I149" s="95">
        <v>44235</v>
      </c>
      <c r="J149" t="s">
        <v>202</v>
      </c>
      <c r="K149" t="s">
        <v>24</v>
      </c>
      <c r="L149" t="s">
        <v>25</v>
      </c>
      <c r="M149" t="s">
        <v>26</v>
      </c>
      <c r="O149" t="s">
        <v>27</v>
      </c>
      <c r="P149" t="s">
        <v>27</v>
      </c>
    </row>
    <row r="150" spans="1:18" x14ac:dyDescent="0.25">
      <c r="A150" t="s">
        <v>35</v>
      </c>
      <c r="B150">
        <v>217815</v>
      </c>
      <c r="C150" t="s">
        <v>20</v>
      </c>
      <c r="D150" t="s">
        <v>203</v>
      </c>
      <c r="E150" t="s">
        <v>46</v>
      </c>
      <c r="F150">
        <v>1</v>
      </c>
      <c r="G150" s="95">
        <v>44225</v>
      </c>
      <c r="H150" s="95">
        <v>44236</v>
      </c>
      <c r="I150" s="95">
        <v>44238</v>
      </c>
      <c r="K150" t="s">
        <v>24</v>
      </c>
      <c r="L150" t="s">
        <v>25</v>
      </c>
      <c r="M150" t="s">
        <v>26</v>
      </c>
      <c r="O150" t="s">
        <v>27</v>
      </c>
      <c r="P150" t="s">
        <v>27</v>
      </c>
      <c r="Q150" t="s">
        <v>29</v>
      </c>
      <c r="R150" t="s">
        <v>29</v>
      </c>
    </row>
    <row r="151" spans="1:18" x14ac:dyDescent="0.25">
      <c r="A151" t="s">
        <v>35</v>
      </c>
      <c r="B151">
        <v>217815</v>
      </c>
      <c r="C151" t="s">
        <v>20</v>
      </c>
      <c r="D151" t="s">
        <v>203</v>
      </c>
      <c r="E151" t="s">
        <v>22</v>
      </c>
      <c r="F151">
        <v>1</v>
      </c>
      <c r="G151" s="95">
        <v>44225</v>
      </c>
      <c r="H151" s="95">
        <v>44236</v>
      </c>
      <c r="I151" s="95">
        <v>44238</v>
      </c>
      <c r="K151" t="s">
        <v>24</v>
      </c>
      <c r="L151" t="s">
        <v>25</v>
      </c>
      <c r="M151" t="s">
        <v>26</v>
      </c>
      <c r="O151" t="s">
        <v>27</v>
      </c>
      <c r="P151" t="s">
        <v>27</v>
      </c>
      <c r="Q151" t="s">
        <v>29</v>
      </c>
      <c r="R151" t="s">
        <v>29</v>
      </c>
    </row>
    <row r="152" spans="1:18" x14ac:dyDescent="0.25">
      <c r="A152" t="s">
        <v>35</v>
      </c>
      <c r="B152">
        <v>217444</v>
      </c>
      <c r="C152" t="s">
        <v>20</v>
      </c>
      <c r="D152" t="s">
        <v>204</v>
      </c>
      <c r="E152" t="s">
        <v>46</v>
      </c>
      <c r="F152">
        <v>1</v>
      </c>
      <c r="G152" s="95">
        <v>44225</v>
      </c>
      <c r="H152" s="95">
        <v>44245</v>
      </c>
      <c r="I152" s="95">
        <v>44249</v>
      </c>
      <c r="K152" t="s">
        <v>24</v>
      </c>
      <c r="L152" t="s">
        <v>25</v>
      </c>
      <c r="M152" t="s">
        <v>26</v>
      </c>
      <c r="O152" t="s">
        <v>27</v>
      </c>
      <c r="P152" t="s">
        <v>27</v>
      </c>
      <c r="Q152" t="s">
        <v>29</v>
      </c>
      <c r="R152" t="s">
        <v>29</v>
      </c>
    </row>
    <row r="153" spans="1:18" x14ac:dyDescent="0.25">
      <c r="A153" t="s">
        <v>35</v>
      </c>
      <c r="B153">
        <v>217444</v>
      </c>
      <c r="C153" t="s">
        <v>20</v>
      </c>
      <c r="D153" t="s">
        <v>204</v>
      </c>
      <c r="E153" t="s">
        <v>22</v>
      </c>
      <c r="F153">
        <v>1</v>
      </c>
      <c r="G153" s="95">
        <v>44225</v>
      </c>
      <c r="H153" s="95">
        <v>44245</v>
      </c>
      <c r="I153" s="95">
        <v>44249</v>
      </c>
      <c r="K153" t="s">
        <v>24</v>
      </c>
      <c r="L153" t="s">
        <v>25</v>
      </c>
      <c r="M153" t="s">
        <v>26</v>
      </c>
      <c r="O153" t="s">
        <v>27</v>
      </c>
      <c r="P153" t="s">
        <v>27</v>
      </c>
      <c r="Q153" t="s">
        <v>29</v>
      </c>
      <c r="R153" t="s">
        <v>29</v>
      </c>
    </row>
    <row r="154" spans="1:18" x14ac:dyDescent="0.25">
      <c r="A154" t="s">
        <v>35</v>
      </c>
      <c r="B154">
        <v>217440</v>
      </c>
      <c r="C154" t="s">
        <v>20</v>
      </c>
      <c r="D154" t="s">
        <v>205</v>
      </c>
      <c r="E154" t="s">
        <v>46</v>
      </c>
      <c r="F154">
        <v>1</v>
      </c>
      <c r="G154" s="95">
        <v>44225</v>
      </c>
      <c r="H154" s="95">
        <v>44239</v>
      </c>
      <c r="I154" s="95">
        <v>44239</v>
      </c>
      <c r="K154" t="s">
        <v>24</v>
      </c>
      <c r="L154" t="s">
        <v>25</v>
      </c>
      <c r="M154" t="s">
        <v>26</v>
      </c>
      <c r="O154" t="s">
        <v>27</v>
      </c>
      <c r="P154" t="s">
        <v>27</v>
      </c>
      <c r="Q154" t="s">
        <v>29</v>
      </c>
      <c r="R154" t="s">
        <v>29</v>
      </c>
    </row>
    <row r="155" spans="1:18" x14ac:dyDescent="0.25">
      <c r="A155" t="s">
        <v>35</v>
      </c>
      <c r="B155">
        <v>217440</v>
      </c>
      <c r="C155" t="s">
        <v>20</v>
      </c>
      <c r="D155" t="s">
        <v>205</v>
      </c>
      <c r="E155" t="s">
        <v>22</v>
      </c>
      <c r="F155">
        <v>1</v>
      </c>
      <c r="G155" s="95">
        <v>44225</v>
      </c>
      <c r="H155" s="95">
        <v>44239</v>
      </c>
      <c r="I155" s="95">
        <v>44239</v>
      </c>
      <c r="K155" t="s">
        <v>24</v>
      </c>
      <c r="L155" t="s">
        <v>25</v>
      </c>
      <c r="M155" t="s">
        <v>26</v>
      </c>
      <c r="O155" t="s">
        <v>27</v>
      </c>
      <c r="P155" t="s">
        <v>27</v>
      </c>
      <c r="Q155" t="s">
        <v>29</v>
      </c>
      <c r="R155" t="s">
        <v>29</v>
      </c>
    </row>
    <row r="156" spans="1:18" x14ac:dyDescent="0.25">
      <c r="A156" t="s">
        <v>132</v>
      </c>
      <c r="B156">
        <v>213775</v>
      </c>
      <c r="C156" t="s">
        <v>20</v>
      </c>
      <c r="D156" t="s">
        <v>206</v>
      </c>
      <c r="E156" t="s">
        <v>22</v>
      </c>
      <c r="F156">
        <v>1</v>
      </c>
      <c r="G156" s="95">
        <v>44223</v>
      </c>
      <c r="H156" s="95">
        <v>44235</v>
      </c>
      <c r="I156" s="95">
        <v>44235</v>
      </c>
      <c r="K156" t="s">
        <v>24</v>
      </c>
      <c r="L156" t="s">
        <v>58</v>
      </c>
      <c r="M156" t="s">
        <v>26</v>
      </c>
      <c r="O156" t="s">
        <v>38</v>
      </c>
      <c r="P156" t="s">
        <v>38</v>
      </c>
      <c r="Q156" t="s">
        <v>54</v>
      </c>
      <c r="R156" t="s">
        <v>54</v>
      </c>
    </row>
    <row r="157" spans="1:18" x14ac:dyDescent="0.25">
      <c r="A157" t="s">
        <v>132</v>
      </c>
      <c r="B157">
        <v>213775</v>
      </c>
      <c r="C157" t="s">
        <v>140</v>
      </c>
      <c r="D157" t="s">
        <v>206</v>
      </c>
      <c r="E157" t="s">
        <v>46</v>
      </c>
      <c r="F157">
        <v>1</v>
      </c>
      <c r="G157" s="95">
        <v>44223</v>
      </c>
      <c r="H157" s="95">
        <v>44235</v>
      </c>
      <c r="I157" s="95">
        <v>44235</v>
      </c>
      <c r="K157" t="s">
        <v>24</v>
      </c>
      <c r="L157" t="s">
        <v>58</v>
      </c>
      <c r="M157" t="s">
        <v>26</v>
      </c>
      <c r="O157" t="s">
        <v>38</v>
      </c>
      <c r="P157" t="s">
        <v>38</v>
      </c>
      <c r="Q157" t="s">
        <v>54</v>
      </c>
      <c r="R157" t="s">
        <v>54</v>
      </c>
    </row>
    <row r="158" spans="1:18" x14ac:dyDescent="0.25">
      <c r="A158" t="s">
        <v>132</v>
      </c>
      <c r="B158">
        <v>213775</v>
      </c>
      <c r="C158" t="s">
        <v>140</v>
      </c>
      <c r="D158" t="s">
        <v>206</v>
      </c>
      <c r="E158" t="s">
        <v>106</v>
      </c>
      <c r="F158">
        <v>1</v>
      </c>
      <c r="G158" s="95">
        <v>44223</v>
      </c>
      <c r="H158" s="95">
        <v>44235</v>
      </c>
      <c r="I158" s="95">
        <v>44235</v>
      </c>
      <c r="K158" t="s">
        <v>24</v>
      </c>
      <c r="L158" t="s">
        <v>58</v>
      </c>
      <c r="M158" t="s">
        <v>26</v>
      </c>
      <c r="O158" t="s">
        <v>38</v>
      </c>
      <c r="P158" t="s">
        <v>38</v>
      </c>
      <c r="Q158" t="s">
        <v>54</v>
      </c>
      <c r="R158" t="s">
        <v>54</v>
      </c>
    </row>
    <row r="159" spans="1:18" x14ac:dyDescent="0.25">
      <c r="A159" t="s">
        <v>132</v>
      </c>
      <c r="B159">
        <v>213775</v>
      </c>
      <c r="C159" t="s">
        <v>140</v>
      </c>
      <c r="D159" t="s">
        <v>206</v>
      </c>
      <c r="E159" t="s">
        <v>107</v>
      </c>
      <c r="F159">
        <v>1</v>
      </c>
      <c r="G159" s="95">
        <v>44223</v>
      </c>
      <c r="H159" s="95">
        <v>44235</v>
      </c>
      <c r="I159" s="95">
        <v>44235</v>
      </c>
      <c r="K159" t="s">
        <v>24</v>
      </c>
      <c r="L159" t="s">
        <v>58</v>
      </c>
      <c r="M159" t="s">
        <v>26</v>
      </c>
      <c r="O159" t="s">
        <v>38</v>
      </c>
      <c r="P159" t="s">
        <v>38</v>
      </c>
      <c r="Q159" t="s">
        <v>54</v>
      </c>
      <c r="R159" t="s">
        <v>54</v>
      </c>
    </row>
    <row r="160" spans="1:18" x14ac:dyDescent="0.25">
      <c r="A160" t="s">
        <v>132</v>
      </c>
      <c r="B160">
        <v>213775</v>
      </c>
      <c r="C160" t="s">
        <v>20</v>
      </c>
      <c r="D160" t="s">
        <v>206</v>
      </c>
      <c r="E160" t="s">
        <v>170</v>
      </c>
      <c r="F160">
        <v>1</v>
      </c>
      <c r="G160" s="95">
        <v>44223</v>
      </c>
      <c r="H160" s="95">
        <v>44235</v>
      </c>
      <c r="I160" s="95">
        <v>44235</v>
      </c>
      <c r="K160" t="s">
        <v>24</v>
      </c>
      <c r="L160" t="s">
        <v>58</v>
      </c>
      <c r="M160" t="s">
        <v>26</v>
      </c>
      <c r="O160" t="s">
        <v>38</v>
      </c>
      <c r="P160" t="s">
        <v>38</v>
      </c>
      <c r="Q160" t="s">
        <v>54</v>
      </c>
      <c r="R160" t="s">
        <v>54</v>
      </c>
    </row>
    <row r="161" spans="1:18" x14ac:dyDescent="0.25">
      <c r="A161" t="s">
        <v>132</v>
      </c>
      <c r="B161">
        <v>213775</v>
      </c>
      <c r="C161" t="s">
        <v>20</v>
      </c>
      <c r="D161" t="s">
        <v>206</v>
      </c>
      <c r="E161" t="s">
        <v>67</v>
      </c>
      <c r="F161">
        <v>1</v>
      </c>
      <c r="G161" s="95">
        <v>44223</v>
      </c>
      <c r="H161" s="95">
        <v>44235</v>
      </c>
      <c r="I161" s="95">
        <v>44235</v>
      </c>
      <c r="K161" t="s">
        <v>24</v>
      </c>
      <c r="L161" t="s">
        <v>58</v>
      </c>
      <c r="M161" t="s">
        <v>26</v>
      </c>
      <c r="O161" t="s">
        <v>38</v>
      </c>
      <c r="P161" t="s">
        <v>38</v>
      </c>
      <c r="Q161" t="s">
        <v>54</v>
      </c>
      <c r="R161" t="s">
        <v>54</v>
      </c>
    </row>
    <row r="162" spans="1:18" x14ac:dyDescent="0.25">
      <c r="A162" t="s">
        <v>30</v>
      </c>
      <c r="B162">
        <v>214435</v>
      </c>
      <c r="C162" t="s">
        <v>140</v>
      </c>
      <c r="D162" t="s">
        <v>207</v>
      </c>
      <c r="E162" t="s">
        <v>22</v>
      </c>
      <c r="F162">
        <v>8</v>
      </c>
      <c r="G162" s="95">
        <v>44210</v>
      </c>
      <c r="H162" s="95">
        <v>44230</v>
      </c>
      <c r="I162" s="95">
        <v>44229</v>
      </c>
      <c r="K162" t="s">
        <v>24</v>
      </c>
      <c r="L162" t="s">
        <v>58</v>
      </c>
      <c r="M162" t="s">
        <v>26</v>
      </c>
      <c r="O162" t="s">
        <v>38</v>
      </c>
      <c r="P162" t="s">
        <v>38</v>
      </c>
      <c r="Q162" t="s">
        <v>54</v>
      </c>
      <c r="R162" t="s">
        <v>185</v>
      </c>
    </row>
    <row r="163" spans="1:18" x14ac:dyDescent="0.25">
      <c r="A163" t="s">
        <v>30</v>
      </c>
      <c r="B163">
        <v>214435</v>
      </c>
      <c r="C163" t="s">
        <v>140</v>
      </c>
      <c r="D163" t="s">
        <v>207</v>
      </c>
      <c r="E163" t="s">
        <v>46</v>
      </c>
      <c r="F163">
        <v>8</v>
      </c>
      <c r="G163" s="95">
        <v>44210</v>
      </c>
      <c r="H163" s="95">
        <v>44230</v>
      </c>
      <c r="I163" s="95">
        <v>44229</v>
      </c>
      <c r="K163" t="s">
        <v>24</v>
      </c>
      <c r="L163" t="s">
        <v>58</v>
      </c>
      <c r="M163" t="s">
        <v>26</v>
      </c>
      <c r="O163" t="s">
        <v>38</v>
      </c>
      <c r="P163" t="s">
        <v>38</v>
      </c>
      <c r="Q163" t="s">
        <v>54</v>
      </c>
      <c r="R163" t="s">
        <v>185</v>
      </c>
    </row>
    <row r="164" spans="1:18" x14ac:dyDescent="0.25">
      <c r="A164" t="s">
        <v>76</v>
      </c>
      <c r="B164">
        <v>217958</v>
      </c>
      <c r="C164" t="s">
        <v>20</v>
      </c>
      <c r="D164" t="s">
        <v>208</v>
      </c>
      <c r="E164" t="s">
        <v>46</v>
      </c>
      <c r="F164">
        <v>1</v>
      </c>
      <c r="G164" s="95">
        <v>44228</v>
      </c>
      <c r="H164" s="95">
        <v>44235</v>
      </c>
      <c r="I164" s="95">
        <v>44245</v>
      </c>
      <c r="K164" t="s">
        <v>24</v>
      </c>
      <c r="L164" t="s">
        <v>25</v>
      </c>
      <c r="M164" t="s">
        <v>26</v>
      </c>
      <c r="O164" t="s">
        <v>27</v>
      </c>
      <c r="P164" t="s">
        <v>27</v>
      </c>
      <c r="Q164" t="s">
        <v>28</v>
      </c>
      <c r="R164" t="s">
        <v>54</v>
      </c>
    </row>
    <row r="165" spans="1:18" x14ac:dyDescent="0.25">
      <c r="A165" t="s">
        <v>76</v>
      </c>
      <c r="B165">
        <v>217958</v>
      </c>
      <c r="C165" t="s">
        <v>20</v>
      </c>
      <c r="D165" t="s">
        <v>208</v>
      </c>
      <c r="E165" t="s">
        <v>107</v>
      </c>
      <c r="F165">
        <v>1</v>
      </c>
      <c r="G165" s="95">
        <v>44228</v>
      </c>
      <c r="H165" s="95">
        <v>44235</v>
      </c>
      <c r="I165" s="95">
        <v>44245</v>
      </c>
      <c r="K165" t="s">
        <v>24</v>
      </c>
      <c r="L165" t="s">
        <v>25</v>
      </c>
      <c r="M165" t="s">
        <v>26</v>
      </c>
      <c r="O165" t="s">
        <v>27</v>
      </c>
      <c r="P165" t="s">
        <v>27</v>
      </c>
      <c r="Q165" t="s">
        <v>28</v>
      </c>
      <c r="R165" t="s">
        <v>54</v>
      </c>
    </row>
    <row r="166" spans="1:18" x14ac:dyDescent="0.25">
      <c r="A166" t="s">
        <v>76</v>
      </c>
      <c r="B166">
        <v>217958</v>
      </c>
      <c r="C166" t="s">
        <v>20</v>
      </c>
      <c r="D166" t="s">
        <v>208</v>
      </c>
      <c r="E166" t="s">
        <v>153</v>
      </c>
      <c r="F166">
        <v>3</v>
      </c>
      <c r="G166" s="95">
        <v>44228</v>
      </c>
      <c r="H166" s="95">
        <v>44235</v>
      </c>
      <c r="I166" s="95">
        <v>44245</v>
      </c>
      <c r="K166" t="s">
        <v>24</v>
      </c>
      <c r="L166" t="s">
        <v>25</v>
      </c>
      <c r="M166" t="s">
        <v>26</v>
      </c>
      <c r="O166" t="s">
        <v>27</v>
      </c>
      <c r="P166" t="s">
        <v>27</v>
      </c>
      <c r="Q166" t="s">
        <v>28</v>
      </c>
      <c r="R166" t="s">
        <v>54</v>
      </c>
    </row>
    <row r="167" spans="1:18" x14ac:dyDescent="0.25">
      <c r="A167" t="s">
        <v>76</v>
      </c>
      <c r="B167">
        <v>217958</v>
      </c>
      <c r="C167" t="s">
        <v>20</v>
      </c>
      <c r="D167" t="s">
        <v>208</v>
      </c>
      <c r="E167" t="s">
        <v>69</v>
      </c>
      <c r="F167">
        <v>1</v>
      </c>
      <c r="G167" s="95">
        <v>44228</v>
      </c>
      <c r="H167" s="95">
        <v>44235</v>
      </c>
      <c r="I167" s="95">
        <v>44245</v>
      </c>
      <c r="K167" t="s">
        <v>24</v>
      </c>
      <c r="L167" t="s">
        <v>25</v>
      </c>
      <c r="M167" t="s">
        <v>26</v>
      </c>
      <c r="O167" t="s">
        <v>27</v>
      </c>
      <c r="P167" t="s">
        <v>27</v>
      </c>
      <c r="Q167" t="s">
        <v>28</v>
      </c>
      <c r="R167" t="s">
        <v>54</v>
      </c>
    </row>
    <row r="168" spans="1:18" x14ac:dyDescent="0.25">
      <c r="A168" t="s">
        <v>52</v>
      </c>
      <c r="B168">
        <v>194539</v>
      </c>
      <c r="C168" t="s">
        <v>140</v>
      </c>
      <c r="D168" t="s">
        <v>209</v>
      </c>
      <c r="E168" t="s">
        <v>46</v>
      </c>
      <c r="F168">
        <v>1</v>
      </c>
      <c r="G168" s="95">
        <v>44111</v>
      </c>
      <c r="H168" s="95">
        <v>44547</v>
      </c>
      <c r="I168" s="95">
        <v>44547</v>
      </c>
      <c r="J168" t="s">
        <v>210</v>
      </c>
      <c r="K168" t="s">
        <v>24</v>
      </c>
      <c r="L168" t="s">
        <v>25</v>
      </c>
      <c r="M168" t="s">
        <v>34</v>
      </c>
      <c r="N168">
        <v>2</v>
      </c>
      <c r="O168" t="s">
        <v>27</v>
      </c>
      <c r="P168" t="s">
        <v>27</v>
      </c>
      <c r="Q168" t="s">
        <v>54</v>
      </c>
      <c r="R168" t="s">
        <v>28</v>
      </c>
    </row>
    <row r="169" spans="1:18" x14ac:dyDescent="0.25">
      <c r="A169" t="s">
        <v>52</v>
      </c>
      <c r="B169">
        <v>194539</v>
      </c>
      <c r="C169" t="s">
        <v>140</v>
      </c>
      <c r="D169" t="s">
        <v>209</v>
      </c>
      <c r="E169" t="s">
        <v>22</v>
      </c>
      <c r="F169">
        <v>1</v>
      </c>
      <c r="G169" s="95">
        <v>44111</v>
      </c>
      <c r="H169" s="95">
        <v>44547</v>
      </c>
      <c r="I169" s="95">
        <v>44547</v>
      </c>
      <c r="J169" t="s">
        <v>210</v>
      </c>
      <c r="K169" t="s">
        <v>24</v>
      </c>
      <c r="L169" t="s">
        <v>25</v>
      </c>
      <c r="M169" t="s">
        <v>34</v>
      </c>
      <c r="N169">
        <v>2</v>
      </c>
      <c r="O169" t="s">
        <v>27</v>
      </c>
      <c r="P169" t="s">
        <v>27</v>
      </c>
      <c r="Q169" t="s">
        <v>54</v>
      </c>
      <c r="R169" t="s">
        <v>28</v>
      </c>
    </row>
    <row r="170" spans="1:18" x14ac:dyDescent="0.25">
      <c r="A170" t="s">
        <v>52</v>
      </c>
      <c r="B170">
        <v>194539</v>
      </c>
      <c r="C170" t="s">
        <v>140</v>
      </c>
      <c r="D170" t="s">
        <v>209</v>
      </c>
      <c r="E170" t="s">
        <v>104</v>
      </c>
      <c r="F170">
        <v>1</v>
      </c>
      <c r="G170" s="95">
        <v>44111</v>
      </c>
      <c r="H170" s="95">
        <v>44547</v>
      </c>
      <c r="I170" s="95">
        <v>44547</v>
      </c>
      <c r="J170" t="s">
        <v>210</v>
      </c>
      <c r="K170" t="s">
        <v>24</v>
      </c>
      <c r="L170" t="s">
        <v>25</v>
      </c>
      <c r="M170" t="s">
        <v>34</v>
      </c>
      <c r="N170">
        <v>2</v>
      </c>
      <c r="O170" t="s">
        <v>27</v>
      </c>
      <c r="P170" t="s">
        <v>27</v>
      </c>
      <c r="Q170" t="s">
        <v>54</v>
      </c>
      <c r="R170" t="s">
        <v>28</v>
      </c>
    </row>
    <row r="171" spans="1:18" x14ac:dyDescent="0.25">
      <c r="A171" t="s">
        <v>52</v>
      </c>
      <c r="B171">
        <v>194539</v>
      </c>
      <c r="C171" t="s">
        <v>140</v>
      </c>
      <c r="D171" t="s">
        <v>209</v>
      </c>
      <c r="E171" t="s">
        <v>111</v>
      </c>
      <c r="F171">
        <v>1</v>
      </c>
      <c r="G171" s="95">
        <v>44111</v>
      </c>
      <c r="H171" s="95">
        <v>44547</v>
      </c>
      <c r="I171" s="95">
        <v>44547</v>
      </c>
      <c r="J171" t="s">
        <v>210</v>
      </c>
      <c r="K171" t="s">
        <v>24</v>
      </c>
      <c r="L171" t="s">
        <v>25</v>
      </c>
      <c r="M171" t="s">
        <v>34</v>
      </c>
      <c r="N171">
        <v>2</v>
      </c>
      <c r="O171" t="s">
        <v>27</v>
      </c>
      <c r="P171" t="s">
        <v>27</v>
      </c>
      <c r="Q171" t="s">
        <v>54</v>
      </c>
      <c r="R171" t="s">
        <v>28</v>
      </c>
    </row>
    <row r="172" spans="1:18" x14ac:dyDescent="0.25">
      <c r="A172" t="s">
        <v>39</v>
      </c>
      <c r="B172">
        <v>217854</v>
      </c>
      <c r="C172" t="s">
        <v>20</v>
      </c>
      <c r="D172" t="s">
        <v>211</v>
      </c>
      <c r="E172" t="s">
        <v>124</v>
      </c>
      <c r="F172">
        <v>1</v>
      </c>
      <c r="G172" s="95">
        <v>44225</v>
      </c>
      <c r="H172" s="95">
        <v>44249</v>
      </c>
      <c r="I172" s="95">
        <v>44249</v>
      </c>
      <c r="K172" t="s">
        <v>24</v>
      </c>
      <c r="L172" t="s">
        <v>25</v>
      </c>
      <c r="M172" t="s">
        <v>26</v>
      </c>
      <c r="O172" t="s">
        <v>27</v>
      </c>
      <c r="P172" t="s">
        <v>27</v>
      </c>
      <c r="Q172" t="s">
        <v>29</v>
      </c>
      <c r="R172" t="s">
        <v>29</v>
      </c>
    </row>
    <row r="173" spans="1:18" x14ac:dyDescent="0.25">
      <c r="A173" t="s">
        <v>39</v>
      </c>
      <c r="B173">
        <v>217854</v>
      </c>
      <c r="C173" t="s">
        <v>20</v>
      </c>
      <c r="D173" t="s">
        <v>211</v>
      </c>
      <c r="E173" t="s">
        <v>127</v>
      </c>
      <c r="F173">
        <v>1</v>
      </c>
      <c r="G173" s="95">
        <v>44225</v>
      </c>
      <c r="H173" s="95">
        <v>44249</v>
      </c>
      <c r="I173" s="95">
        <v>44249</v>
      </c>
      <c r="K173" t="s">
        <v>24</v>
      </c>
      <c r="L173" t="s">
        <v>25</v>
      </c>
      <c r="M173" t="s">
        <v>26</v>
      </c>
      <c r="O173" t="s">
        <v>27</v>
      </c>
      <c r="P173" t="s">
        <v>27</v>
      </c>
      <c r="Q173" t="s">
        <v>29</v>
      </c>
      <c r="R173" t="s">
        <v>29</v>
      </c>
    </row>
    <row r="174" spans="1:18" x14ac:dyDescent="0.25">
      <c r="A174" t="s">
        <v>39</v>
      </c>
      <c r="B174">
        <v>217962</v>
      </c>
      <c r="C174" t="s">
        <v>20</v>
      </c>
      <c r="D174" t="s">
        <v>212</v>
      </c>
      <c r="E174" t="s">
        <v>22</v>
      </c>
      <c r="F174">
        <v>1</v>
      </c>
      <c r="G174" s="95">
        <v>44228</v>
      </c>
      <c r="H174" s="95">
        <v>44236</v>
      </c>
      <c r="I174" s="95">
        <v>44236</v>
      </c>
      <c r="K174" t="s">
        <v>24</v>
      </c>
      <c r="L174" t="s">
        <v>25</v>
      </c>
      <c r="M174" t="s">
        <v>213</v>
      </c>
      <c r="N174">
        <v>1</v>
      </c>
      <c r="O174" t="s">
        <v>27</v>
      </c>
      <c r="P174" t="s">
        <v>38</v>
      </c>
      <c r="Q174" t="s">
        <v>28</v>
      </c>
      <c r="R174" t="s">
        <v>54</v>
      </c>
    </row>
    <row r="175" spans="1:18" x14ac:dyDescent="0.25">
      <c r="A175" t="s">
        <v>39</v>
      </c>
      <c r="B175">
        <v>217962</v>
      </c>
      <c r="C175" t="s">
        <v>20</v>
      </c>
      <c r="D175" t="s">
        <v>212</v>
      </c>
      <c r="E175" t="s">
        <v>46</v>
      </c>
      <c r="F175">
        <v>1</v>
      </c>
      <c r="G175" s="95">
        <v>44228</v>
      </c>
      <c r="H175" s="95">
        <v>44237</v>
      </c>
      <c r="I175" s="95">
        <v>44237</v>
      </c>
      <c r="K175" t="s">
        <v>24</v>
      </c>
      <c r="L175" t="s">
        <v>45</v>
      </c>
      <c r="M175" t="s">
        <v>213</v>
      </c>
      <c r="O175" t="s">
        <v>27</v>
      </c>
      <c r="P175" t="s">
        <v>38</v>
      </c>
      <c r="Q175" t="s">
        <v>28</v>
      </c>
      <c r="R175" t="s">
        <v>54</v>
      </c>
    </row>
    <row r="176" spans="1:18" x14ac:dyDescent="0.25">
      <c r="A176" t="s">
        <v>39</v>
      </c>
      <c r="B176">
        <v>217962</v>
      </c>
      <c r="C176" t="s">
        <v>20</v>
      </c>
      <c r="D176" t="s">
        <v>212</v>
      </c>
      <c r="E176" t="s">
        <v>124</v>
      </c>
      <c r="F176">
        <v>1</v>
      </c>
      <c r="G176" s="95">
        <v>44228</v>
      </c>
      <c r="H176" s="95">
        <v>44237</v>
      </c>
      <c r="I176" s="95">
        <v>44237</v>
      </c>
      <c r="K176" t="s">
        <v>24</v>
      </c>
      <c r="L176" t="s">
        <v>25</v>
      </c>
      <c r="M176" t="s">
        <v>213</v>
      </c>
      <c r="O176" t="s">
        <v>27</v>
      </c>
      <c r="P176" t="s">
        <v>38</v>
      </c>
      <c r="Q176" t="s">
        <v>28</v>
      </c>
      <c r="R176" t="s">
        <v>54</v>
      </c>
    </row>
    <row r="177" spans="1:18" x14ac:dyDescent="0.25">
      <c r="A177" t="s">
        <v>182</v>
      </c>
      <c r="B177">
        <v>218138</v>
      </c>
      <c r="C177" t="s">
        <v>140</v>
      </c>
      <c r="D177" t="s">
        <v>214</v>
      </c>
      <c r="E177" t="s">
        <v>142</v>
      </c>
      <c r="F177">
        <v>2</v>
      </c>
      <c r="G177" s="95">
        <v>44228</v>
      </c>
      <c r="H177" s="95">
        <v>44232</v>
      </c>
      <c r="I177" s="95">
        <v>44230</v>
      </c>
      <c r="K177" t="s">
        <v>24</v>
      </c>
      <c r="L177" t="s">
        <v>58</v>
      </c>
      <c r="M177" t="s">
        <v>26</v>
      </c>
      <c r="O177" t="s">
        <v>38</v>
      </c>
      <c r="P177" t="s">
        <v>38</v>
      </c>
      <c r="Q177" t="s">
        <v>54</v>
      </c>
      <c r="R177" t="s">
        <v>28</v>
      </c>
    </row>
    <row r="178" spans="1:18" x14ac:dyDescent="0.25">
      <c r="A178" t="s">
        <v>182</v>
      </c>
      <c r="B178">
        <v>218138</v>
      </c>
      <c r="C178" t="s">
        <v>140</v>
      </c>
      <c r="D178" t="s">
        <v>214</v>
      </c>
      <c r="E178" t="s">
        <v>94</v>
      </c>
      <c r="F178">
        <v>5</v>
      </c>
      <c r="G178" s="95">
        <v>44228</v>
      </c>
      <c r="H178" s="95">
        <v>44232</v>
      </c>
      <c r="I178" s="95">
        <v>44230</v>
      </c>
      <c r="K178" t="s">
        <v>24</v>
      </c>
      <c r="L178" t="s">
        <v>58</v>
      </c>
      <c r="M178" t="s">
        <v>26</v>
      </c>
      <c r="O178" t="s">
        <v>38</v>
      </c>
      <c r="P178" t="s">
        <v>38</v>
      </c>
      <c r="Q178" t="s">
        <v>54</v>
      </c>
      <c r="R178" t="s">
        <v>28</v>
      </c>
    </row>
    <row r="179" spans="1:18" x14ac:dyDescent="0.25">
      <c r="A179" t="s">
        <v>130</v>
      </c>
      <c r="B179">
        <v>218164</v>
      </c>
      <c r="C179" t="s">
        <v>77</v>
      </c>
      <c r="D179" t="s">
        <v>215</v>
      </c>
      <c r="E179" t="s">
        <v>79</v>
      </c>
      <c r="F179">
        <v>1</v>
      </c>
      <c r="G179" s="95">
        <v>44228</v>
      </c>
      <c r="H179" s="95">
        <v>44229</v>
      </c>
      <c r="I179" s="95">
        <v>44229</v>
      </c>
      <c r="K179" t="s">
        <v>24</v>
      </c>
      <c r="L179" t="s">
        <v>37</v>
      </c>
      <c r="M179" t="s">
        <v>34</v>
      </c>
      <c r="O179" t="s">
        <v>38</v>
      </c>
      <c r="Q179" t="s">
        <v>54</v>
      </c>
      <c r="R179" t="s">
        <v>28</v>
      </c>
    </row>
    <row r="180" spans="1:18" x14ac:dyDescent="0.25">
      <c r="A180" t="s">
        <v>76</v>
      </c>
      <c r="B180">
        <v>218168</v>
      </c>
      <c r="C180" t="s">
        <v>140</v>
      </c>
      <c r="D180" t="s">
        <v>216</v>
      </c>
      <c r="E180" t="s">
        <v>22</v>
      </c>
      <c r="F180">
        <v>1</v>
      </c>
      <c r="G180" s="95">
        <v>44228</v>
      </c>
      <c r="H180" s="95">
        <v>44232</v>
      </c>
      <c r="I180" s="95">
        <v>44231</v>
      </c>
      <c r="J180" t="s">
        <v>217</v>
      </c>
      <c r="K180" t="s">
        <v>24</v>
      </c>
      <c r="L180" t="s">
        <v>58</v>
      </c>
      <c r="M180" t="s">
        <v>26</v>
      </c>
      <c r="O180" t="s">
        <v>38</v>
      </c>
      <c r="P180" t="s">
        <v>38</v>
      </c>
      <c r="Q180" t="s">
        <v>54</v>
      </c>
      <c r="R180" t="s">
        <v>28</v>
      </c>
    </row>
    <row r="181" spans="1:18" x14ac:dyDescent="0.25">
      <c r="A181" t="s">
        <v>76</v>
      </c>
      <c r="B181">
        <v>218168</v>
      </c>
      <c r="C181" t="s">
        <v>140</v>
      </c>
      <c r="D181" t="s">
        <v>216</v>
      </c>
      <c r="E181" t="s">
        <v>46</v>
      </c>
      <c r="F181">
        <v>1</v>
      </c>
      <c r="G181" s="95">
        <v>44228</v>
      </c>
      <c r="H181" s="95">
        <v>44232</v>
      </c>
      <c r="I181" s="95">
        <v>44231</v>
      </c>
      <c r="J181" t="s">
        <v>217</v>
      </c>
      <c r="K181" t="s">
        <v>24</v>
      </c>
      <c r="L181" t="s">
        <v>58</v>
      </c>
      <c r="M181" t="s">
        <v>26</v>
      </c>
      <c r="O181" t="s">
        <v>38</v>
      </c>
      <c r="P181" t="s">
        <v>38</v>
      </c>
      <c r="Q181" t="s">
        <v>54</v>
      </c>
      <c r="R181" t="s">
        <v>28</v>
      </c>
    </row>
    <row r="182" spans="1:18" x14ac:dyDescent="0.25">
      <c r="A182" t="s">
        <v>76</v>
      </c>
      <c r="B182">
        <v>218168</v>
      </c>
      <c r="C182" t="s">
        <v>140</v>
      </c>
      <c r="D182" t="s">
        <v>216</v>
      </c>
      <c r="E182" t="s">
        <v>107</v>
      </c>
      <c r="F182">
        <v>2</v>
      </c>
      <c r="G182" s="95">
        <v>44228</v>
      </c>
      <c r="H182" s="95">
        <v>44232</v>
      </c>
      <c r="I182" s="95">
        <v>44231</v>
      </c>
      <c r="J182" t="s">
        <v>217</v>
      </c>
      <c r="K182" t="s">
        <v>24</v>
      </c>
      <c r="L182" t="s">
        <v>58</v>
      </c>
      <c r="M182" t="s">
        <v>26</v>
      </c>
      <c r="O182" t="s">
        <v>38</v>
      </c>
      <c r="P182" t="s">
        <v>38</v>
      </c>
      <c r="Q182" t="s">
        <v>54</v>
      </c>
      <c r="R182" t="s">
        <v>28</v>
      </c>
    </row>
    <row r="183" spans="1:18" x14ac:dyDescent="0.25">
      <c r="A183" t="s">
        <v>87</v>
      </c>
      <c r="B183">
        <v>218298</v>
      </c>
      <c r="C183" t="s">
        <v>140</v>
      </c>
      <c r="D183" t="s">
        <v>218</v>
      </c>
      <c r="E183" t="s">
        <v>219</v>
      </c>
      <c r="F183">
        <v>1</v>
      </c>
      <c r="G183" s="95">
        <v>44229</v>
      </c>
      <c r="I183" s="95">
        <v>44236</v>
      </c>
      <c r="J183" t="s">
        <v>220</v>
      </c>
      <c r="K183" t="s">
        <v>24</v>
      </c>
      <c r="L183" t="s">
        <v>58</v>
      </c>
      <c r="M183" t="s">
        <v>26</v>
      </c>
      <c r="N183">
        <v>2</v>
      </c>
      <c r="O183" t="s">
        <v>38</v>
      </c>
      <c r="P183" t="s">
        <v>38</v>
      </c>
      <c r="Q183" t="s">
        <v>185</v>
      </c>
      <c r="R183" t="s">
        <v>28</v>
      </c>
    </row>
    <row r="184" spans="1:18" x14ac:dyDescent="0.25">
      <c r="A184" t="s">
        <v>87</v>
      </c>
      <c r="B184">
        <v>218298</v>
      </c>
      <c r="C184" t="s">
        <v>140</v>
      </c>
      <c r="D184" t="s">
        <v>218</v>
      </c>
      <c r="E184" t="s">
        <v>46</v>
      </c>
      <c r="F184">
        <v>1</v>
      </c>
      <c r="G184" s="95">
        <v>44229</v>
      </c>
      <c r="I184" s="95">
        <v>44246</v>
      </c>
      <c r="K184" t="s">
        <v>24</v>
      </c>
      <c r="L184" t="s">
        <v>58</v>
      </c>
      <c r="M184" t="s">
        <v>26</v>
      </c>
      <c r="O184" t="s">
        <v>38</v>
      </c>
      <c r="P184" t="s">
        <v>38</v>
      </c>
      <c r="Q184" t="s">
        <v>28</v>
      </c>
      <c r="R184" t="s">
        <v>28</v>
      </c>
    </row>
    <row r="185" spans="1:18" x14ac:dyDescent="0.25">
      <c r="A185" t="s">
        <v>87</v>
      </c>
      <c r="B185">
        <v>218298</v>
      </c>
      <c r="C185" t="s">
        <v>140</v>
      </c>
      <c r="D185" t="s">
        <v>218</v>
      </c>
      <c r="E185" t="s">
        <v>22</v>
      </c>
      <c r="F185">
        <v>1</v>
      </c>
      <c r="G185" s="95">
        <v>44229</v>
      </c>
      <c r="I185" s="95">
        <v>44246</v>
      </c>
      <c r="K185" t="s">
        <v>24</v>
      </c>
      <c r="L185" t="s">
        <v>58</v>
      </c>
      <c r="M185" t="s">
        <v>26</v>
      </c>
      <c r="N185">
        <v>1</v>
      </c>
      <c r="O185" t="s">
        <v>38</v>
      </c>
      <c r="P185" t="s">
        <v>38</v>
      </c>
      <c r="Q185" t="s">
        <v>28</v>
      </c>
      <c r="R185" t="s">
        <v>28</v>
      </c>
    </row>
    <row r="186" spans="1:18" x14ac:dyDescent="0.25">
      <c r="A186" t="s">
        <v>87</v>
      </c>
      <c r="B186">
        <v>218298</v>
      </c>
      <c r="C186" t="s">
        <v>140</v>
      </c>
      <c r="D186" t="s">
        <v>218</v>
      </c>
      <c r="E186" t="s">
        <v>102</v>
      </c>
      <c r="F186">
        <v>1</v>
      </c>
      <c r="G186" s="95">
        <v>44249</v>
      </c>
      <c r="I186" s="95">
        <v>44249</v>
      </c>
      <c r="J186" t="s">
        <v>221</v>
      </c>
      <c r="K186" t="s">
        <v>24</v>
      </c>
      <c r="L186" t="s">
        <v>58</v>
      </c>
      <c r="M186" t="s">
        <v>26</v>
      </c>
      <c r="O186" t="s">
        <v>38</v>
      </c>
      <c r="P186" t="s">
        <v>38</v>
      </c>
      <c r="Q186" t="s">
        <v>28</v>
      </c>
      <c r="R186" t="s">
        <v>28</v>
      </c>
    </row>
    <row r="187" spans="1:18" x14ac:dyDescent="0.25">
      <c r="A187" t="s">
        <v>87</v>
      </c>
      <c r="B187">
        <v>218298</v>
      </c>
      <c r="C187" t="s">
        <v>140</v>
      </c>
      <c r="D187" t="s">
        <v>218</v>
      </c>
      <c r="E187" t="s">
        <v>102</v>
      </c>
      <c r="F187">
        <v>1</v>
      </c>
      <c r="G187" s="95">
        <v>44251</v>
      </c>
      <c r="I187" s="95">
        <v>44251</v>
      </c>
      <c r="J187" t="s">
        <v>222</v>
      </c>
      <c r="K187" t="s">
        <v>24</v>
      </c>
      <c r="L187" t="s">
        <v>58</v>
      </c>
      <c r="M187" t="s">
        <v>26</v>
      </c>
      <c r="N187">
        <v>1</v>
      </c>
      <c r="O187" t="s">
        <v>38</v>
      </c>
      <c r="P187" t="s">
        <v>38</v>
      </c>
      <c r="Q187" t="s">
        <v>28</v>
      </c>
      <c r="R187" t="s">
        <v>28</v>
      </c>
    </row>
    <row r="188" spans="1:18" x14ac:dyDescent="0.25">
      <c r="A188" t="s">
        <v>87</v>
      </c>
      <c r="B188">
        <v>218298</v>
      </c>
      <c r="C188" t="s">
        <v>140</v>
      </c>
      <c r="D188" t="s">
        <v>218</v>
      </c>
      <c r="E188" t="s">
        <v>69</v>
      </c>
      <c r="F188">
        <v>1</v>
      </c>
      <c r="G188" s="95">
        <v>44229</v>
      </c>
      <c r="I188" s="95">
        <v>44246</v>
      </c>
      <c r="K188" t="s">
        <v>24</v>
      </c>
      <c r="L188" t="s">
        <v>58</v>
      </c>
      <c r="M188" t="s">
        <v>26</v>
      </c>
      <c r="N188">
        <v>1</v>
      </c>
      <c r="O188" t="s">
        <v>38</v>
      </c>
      <c r="P188" t="s">
        <v>38</v>
      </c>
      <c r="Q188" t="s">
        <v>28</v>
      </c>
      <c r="R188" t="s">
        <v>28</v>
      </c>
    </row>
    <row r="189" spans="1:18" x14ac:dyDescent="0.25">
      <c r="A189" t="s">
        <v>132</v>
      </c>
      <c r="B189">
        <v>218244</v>
      </c>
      <c r="C189" t="s">
        <v>140</v>
      </c>
      <c r="D189" t="s">
        <v>223</v>
      </c>
      <c r="E189" t="s">
        <v>106</v>
      </c>
      <c r="F189">
        <v>1</v>
      </c>
      <c r="G189" s="95">
        <v>44229</v>
      </c>
      <c r="H189" s="95">
        <v>44235</v>
      </c>
      <c r="I189" s="95">
        <v>44231</v>
      </c>
      <c r="J189" t="s">
        <v>224</v>
      </c>
      <c r="K189" t="s">
        <v>24</v>
      </c>
      <c r="L189" t="s">
        <v>58</v>
      </c>
      <c r="M189" t="s">
        <v>26</v>
      </c>
      <c r="O189" t="s">
        <v>38</v>
      </c>
      <c r="P189" t="s">
        <v>225</v>
      </c>
      <c r="Q189" t="s">
        <v>54</v>
      </c>
      <c r="R189" t="s">
        <v>54</v>
      </c>
    </row>
    <row r="190" spans="1:18" x14ac:dyDescent="0.25">
      <c r="A190" t="s">
        <v>132</v>
      </c>
      <c r="B190">
        <v>218244</v>
      </c>
      <c r="C190" t="s">
        <v>140</v>
      </c>
      <c r="D190" t="s">
        <v>223</v>
      </c>
      <c r="E190" t="s">
        <v>107</v>
      </c>
      <c r="F190">
        <v>1</v>
      </c>
      <c r="G190" s="95">
        <v>44229</v>
      </c>
      <c r="H190" s="95">
        <v>44235</v>
      </c>
      <c r="I190" s="95">
        <v>44231</v>
      </c>
      <c r="J190" t="s">
        <v>224</v>
      </c>
      <c r="K190" t="s">
        <v>24</v>
      </c>
      <c r="L190" t="s">
        <v>58</v>
      </c>
      <c r="M190" t="s">
        <v>26</v>
      </c>
      <c r="O190" t="s">
        <v>38</v>
      </c>
      <c r="P190" t="s">
        <v>225</v>
      </c>
      <c r="Q190" t="s">
        <v>54</v>
      </c>
      <c r="R190" t="s">
        <v>54</v>
      </c>
    </row>
    <row r="191" spans="1:18" x14ac:dyDescent="0.25">
      <c r="A191" t="s">
        <v>132</v>
      </c>
      <c r="B191">
        <v>218244</v>
      </c>
      <c r="C191" t="s">
        <v>140</v>
      </c>
      <c r="D191" t="s">
        <v>223</v>
      </c>
      <c r="E191" t="s">
        <v>69</v>
      </c>
      <c r="F191">
        <v>1</v>
      </c>
      <c r="G191" s="95">
        <v>44229</v>
      </c>
      <c r="H191" s="95">
        <v>44235</v>
      </c>
      <c r="I191" s="95">
        <v>44231</v>
      </c>
      <c r="J191" t="s">
        <v>224</v>
      </c>
      <c r="K191" t="s">
        <v>24</v>
      </c>
      <c r="L191" t="s">
        <v>58</v>
      </c>
      <c r="M191" t="s">
        <v>26</v>
      </c>
      <c r="O191" t="s">
        <v>38</v>
      </c>
      <c r="P191" t="s">
        <v>225</v>
      </c>
      <c r="Q191" t="s">
        <v>54</v>
      </c>
      <c r="R191" t="s">
        <v>54</v>
      </c>
    </row>
    <row r="192" spans="1:18" x14ac:dyDescent="0.25">
      <c r="A192" t="s">
        <v>39</v>
      </c>
      <c r="B192">
        <v>218560</v>
      </c>
      <c r="C192" t="s">
        <v>140</v>
      </c>
      <c r="D192" t="s">
        <v>226</v>
      </c>
      <c r="E192" t="s">
        <v>227</v>
      </c>
      <c r="F192">
        <v>1</v>
      </c>
      <c r="G192" s="95">
        <v>44229</v>
      </c>
      <c r="I192" s="95">
        <v>44235</v>
      </c>
      <c r="K192" t="s">
        <v>24</v>
      </c>
      <c r="L192" t="s">
        <v>58</v>
      </c>
      <c r="M192" t="s">
        <v>26</v>
      </c>
      <c r="O192" t="s">
        <v>38</v>
      </c>
      <c r="P192" t="s">
        <v>38</v>
      </c>
      <c r="Q192" t="s">
        <v>54</v>
      </c>
      <c r="R192" t="s">
        <v>54</v>
      </c>
    </row>
    <row r="193" spans="1:18" x14ac:dyDescent="0.25">
      <c r="A193" t="s">
        <v>39</v>
      </c>
      <c r="B193">
        <v>218747</v>
      </c>
      <c r="C193" t="s">
        <v>20</v>
      </c>
      <c r="D193" t="s">
        <v>228</v>
      </c>
      <c r="E193" t="s">
        <v>46</v>
      </c>
      <c r="F193">
        <v>2</v>
      </c>
      <c r="G193" s="95">
        <v>44230</v>
      </c>
      <c r="H193" s="95">
        <v>44230</v>
      </c>
      <c r="I193" s="95">
        <v>44239</v>
      </c>
      <c r="K193" t="s">
        <v>24</v>
      </c>
      <c r="L193" t="s">
        <v>58</v>
      </c>
      <c r="M193" t="s">
        <v>26</v>
      </c>
      <c r="N193">
        <v>2</v>
      </c>
      <c r="O193" t="s">
        <v>27</v>
      </c>
      <c r="P193" t="s">
        <v>38</v>
      </c>
      <c r="Q193" t="s">
        <v>54</v>
      </c>
      <c r="R193" t="s">
        <v>29</v>
      </c>
    </row>
    <row r="194" spans="1:18" x14ac:dyDescent="0.25">
      <c r="A194" t="s">
        <v>39</v>
      </c>
      <c r="B194">
        <v>218747</v>
      </c>
      <c r="C194" t="s">
        <v>20</v>
      </c>
      <c r="D194" t="s">
        <v>228</v>
      </c>
      <c r="E194" t="s">
        <v>22</v>
      </c>
      <c r="F194">
        <v>2</v>
      </c>
      <c r="G194" s="95">
        <v>44230</v>
      </c>
      <c r="H194" s="95">
        <v>44230</v>
      </c>
      <c r="I194" s="95">
        <v>44239</v>
      </c>
      <c r="K194" t="s">
        <v>24</v>
      </c>
      <c r="L194" t="s">
        <v>58</v>
      </c>
      <c r="M194" t="s">
        <v>26</v>
      </c>
      <c r="N194">
        <v>2</v>
      </c>
      <c r="O194" t="s">
        <v>27</v>
      </c>
      <c r="P194" t="s">
        <v>38</v>
      </c>
      <c r="Q194" t="s">
        <v>54</v>
      </c>
      <c r="R194" t="s">
        <v>29</v>
      </c>
    </row>
    <row r="195" spans="1:18" x14ac:dyDescent="0.25">
      <c r="A195" t="s">
        <v>39</v>
      </c>
      <c r="B195">
        <v>218654</v>
      </c>
      <c r="C195" t="s">
        <v>20</v>
      </c>
      <c r="D195" t="s">
        <v>229</v>
      </c>
      <c r="E195" t="s">
        <v>22</v>
      </c>
      <c r="F195">
        <v>1</v>
      </c>
      <c r="G195" s="95">
        <v>44230</v>
      </c>
      <c r="H195" s="95">
        <v>44237</v>
      </c>
      <c r="I195" s="95">
        <v>44238</v>
      </c>
      <c r="K195" t="s">
        <v>24</v>
      </c>
      <c r="L195" t="s">
        <v>25</v>
      </c>
      <c r="M195" t="s">
        <v>26</v>
      </c>
      <c r="O195" t="s">
        <v>27</v>
      </c>
      <c r="P195" t="s">
        <v>27</v>
      </c>
      <c r="Q195" t="s">
        <v>54</v>
      </c>
      <c r="R195" t="s">
        <v>29</v>
      </c>
    </row>
    <row r="196" spans="1:18" x14ac:dyDescent="0.25">
      <c r="A196" t="s">
        <v>39</v>
      </c>
      <c r="B196">
        <v>218654</v>
      </c>
      <c r="C196" t="s">
        <v>20</v>
      </c>
      <c r="D196" t="s">
        <v>229</v>
      </c>
      <c r="E196" t="s">
        <v>124</v>
      </c>
      <c r="F196">
        <v>1</v>
      </c>
      <c r="G196" s="95">
        <v>44230</v>
      </c>
      <c r="H196" s="95">
        <v>44237</v>
      </c>
      <c r="I196" s="95">
        <v>44238</v>
      </c>
      <c r="K196" t="s">
        <v>24</v>
      </c>
      <c r="L196" t="s">
        <v>25</v>
      </c>
      <c r="M196" t="s">
        <v>26</v>
      </c>
      <c r="O196" t="s">
        <v>27</v>
      </c>
      <c r="P196" t="s">
        <v>27</v>
      </c>
      <c r="Q196" t="s">
        <v>54</v>
      </c>
      <c r="R196" t="s">
        <v>29</v>
      </c>
    </row>
    <row r="197" spans="1:18" x14ac:dyDescent="0.25">
      <c r="A197" t="s">
        <v>130</v>
      </c>
      <c r="B197">
        <v>218655</v>
      </c>
      <c r="C197" t="s">
        <v>77</v>
      </c>
      <c r="D197" t="s">
        <v>230</v>
      </c>
      <c r="E197" t="s">
        <v>79</v>
      </c>
      <c r="F197">
        <v>1</v>
      </c>
      <c r="G197" s="95">
        <v>44230</v>
      </c>
      <c r="H197" s="95">
        <v>44250</v>
      </c>
      <c r="I197" s="95">
        <v>44250</v>
      </c>
      <c r="K197" t="s">
        <v>24</v>
      </c>
      <c r="L197" t="s">
        <v>37</v>
      </c>
      <c r="M197" t="s">
        <v>213</v>
      </c>
      <c r="O197" t="s">
        <v>38</v>
      </c>
      <c r="Q197" t="s">
        <v>54</v>
      </c>
      <c r="R197" t="s">
        <v>29</v>
      </c>
    </row>
    <row r="198" spans="1:18" x14ac:dyDescent="0.25">
      <c r="A198" t="s">
        <v>49</v>
      </c>
      <c r="B198">
        <v>218585</v>
      </c>
      <c r="C198" t="s">
        <v>140</v>
      </c>
      <c r="D198" t="s">
        <v>231</v>
      </c>
      <c r="E198" t="s">
        <v>69</v>
      </c>
      <c r="F198">
        <v>2</v>
      </c>
      <c r="G198" s="95">
        <v>44257</v>
      </c>
      <c r="H198" s="95">
        <v>44230</v>
      </c>
      <c r="I198" s="95">
        <v>44230</v>
      </c>
      <c r="K198" t="s">
        <v>24</v>
      </c>
      <c r="L198" t="s">
        <v>58</v>
      </c>
      <c r="M198" t="s">
        <v>26</v>
      </c>
      <c r="O198" t="s">
        <v>38</v>
      </c>
      <c r="P198" t="s">
        <v>38</v>
      </c>
      <c r="Q198" t="s">
        <v>54</v>
      </c>
      <c r="R198" t="s">
        <v>54</v>
      </c>
    </row>
    <row r="199" spans="1:18" x14ac:dyDescent="0.25">
      <c r="A199" t="s">
        <v>39</v>
      </c>
      <c r="B199">
        <v>218878</v>
      </c>
      <c r="C199" t="s">
        <v>140</v>
      </c>
      <c r="D199" t="s">
        <v>232</v>
      </c>
      <c r="E199" t="s">
        <v>157</v>
      </c>
      <c r="F199">
        <v>1</v>
      </c>
      <c r="G199" s="95">
        <v>44230</v>
      </c>
      <c r="H199" s="95">
        <v>44232</v>
      </c>
      <c r="I199" s="95">
        <v>44231</v>
      </c>
      <c r="J199" t="s">
        <v>233</v>
      </c>
      <c r="K199" t="s">
        <v>24</v>
      </c>
      <c r="L199" t="s">
        <v>37</v>
      </c>
      <c r="M199" t="s">
        <v>26</v>
      </c>
      <c r="O199" t="s">
        <v>38</v>
      </c>
      <c r="P199" t="s">
        <v>38</v>
      </c>
      <c r="Q199" t="s">
        <v>54</v>
      </c>
      <c r="R199" t="s">
        <v>54</v>
      </c>
    </row>
    <row r="200" spans="1:18" x14ac:dyDescent="0.25">
      <c r="A200" t="s">
        <v>72</v>
      </c>
      <c r="B200">
        <v>215614</v>
      </c>
      <c r="C200" t="s">
        <v>140</v>
      </c>
      <c r="D200" t="s">
        <v>234</v>
      </c>
      <c r="E200" t="s">
        <v>134</v>
      </c>
      <c r="F200">
        <v>4</v>
      </c>
      <c r="G200" s="95">
        <v>44216</v>
      </c>
      <c r="H200" s="95">
        <v>44232</v>
      </c>
      <c r="I200" s="95">
        <v>44232</v>
      </c>
      <c r="K200" t="s">
        <v>24</v>
      </c>
      <c r="L200" t="s">
        <v>58</v>
      </c>
      <c r="M200" t="s">
        <v>26</v>
      </c>
      <c r="O200" t="s">
        <v>38</v>
      </c>
      <c r="P200" t="s">
        <v>38</v>
      </c>
      <c r="Q200" t="s">
        <v>54</v>
      </c>
      <c r="R200" t="s">
        <v>54</v>
      </c>
    </row>
    <row r="201" spans="1:18" x14ac:dyDescent="0.25">
      <c r="A201" t="s">
        <v>49</v>
      </c>
      <c r="B201">
        <v>219301</v>
      </c>
      <c r="C201" t="s">
        <v>140</v>
      </c>
      <c r="D201" t="s">
        <v>235</v>
      </c>
      <c r="E201" t="s">
        <v>236</v>
      </c>
      <c r="F201">
        <v>1</v>
      </c>
      <c r="G201" s="95">
        <v>44231</v>
      </c>
      <c r="H201" s="95">
        <v>44232</v>
      </c>
      <c r="I201" s="95">
        <v>44232</v>
      </c>
      <c r="K201" t="s">
        <v>24</v>
      </c>
      <c r="L201" t="s">
        <v>37</v>
      </c>
      <c r="O201" t="s">
        <v>38</v>
      </c>
      <c r="P201" t="s">
        <v>38</v>
      </c>
      <c r="Q201" t="s">
        <v>28</v>
      </c>
      <c r="R201" t="s">
        <v>54</v>
      </c>
    </row>
    <row r="202" spans="1:18" x14ac:dyDescent="0.25">
      <c r="A202" t="s">
        <v>87</v>
      </c>
      <c r="B202">
        <v>219145</v>
      </c>
      <c r="C202" t="s">
        <v>62</v>
      </c>
      <c r="D202" t="s">
        <v>237</v>
      </c>
      <c r="E202" t="s">
        <v>74</v>
      </c>
      <c r="G202" s="95">
        <v>44232</v>
      </c>
      <c r="H202" s="95">
        <v>44238</v>
      </c>
      <c r="I202" s="95">
        <v>44238</v>
      </c>
      <c r="J202" t="s">
        <v>238</v>
      </c>
      <c r="K202" t="s">
        <v>24</v>
      </c>
      <c r="L202" t="s">
        <v>25</v>
      </c>
      <c r="M202" t="s">
        <v>74</v>
      </c>
    </row>
    <row r="203" spans="1:18" x14ac:dyDescent="0.25">
      <c r="A203" t="s">
        <v>76</v>
      </c>
      <c r="B203">
        <v>219270</v>
      </c>
      <c r="C203" t="s">
        <v>20</v>
      </c>
      <c r="D203" t="s">
        <v>239</v>
      </c>
      <c r="E203" t="s">
        <v>46</v>
      </c>
      <c r="F203">
        <v>1</v>
      </c>
      <c r="G203" s="95">
        <v>44231</v>
      </c>
      <c r="H203" s="95">
        <v>44239</v>
      </c>
      <c r="I203" s="95">
        <v>44277</v>
      </c>
      <c r="K203" t="s">
        <v>24</v>
      </c>
      <c r="L203" t="s">
        <v>25</v>
      </c>
      <c r="M203" t="s">
        <v>26</v>
      </c>
      <c r="O203" t="s">
        <v>27</v>
      </c>
      <c r="P203" t="s">
        <v>27</v>
      </c>
      <c r="Q203" t="s">
        <v>54</v>
      </c>
      <c r="R203" t="s">
        <v>29</v>
      </c>
    </row>
    <row r="204" spans="1:18" x14ac:dyDescent="0.25">
      <c r="A204" t="s">
        <v>76</v>
      </c>
      <c r="B204">
        <v>219270</v>
      </c>
      <c r="C204" t="s">
        <v>20</v>
      </c>
      <c r="D204" t="s">
        <v>239</v>
      </c>
      <c r="E204" t="s">
        <v>102</v>
      </c>
      <c r="F204">
        <v>1</v>
      </c>
      <c r="G204" s="95">
        <v>44231</v>
      </c>
      <c r="H204" s="95">
        <v>44239</v>
      </c>
      <c r="I204" s="95">
        <v>44277</v>
      </c>
      <c r="K204" t="s">
        <v>24</v>
      </c>
      <c r="L204" t="s">
        <v>25</v>
      </c>
      <c r="M204" t="s">
        <v>26</v>
      </c>
      <c r="N204">
        <v>1</v>
      </c>
      <c r="O204" t="s">
        <v>27</v>
      </c>
      <c r="P204" t="s">
        <v>27</v>
      </c>
      <c r="Q204" t="s">
        <v>54</v>
      </c>
      <c r="R204" t="s">
        <v>29</v>
      </c>
    </row>
    <row r="205" spans="1:18" x14ac:dyDescent="0.25">
      <c r="A205" t="s">
        <v>76</v>
      </c>
      <c r="B205">
        <v>219270</v>
      </c>
      <c r="C205" t="s">
        <v>20</v>
      </c>
      <c r="D205" t="s">
        <v>239</v>
      </c>
      <c r="E205" t="s">
        <v>22</v>
      </c>
      <c r="F205">
        <v>1</v>
      </c>
      <c r="G205" s="95">
        <v>44231</v>
      </c>
      <c r="H205" s="95">
        <v>44239</v>
      </c>
      <c r="I205" s="95">
        <v>44277</v>
      </c>
      <c r="K205" t="s">
        <v>24</v>
      </c>
      <c r="L205" t="s">
        <v>25</v>
      </c>
      <c r="M205" t="s">
        <v>26</v>
      </c>
      <c r="N205">
        <v>1</v>
      </c>
      <c r="O205" t="s">
        <v>27</v>
      </c>
      <c r="P205" t="s">
        <v>27</v>
      </c>
      <c r="Q205" t="s">
        <v>54</v>
      </c>
      <c r="R205" t="s">
        <v>29</v>
      </c>
    </row>
    <row r="206" spans="1:18" x14ac:dyDescent="0.25">
      <c r="A206" t="s">
        <v>76</v>
      </c>
      <c r="B206">
        <v>219270</v>
      </c>
      <c r="C206" t="s">
        <v>140</v>
      </c>
      <c r="D206" t="s">
        <v>239</v>
      </c>
      <c r="E206" t="s">
        <v>46</v>
      </c>
      <c r="F206">
        <v>16</v>
      </c>
      <c r="G206" s="95">
        <v>44246</v>
      </c>
      <c r="H206" s="95">
        <v>44249</v>
      </c>
      <c r="I206" s="95">
        <v>44277</v>
      </c>
      <c r="K206" t="s">
        <v>24</v>
      </c>
      <c r="L206" t="s">
        <v>45</v>
      </c>
      <c r="M206" t="s">
        <v>26</v>
      </c>
      <c r="N206">
        <v>1</v>
      </c>
      <c r="O206" t="s">
        <v>27</v>
      </c>
      <c r="P206" t="s">
        <v>27</v>
      </c>
      <c r="Q206" t="s">
        <v>54</v>
      </c>
      <c r="R206" t="s">
        <v>29</v>
      </c>
    </row>
    <row r="207" spans="1:18" x14ac:dyDescent="0.25">
      <c r="A207" t="s">
        <v>39</v>
      </c>
      <c r="B207">
        <v>219580</v>
      </c>
      <c r="C207" t="s">
        <v>140</v>
      </c>
      <c r="D207" t="s">
        <v>240</v>
      </c>
      <c r="E207" t="s">
        <v>84</v>
      </c>
      <c r="F207">
        <v>1</v>
      </c>
      <c r="G207" s="95">
        <v>44232</v>
      </c>
      <c r="H207" s="95">
        <v>44235</v>
      </c>
      <c r="I207" s="95">
        <v>44235</v>
      </c>
      <c r="K207" t="s">
        <v>24</v>
      </c>
      <c r="L207" t="s">
        <v>37</v>
      </c>
      <c r="O207" t="s">
        <v>38</v>
      </c>
      <c r="P207" t="s">
        <v>38</v>
      </c>
      <c r="Q207" t="s">
        <v>54</v>
      </c>
      <c r="R207" t="s">
        <v>54</v>
      </c>
    </row>
    <row r="208" spans="1:18" x14ac:dyDescent="0.25">
      <c r="A208" t="s">
        <v>30</v>
      </c>
      <c r="B208">
        <v>219533</v>
      </c>
      <c r="C208" t="s">
        <v>140</v>
      </c>
      <c r="D208" t="s">
        <v>241</v>
      </c>
      <c r="E208" t="s">
        <v>102</v>
      </c>
      <c r="F208">
        <v>1</v>
      </c>
      <c r="G208" s="95">
        <v>44232</v>
      </c>
      <c r="H208" s="95">
        <v>44236</v>
      </c>
      <c r="I208" s="95">
        <v>44236</v>
      </c>
      <c r="J208" t="s">
        <v>242</v>
      </c>
      <c r="K208" t="s">
        <v>24</v>
      </c>
      <c r="L208" t="s">
        <v>58</v>
      </c>
      <c r="M208" t="s">
        <v>26</v>
      </c>
      <c r="O208" t="s">
        <v>38</v>
      </c>
      <c r="P208" t="s">
        <v>38</v>
      </c>
      <c r="Q208" t="s">
        <v>54</v>
      </c>
      <c r="R208" t="s">
        <v>54</v>
      </c>
    </row>
    <row r="209" spans="1:18" x14ac:dyDescent="0.25">
      <c r="A209" t="s">
        <v>76</v>
      </c>
      <c r="B209">
        <v>220060</v>
      </c>
      <c r="C209" t="s">
        <v>140</v>
      </c>
      <c r="D209" t="s">
        <v>243</v>
      </c>
      <c r="E209" t="s">
        <v>46</v>
      </c>
      <c r="F209">
        <v>1</v>
      </c>
      <c r="G209" s="95">
        <v>44235</v>
      </c>
      <c r="H209" s="95">
        <v>44236</v>
      </c>
      <c r="I209" s="95">
        <v>44236</v>
      </c>
      <c r="K209" t="s">
        <v>24</v>
      </c>
      <c r="L209" t="s">
        <v>58</v>
      </c>
      <c r="M209" t="s">
        <v>26</v>
      </c>
      <c r="N209">
        <v>1</v>
      </c>
      <c r="O209" t="s">
        <v>38</v>
      </c>
      <c r="P209" t="s">
        <v>38</v>
      </c>
      <c r="Q209" t="s">
        <v>54</v>
      </c>
      <c r="R209" t="s">
        <v>54</v>
      </c>
    </row>
    <row r="210" spans="1:18" x14ac:dyDescent="0.25">
      <c r="A210" t="s">
        <v>76</v>
      </c>
      <c r="B210">
        <v>220060</v>
      </c>
      <c r="C210" t="s">
        <v>140</v>
      </c>
      <c r="D210" t="s">
        <v>243</v>
      </c>
      <c r="E210" t="s">
        <v>69</v>
      </c>
      <c r="F210">
        <v>1</v>
      </c>
      <c r="G210" s="95">
        <v>44235</v>
      </c>
      <c r="H210" s="95">
        <v>44236</v>
      </c>
      <c r="I210" s="95">
        <v>44236</v>
      </c>
      <c r="K210" t="s">
        <v>24</v>
      </c>
      <c r="L210" t="s">
        <v>58</v>
      </c>
      <c r="M210" t="s">
        <v>26</v>
      </c>
      <c r="N210">
        <v>1</v>
      </c>
      <c r="O210" t="s">
        <v>38</v>
      </c>
      <c r="P210" t="s">
        <v>38</v>
      </c>
      <c r="Q210" t="s">
        <v>54</v>
      </c>
      <c r="R210" t="s">
        <v>54</v>
      </c>
    </row>
    <row r="211" spans="1:18" x14ac:dyDescent="0.25">
      <c r="A211" t="s">
        <v>72</v>
      </c>
      <c r="B211">
        <v>219834</v>
      </c>
      <c r="C211" t="s">
        <v>20</v>
      </c>
      <c r="D211" t="s">
        <v>244</v>
      </c>
      <c r="E211" t="s">
        <v>68</v>
      </c>
      <c r="F211">
        <v>4</v>
      </c>
      <c r="G211" s="95">
        <v>44235</v>
      </c>
      <c r="H211" s="95">
        <v>44246</v>
      </c>
      <c r="I211" s="95">
        <v>44251</v>
      </c>
      <c r="K211" t="s">
        <v>24</v>
      </c>
      <c r="L211" t="s">
        <v>58</v>
      </c>
      <c r="M211" t="s">
        <v>26</v>
      </c>
      <c r="O211" t="s">
        <v>27</v>
      </c>
      <c r="P211" t="s">
        <v>38</v>
      </c>
      <c r="Q211" t="s">
        <v>54</v>
      </c>
      <c r="R211" t="s">
        <v>29</v>
      </c>
    </row>
    <row r="212" spans="1:18" x14ac:dyDescent="0.25">
      <c r="A212" t="s">
        <v>72</v>
      </c>
      <c r="B212">
        <v>219834</v>
      </c>
      <c r="C212" t="s">
        <v>20</v>
      </c>
      <c r="D212" t="s">
        <v>244</v>
      </c>
      <c r="E212" t="s">
        <v>22</v>
      </c>
      <c r="F212">
        <v>1</v>
      </c>
      <c r="G212" s="95">
        <v>44235</v>
      </c>
      <c r="H212" s="95">
        <v>44246</v>
      </c>
      <c r="I212" s="95">
        <v>44251</v>
      </c>
      <c r="K212" t="s">
        <v>24</v>
      </c>
      <c r="L212" t="s">
        <v>58</v>
      </c>
      <c r="M212" t="s">
        <v>26</v>
      </c>
      <c r="O212" t="s">
        <v>27</v>
      </c>
      <c r="P212" t="s">
        <v>38</v>
      </c>
      <c r="Q212" t="s">
        <v>54</v>
      </c>
      <c r="R212" t="s">
        <v>29</v>
      </c>
    </row>
    <row r="213" spans="1:18" x14ac:dyDescent="0.25">
      <c r="A213" t="s">
        <v>72</v>
      </c>
      <c r="B213">
        <v>219834</v>
      </c>
      <c r="C213" t="s">
        <v>20</v>
      </c>
      <c r="D213" t="s">
        <v>244</v>
      </c>
      <c r="E213" t="s">
        <v>153</v>
      </c>
      <c r="F213">
        <v>4</v>
      </c>
      <c r="G213" s="95">
        <v>44235</v>
      </c>
      <c r="H213" s="95">
        <v>44246</v>
      </c>
      <c r="I213" s="95">
        <v>44251</v>
      </c>
      <c r="K213" t="s">
        <v>24</v>
      </c>
      <c r="L213" t="s">
        <v>58</v>
      </c>
      <c r="M213" t="s">
        <v>26</v>
      </c>
      <c r="O213" t="s">
        <v>27</v>
      </c>
      <c r="P213" t="s">
        <v>38</v>
      </c>
      <c r="Q213" t="s">
        <v>54</v>
      </c>
      <c r="R213" t="s">
        <v>29</v>
      </c>
    </row>
    <row r="214" spans="1:18" x14ac:dyDescent="0.25">
      <c r="A214" t="s">
        <v>72</v>
      </c>
      <c r="B214">
        <v>219834</v>
      </c>
      <c r="C214" t="s">
        <v>20</v>
      </c>
      <c r="D214" t="s">
        <v>244</v>
      </c>
      <c r="E214" t="s">
        <v>46</v>
      </c>
      <c r="F214">
        <v>1</v>
      </c>
      <c r="G214" s="95">
        <v>44235</v>
      </c>
      <c r="H214" s="95">
        <v>44246</v>
      </c>
      <c r="I214" s="95">
        <v>44251</v>
      </c>
      <c r="K214" t="s">
        <v>24</v>
      </c>
      <c r="L214" t="s">
        <v>58</v>
      </c>
      <c r="M214" t="s">
        <v>26</v>
      </c>
      <c r="O214" t="s">
        <v>27</v>
      </c>
      <c r="P214" t="s">
        <v>38</v>
      </c>
      <c r="Q214" t="s">
        <v>54</v>
      </c>
      <c r="R214" t="s">
        <v>29</v>
      </c>
    </row>
    <row r="215" spans="1:18" x14ac:dyDescent="0.25">
      <c r="A215" t="s">
        <v>72</v>
      </c>
      <c r="B215">
        <v>219834</v>
      </c>
      <c r="C215" t="s">
        <v>20</v>
      </c>
      <c r="D215" t="s">
        <v>244</v>
      </c>
      <c r="E215" t="s">
        <v>84</v>
      </c>
      <c r="F215">
        <v>4</v>
      </c>
      <c r="G215" s="95">
        <v>44235</v>
      </c>
      <c r="H215" s="95">
        <v>44246</v>
      </c>
      <c r="I215" s="95">
        <v>44251</v>
      </c>
      <c r="K215" t="s">
        <v>24</v>
      </c>
      <c r="L215" t="s">
        <v>37</v>
      </c>
      <c r="M215" t="s">
        <v>26</v>
      </c>
      <c r="O215" t="s">
        <v>27</v>
      </c>
      <c r="P215" t="s">
        <v>38</v>
      </c>
      <c r="Q215" t="s">
        <v>54</v>
      </c>
      <c r="R215" t="s">
        <v>29</v>
      </c>
    </row>
    <row r="216" spans="1:18" x14ac:dyDescent="0.25">
      <c r="A216" t="s">
        <v>76</v>
      </c>
      <c r="B216">
        <v>220270</v>
      </c>
      <c r="C216" t="s">
        <v>140</v>
      </c>
      <c r="D216" t="s">
        <v>245</v>
      </c>
      <c r="E216" t="s">
        <v>22</v>
      </c>
      <c r="F216">
        <v>2</v>
      </c>
      <c r="G216" s="95">
        <v>44236</v>
      </c>
      <c r="H216" s="95">
        <v>44238</v>
      </c>
      <c r="I216" s="95">
        <v>44237</v>
      </c>
      <c r="J216" t="s">
        <v>246</v>
      </c>
      <c r="K216" t="s">
        <v>24</v>
      </c>
      <c r="L216" t="s">
        <v>58</v>
      </c>
      <c r="M216" t="s">
        <v>26</v>
      </c>
      <c r="O216" t="s">
        <v>38</v>
      </c>
      <c r="P216" t="s">
        <v>38</v>
      </c>
      <c r="Q216" t="s">
        <v>54</v>
      </c>
      <c r="R216" t="s">
        <v>54</v>
      </c>
    </row>
    <row r="217" spans="1:18" x14ac:dyDescent="0.25">
      <c r="A217" t="s">
        <v>39</v>
      </c>
      <c r="B217" t="s">
        <v>247</v>
      </c>
      <c r="C217" t="s">
        <v>140</v>
      </c>
      <c r="D217" t="s">
        <v>121</v>
      </c>
      <c r="E217" t="s">
        <v>22</v>
      </c>
      <c r="F217">
        <v>2</v>
      </c>
      <c r="G217" s="95">
        <v>44237</v>
      </c>
      <c r="H217" s="95">
        <v>44237</v>
      </c>
      <c r="I217" s="95">
        <v>44237</v>
      </c>
      <c r="K217" t="s">
        <v>24</v>
      </c>
      <c r="L217" t="s">
        <v>58</v>
      </c>
      <c r="M217" t="s">
        <v>26</v>
      </c>
      <c r="O217" t="s">
        <v>38</v>
      </c>
      <c r="P217" t="s">
        <v>38</v>
      </c>
      <c r="Q217" t="s">
        <v>54</v>
      </c>
      <c r="R217" t="s">
        <v>54</v>
      </c>
    </row>
    <row r="218" spans="1:18" x14ac:dyDescent="0.25">
      <c r="A218" t="s">
        <v>132</v>
      </c>
      <c r="B218">
        <v>220677</v>
      </c>
      <c r="C218" t="s">
        <v>140</v>
      </c>
      <c r="D218" t="s">
        <v>248</v>
      </c>
      <c r="E218" t="s">
        <v>105</v>
      </c>
      <c r="F218">
        <v>1</v>
      </c>
      <c r="G218" s="95">
        <v>44237</v>
      </c>
      <c r="H218" s="95">
        <v>44237</v>
      </c>
      <c r="I218" s="95">
        <v>44237</v>
      </c>
      <c r="K218" t="s">
        <v>24</v>
      </c>
      <c r="L218" t="s">
        <v>25</v>
      </c>
      <c r="M218" t="s">
        <v>26</v>
      </c>
      <c r="N218">
        <v>1</v>
      </c>
      <c r="O218" t="s">
        <v>27</v>
      </c>
      <c r="Q218" t="s">
        <v>54</v>
      </c>
      <c r="R218" t="s">
        <v>54</v>
      </c>
    </row>
    <row r="219" spans="1:18" x14ac:dyDescent="0.25">
      <c r="A219" t="s">
        <v>39</v>
      </c>
      <c r="B219">
        <v>220471</v>
      </c>
      <c r="C219" t="s">
        <v>140</v>
      </c>
      <c r="D219" t="s">
        <v>249</v>
      </c>
      <c r="E219" t="s">
        <v>22</v>
      </c>
      <c r="F219">
        <v>3</v>
      </c>
      <c r="G219" s="95">
        <v>44237</v>
      </c>
      <c r="H219" s="95">
        <v>44238</v>
      </c>
      <c r="I219" s="95">
        <v>44238</v>
      </c>
      <c r="K219" t="s">
        <v>24</v>
      </c>
      <c r="L219" t="s">
        <v>58</v>
      </c>
      <c r="M219" t="s">
        <v>26</v>
      </c>
      <c r="O219" t="s">
        <v>38</v>
      </c>
      <c r="P219" t="s">
        <v>38</v>
      </c>
      <c r="Q219" t="s">
        <v>54</v>
      </c>
      <c r="R219" t="s">
        <v>28</v>
      </c>
    </row>
    <row r="220" spans="1:18" x14ac:dyDescent="0.25">
      <c r="A220" t="s">
        <v>132</v>
      </c>
      <c r="B220">
        <v>220400</v>
      </c>
      <c r="C220" t="s">
        <v>140</v>
      </c>
      <c r="D220" t="s">
        <v>250</v>
      </c>
      <c r="E220" t="s">
        <v>134</v>
      </c>
      <c r="F220">
        <v>1</v>
      </c>
      <c r="G220" s="95">
        <v>44236</v>
      </c>
      <c r="H220" s="95">
        <v>44238</v>
      </c>
      <c r="I220" s="95">
        <v>44238</v>
      </c>
      <c r="K220" t="s">
        <v>24</v>
      </c>
      <c r="L220" t="s">
        <v>58</v>
      </c>
      <c r="M220" t="s">
        <v>26</v>
      </c>
      <c r="O220" t="s">
        <v>38</v>
      </c>
      <c r="P220" t="s">
        <v>38</v>
      </c>
      <c r="Q220" t="s">
        <v>54</v>
      </c>
      <c r="R220" t="s">
        <v>54</v>
      </c>
    </row>
    <row r="221" spans="1:18" x14ac:dyDescent="0.25">
      <c r="A221" t="s">
        <v>52</v>
      </c>
      <c r="B221">
        <v>220530</v>
      </c>
      <c r="C221" t="s">
        <v>77</v>
      </c>
      <c r="D221" t="s">
        <v>251</v>
      </c>
      <c r="F221">
        <v>1</v>
      </c>
      <c r="G221" s="95">
        <v>44237</v>
      </c>
      <c r="H221" s="95">
        <v>44253</v>
      </c>
      <c r="I221" s="95">
        <v>44253</v>
      </c>
      <c r="K221" t="s">
        <v>24</v>
      </c>
      <c r="L221" t="s">
        <v>37</v>
      </c>
      <c r="M221" t="s">
        <v>26</v>
      </c>
      <c r="O221" t="s">
        <v>38</v>
      </c>
      <c r="P221" t="s">
        <v>27</v>
      </c>
      <c r="Q221" t="s">
        <v>54</v>
      </c>
      <c r="R221" t="s">
        <v>54</v>
      </c>
    </row>
    <row r="222" spans="1:18" x14ac:dyDescent="0.25">
      <c r="A222" t="s">
        <v>39</v>
      </c>
      <c r="B222" t="s">
        <v>247</v>
      </c>
      <c r="C222" t="s">
        <v>20</v>
      </c>
      <c r="D222" t="s">
        <v>252</v>
      </c>
      <c r="E222" t="s">
        <v>107</v>
      </c>
      <c r="G222" s="95">
        <v>44237</v>
      </c>
      <c r="H222" s="95">
        <v>44246</v>
      </c>
      <c r="I222" s="95">
        <v>44246</v>
      </c>
      <c r="K222" t="s">
        <v>24</v>
      </c>
      <c r="L222" t="s">
        <v>25</v>
      </c>
      <c r="M222" t="s">
        <v>34</v>
      </c>
      <c r="N222">
        <v>1</v>
      </c>
      <c r="O222" t="s">
        <v>38</v>
      </c>
      <c r="P222" t="s">
        <v>38</v>
      </c>
      <c r="Q222" t="s">
        <v>28</v>
      </c>
      <c r="R222" t="s">
        <v>54</v>
      </c>
    </row>
    <row r="223" spans="1:18" x14ac:dyDescent="0.25">
      <c r="A223" t="s">
        <v>39</v>
      </c>
      <c r="B223" t="s">
        <v>247</v>
      </c>
      <c r="C223" t="s">
        <v>20</v>
      </c>
      <c r="D223" t="s">
        <v>252</v>
      </c>
      <c r="E223" t="s">
        <v>106</v>
      </c>
      <c r="G223" s="95">
        <v>44237</v>
      </c>
      <c r="H223" s="95">
        <v>44246</v>
      </c>
      <c r="I223" s="95">
        <v>44246</v>
      </c>
      <c r="K223" t="s">
        <v>24</v>
      </c>
      <c r="L223" t="s">
        <v>25</v>
      </c>
      <c r="M223" t="s">
        <v>34</v>
      </c>
      <c r="N223">
        <v>1</v>
      </c>
      <c r="O223" t="s">
        <v>38</v>
      </c>
      <c r="P223" t="s">
        <v>38</v>
      </c>
      <c r="Q223" t="s">
        <v>28</v>
      </c>
      <c r="R223" t="s">
        <v>54</v>
      </c>
    </row>
    <row r="224" spans="1:18" x14ac:dyDescent="0.25">
      <c r="A224" t="s">
        <v>39</v>
      </c>
      <c r="B224" t="s">
        <v>247</v>
      </c>
      <c r="C224" t="s">
        <v>20</v>
      </c>
      <c r="D224" t="s">
        <v>253</v>
      </c>
      <c r="E224" t="s">
        <v>181</v>
      </c>
      <c r="F224">
        <v>20</v>
      </c>
      <c r="G224" s="95">
        <v>44238</v>
      </c>
      <c r="H224" s="95">
        <v>44238</v>
      </c>
      <c r="I224" s="95">
        <v>44238</v>
      </c>
      <c r="K224" t="s">
        <v>24</v>
      </c>
      <c r="L224" t="s">
        <v>58</v>
      </c>
      <c r="M224" t="s">
        <v>26</v>
      </c>
      <c r="O224" t="s">
        <v>27</v>
      </c>
      <c r="P224" t="s">
        <v>27</v>
      </c>
    </row>
    <row r="225" spans="1:18" x14ac:dyDescent="0.25">
      <c r="A225" t="s">
        <v>87</v>
      </c>
      <c r="B225">
        <v>220687</v>
      </c>
      <c r="C225" t="s">
        <v>140</v>
      </c>
      <c r="D225" t="s">
        <v>254</v>
      </c>
      <c r="E225" t="s">
        <v>41</v>
      </c>
      <c r="F225">
        <v>1</v>
      </c>
      <c r="G225" s="95">
        <v>44237</v>
      </c>
      <c r="H225" s="95">
        <v>44238</v>
      </c>
      <c r="I225" s="95">
        <v>44238</v>
      </c>
      <c r="K225" t="s">
        <v>24</v>
      </c>
      <c r="L225" t="s">
        <v>58</v>
      </c>
      <c r="M225" t="s">
        <v>26</v>
      </c>
      <c r="O225" t="s">
        <v>38</v>
      </c>
      <c r="P225" t="s">
        <v>38</v>
      </c>
      <c r="Q225" t="s">
        <v>54</v>
      </c>
      <c r="R225" t="s">
        <v>54</v>
      </c>
    </row>
    <row r="226" spans="1:18" x14ac:dyDescent="0.25">
      <c r="A226" t="s">
        <v>72</v>
      </c>
      <c r="B226">
        <v>221109</v>
      </c>
      <c r="C226" t="s">
        <v>140</v>
      </c>
      <c r="D226" t="s">
        <v>255</v>
      </c>
      <c r="E226" t="s">
        <v>69</v>
      </c>
      <c r="F226">
        <v>1</v>
      </c>
      <c r="G226" s="95">
        <v>44239</v>
      </c>
      <c r="H226" s="95">
        <v>44239</v>
      </c>
      <c r="I226" s="95">
        <v>44239</v>
      </c>
      <c r="K226" t="s">
        <v>24</v>
      </c>
      <c r="L226" t="s">
        <v>37</v>
      </c>
      <c r="M226" t="s">
        <v>26</v>
      </c>
      <c r="O226" t="s">
        <v>38</v>
      </c>
      <c r="P226" t="s">
        <v>38</v>
      </c>
      <c r="Q226" t="s">
        <v>185</v>
      </c>
      <c r="R226" t="s">
        <v>28</v>
      </c>
    </row>
    <row r="227" spans="1:18" x14ac:dyDescent="0.25">
      <c r="A227" t="s">
        <v>256</v>
      </c>
      <c r="B227">
        <v>221137</v>
      </c>
      <c r="C227" t="s">
        <v>140</v>
      </c>
      <c r="D227" t="s">
        <v>257</v>
      </c>
      <c r="E227" t="s">
        <v>236</v>
      </c>
      <c r="F227">
        <v>11</v>
      </c>
      <c r="G227" s="95">
        <v>44239</v>
      </c>
      <c r="H227" s="95">
        <v>44239</v>
      </c>
      <c r="I227" s="95">
        <v>44239</v>
      </c>
      <c r="K227" t="s">
        <v>24</v>
      </c>
      <c r="L227" t="s">
        <v>37</v>
      </c>
      <c r="M227" t="s">
        <v>26</v>
      </c>
      <c r="O227" t="s">
        <v>38</v>
      </c>
      <c r="P227" t="s">
        <v>38</v>
      </c>
      <c r="Q227" t="s">
        <v>54</v>
      </c>
      <c r="R227" t="s">
        <v>54</v>
      </c>
    </row>
    <row r="228" spans="1:18" x14ac:dyDescent="0.25">
      <c r="A228" t="s">
        <v>39</v>
      </c>
      <c r="B228" t="s">
        <v>247</v>
      </c>
      <c r="C228" t="s">
        <v>140</v>
      </c>
      <c r="D228" t="s">
        <v>258</v>
      </c>
      <c r="E228" t="s">
        <v>22</v>
      </c>
      <c r="F228">
        <v>1</v>
      </c>
      <c r="G228" s="95">
        <v>44244</v>
      </c>
      <c r="H228" s="95">
        <v>44244</v>
      </c>
      <c r="I228" s="95">
        <v>44244</v>
      </c>
      <c r="K228" t="s">
        <v>24</v>
      </c>
      <c r="L228" t="s">
        <v>58</v>
      </c>
      <c r="M228" t="s">
        <v>26</v>
      </c>
      <c r="O228" t="s">
        <v>38</v>
      </c>
      <c r="P228" t="s">
        <v>38</v>
      </c>
      <c r="Q228" t="s">
        <v>54</v>
      </c>
      <c r="R228" t="s">
        <v>54</v>
      </c>
    </row>
    <row r="229" spans="1:18" x14ac:dyDescent="0.25">
      <c r="A229" t="s">
        <v>159</v>
      </c>
      <c r="B229">
        <v>221219</v>
      </c>
      <c r="C229" t="s">
        <v>140</v>
      </c>
      <c r="D229" t="s">
        <v>259</v>
      </c>
      <c r="E229" t="s">
        <v>147</v>
      </c>
      <c r="F229">
        <v>1</v>
      </c>
      <c r="G229" s="95">
        <v>44239</v>
      </c>
      <c r="H229" s="95">
        <v>44245</v>
      </c>
      <c r="I229" s="95">
        <v>44244</v>
      </c>
      <c r="K229" t="s">
        <v>24</v>
      </c>
      <c r="L229" t="s">
        <v>58</v>
      </c>
      <c r="M229" t="s">
        <v>26</v>
      </c>
      <c r="O229" t="s">
        <v>38</v>
      </c>
      <c r="P229" t="s">
        <v>38</v>
      </c>
      <c r="Q229" t="s">
        <v>28</v>
      </c>
      <c r="R229" t="s">
        <v>28</v>
      </c>
    </row>
    <row r="230" spans="1:18" x14ac:dyDescent="0.25">
      <c r="A230" t="s">
        <v>39</v>
      </c>
      <c r="B230">
        <v>221305</v>
      </c>
      <c r="C230" t="s">
        <v>140</v>
      </c>
      <c r="D230" t="s">
        <v>260</v>
      </c>
      <c r="E230" t="s">
        <v>107</v>
      </c>
      <c r="F230">
        <v>4</v>
      </c>
      <c r="G230" s="95">
        <v>44239</v>
      </c>
      <c r="H230" s="95">
        <v>44252</v>
      </c>
      <c r="I230" s="95">
        <v>44245</v>
      </c>
      <c r="K230" t="s">
        <v>24</v>
      </c>
      <c r="L230" t="s">
        <v>58</v>
      </c>
      <c r="M230" t="s">
        <v>26</v>
      </c>
      <c r="O230" t="s">
        <v>38</v>
      </c>
      <c r="P230" t="s">
        <v>38</v>
      </c>
      <c r="Q230" t="s">
        <v>29</v>
      </c>
      <c r="R230" t="s">
        <v>54</v>
      </c>
    </row>
    <row r="231" spans="1:18" x14ac:dyDescent="0.25">
      <c r="A231" t="s">
        <v>39</v>
      </c>
      <c r="B231" t="s">
        <v>247</v>
      </c>
      <c r="C231" t="s">
        <v>140</v>
      </c>
      <c r="D231" t="s">
        <v>261</v>
      </c>
      <c r="E231" t="s">
        <v>46</v>
      </c>
      <c r="F231">
        <v>2</v>
      </c>
      <c r="G231" s="95">
        <v>44245</v>
      </c>
      <c r="H231" s="95">
        <v>44245</v>
      </c>
      <c r="I231" s="95">
        <v>44245</v>
      </c>
      <c r="J231" t="s">
        <v>262</v>
      </c>
      <c r="K231" t="s">
        <v>24</v>
      </c>
      <c r="L231" t="s">
        <v>58</v>
      </c>
      <c r="M231" t="s">
        <v>26</v>
      </c>
      <c r="O231" t="s">
        <v>38</v>
      </c>
      <c r="P231" t="s">
        <v>38</v>
      </c>
      <c r="Q231" t="s">
        <v>54</v>
      </c>
      <c r="R231" t="s">
        <v>54</v>
      </c>
    </row>
    <row r="232" spans="1:18" x14ac:dyDescent="0.25">
      <c r="A232" t="s">
        <v>39</v>
      </c>
      <c r="B232" t="s">
        <v>247</v>
      </c>
      <c r="C232" t="s">
        <v>20</v>
      </c>
      <c r="D232" t="s">
        <v>263</v>
      </c>
      <c r="E232" t="s">
        <v>227</v>
      </c>
      <c r="F232">
        <v>1</v>
      </c>
      <c r="G232" s="95">
        <v>44245</v>
      </c>
      <c r="I232" s="95">
        <v>44245</v>
      </c>
      <c r="K232" t="s">
        <v>24</v>
      </c>
      <c r="L232" t="s">
        <v>58</v>
      </c>
      <c r="M232" t="s">
        <v>26</v>
      </c>
      <c r="O232" t="s">
        <v>38</v>
      </c>
      <c r="Q232" t="s">
        <v>54</v>
      </c>
      <c r="R232" t="s">
        <v>54</v>
      </c>
    </row>
    <row r="233" spans="1:18" x14ac:dyDescent="0.25">
      <c r="A233" t="s">
        <v>52</v>
      </c>
      <c r="B233">
        <v>222057</v>
      </c>
      <c r="C233" t="s">
        <v>140</v>
      </c>
      <c r="D233" t="s">
        <v>264</v>
      </c>
      <c r="E233" t="s">
        <v>22</v>
      </c>
      <c r="F233">
        <v>1</v>
      </c>
      <c r="G233" s="95">
        <v>44246</v>
      </c>
      <c r="H233" s="95">
        <v>44246</v>
      </c>
      <c r="I233" s="95">
        <v>44246</v>
      </c>
      <c r="K233" t="s">
        <v>24</v>
      </c>
      <c r="L233" t="s">
        <v>58</v>
      </c>
      <c r="M233" t="s">
        <v>26</v>
      </c>
      <c r="O233" t="s">
        <v>38</v>
      </c>
      <c r="Q233" t="s">
        <v>54</v>
      </c>
      <c r="R233" t="s">
        <v>54</v>
      </c>
    </row>
    <row r="234" spans="1:18" x14ac:dyDescent="0.25">
      <c r="A234" t="s">
        <v>39</v>
      </c>
      <c r="B234">
        <v>222064</v>
      </c>
      <c r="C234" t="s">
        <v>20</v>
      </c>
      <c r="D234" t="s">
        <v>265</v>
      </c>
      <c r="E234" t="s">
        <v>22</v>
      </c>
      <c r="F234">
        <v>1</v>
      </c>
      <c r="G234" s="95">
        <v>44246</v>
      </c>
      <c r="H234" s="95">
        <v>44250</v>
      </c>
      <c r="I234" s="95">
        <v>44250</v>
      </c>
      <c r="K234" t="s">
        <v>24</v>
      </c>
      <c r="L234" t="s">
        <v>45</v>
      </c>
      <c r="M234" t="s">
        <v>26</v>
      </c>
      <c r="O234" t="s">
        <v>38</v>
      </c>
      <c r="P234" t="s">
        <v>27</v>
      </c>
      <c r="Q234" t="s">
        <v>54</v>
      </c>
      <c r="R234" t="s">
        <v>54</v>
      </c>
    </row>
    <row r="235" spans="1:18" x14ac:dyDescent="0.25">
      <c r="A235" t="s">
        <v>39</v>
      </c>
      <c r="B235">
        <v>222064</v>
      </c>
      <c r="C235" t="s">
        <v>20</v>
      </c>
      <c r="D235" t="s">
        <v>265</v>
      </c>
      <c r="E235" t="s">
        <v>82</v>
      </c>
      <c r="F235">
        <v>1</v>
      </c>
      <c r="G235" s="95">
        <v>44246</v>
      </c>
      <c r="H235" s="95">
        <v>44250</v>
      </c>
      <c r="I235" s="95">
        <v>44250</v>
      </c>
      <c r="K235" t="s">
        <v>24</v>
      </c>
      <c r="L235" t="s">
        <v>45</v>
      </c>
      <c r="M235" t="s">
        <v>26</v>
      </c>
      <c r="O235" t="s">
        <v>38</v>
      </c>
      <c r="P235" t="s">
        <v>27</v>
      </c>
      <c r="Q235" t="s">
        <v>54</v>
      </c>
      <c r="R235" t="s">
        <v>54</v>
      </c>
    </row>
    <row r="236" spans="1:18" x14ac:dyDescent="0.25">
      <c r="A236" t="s">
        <v>39</v>
      </c>
      <c r="B236">
        <v>222064</v>
      </c>
      <c r="C236" t="s">
        <v>20</v>
      </c>
      <c r="D236" t="s">
        <v>265</v>
      </c>
      <c r="E236" t="s">
        <v>68</v>
      </c>
      <c r="F236">
        <v>5</v>
      </c>
      <c r="G236" s="95">
        <v>44246</v>
      </c>
      <c r="H236" s="95">
        <v>44250</v>
      </c>
      <c r="I236" s="95">
        <v>44250</v>
      </c>
      <c r="K236" t="s">
        <v>24</v>
      </c>
      <c r="L236" t="s">
        <v>45</v>
      </c>
      <c r="M236" t="s">
        <v>26</v>
      </c>
      <c r="O236" t="s">
        <v>38</v>
      </c>
      <c r="P236" t="s">
        <v>27</v>
      </c>
      <c r="Q236" t="s">
        <v>54</v>
      </c>
      <c r="R236" t="s">
        <v>54</v>
      </c>
    </row>
    <row r="237" spans="1:18" x14ac:dyDescent="0.25">
      <c r="A237" t="s">
        <v>159</v>
      </c>
      <c r="B237">
        <v>222194</v>
      </c>
      <c r="C237" t="s">
        <v>140</v>
      </c>
      <c r="D237" t="s">
        <v>266</v>
      </c>
      <c r="E237" t="s">
        <v>41</v>
      </c>
      <c r="F237">
        <v>1</v>
      </c>
      <c r="G237" s="95">
        <v>44246</v>
      </c>
      <c r="H237" s="95">
        <v>44253</v>
      </c>
      <c r="I237" s="95">
        <v>44253</v>
      </c>
      <c r="K237" t="s">
        <v>24</v>
      </c>
      <c r="L237" t="s">
        <v>58</v>
      </c>
      <c r="M237" t="s">
        <v>26</v>
      </c>
      <c r="N237">
        <v>1</v>
      </c>
      <c r="O237" t="s">
        <v>38</v>
      </c>
      <c r="P237" t="s">
        <v>38</v>
      </c>
      <c r="Q237" t="s">
        <v>28</v>
      </c>
      <c r="R237" t="s">
        <v>54</v>
      </c>
    </row>
    <row r="238" spans="1:18" x14ac:dyDescent="0.25">
      <c r="A238" t="s">
        <v>159</v>
      </c>
      <c r="B238">
        <v>222194</v>
      </c>
      <c r="C238" t="s">
        <v>140</v>
      </c>
      <c r="D238" t="s">
        <v>266</v>
      </c>
      <c r="E238" t="s">
        <v>107</v>
      </c>
      <c r="F238">
        <v>2</v>
      </c>
      <c r="G238" s="95">
        <v>44246</v>
      </c>
      <c r="H238" s="95">
        <v>44253</v>
      </c>
      <c r="I238" s="95">
        <v>44253</v>
      </c>
      <c r="K238" t="s">
        <v>24</v>
      </c>
      <c r="L238" t="s">
        <v>58</v>
      </c>
      <c r="M238" t="s">
        <v>26</v>
      </c>
      <c r="N238">
        <v>1</v>
      </c>
      <c r="O238" t="s">
        <v>38</v>
      </c>
      <c r="P238" t="s">
        <v>38</v>
      </c>
      <c r="Q238" t="s">
        <v>28</v>
      </c>
      <c r="R238" t="s">
        <v>54</v>
      </c>
    </row>
    <row r="239" spans="1:18" x14ac:dyDescent="0.25">
      <c r="A239" t="s">
        <v>159</v>
      </c>
      <c r="B239">
        <v>222194</v>
      </c>
      <c r="C239" t="s">
        <v>140</v>
      </c>
      <c r="D239" t="s">
        <v>266</v>
      </c>
      <c r="E239" t="s">
        <v>46</v>
      </c>
      <c r="F239">
        <v>1</v>
      </c>
      <c r="G239" s="95">
        <v>44246</v>
      </c>
      <c r="H239" s="95">
        <v>44253</v>
      </c>
      <c r="I239" s="95">
        <v>44253</v>
      </c>
      <c r="K239" t="s">
        <v>24</v>
      </c>
      <c r="L239" t="s">
        <v>58</v>
      </c>
      <c r="M239" t="s">
        <v>26</v>
      </c>
      <c r="N239">
        <v>1</v>
      </c>
      <c r="O239" t="s">
        <v>38</v>
      </c>
      <c r="P239" t="s">
        <v>38</v>
      </c>
      <c r="Q239" t="s">
        <v>28</v>
      </c>
      <c r="R239" t="s">
        <v>54</v>
      </c>
    </row>
    <row r="240" spans="1:18" x14ac:dyDescent="0.25">
      <c r="A240" t="s">
        <v>159</v>
      </c>
      <c r="B240">
        <v>222194</v>
      </c>
      <c r="C240" t="s">
        <v>140</v>
      </c>
      <c r="D240" t="s">
        <v>266</v>
      </c>
      <c r="E240" t="s">
        <v>83</v>
      </c>
      <c r="F240">
        <v>1</v>
      </c>
      <c r="G240" s="95">
        <v>44246</v>
      </c>
      <c r="H240" s="95">
        <v>44253</v>
      </c>
      <c r="I240" s="95">
        <v>44253</v>
      </c>
      <c r="K240" t="s">
        <v>24</v>
      </c>
      <c r="L240" t="s">
        <v>37</v>
      </c>
      <c r="M240" t="s">
        <v>26</v>
      </c>
      <c r="N240">
        <v>1</v>
      </c>
      <c r="O240" t="s">
        <v>38</v>
      </c>
      <c r="P240" t="s">
        <v>38</v>
      </c>
      <c r="Q240" t="s">
        <v>28</v>
      </c>
      <c r="R240" t="s">
        <v>54</v>
      </c>
    </row>
    <row r="241" spans="1:18" x14ac:dyDescent="0.25">
      <c r="A241" t="s">
        <v>39</v>
      </c>
      <c r="B241" t="s">
        <v>247</v>
      </c>
      <c r="C241" t="s">
        <v>140</v>
      </c>
      <c r="D241" t="s">
        <v>258</v>
      </c>
      <c r="E241" t="s">
        <v>22</v>
      </c>
      <c r="F241">
        <v>2</v>
      </c>
      <c r="G241" s="95">
        <v>44249</v>
      </c>
      <c r="H241" s="95">
        <v>44251</v>
      </c>
      <c r="I241" s="95">
        <v>44251</v>
      </c>
      <c r="J241" t="s">
        <v>267</v>
      </c>
      <c r="K241" t="s">
        <v>24</v>
      </c>
      <c r="L241" t="s">
        <v>58</v>
      </c>
      <c r="M241" t="s">
        <v>26</v>
      </c>
      <c r="O241" t="s">
        <v>38</v>
      </c>
      <c r="P241" t="s">
        <v>38</v>
      </c>
      <c r="Q241" t="s">
        <v>54</v>
      </c>
      <c r="R241" t="s">
        <v>54</v>
      </c>
    </row>
    <row r="242" spans="1:18" x14ac:dyDescent="0.25">
      <c r="A242" t="s">
        <v>76</v>
      </c>
      <c r="B242">
        <v>222575</v>
      </c>
      <c r="C242" t="s">
        <v>20</v>
      </c>
      <c r="D242" t="s">
        <v>268</v>
      </c>
      <c r="E242" t="s">
        <v>269</v>
      </c>
      <c r="F242">
        <v>2</v>
      </c>
      <c r="G242" s="95">
        <v>44249</v>
      </c>
      <c r="H242" s="95">
        <v>44251</v>
      </c>
      <c r="I242" s="95">
        <v>44253</v>
      </c>
      <c r="K242" t="s">
        <v>24</v>
      </c>
      <c r="L242" t="s">
        <v>58</v>
      </c>
      <c r="M242" t="s">
        <v>26</v>
      </c>
      <c r="N242">
        <v>1</v>
      </c>
      <c r="O242" t="s">
        <v>27</v>
      </c>
      <c r="P242" t="s">
        <v>27</v>
      </c>
      <c r="Q242" t="s">
        <v>54</v>
      </c>
      <c r="R242" t="s">
        <v>29</v>
      </c>
    </row>
    <row r="243" spans="1:18" x14ac:dyDescent="0.25">
      <c r="A243" t="s">
        <v>49</v>
      </c>
      <c r="B243">
        <v>222682</v>
      </c>
      <c r="C243" t="s">
        <v>140</v>
      </c>
      <c r="D243" t="s">
        <v>270</v>
      </c>
      <c r="E243" t="s">
        <v>22</v>
      </c>
      <c r="F243">
        <v>1</v>
      </c>
      <c r="G243" s="95">
        <v>44249</v>
      </c>
      <c r="H243" s="95">
        <v>44250</v>
      </c>
      <c r="I243" s="95">
        <v>44250</v>
      </c>
      <c r="J243" t="s">
        <v>271</v>
      </c>
      <c r="K243" t="s">
        <v>24</v>
      </c>
      <c r="L243" t="s">
        <v>58</v>
      </c>
      <c r="M243" t="s">
        <v>26</v>
      </c>
      <c r="O243" t="s">
        <v>38</v>
      </c>
      <c r="P243" t="s">
        <v>38</v>
      </c>
      <c r="Q243" t="s">
        <v>54</v>
      </c>
      <c r="R243" t="s">
        <v>54</v>
      </c>
    </row>
    <row r="244" spans="1:18" x14ac:dyDescent="0.25">
      <c r="A244" t="s">
        <v>39</v>
      </c>
      <c r="B244">
        <v>214857</v>
      </c>
      <c r="C244" t="s">
        <v>20</v>
      </c>
      <c r="D244" t="s">
        <v>154</v>
      </c>
      <c r="E244" t="s">
        <v>22</v>
      </c>
      <c r="F244">
        <v>5</v>
      </c>
      <c r="G244" s="95">
        <v>44214</v>
      </c>
      <c r="H244" s="95">
        <v>44256</v>
      </c>
      <c r="I244" s="95">
        <v>44277</v>
      </c>
      <c r="K244" t="s">
        <v>24</v>
      </c>
      <c r="L244" t="s">
        <v>25</v>
      </c>
      <c r="M244" t="s">
        <v>26</v>
      </c>
      <c r="N244">
        <v>2</v>
      </c>
      <c r="O244" t="s">
        <v>27</v>
      </c>
      <c r="P244" t="s">
        <v>27</v>
      </c>
      <c r="Q244" t="s">
        <v>54</v>
      </c>
      <c r="R244" t="s">
        <v>54</v>
      </c>
    </row>
    <row r="245" spans="1:18" x14ac:dyDescent="0.25">
      <c r="A245" t="s">
        <v>39</v>
      </c>
      <c r="B245">
        <v>214857</v>
      </c>
      <c r="C245" t="s">
        <v>20</v>
      </c>
      <c r="D245" t="s">
        <v>154</v>
      </c>
      <c r="E245" t="s">
        <v>46</v>
      </c>
      <c r="F245">
        <v>5</v>
      </c>
      <c r="G245" s="95">
        <v>44214</v>
      </c>
      <c r="H245" s="95">
        <v>44256</v>
      </c>
      <c r="I245" s="95">
        <v>44277</v>
      </c>
      <c r="K245" t="s">
        <v>24</v>
      </c>
      <c r="L245" t="s">
        <v>45</v>
      </c>
      <c r="M245" t="s">
        <v>26</v>
      </c>
      <c r="N245">
        <v>2</v>
      </c>
      <c r="O245" t="s">
        <v>27</v>
      </c>
      <c r="P245" t="s">
        <v>27</v>
      </c>
      <c r="Q245" t="s">
        <v>54</v>
      </c>
      <c r="R245" t="s">
        <v>54</v>
      </c>
    </row>
    <row r="246" spans="1:18" x14ac:dyDescent="0.25">
      <c r="A246" t="s">
        <v>39</v>
      </c>
      <c r="B246">
        <v>214857</v>
      </c>
      <c r="C246" t="s">
        <v>20</v>
      </c>
      <c r="D246" t="s">
        <v>154</v>
      </c>
      <c r="E246" t="s">
        <v>177</v>
      </c>
      <c r="F246">
        <v>5</v>
      </c>
      <c r="G246" s="95">
        <v>44214</v>
      </c>
      <c r="H246" s="95">
        <v>44256</v>
      </c>
      <c r="I246" s="95">
        <v>44277</v>
      </c>
      <c r="K246" t="s">
        <v>24</v>
      </c>
      <c r="L246" t="s">
        <v>45</v>
      </c>
      <c r="M246" t="s">
        <v>26</v>
      </c>
      <c r="N246">
        <v>2</v>
      </c>
      <c r="O246" t="s">
        <v>27</v>
      </c>
      <c r="P246" t="s">
        <v>27</v>
      </c>
      <c r="Q246" t="s">
        <v>54</v>
      </c>
      <c r="R246" t="s">
        <v>54</v>
      </c>
    </row>
    <row r="247" spans="1:18" x14ac:dyDescent="0.25">
      <c r="A247" t="s">
        <v>39</v>
      </c>
      <c r="B247">
        <v>214857</v>
      </c>
      <c r="C247" t="s">
        <v>20</v>
      </c>
      <c r="D247" t="s">
        <v>154</v>
      </c>
      <c r="E247" t="s">
        <v>127</v>
      </c>
      <c r="F247">
        <v>1</v>
      </c>
      <c r="G247" s="95">
        <v>44214</v>
      </c>
      <c r="H247" s="95">
        <v>44256</v>
      </c>
      <c r="I247" s="95">
        <v>44277</v>
      </c>
      <c r="K247" t="s">
        <v>24</v>
      </c>
      <c r="L247" t="s">
        <v>45</v>
      </c>
      <c r="M247" t="s">
        <v>26</v>
      </c>
      <c r="N247">
        <v>2</v>
      </c>
      <c r="O247" t="s">
        <v>27</v>
      </c>
      <c r="P247" t="s">
        <v>27</v>
      </c>
      <c r="Q247" t="s">
        <v>54</v>
      </c>
      <c r="R247" t="s">
        <v>54</v>
      </c>
    </row>
    <row r="248" spans="1:18" x14ac:dyDescent="0.25">
      <c r="A248" t="s">
        <v>39</v>
      </c>
      <c r="B248">
        <v>214857</v>
      </c>
      <c r="C248" t="s">
        <v>20</v>
      </c>
      <c r="D248" t="s">
        <v>154</v>
      </c>
      <c r="E248" t="s">
        <v>55</v>
      </c>
      <c r="F248">
        <v>1</v>
      </c>
      <c r="G248" s="95">
        <v>44214</v>
      </c>
      <c r="H248" s="95">
        <v>44256</v>
      </c>
      <c r="I248" s="95">
        <v>44277</v>
      </c>
      <c r="K248" t="s">
        <v>24</v>
      </c>
      <c r="L248" t="s">
        <v>45</v>
      </c>
      <c r="M248" t="s">
        <v>26</v>
      </c>
      <c r="N248">
        <v>2</v>
      </c>
      <c r="O248" t="s">
        <v>27</v>
      </c>
      <c r="P248" t="s">
        <v>27</v>
      </c>
      <c r="Q248" t="s">
        <v>54</v>
      </c>
      <c r="R248" t="s">
        <v>54</v>
      </c>
    </row>
    <row r="249" spans="1:18" x14ac:dyDescent="0.25">
      <c r="A249" t="s">
        <v>39</v>
      </c>
      <c r="B249">
        <v>214857</v>
      </c>
      <c r="C249" t="s">
        <v>20</v>
      </c>
      <c r="D249" t="s">
        <v>154</v>
      </c>
      <c r="E249" t="s">
        <v>175</v>
      </c>
      <c r="F249">
        <v>1</v>
      </c>
      <c r="G249" s="95">
        <v>44214</v>
      </c>
      <c r="H249" s="95">
        <v>44256</v>
      </c>
      <c r="I249" s="95">
        <v>44277</v>
      </c>
      <c r="J249" t="s">
        <v>276</v>
      </c>
      <c r="K249" t="s">
        <v>24</v>
      </c>
      <c r="L249" t="s">
        <v>45</v>
      </c>
      <c r="M249" t="s">
        <v>26</v>
      </c>
      <c r="N249">
        <v>2</v>
      </c>
      <c r="O249" t="s">
        <v>27</v>
      </c>
      <c r="P249" t="s">
        <v>27</v>
      </c>
      <c r="Q249" t="s">
        <v>54</v>
      </c>
      <c r="R249" t="s">
        <v>54</v>
      </c>
    </row>
    <row r="250" spans="1:18" x14ac:dyDescent="0.25">
      <c r="A250" t="s">
        <v>39</v>
      </c>
      <c r="B250">
        <v>214857</v>
      </c>
      <c r="C250" t="s">
        <v>20</v>
      </c>
      <c r="D250" t="s">
        <v>154</v>
      </c>
      <c r="E250" t="s">
        <v>124</v>
      </c>
      <c r="F250">
        <v>1</v>
      </c>
      <c r="G250" s="95">
        <v>44214</v>
      </c>
      <c r="H250" s="95">
        <v>44223</v>
      </c>
      <c r="I250" s="95">
        <v>44223</v>
      </c>
      <c r="K250" t="s">
        <v>24</v>
      </c>
      <c r="L250" t="s">
        <v>45</v>
      </c>
      <c r="M250" t="s">
        <v>26</v>
      </c>
      <c r="N250">
        <v>1</v>
      </c>
      <c r="O250" t="s">
        <v>27</v>
      </c>
      <c r="P250" t="s">
        <v>27</v>
      </c>
      <c r="Q250" t="s">
        <v>54</v>
      </c>
      <c r="R250" t="s">
        <v>54</v>
      </c>
    </row>
    <row r="251" spans="1:18" x14ac:dyDescent="0.25">
      <c r="A251" t="s">
        <v>39</v>
      </c>
      <c r="B251">
        <v>214857</v>
      </c>
      <c r="C251" t="s">
        <v>20</v>
      </c>
      <c r="D251" t="s">
        <v>154</v>
      </c>
      <c r="E251" t="s">
        <v>111</v>
      </c>
      <c r="G251" s="95">
        <v>44214</v>
      </c>
      <c r="H251" s="95">
        <v>44223</v>
      </c>
      <c r="I251" s="95">
        <v>44223</v>
      </c>
      <c r="J251" t="s">
        <v>277</v>
      </c>
      <c r="K251" t="s">
        <v>24</v>
      </c>
      <c r="L251" t="s">
        <v>25</v>
      </c>
      <c r="M251" t="s">
        <v>34</v>
      </c>
      <c r="O251" t="s">
        <v>27</v>
      </c>
      <c r="P251" t="s">
        <v>27</v>
      </c>
      <c r="Q251" t="s">
        <v>54</v>
      </c>
      <c r="R251" t="s">
        <v>54</v>
      </c>
    </row>
    <row r="252" spans="1:18" x14ac:dyDescent="0.25">
      <c r="A252" t="s">
        <v>39</v>
      </c>
      <c r="B252">
        <v>214857</v>
      </c>
      <c r="C252" t="s">
        <v>20</v>
      </c>
      <c r="D252" t="s">
        <v>154</v>
      </c>
      <c r="E252" t="s">
        <v>278</v>
      </c>
      <c r="G252" s="95">
        <v>44214</v>
      </c>
      <c r="H252" s="95">
        <v>44223</v>
      </c>
      <c r="I252" s="95">
        <v>44277</v>
      </c>
      <c r="K252" t="s">
        <v>24</v>
      </c>
      <c r="L252" t="s">
        <v>25</v>
      </c>
      <c r="M252" t="s">
        <v>34</v>
      </c>
      <c r="O252" t="s">
        <v>27</v>
      </c>
      <c r="P252" t="s">
        <v>27</v>
      </c>
      <c r="Q252" t="s">
        <v>54</v>
      </c>
      <c r="R252" t="s">
        <v>54</v>
      </c>
    </row>
    <row r="253" spans="1:18" x14ac:dyDescent="0.25">
      <c r="A253" t="s">
        <v>39</v>
      </c>
      <c r="B253">
        <v>214857</v>
      </c>
      <c r="C253" t="s">
        <v>20</v>
      </c>
      <c r="D253" t="s">
        <v>154</v>
      </c>
      <c r="E253" t="s">
        <v>127</v>
      </c>
      <c r="G253" s="95">
        <v>44271</v>
      </c>
      <c r="H253" s="95">
        <v>44271</v>
      </c>
      <c r="I253" s="95">
        <v>44277</v>
      </c>
      <c r="J253" t="s">
        <v>276</v>
      </c>
      <c r="K253" t="s">
        <v>24</v>
      </c>
      <c r="L253" t="s">
        <v>25</v>
      </c>
      <c r="M253" t="s">
        <v>34</v>
      </c>
      <c r="O253" t="s">
        <v>27</v>
      </c>
      <c r="P253" t="s">
        <v>27</v>
      </c>
      <c r="Q253" t="s">
        <v>54</v>
      </c>
      <c r="R253" t="s">
        <v>54</v>
      </c>
    </row>
    <row r="254" spans="1:18" x14ac:dyDescent="0.25">
      <c r="A254" t="s">
        <v>39</v>
      </c>
      <c r="B254">
        <v>214139</v>
      </c>
      <c r="C254" t="s">
        <v>20</v>
      </c>
      <c r="D254" t="s">
        <v>279</v>
      </c>
      <c r="E254" t="s">
        <v>98</v>
      </c>
      <c r="F254">
        <v>31</v>
      </c>
      <c r="G254" s="95">
        <v>44209</v>
      </c>
      <c r="H254" s="95">
        <v>44245</v>
      </c>
      <c r="J254" t="s">
        <v>280</v>
      </c>
      <c r="K254" t="s">
        <v>281</v>
      </c>
      <c r="L254" t="s">
        <v>25</v>
      </c>
      <c r="M254" t="s">
        <v>26</v>
      </c>
      <c r="O254" t="s">
        <v>27</v>
      </c>
      <c r="P254" t="s">
        <v>27</v>
      </c>
      <c r="Q254" t="s">
        <v>29</v>
      </c>
      <c r="R254" t="s">
        <v>29</v>
      </c>
    </row>
    <row r="255" spans="1:18" x14ac:dyDescent="0.25">
      <c r="A255" t="s">
        <v>39</v>
      </c>
      <c r="B255">
        <v>214139</v>
      </c>
      <c r="C255" t="s">
        <v>20</v>
      </c>
      <c r="D255" t="s">
        <v>279</v>
      </c>
      <c r="E255" t="s">
        <v>98</v>
      </c>
      <c r="F255">
        <v>27</v>
      </c>
      <c r="G255" s="95">
        <v>44249</v>
      </c>
      <c r="H255" s="95">
        <v>44251</v>
      </c>
      <c r="J255" t="s">
        <v>282</v>
      </c>
      <c r="K255" t="s">
        <v>24</v>
      </c>
      <c r="L255" t="s">
        <v>25</v>
      </c>
      <c r="M255" t="s">
        <v>26</v>
      </c>
      <c r="O255" t="s">
        <v>27</v>
      </c>
      <c r="P255" t="s">
        <v>27</v>
      </c>
      <c r="Q255" t="s">
        <v>29</v>
      </c>
      <c r="R255" t="s">
        <v>29</v>
      </c>
    </row>
    <row r="256" spans="1:18" x14ac:dyDescent="0.25">
      <c r="A256" t="s">
        <v>39</v>
      </c>
      <c r="B256">
        <v>218050</v>
      </c>
      <c r="C256" t="s">
        <v>20</v>
      </c>
      <c r="D256" t="s">
        <v>285</v>
      </c>
      <c r="E256" t="s">
        <v>157</v>
      </c>
      <c r="F256">
        <v>1</v>
      </c>
      <c r="G256" s="95">
        <v>44228</v>
      </c>
      <c r="H256" s="95">
        <v>44246</v>
      </c>
      <c r="I256" s="95">
        <v>44267</v>
      </c>
      <c r="K256" t="s">
        <v>24</v>
      </c>
      <c r="L256" t="s">
        <v>25</v>
      </c>
      <c r="M256" t="s">
        <v>26</v>
      </c>
      <c r="O256" t="s">
        <v>27</v>
      </c>
      <c r="P256" t="s">
        <v>27</v>
      </c>
      <c r="Q256" t="s">
        <v>286</v>
      </c>
      <c r="R256" t="s">
        <v>286</v>
      </c>
    </row>
    <row r="257" spans="1:18" x14ac:dyDescent="0.25">
      <c r="A257" t="s">
        <v>39</v>
      </c>
      <c r="B257">
        <v>220651</v>
      </c>
      <c r="C257" t="s">
        <v>20</v>
      </c>
      <c r="D257" t="s">
        <v>252</v>
      </c>
      <c r="E257" t="s">
        <v>79</v>
      </c>
      <c r="F257">
        <v>1</v>
      </c>
      <c r="G257" s="95">
        <v>44237</v>
      </c>
      <c r="H257" s="95">
        <v>44238</v>
      </c>
      <c r="K257" t="s">
        <v>24</v>
      </c>
      <c r="L257" t="s">
        <v>37</v>
      </c>
      <c r="M257" t="s">
        <v>34</v>
      </c>
      <c r="O257" t="s">
        <v>38</v>
      </c>
      <c r="P257" t="s">
        <v>38</v>
      </c>
      <c r="Q257" t="s">
        <v>28</v>
      </c>
      <c r="R257" t="s">
        <v>54</v>
      </c>
    </row>
    <row r="258" spans="1:18" x14ac:dyDescent="0.25">
      <c r="A258" t="s">
        <v>39</v>
      </c>
      <c r="B258">
        <v>220651</v>
      </c>
      <c r="C258" t="s">
        <v>20</v>
      </c>
      <c r="D258" t="s">
        <v>252</v>
      </c>
      <c r="E258" t="s">
        <v>22</v>
      </c>
      <c r="F258">
        <v>1</v>
      </c>
      <c r="G258" s="95">
        <v>44237</v>
      </c>
      <c r="H258" s="95">
        <v>44246</v>
      </c>
      <c r="K258" t="s">
        <v>24</v>
      </c>
      <c r="L258" t="s">
        <v>25</v>
      </c>
      <c r="M258" t="s">
        <v>34</v>
      </c>
      <c r="N258">
        <v>1</v>
      </c>
      <c r="O258" t="s">
        <v>38</v>
      </c>
      <c r="P258" t="s">
        <v>38</v>
      </c>
      <c r="Q258" t="s">
        <v>28</v>
      </c>
      <c r="R258" t="s">
        <v>54</v>
      </c>
    </row>
    <row r="259" spans="1:18" x14ac:dyDescent="0.25">
      <c r="A259" t="s">
        <v>39</v>
      </c>
      <c r="B259">
        <v>220651</v>
      </c>
      <c r="C259" t="s">
        <v>20</v>
      </c>
      <c r="D259" t="s">
        <v>252</v>
      </c>
      <c r="E259" t="s">
        <v>46</v>
      </c>
      <c r="F259">
        <v>2</v>
      </c>
      <c r="G259" s="95">
        <v>44237</v>
      </c>
      <c r="H259" s="95">
        <v>44246</v>
      </c>
      <c r="K259" t="s">
        <v>24</v>
      </c>
      <c r="L259" t="s">
        <v>25</v>
      </c>
      <c r="M259" t="s">
        <v>34</v>
      </c>
      <c r="N259">
        <v>1</v>
      </c>
      <c r="O259" t="s">
        <v>38</v>
      </c>
      <c r="P259" t="s">
        <v>38</v>
      </c>
      <c r="Q259" t="s">
        <v>28</v>
      </c>
      <c r="R259" t="s">
        <v>54</v>
      </c>
    </row>
    <row r="260" spans="1:18" x14ac:dyDescent="0.25">
      <c r="A260" t="s">
        <v>39</v>
      </c>
      <c r="B260">
        <v>220651</v>
      </c>
      <c r="C260" t="s">
        <v>20</v>
      </c>
      <c r="D260" t="s">
        <v>252</v>
      </c>
      <c r="E260" t="s">
        <v>177</v>
      </c>
      <c r="F260">
        <v>1</v>
      </c>
      <c r="G260" s="95">
        <v>44237</v>
      </c>
      <c r="H260" s="95">
        <v>44246</v>
      </c>
      <c r="K260" t="s">
        <v>24</v>
      </c>
      <c r="L260" t="s">
        <v>25</v>
      </c>
      <c r="M260" t="s">
        <v>34</v>
      </c>
      <c r="O260" t="s">
        <v>38</v>
      </c>
      <c r="P260" t="s">
        <v>38</v>
      </c>
      <c r="Q260" t="s">
        <v>28</v>
      </c>
      <c r="R260" t="s">
        <v>54</v>
      </c>
    </row>
    <row r="261" spans="1:18" x14ac:dyDescent="0.25">
      <c r="A261" t="s">
        <v>39</v>
      </c>
      <c r="B261">
        <v>220651</v>
      </c>
      <c r="C261" t="s">
        <v>20</v>
      </c>
      <c r="D261" t="s">
        <v>252</v>
      </c>
      <c r="E261" t="s">
        <v>93</v>
      </c>
      <c r="F261">
        <v>1</v>
      </c>
      <c r="G261" s="95">
        <v>44237</v>
      </c>
      <c r="H261" s="95">
        <v>44246</v>
      </c>
      <c r="K261" t="s">
        <v>24</v>
      </c>
      <c r="L261" t="s">
        <v>25</v>
      </c>
      <c r="M261" t="s">
        <v>34</v>
      </c>
      <c r="N261">
        <v>1</v>
      </c>
      <c r="O261" t="s">
        <v>38</v>
      </c>
      <c r="P261" t="s">
        <v>38</v>
      </c>
      <c r="Q261" t="s">
        <v>28</v>
      </c>
      <c r="R261" t="s">
        <v>54</v>
      </c>
    </row>
    <row r="262" spans="1:18" x14ac:dyDescent="0.25">
      <c r="A262" t="s">
        <v>39</v>
      </c>
      <c r="B262">
        <v>222353</v>
      </c>
      <c r="C262" t="s">
        <v>20</v>
      </c>
      <c r="D262" t="s">
        <v>293</v>
      </c>
      <c r="E262" t="s">
        <v>179</v>
      </c>
      <c r="F262">
        <v>4</v>
      </c>
      <c r="G262" s="95">
        <v>44246</v>
      </c>
      <c r="H262" s="95">
        <v>44250</v>
      </c>
      <c r="I262" s="95">
        <v>44279</v>
      </c>
      <c r="K262" t="s">
        <v>24</v>
      </c>
      <c r="L262" t="s">
        <v>25</v>
      </c>
      <c r="M262" t="s">
        <v>26</v>
      </c>
      <c r="O262" t="s">
        <v>27</v>
      </c>
      <c r="P262" t="s">
        <v>27</v>
      </c>
      <c r="Q262" t="s">
        <v>54</v>
      </c>
      <c r="R262" t="s">
        <v>185</v>
      </c>
    </row>
    <row r="263" spans="1:18" x14ac:dyDescent="0.25">
      <c r="A263" t="s">
        <v>39</v>
      </c>
      <c r="B263" t="s">
        <v>247</v>
      </c>
      <c r="C263" t="s">
        <v>140</v>
      </c>
      <c r="D263" t="s">
        <v>323</v>
      </c>
      <c r="E263" t="s">
        <v>22</v>
      </c>
      <c r="F263">
        <v>2</v>
      </c>
      <c r="G263" s="95">
        <v>44258</v>
      </c>
      <c r="H263" s="95">
        <v>44258</v>
      </c>
      <c r="I263" s="95">
        <v>44258</v>
      </c>
      <c r="K263" t="s">
        <v>24</v>
      </c>
      <c r="M263" t="s">
        <v>26</v>
      </c>
      <c r="O263" t="s">
        <v>38</v>
      </c>
      <c r="P263" t="s">
        <v>38</v>
      </c>
      <c r="Q263" t="s">
        <v>54</v>
      </c>
    </row>
    <row r="264" spans="1:18" x14ac:dyDescent="0.25">
      <c r="A264" t="s">
        <v>39</v>
      </c>
      <c r="B264" t="s">
        <v>247</v>
      </c>
      <c r="C264" t="s">
        <v>20</v>
      </c>
      <c r="D264" t="s">
        <v>324</v>
      </c>
      <c r="E264" t="s">
        <v>33</v>
      </c>
      <c r="F264">
        <v>3</v>
      </c>
      <c r="G264" s="95">
        <v>44263</v>
      </c>
      <c r="H264" s="95">
        <v>44264</v>
      </c>
      <c r="I264" s="95">
        <v>44265</v>
      </c>
      <c r="K264" t="s">
        <v>24</v>
      </c>
      <c r="L264" t="s">
        <v>25</v>
      </c>
      <c r="M264" t="s">
        <v>26</v>
      </c>
      <c r="O264" t="s">
        <v>38</v>
      </c>
      <c r="P264" t="s">
        <v>27</v>
      </c>
    </row>
    <row r="265" spans="1:18" x14ac:dyDescent="0.25">
      <c r="A265" t="s">
        <v>39</v>
      </c>
      <c r="B265" t="s">
        <v>247</v>
      </c>
      <c r="C265" t="s">
        <v>20</v>
      </c>
      <c r="D265" t="s">
        <v>324</v>
      </c>
      <c r="E265" t="s">
        <v>22</v>
      </c>
      <c r="F265">
        <v>3</v>
      </c>
      <c r="G265" s="95">
        <v>44263</v>
      </c>
      <c r="H265" s="95">
        <v>44264</v>
      </c>
      <c r="I265" s="95">
        <v>44265</v>
      </c>
      <c r="K265" t="s">
        <v>24</v>
      </c>
      <c r="L265" t="s">
        <v>25</v>
      </c>
      <c r="M265" t="s">
        <v>26</v>
      </c>
      <c r="N265">
        <v>4</v>
      </c>
      <c r="O265" t="s">
        <v>38</v>
      </c>
      <c r="P265" t="s">
        <v>27</v>
      </c>
    </row>
    <row r="266" spans="1:18" x14ac:dyDescent="0.25">
      <c r="A266" t="s">
        <v>39</v>
      </c>
      <c r="B266" t="s">
        <v>247</v>
      </c>
      <c r="C266" t="s">
        <v>20</v>
      </c>
      <c r="D266" t="s">
        <v>324</v>
      </c>
      <c r="E266" t="s">
        <v>79</v>
      </c>
      <c r="F266">
        <v>1</v>
      </c>
      <c r="G266" s="95">
        <v>44263</v>
      </c>
      <c r="H266" s="95">
        <v>44264</v>
      </c>
      <c r="I266" s="95">
        <v>44265</v>
      </c>
      <c r="K266" t="s">
        <v>24</v>
      </c>
      <c r="L266" t="s">
        <v>25</v>
      </c>
      <c r="M266" t="s">
        <v>26</v>
      </c>
      <c r="O266" t="s">
        <v>38</v>
      </c>
      <c r="P266" t="s">
        <v>27</v>
      </c>
    </row>
    <row r="267" spans="1:18" x14ac:dyDescent="0.25">
      <c r="A267" t="s">
        <v>39</v>
      </c>
      <c r="B267" t="s">
        <v>247</v>
      </c>
      <c r="C267" t="s">
        <v>20</v>
      </c>
      <c r="D267" t="s">
        <v>324</v>
      </c>
      <c r="E267" t="s">
        <v>127</v>
      </c>
      <c r="F267">
        <v>1</v>
      </c>
      <c r="G267" s="95">
        <v>44263</v>
      </c>
      <c r="H267" s="95">
        <v>44264</v>
      </c>
      <c r="I267" s="95">
        <v>44265</v>
      </c>
      <c r="K267" t="s">
        <v>24</v>
      </c>
      <c r="L267" t="s">
        <v>25</v>
      </c>
      <c r="M267" t="s">
        <v>26</v>
      </c>
      <c r="O267" t="s">
        <v>38</v>
      </c>
      <c r="P267" t="s">
        <v>27</v>
      </c>
    </row>
    <row r="268" spans="1:18" x14ac:dyDescent="0.25">
      <c r="A268" t="s">
        <v>39</v>
      </c>
      <c r="B268" t="s">
        <v>247</v>
      </c>
      <c r="C268" t="s">
        <v>20</v>
      </c>
      <c r="D268" t="s">
        <v>324</v>
      </c>
      <c r="E268" t="s">
        <v>115</v>
      </c>
      <c r="F268">
        <v>10</v>
      </c>
      <c r="G268" s="95">
        <v>44263</v>
      </c>
      <c r="H268" s="95">
        <v>44264</v>
      </c>
      <c r="I268" s="95">
        <v>44265</v>
      </c>
      <c r="K268" t="s">
        <v>24</v>
      </c>
      <c r="L268" t="s">
        <v>25</v>
      </c>
      <c r="M268" t="s">
        <v>26</v>
      </c>
      <c r="O268" t="s">
        <v>38</v>
      </c>
      <c r="P268" t="s">
        <v>27</v>
      </c>
    </row>
    <row r="269" spans="1:18" x14ac:dyDescent="0.25">
      <c r="A269" t="s">
        <v>39</v>
      </c>
      <c r="B269" t="s">
        <v>247</v>
      </c>
      <c r="C269" t="s">
        <v>20</v>
      </c>
      <c r="D269" t="s">
        <v>324</v>
      </c>
      <c r="E269" t="s">
        <v>111</v>
      </c>
      <c r="F269">
        <v>4</v>
      </c>
      <c r="G269" s="95">
        <v>44263</v>
      </c>
      <c r="H269" s="95">
        <v>44264</v>
      </c>
      <c r="I269" s="95">
        <v>44265</v>
      </c>
      <c r="J269" t="s">
        <v>325</v>
      </c>
      <c r="K269" t="s">
        <v>24</v>
      </c>
      <c r="L269" t="s">
        <v>25</v>
      </c>
      <c r="M269" t="s">
        <v>26</v>
      </c>
      <c r="O269" t="s">
        <v>38</v>
      </c>
      <c r="P269" t="s">
        <v>27</v>
      </c>
    </row>
    <row r="270" spans="1:18" x14ac:dyDescent="0.25">
      <c r="A270" t="s">
        <v>39</v>
      </c>
      <c r="B270" t="s">
        <v>247</v>
      </c>
      <c r="C270" t="s">
        <v>20</v>
      </c>
      <c r="D270" t="s">
        <v>324</v>
      </c>
      <c r="E270" t="s">
        <v>110</v>
      </c>
      <c r="F270">
        <v>2</v>
      </c>
      <c r="G270" s="95">
        <v>44263</v>
      </c>
      <c r="H270" s="95">
        <v>44264</v>
      </c>
      <c r="I270" s="95">
        <v>44265</v>
      </c>
      <c r="K270" t="s">
        <v>24</v>
      </c>
      <c r="L270" t="s">
        <v>25</v>
      </c>
      <c r="M270" t="s">
        <v>26</v>
      </c>
      <c r="O270" t="s">
        <v>38</v>
      </c>
      <c r="P270" t="s">
        <v>27</v>
      </c>
    </row>
    <row r="271" spans="1:18" x14ac:dyDescent="0.25">
      <c r="A271" t="s">
        <v>39</v>
      </c>
      <c r="B271">
        <v>225803</v>
      </c>
      <c r="C271" t="s">
        <v>20</v>
      </c>
      <c r="D271" t="s">
        <v>330</v>
      </c>
      <c r="E271" t="s">
        <v>46</v>
      </c>
      <c r="F271">
        <v>1</v>
      </c>
      <c r="G271" s="95">
        <v>44263</v>
      </c>
      <c r="H271" s="95">
        <v>44263</v>
      </c>
      <c r="I271" s="95">
        <v>44263</v>
      </c>
      <c r="K271" t="s">
        <v>24</v>
      </c>
      <c r="L271" t="s">
        <v>58</v>
      </c>
      <c r="M271" t="s">
        <v>26</v>
      </c>
      <c r="O271" t="s">
        <v>38</v>
      </c>
      <c r="P271" t="s">
        <v>38</v>
      </c>
      <c r="Q271" t="s">
        <v>29</v>
      </c>
      <c r="R271" t="s">
        <v>29</v>
      </c>
    </row>
    <row r="272" spans="1:18" x14ac:dyDescent="0.25">
      <c r="A272" t="s">
        <v>39</v>
      </c>
      <c r="B272">
        <v>226199</v>
      </c>
      <c r="C272" t="s">
        <v>77</v>
      </c>
      <c r="D272" t="s">
        <v>333</v>
      </c>
      <c r="E272" t="s">
        <v>79</v>
      </c>
      <c r="G272" s="95">
        <v>44264</v>
      </c>
      <c r="H272" s="95">
        <v>44273</v>
      </c>
      <c r="I272" s="95">
        <v>44273</v>
      </c>
      <c r="J272" t="s">
        <v>334</v>
      </c>
      <c r="K272" t="s">
        <v>24</v>
      </c>
      <c r="L272" t="s">
        <v>37</v>
      </c>
      <c r="M272" t="s">
        <v>34</v>
      </c>
      <c r="O272" t="s">
        <v>27</v>
      </c>
    </row>
    <row r="273" spans="1:18" x14ac:dyDescent="0.25">
      <c r="A273" t="s">
        <v>39</v>
      </c>
      <c r="B273">
        <v>226199</v>
      </c>
      <c r="C273" t="s">
        <v>140</v>
      </c>
      <c r="D273" t="s">
        <v>333</v>
      </c>
      <c r="E273" t="s">
        <v>46</v>
      </c>
      <c r="F273">
        <v>1</v>
      </c>
      <c r="G273" s="95">
        <v>44264</v>
      </c>
      <c r="H273" s="95">
        <v>44274</v>
      </c>
      <c r="I273" s="95">
        <v>44274</v>
      </c>
      <c r="K273" t="s">
        <v>24</v>
      </c>
      <c r="L273" t="s">
        <v>58</v>
      </c>
      <c r="M273" t="s">
        <v>26</v>
      </c>
      <c r="O273" t="s">
        <v>38</v>
      </c>
      <c r="P273" t="s">
        <v>38</v>
      </c>
      <c r="Q273" t="s">
        <v>29</v>
      </c>
      <c r="R273" t="s">
        <v>29</v>
      </c>
    </row>
    <row r="274" spans="1:18" x14ac:dyDescent="0.25">
      <c r="A274" t="s">
        <v>39</v>
      </c>
      <c r="B274">
        <v>226199</v>
      </c>
      <c r="C274" t="s">
        <v>140</v>
      </c>
      <c r="D274" t="s">
        <v>333</v>
      </c>
      <c r="E274" t="s">
        <v>22</v>
      </c>
      <c r="F274">
        <v>1</v>
      </c>
      <c r="G274" s="95">
        <v>44264</v>
      </c>
      <c r="H274" s="95">
        <v>44274</v>
      </c>
      <c r="I274" s="95">
        <v>44274</v>
      </c>
      <c r="K274" t="s">
        <v>24</v>
      </c>
      <c r="L274" t="s">
        <v>58</v>
      </c>
      <c r="M274" t="s">
        <v>26</v>
      </c>
      <c r="O274" t="s">
        <v>38</v>
      </c>
      <c r="P274" t="s">
        <v>38</v>
      </c>
      <c r="Q274" t="s">
        <v>29</v>
      </c>
      <c r="R274" t="s">
        <v>29</v>
      </c>
    </row>
    <row r="275" spans="1:18" x14ac:dyDescent="0.25">
      <c r="A275" t="s">
        <v>39</v>
      </c>
      <c r="B275">
        <v>226199</v>
      </c>
      <c r="C275" t="s">
        <v>20</v>
      </c>
      <c r="D275" t="s">
        <v>333</v>
      </c>
      <c r="E275" t="s">
        <v>46</v>
      </c>
      <c r="F275">
        <v>2</v>
      </c>
      <c r="G275" s="95">
        <v>44264</v>
      </c>
      <c r="H275" s="95">
        <v>44278</v>
      </c>
      <c r="I275" s="95">
        <v>44278</v>
      </c>
      <c r="K275" t="s">
        <v>24</v>
      </c>
      <c r="L275" t="s">
        <v>58</v>
      </c>
      <c r="M275" t="s">
        <v>26</v>
      </c>
      <c r="O275" t="s">
        <v>38</v>
      </c>
      <c r="P275" t="s">
        <v>38</v>
      </c>
      <c r="Q275" t="s">
        <v>29</v>
      </c>
      <c r="R275" t="s">
        <v>29</v>
      </c>
    </row>
    <row r="276" spans="1:18" x14ac:dyDescent="0.25">
      <c r="A276" t="s">
        <v>39</v>
      </c>
      <c r="B276">
        <v>226199</v>
      </c>
      <c r="C276" t="s">
        <v>20</v>
      </c>
      <c r="D276" t="s">
        <v>333</v>
      </c>
      <c r="E276" t="s">
        <v>22</v>
      </c>
      <c r="F276">
        <v>2</v>
      </c>
      <c r="G276" s="95">
        <v>44264</v>
      </c>
      <c r="H276" s="95">
        <v>44278</v>
      </c>
      <c r="I276" s="95">
        <v>44278</v>
      </c>
      <c r="K276" t="s">
        <v>24</v>
      </c>
      <c r="L276" t="s">
        <v>58</v>
      </c>
      <c r="M276" t="s">
        <v>26</v>
      </c>
      <c r="O276" t="s">
        <v>38</v>
      </c>
      <c r="P276" t="s">
        <v>38</v>
      </c>
      <c r="Q276" t="s">
        <v>29</v>
      </c>
      <c r="R276" t="s">
        <v>29</v>
      </c>
    </row>
    <row r="277" spans="1:18" x14ac:dyDescent="0.25">
      <c r="A277" t="s">
        <v>39</v>
      </c>
      <c r="B277">
        <v>226199</v>
      </c>
      <c r="C277" t="s">
        <v>20</v>
      </c>
      <c r="D277" t="s">
        <v>333</v>
      </c>
      <c r="E277" t="s">
        <v>177</v>
      </c>
      <c r="F277">
        <v>3</v>
      </c>
      <c r="G277" s="95">
        <v>44264</v>
      </c>
      <c r="H277" s="95">
        <v>44278</v>
      </c>
      <c r="I277" s="95">
        <v>44278</v>
      </c>
      <c r="K277" t="s">
        <v>24</v>
      </c>
      <c r="L277" t="s">
        <v>58</v>
      </c>
      <c r="M277" t="s">
        <v>26</v>
      </c>
      <c r="O277" t="s">
        <v>38</v>
      </c>
      <c r="P277" t="s">
        <v>38</v>
      </c>
      <c r="Q277" t="s">
        <v>29</v>
      </c>
      <c r="R277" t="s">
        <v>29</v>
      </c>
    </row>
    <row r="278" spans="1:18" x14ac:dyDescent="0.25">
      <c r="A278" t="s">
        <v>39</v>
      </c>
      <c r="B278">
        <v>226199</v>
      </c>
      <c r="C278" t="s">
        <v>20</v>
      </c>
      <c r="D278" t="s">
        <v>333</v>
      </c>
      <c r="E278" t="s">
        <v>93</v>
      </c>
      <c r="F278">
        <v>2</v>
      </c>
      <c r="G278" s="95">
        <v>44264</v>
      </c>
      <c r="H278" s="95">
        <v>44278</v>
      </c>
      <c r="I278" s="95">
        <v>44278</v>
      </c>
      <c r="K278" t="s">
        <v>24</v>
      </c>
      <c r="L278" t="s">
        <v>45</v>
      </c>
      <c r="M278" t="s">
        <v>26</v>
      </c>
      <c r="O278" t="s">
        <v>38</v>
      </c>
      <c r="P278" t="s">
        <v>38</v>
      </c>
      <c r="Q278" t="s">
        <v>29</v>
      </c>
      <c r="R278" t="s">
        <v>29</v>
      </c>
    </row>
    <row r="279" spans="1:18" x14ac:dyDescent="0.25">
      <c r="A279" t="s">
        <v>39</v>
      </c>
      <c r="B279">
        <v>226199</v>
      </c>
      <c r="C279" t="s">
        <v>20</v>
      </c>
      <c r="D279" t="s">
        <v>333</v>
      </c>
      <c r="E279" t="s">
        <v>94</v>
      </c>
      <c r="F279">
        <v>3</v>
      </c>
      <c r="G279" s="95">
        <v>44264</v>
      </c>
      <c r="H279" s="95">
        <v>44278</v>
      </c>
      <c r="I279" s="95">
        <v>44278</v>
      </c>
      <c r="K279" t="s">
        <v>24</v>
      </c>
      <c r="L279" t="s">
        <v>45</v>
      </c>
      <c r="M279" t="s">
        <v>26</v>
      </c>
      <c r="O279" t="s">
        <v>38</v>
      </c>
      <c r="P279" t="s">
        <v>38</v>
      </c>
      <c r="Q279" t="s">
        <v>29</v>
      </c>
      <c r="R279" t="s">
        <v>29</v>
      </c>
    </row>
    <row r="280" spans="1:18" x14ac:dyDescent="0.25">
      <c r="A280" t="s">
        <v>39</v>
      </c>
      <c r="B280" t="s">
        <v>247</v>
      </c>
      <c r="C280" t="s">
        <v>140</v>
      </c>
      <c r="D280" t="s">
        <v>323</v>
      </c>
      <c r="E280" t="s">
        <v>22</v>
      </c>
      <c r="F280">
        <v>2</v>
      </c>
      <c r="G280" s="95">
        <v>44265</v>
      </c>
      <c r="H280" s="95">
        <v>44265</v>
      </c>
      <c r="I280" s="95">
        <v>44265</v>
      </c>
      <c r="K280" t="s">
        <v>24</v>
      </c>
      <c r="M280" t="s">
        <v>26</v>
      </c>
      <c r="O280" t="s">
        <v>38</v>
      </c>
      <c r="P280" t="s">
        <v>38</v>
      </c>
      <c r="Q280" t="s">
        <v>54</v>
      </c>
    </row>
    <row r="281" spans="1:18" x14ac:dyDescent="0.25">
      <c r="A281" t="s">
        <v>39</v>
      </c>
      <c r="B281">
        <v>226571</v>
      </c>
      <c r="C281" t="s">
        <v>20</v>
      </c>
      <c r="D281" t="s">
        <v>335</v>
      </c>
      <c r="E281" t="s">
        <v>181</v>
      </c>
      <c r="F281">
        <v>9</v>
      </c>
      <c r="G281" s="95">
        <v>44265</v>
      </c>
      <c r="H281" s="95">
        <v>44271</v>
      </c>
      <c r="I281" s="95">
        <v>44277</v>
      </c>
      <c r="K281" t="s">
        <v>24</v>
      </c>
      <c r="L281" t="s">
        <v>58</v>
      </c>
      <c r="M281" t="s">
        <v>26</v>
      </c>
      <c r="O281" t="s">
        <v>38</v>
      </c>
      <c r="P281" t="s">
        <v>27</v>
      </c>
      <c r="Q281" t="s">
        <v>29</v>
      </c>
      <c r="R281" t="s">
        <v>29</v>
      </c>
    </row>
    <row r="282" spans="1:18" x14ac:dyDescent="0.25">
      <c r="A282" t="s">
        <v>39</v>
      </c>
      <c r="B282">
        <v>226571</v>
      </c>
      <c r="C282" t="s">
        <v>20</v>
      </c>
      <c r="D282" t="s">
        <v>335</v>
      </c>
      <c r="E282" t="s">
        <v>181</v>
      </c>
      <c r="F282">
        <v>2</v>
      </c>
      <c r="G282" s="95">
        <v>44277</v>
      </c>
      <c r="H282" s="95">
        <v>44277</v>
      </c>
      <c r="I282" s="95">
        <v>44278</v>
      </c>
      <c r="K282" t="s">
        <v>24</v>
      </c>
      <c r="L282" t="s">
        <v>58</v>
      </c>
      <c r="M282" t="s">
        <v>26</v>
      </c>
      <c r="N282">
        <v>1</v>
      </c>
      <c r="O282" t="s">
        <v>38</v>
      </c>
      <c r="P282" t="s">
        <v>27</v>
      </c>
      <c r="Q282" t="s">
        <v>29</v>
      </c>
      <c r="R282" t="s">
        <v>29</v>
      </c>
    </row>
    <row r="283" spans="1:18" x14ac:dyDescent="0.25">
      <c r="A283" t="s">
        <v>39</v>
      </c>
      <c r="B283">
        <v>226571</v>
      </c>
      <c r="C283" t="s">
        <v>20</v>
      </c>
      <c r="D283" t="s">
        <v>335</v>
      </c>
      <c r="E283" t="s">
        <v>115</v>
      </c>
      <c r="F283">
        <v>3</v>
      </c>
      <c r="G283" s="95">
        <v>44277</v>
      </c>
      <c r="H283" s="95">
        <v>44277</v>
      </c>
      <c r="I283" s="95">
        <v>44278</v>
      </c>
      <c r="K283" t="s">
        <v>24</v>
      </c>
      <c r="L283" t="s">
        <v>25</v>
      </c>
      <c r="M283" t="s">
        <v>26</v>
      </c>
      <c r="O283" t="s">
        <v>38</v>
      </c>
      <c r="P283" t="s">
        <v>27</v>
      </c>
      <c r="Q283" t="s">
        <v>29</v>
      </c>
      <c r="R283" t="s">
        <v>29</v>
      </c>
    </row>
    <row r="284" spans="1:18" x14ac:dyDescent="0.25">
      <c r="A284" t="s">
        <v>39</v>
      </c>
      <c r="B284">
        <v>226571</v>
      </c>
      <c r="C284" t="s">
        <v>20</v>
      </c>
      <c r="D284" t="s">
        <v>335</v>
      </c>
      <c r="E284" t="s">
        <v>127</v>
      </c>
      <c r="F284">
        <v>1</v>
      </c>
      <c r="G284" s="95">
        <v>44278</v>
      </c>
      <c r="H284" s="95">
        <v>44278</v>
      </c>
      <c r="I284" s="95">
        <v>44278</v>
      </c>
      <c r="K284" t="s">
        <v>24</v>
      </c>
      <c r="L284" t="s">
        <v>25</v>
      </c>
      <c r="M284" t="s">
        <v>26</v>
      </c>
      <c r="O284" t="s">
        <v>38</v>
      </c>
      <c r="P284" t="s">
        <v>27</v>
      </c>
      <c r="Q284" t="s">
        <v>29</v>
      </c>
      <c r="R284" t="s">
        <v>29</v>
      </c>
    </row>
    <row r="285" spans="1:18" x14ac:dyDescent="0.25">
      <c r="A285" t="s">
        <v>39</v>
      </c>
      <c r="B285">
        <v>227231</v>
      </c>
      <c r="C285" t="s">
        <v>77</v>
      </c>
      <c r="D285" t="s">
        <v>342</v>
      </c>
      <c r="E285" t="s">
        <v>74</v>
      </c>
      <c r="G285" s="95">
        <v>44267</v>
      </c>
      <c r="H285" s="95">
        <v>44281</v>
      </c>
      <c r="I285" s="95">
        <v>44280</v>
      </c>
      <c r="J285" t="s">
        <v>343</v>
      </c>
      <c r="K285" t="s">
        <v>24</v>
      </c>
      <c r="L285" t="s">
        <v>25</v>
      </c>
      <c r="M285" t="s">
        <v>26</v>
      </c>
      <c r="O285" t="s">
        <v>27</v>
      </c>
    </row>
    <row r="286" spans="1:18" x14ac:dyDescent="0.25">
      <c r="A286" t="s">
        <v>39</v>
      </c>
      <c r="B286" t="s">
        <v>247</v>
      </c>
      <c r="C286" t="s">
        <v>140</v>
      </c>
      <c r="D286" t="s">
        <v>323</v>
      </c>
      <c r="E286" t="s">
        <v>22</v>
      </c>
      <c r="F286">
        <v>2</v>
      </c>
      <c r="G286" s="95">
        <v>44272</v>
      </c>
      <c r="H286" s="95">
        <v>44272</v>
      </c>
      <c r="I286" s="95">
        <v>44272</v>
      </c>
      <c r="K286" t="s">
        <v>24</v>
      </c>
      <c r="M286" t="s">
        <v>26</v>
      </c>
      <c r="O286" t="s">
        <v>38</v>
      </c>
      <c r="P286" t="s">
        <v>38</v>
      </c>
      <c r="Q286" t="s">
        <v>54</v>
      </c>
    </row>
    <row r="287" spans="1:18" x14ac:dyDescent="0.25">
      <c r="A287" t="s">
        <v>39</v>
      </c>
      <c r="B287" t="s">
        <v>247</v>
      </c>
      <c r="C287" t="s">
        <v>77</v>
      </c>
      <c r="D287" t="s">
        <v>357</v>
      </c>
      <c r="E287" t="s">
        <v>74</v>
      </c>
      <c r="G287" s="95">
        <v>44273</v>
      </c>
      <c r="H287" s="95">
        <v>44286</v>
      </c>
      <c r="I287" s="95">
        <v>44278</v>
      </c>
      <c r="J287" t="s">
        <v>358</v>
      </c>
      <c r="K287" t="s">
        <v>24</v>
      </c>
    </row>
    <row r="288" spans="1:18" x14ac:dyDescent="0.25">
      <c r="A288" t="s">
        <v>39</v>
      </c>
      <c r="B288" t="s">
        <v>247</v>
      </c>
      <c r="C288" t="s">
        <v>140</v>
      </c>
      <c r="D288" t="s">
        <v>323</v>
      </c>
      <c r="E288" t="s">
        <v>22</v>
      </c>
      <c r="F288">
        <v>1</v>
      </c>
      <c r="G288" s="95">
        <v>44286</v>
      </c>
      <c r="H288" s="95">
        <v>44286</v>
      </c>
      <c r="I288" s="95">
        <v>44286</v>
      </c>
      <c r="K288" t="s">
        <v>24</v>
      </c>
      <c r="M288" t="s">
        <v>26</v>
      </c>
      <c r="O288" t="s">
        <v>38</v>
      </c>
      <c r="P288" t="s">
        <v>38</v>
      </c>
      <c r="Q288" t="s">
        <v>54</v>
      </c>
    </row>
    <row r="289" spans="1:18" x14ac:dyDescent="0.25">
      <c r="A289" t="s">
        <v>39</v>
      </c>
      <c r="B289">
        <v>187291</v>
      </c>
      <c r="C289" t="s">
        <v>20</v>
      </c>
      <c r="D289" t="s">
        <v>377</v>
      </c>
      <c r="E289" t="s">
        <v>33</v>
      </c>
      <c r="G289" s="95">
        <v>44168</v>
      </c>
      <c r="H289" s="95">
        <v>44225</v>
      </c>
      <c r="J289" t="s">
        <v>378</v>
      </c>
      <c r="K289" t="s">
        <v>379</v>
      </c>
      <c r="L289" t="s">
        <v>25</v>
      </c>
      <c r="M289" t="s">
        <v>34</v>
      </c>
      <c r="O289" t="s">
        <v>27</v>
      </c>
    </row>
    <row r="290" spans="1:18" x14ac:dyDescent="0.25">
      <c r="A290" t="s">
        <v>39</v>
      </c>
      <c r="B290" t="s">
        <v>61</v>
      </c>
      <c r="C290" t="s">
        <v>20</v>
      </c>
      <c r="D290" t="s">
        <v>380</v>
      </c>
      <c r="E290" t="s">
        <v>83</v>
      </c>
      <c r="G290" s="95">
        <v>44145</v>
      </c>
      <c r="J290" t="s">
        <v>381</v>
      </c>
      <c r="K290" t="s">
        <v>379</v>
      </c>
      <c r="L290" t="s">
        <v>25</v>
      </c>
      <c r="M290" t="s">
        <v>83</v>
      </c>
    </row>
    <row r="291" spans="1:18" x14ac:dyDescent="0.25">
      <c r="A291" t="s">
        <v>39</v>
      </c>
      <c r="B291">
        <v>214176</v>
      </c>
      <c r="C291" t="s">
        <v>77</v>
      </c>
      <c r="D291" t="s">
        <v>382</v>
      </c>
      <c r="E291" t="s">
        <v>83</v>
      </c>
      <c r="G291" s="95">
        <v>44209</v>
      </c>
      <c r="J291" t="s">
        <v>383</v>
      </c>
      <c r="K291" t="s">
        <v>24</v>
      </c>
      <c r="L291" t="s">
        <v>37</v>
      </c>
      <c r="M291" t="s">
        <v>83</v>
      </c>
      <c r="O291" t="s">
        <v>38</v>
      </c>
      <c r="Q291" t="s">
        <v>54</v>
      </c>
      <c r="R291" t="s">
        <v>185</v>
      </c>
    </row>
    <row r="292" spans="1:18" x14ac:dyDescent="0.25">
      <c r="A292" t="s">
        <v>163</v>
      </c>
      <c r="B292">
        <v>214878</v>
      </c>
      <c r="C292" t="s">
        <v>20</v>
      </c>
      <c r="D292" t="s">
        <v>164</v>
      </c>
      <c r="E292" t="s">
        <v>43</v>
      </c>
      <c r="F292">
        <v>1</v>
      </c>
      <c r="G292" s="95">
        <v>44211</v>
      </c>
      <c r="J292" t="s">
        <v>385</v>
      </c>
      <c r="K292" t="s">
        <v>386</v>
      </c>
      <c r="L292" t="s">
        <v>25</v>
      </c>
      <c r="M292" t="s">
        <v>34</v>
      </c>
      <c r="O292" t="s">
        <v>27</v>
      </c>
    </row>
    <row r="293" spans="1:18" x14ac:dyDescent="0.25">
      <c r="A293" t="s">
        <v>39</v>
      </c>
      <c r="B293">
        <v>214031</v>
      </c>
      <c r="C293" t="s">
        <v>20</v>
      </c>
      <c r="D293" t="s">
        <v>167</v>
      </c>
      <c r="E293" t="s">
        <v>22</v>
      </c>
      <c r="F293">
        <v>1</v>
      </c>
      <c r="G293" s="95">
        <v>44208</v>
      </c>
      <c r="H293" s="95">
        <v>44324</v>
      </c>
      <c r="J293" t="s">
        <v>387</v>
      </c>
      <c r="K293" t="s">
        <v>388</v>
      </c>
      <c r="L293" t="s">
        <v>25</v>
      </c>
      <c r="M293" t="s">
        <v>26</v>
      </c>
      <c r="O293" t="s">
        <v>27</v>
      </c>
    </row>
    <row r="294" spans="1:18" x14ac:dyDescent="0.25">
      <c r="A294" t="s">
        <v>39</v>
      </c>
      <c r="B294">
        <v>214031</v>
      </c>
      <c r="C294" t="s">
        <v>20</v>
      </c>
      <c r="D294" t="s">
        <v>167</v>
      </c>
      <c r="E294" t="s">
        <v>22</v>
      </c>
      <c r="F294">
        <v>1</v>
      </c>
      <c r="G294" s="95">
        <v>44258</v>
      </c>
      <c r="H294" s="95">
        <v>44285</v>
      </c>
      <c r="I294" s="95">
        <v>44285</v>
      </c>
      <c r="J294" t="s">
        <v>389</v>
      </c>
      <c r="K294" t="s">
        <v>24</v>
      </c>
      <c r="L294" t="s">
        <v>25</v>
      </c>
      <c r="M294" t="s">
        <v>26</v>
      </c>
      <c r="O294" t="s">
        <v>27</v>
      </c>
      <c r="P294" t="s">
        <v>27</v>
      </c>
      <c r="Q294" t="s">
        <v>28</v>
      </c>
    </row>
    <row r="295" spans="1:18" x14ac:dyDescent="0.25">
      <c r="A295" t="s">
        <v>39</v>
      </c>
      <c r="B295">
        <v>214031</v>
      </c>
      <c r="C295" t="s">
        <v>20</v>
      </c>
      <c r="D295" t="s">
        <v>167</v>
      </c>
      <c r="E295" t="s">
        <v>46</v>
      </c>
      <c r="F295">
        <v>1</v>
      </c>
      <c r="G295" s="95">
        <v>44258</v>
      </c>
      <c r="H295" s="95">
        <v>44285</v>
      </c>
      <c r="I295" s="95">
        <v>44285</v>
      </c>
      <c r="J295" t="s">
        <v>389</v>
      </c>
      <c r="K295" t="s">
        <v>24</v>
      </c>
      <c r="L295" t="s">
        <v>45</v>
      </c>
      <c r="M295" t="s">
        <v>26</v>
      </c>
      <c r="O295" t="s">
        <v>27</v>
      </c>
      <c r="P295" t="s">
        <v>27</v>
      </c>
      <c r="Q295" t="s">
        <v>28</v>
      </c>
    </row>
    <row r="296" spans="1:18" x14ac:dyDescent="0.25">
      <c r="A296" t="s">
        <v>39</v>
      </c>
      <c r="B296">
        <v>214031</v>
      </c>
      <c r="C296" t="s">
        <v>20</v>
      </c>
      <c r="D296" t="s">
        <v>167</v>
      </c>
      <c r="E296" t="s">
        <v>177</v>
      </c>
      <c r="F296">
        <v>1</v>
      </c>
      <c r="G296" s="95">
        <v>44258</v>
      </c>
      <c r="H296" s="95">
        <v>44285</v>
      </c>
      <c r="I296" s="95">
        <v>44285</v>
      </c>
      <c r="J296" t="s">
        <v>389</v>
      </c>
      <c r="K296" t="s">
        <v>24</v>
      </c>
      <c r="L296" t="s">
        <v>25</v>
      </c>
      <c r="M296" t="s">
        <v>26</v>
      </c>
      <c r="O296" t="s">
        <v>27</v>
      </c>
      <c r="P296" t="s">
        <v>27</v>
      </c>
      <c r="Q296" t="s">
        <v>28</v>
      </c>
    </row>
    <row r="297" spans="1:18" x14ac:dyDescent="0.25">
      <c r="A297" t="s">
        <v>39</v>
      </c>
      <c r="B297">
        <v>215280</v>
      </c>
      <c r="C297" t="s">
        <v>20</v>
      </c>
      <c r="D297" t="s">
        <v>176</v>
      </c>
      <c r="E297" t="s">
        <v>83</v>
      </c>
      <c r="F297">
        <v>28</v>
      </c>
      <c r="G297" s="95">
        <v>44215</v>
      </c>
      <c r="H297" s="95">
        <v>44265</v>
      </c>
      <c r="I297" s="95">
        <v>44265</v>
      </c>
      <c r="J297" t="s">
        <v>390</v>
      </c>
      <c r="K297" t="s">
        <v>24</v>
      </c>
      <c r="L297" t="s">
        <v>25</v>
      </c>
      <c r="M297" t="s">
        <v>83</v>
      </c>
      <c r="O297" t="s">
        <v>27</v>
      </c>
      <c r="P297" t="s">
        <v>27</v>
      </c>
    </row>
    <row r="298" spans="1:18" x14ac:dyDescent="0.25">
      <c r="A298" t="s">
        <v>39</v>
      </c>
      <c r="B298">
        <v>215280</v>
      </c>
      <c r="C298" t="s">
        <v>20</v>
      </c>
      <c r="D298" t="s">
        <v>176</v>
      </c>
      <c r="E298" t="s">
        <v>115</v>
      </c>
      <c r="F298">
        <v>22</v>
      </c>
      <c r="G298" s="95">
        <v>44215</v>
      </c>
      <c r="H298" s="95">
        <v>44265</v>
      </c>
      <c r="I298" s="95">
        <v>44265</v>
      </c>
      <c r="J298" t="s">
        <v>391</v>
      </c>
      <c r="K298" t="s">
        <v>24</v>
      </c>
      <c r="L298" t="s">
        <v>25</v>
      </c>
      <c r="M298" t="s">
        <v>83</v>
      </c>
      <c r="O298" t="s">
        <v>27</v>
      </c>
      <c r="P298" t="s">
        <v>27</v>
      </c>
    </row>
    <row r="299" spans="1:18" x14ac:dyDescent="0.25">
      <c r="A299" t="s">
        <v>39</v>
      </c>
      <c r="B299">
        <v>215280</v>
      </c>
      <c r="C299" t="s">
        <v>20</v>
      </c>
      <c r="D299" t="s">
        <v>176</v>
      </c>
      <c r="E299" t="s">
        <v>22</v>
      </c>
      <c r="F299">
        <v>2</v>
      </c>
      <c r="G299" s="95">
        <v>44215</v>
      </c>
      <c r="H299" s="95">
        <v>44230</v>
      </c>
      <c r="I299" s="95">
        <v>44230</v>
      </c>
      <c r="K299" t="s">
        <v>24</v>
      </c>
      <c r="L299" t="s">
        <v>58</v>
      </c>
      <c r="M299" t="s">
        <v>26</v>
      </c>
      <c r="O299" t="s">
        <v>27</v>
      </c>
      <c r="P299" t="s">
        <v>27</v>
      </c>
      <c r="Q299" t="s">
        <v>28</v>
      </c>
      <c r="R299" t="s">
        <v>29</v>
      </c>
    </row>
    <row r="300" spans="1:18" x14ac:dyDescent="0.25">
      <c r="A300" t="s">
        <v>39</v>
      </c>
      <c r="B300">
        <v>215280</v>
      </c>
      <c r="C300" t="s">
        <v>20</v>
      </c>
      <c r="D300" t="s">
        <v>176</v>
      </c>
      <c r="E300" t="s">
        <v>46</v>
      </c>
      <c r="F300">
        <v>2</v>
      </c>
      <c r="G300" s="95">
        <v>44215</v>
      </c>
      <c r="H300" s="95">
        <v>44230</v>
      </c>
      <c r="I300" s="95">
        <v>44230</v>
      </c>
      <c r="K300" t="s">
        <v>24</v>
      </c>
      <c r="L300" t="s">
        <v>58</v>
      </c>
      <c r="M300" t="s">
        <v>26</v>
      </c>
      <c r="O300" t="s">
        <v>27</v>
      </c>
      <c r="P300" t="s">
        <v>27</v>
      </c>
      <c r="Q300" t="s">
        <v>28</v>
      </c>
      <c r="R300" t="s">
        <v>29</v>
      </c>
    </row>
    <row r="301" spans="1:18" x14ac:dyDescent="0.25">
      <c r="A301" t="s">
        <v>39</v>
      </c>
      <c r="B301">
        <v>215280</v>
      </c>
      <c r="C301" t="s">
        <v>20</v>
      </c>
      <c r="D301" t="s">
        <v>176</v>
      </c>
      <c r="E301" t="s">
        <v>177</v>
      </c>
      <c r="F301">
        <v>2</v>
      </c>
      <c r="G301" s="95">
        <v>44215</v>
      </c>
      <c r="H301" s="95">
        <v>44230</v>
      </c>
      <c r="I301" s="95">
        <v>44230</v>
      </c>
      <c r="K301" t="s">
        <v>24</v>
      </c>
      <c r="L301" t="s">
        <v>58</v>
      </c>
      <c r="M301" t="s">
        <v>26</v>
      </c>
      <c r="O301" t="s">
        <v>27</v>
      </c>
      <c r="P301" t="s">
        <v>27</v>
      </c>
      <c r="Q301" t="s">
        <v>28</v>
      </c>
      <c r="R301" t="s">
        <v>29</v>
      </c>
    </row>
    <row r="302" spans="1:18" x14ac:dyDescent="0.25">
      <c r="A302" t="s">
        <v>39</v>
      </c>
      <c r="B302">
        <v>198680</v>
      </c>
      <c r="C302" t="s">
        <v>20</v>
      </c>
      <c r="D302" t="s">
        <v>392</v>
      </c>
      <c r="E302" t="s">
        <v>157</v>
      </c>
      <c r="F302">
        <v>1</v>
      </c>
      <c r="G302" s="95">
        <v>44132</v>
      </c>
      <c r="H302" s="95">
        <v>44298</v>
      </c>
      <c r="I302" s="95">
        <v>44319</v>
      </c>
      <c r="K302" t="s">
        <v>24</v>
      </c>
      <c r="L302" t="s">
        <v>25</v>
      </c>
      <c r="M302" t="s">
        <v>34</v>
      </c>
      <c r="O302" t="s">
        <v>27</v>
      </c>
      <c r="P302" t="s">
        <v>27</v>
      </c>
    </row>
    <row r="303" spans="1:18" x14ac:dyDescent="0.25">
      <c r="A303" t="s">
        <v>39</v>
      </c>
      <c r="B303" t="s">
        <v>61</v>
      </c>
      <c r="C303" t="s">
        <v>20</v>
      </c>
      <c r="D303" t="s">
        <v>200</v>
      </c>
      <c r="E303" t="s">
        <v>116</v>
      </c>
      <c r="F303">
        <v>2</v>
      </c>
      <c r="G303" s="95">
        <v>44225</v>
      </c>
      <c r="H303" s="95">
        <v>44260</v>
      </c>
      <c r="K303" t="s">
        <v>24</v>
      </c>
      <c r="L303" t="s">
        <v>25</v>
      </c>
      <c r="M303" t="s">
        <v>26</v>
      </c>
      <c r="O303" t="s">
        <v>27</v>
      </c>
      <c r="P303" t="s">
        <v>27</v>
      </c>
    </row>
    <row r="304" spans="1:18" x14ac:dyDescent="0.25">
      <c r="A304" t="s">
        <v>35</v>
      </c>
      <c r="B304">
        <v>217447</v>
      </c>
      <c r="C304" t="s">
        <v>20</v>
      </c>
      <c r="D304" t="s">
        <v>393</v>
      </c>
      <c r="E304" t="s">
        <v>46</v>
      </c>
      <c r="F304">
        <v>1</v>
      </c>
      <c r="G304" s="95">
        <v>44225</v>
      </c>
      <c r="H304" s="95">
        <v>44237</v>
      </c>
      <c r="I304" s="95">
        <v>44237</v>
      </c>
      <c r="J304" t="s">
        <v>394</v>
      </c>
      <c r="K304" t="s">
        <v>386</v>
      </c>
      <c r="L304" t="s">
        <v>25</v>
      </c>
      <c r="M304" t="s">
        <v>26</v>
      </c>
      <c r="O304" t="s">
        <v>27</v>
      </c>
    </row>
    <row r="305" spans="1:18" x14ac:dyDescent="0.25">
      <c r="A305" t="s">
        <v>35</v>
      </c>
      <c r="B305">
        <v>217447</v>
      </c>
      <c r="C305" t="s">
        <v>20</v>
      </c>
      <c r="D305" t="s">
        <v>393</v>
      </c>
      <c r="E305" t="s">
        <v>22</v>
      </c>
      <c r="F305">
        <v>1</v>
      </c>
      <c r="G305" s="95">
        <v>44225</v>
      </c>
      <c r="H305" s="95">
        <v>44237</v>
      </c>
      <c r="I305" s="95">
        <v>44237</v>
      </c>
      <c r="J305" t="s">
        <v>394</v>
      </c>
      <c r="K305" t="s">
        <v>386</v>
      </c>
      <c r="L305" t="s">
        <v>25</v>
      </c>
      <c r="M305" t="s">
        <v>26</v>
      </c>
      <c r="O305" t="s">
        <v>27</v>
      </c>
    </row>
    <row r="306" spans="1:18" x14ac:dyDescent="0.25">
      <c r="A306" t="s">
        <v>39</v>
      </c>
      <c r="B306">
        <v>202587</v>
      </c>
      <c r="C306" t="s">
        <v>140</v>
      </c>
      <c r="D306" t="s">
        <v>395</v>
      </c>
      <c r="E306" t="s">
        <v>288</v>
      </c>
      <c r="G306" s="95">
        <v>44518</v>
      </c>
      <c r="H306" s="95">
        <v>44211</v>
      </c>
      <c r="J306" t="s">
        <v>396</v>
      </c>
      <c r="K306" t="s">
        <v>384</v>
      </c>
      <c r="L306" t="s">
        <v>58</v>
      </c>
      <c r="M306" t="s">
        <v>26</v>
      </c>
      <c r="O306" t="s">
        <v>38</v>
      </c>
    </row>
    <row r="307" spans="1:18" x14ac:dyDescent="0.25">
      <c r="A307" t="s">
        <v>159</v>
      </c>
      <c r="B307">
        <v>210194</v>
      </c>
      <c r="C307" t="s">
        <v>77</v>
      </c>
      <c r="D307" t="s">
        <v>397</v>
      </c>
      <c r="E307" t="s">
        <v>69</v>
      </c>
      <c r="G307" s="95">
        <v>44187</v>
      </c>
      <c r="H307" s="95">
        <v>44229</v>
      </c>
      <c r="K307" t="s">
        <v>384</v>
      </c>
    </row>
    <row r="308" spans="1:18" x14ac:dyDescent="0.25">
      <c r="A308" t="s">
        <v>39</v>
      </c>
      <c r="B308">
        <v>199736</v>
      </c>
      <c r="C308" t="s">
        <v>20</v>
      </c>
      <c r="D308" t="s">
        <v>398</v>
      </c>
      <c r="E308" t="s">
        <v>157</v>
      </c>
      <c r="G308" s="95">
        <v>44139</v>
      </c>
      <c r="H308" s="95">
        <v>44253</v>
      </c>
      <c r="I308" s="95">
        <v>44253</v>
      </c>
      <c r="J308" t="s">
        <v>399</v>
      </c>
      <c r="K308" t="s">
        <v>386</v>
      </c>
    </row>
    <row r="309" spans="1:18" x14ac:dyDescent="0.25">
      <c r="A309" t="s">
        <v>130</v>
      </c>
      <c r="B309">
        <v>219469</v>
      </c>
      <c r="C309" t="s">
        <v>77</v>
      </c>
      <c r="D309" t="s">
        <v>400</v>
      </c>
      <c r="G309" s="95">
        <v>44235</v>
      </c>
      <c r="H309" s="95">
        <v>44251</v>
      </c>
      <c r="K309" t="s">
        <v>388</v>
      </c>
      <c r="L309" t="s">
        <v>37</v>
      </c>
    </row>
    <row r="310" spans="1:18" x14ac:dyDescent="0.25">
      <c r="A310" t="s">
        <v>96</v>
      </c>
      <c r="B310">
        <v>209414</v>
      </c>
      <c r="C310" t="s">
        <v>77</v>
      </c>
      <c r="D310" t="s">
        <v>401</v>
      </c>
      <c r="E310" t="s">
        <v>74</v>
      </c>
      <c r="G310" s="95">
        <v>44201</v>
      </c>
      <c r="H310" s="95">
        <v>44293</v>
      </c>
      <c r="I310" s="95">
        <v>44294</v>
      </c>
      <c r="J310" t="s">
        <v>402</v>
      </c>
      <c r="K310" t="s">
        <v>24</v>
      </c>
      <c r="L310" t="s">
        <v>58</v>
      </c>
      <c r="M310" t="s">
        <v>26</v>
      </c>
      <c r="O310" t="s">
        <v>38</v>
      </c>
    </row>
    <row r="311" spans="1:18" x14ac:dyDescent="0.25">
      <c r="A311" t="s">
        <v>96</v>
      </c>
      <c r="B311">
        <v>209414</v>
      </c>
      <c r="C311" t="s">
        <v>20</v>
      </c>
      <c r="D311" t="s">
        <v>401</v>
      </c>
      <c r="E311" t="s">
        <v>22</v>
      </c>
      <c r="F311">
        <v>2</v>
      </c>
      <c r="G311" s="95">
        <v>44201</v>
      </c>
      <c r="H311" s="95">
        <v>44302</v>
      </c>
      <c r="K311" t="s">
        <v>384</v>
      </c>
      <c r="L311" t="s">
        <v>25</v>
      </c>
      <c r="M311" t="s">
        <v>26</v>
      </c>
      <c r="O311" t="s">
        <v>27</v>
      </c>
      <c r="P311" t="s">
        <v>27</v>
      </c>
      <c r="Q311" t="s">
        <v>54</v>
      </c>
      <c r="R311" t="s">
        <v>29</v>
      </c>
    </row>
    <row r="312" spans="1:18" x14ac:dyDescent="0.25">
      <c r="A312" t="s">
        <v>96</v>
      </c>
      <c r="B312">
        <v>209414</v>
      </c>
      <c r="C312" t="s">
        <v>20</v>
      </c>
      <c r="D312" t="s">
        <v>401</v>
      </c>
      <c r="E312" t="s">
        <v>107</v>
      </c>
      <c r="G312" s="95">
        <v>44201</v>
      </c>
      <c r="K312" t="s">
        <v>388</v>
      </c>
      <c r="L312" t="s">
        <v>25</v>
      </c>
      <c r="M312" t="s">
        <v>26</v>
      </c>
      <c r="O312" t="s">
        <v>27</v>
      </c>
      <c r="P312" t="s">
        <v>27</v>
      </c>
      <c r="Q312" t="s">
        <v>54</v>
      </c>
      <c r="R312" t="s">
        <v>29</v>
      </c>
    </row>
    <row r="313" spans="1:18" x14ac:dyDescent="0.25">
      <c r="A313" t="s">
        <v>96</v>
      </c>
      <c r="B313">
        <v>209414</v>
      </c>
      <c r="C313" t="s">
        <v>140</v>
      </c>
      <c r="D313" t="s">
        <v>401</v>
      </c>
      <c r="E313" t="s">
        <v>107</v>
      </c>
      <c r="F313">
        <v>2</v>
      </c>
      <c r="G313" s="95">
        <v>44201</v>
      </c>
      <c r="H313" s="95">
        <v>44302</v>
      </c>
      <c r="J313" t="s">
        <v>403</v>
      </c>
      <c r="K313" t="s">
        <v>386</v>
      </c>
      <c r="L313" t="s">
        <v>58</v>
      </c>
      <c r="M313" t="s">
        <v>26</v>
      </c>
      <c r="O313" t="s">
        <v>38</v>
      </c>
    </row>
    <row r="314" spans="1:18" x14ac:dyDescent="0.25">
      <c r="A314" t="s">
        <v>39</v>
      </c>
      <c r="B314">
        <v>221340</v>
      </c>
      <c r="C314" t="s">
        <v>20</v>
      </c>
      <c r="D314" t="s">
        <v>404</v>
      </c>
      <c r="E314" t="s">
        <v>86</v>
      </c>
      <c r="F314">
        <v>1</v>
      </c>
      <c r="G314" s="95">
        <v>44239</v>
      </c>
      <c r="K314" t="s">
        <v>388</v>
      </c>
      <c r="L314" t="s">
        <v>25</v>
      </c>
    </row>
    <row r="315" spans="1:18" x14ac:dyDescent="0.25">
      <c r="A315" t="s">
        <v>39</v>
      </c>
      <c r="B315">
        <v>221340</v>
      </c>
      <c r="C315" t="s">
        <v>62</v>
      </c>
      <c r="D315" t="s">
        <v>404</v>
      </c>
      <c r="E315" t="s">
        <v>302</v>
      </c>
      <c r="G315" s="95">
        <v>44239</v>
      </c>
      <c r="J315" t="s">
        <v>405</v>
      </c>
      <c r="K315" t="s">
        <v>388</v>
      </c>
      <c r="L315" t="s">
        <v>25</v>
      </c>
    </row>
    <row r="316" spans="1:18" x14ac:dyDescent="0.25">
      <c r="A316" t="s">
        <v>39</v>
      </c>
      <c r="B316">
        <v>221340</v>
      </c>
      <c r="C316" t="s">
        <v>138</v>
      </c>
      <c r="D316" t="s">
        <v>404</v>
      </c>
      <c r="E316" t="s">
        <v>83</v>
      </c>
      <c r="G316" s="95">
        <v>44239</v>
      </c>
      <c r="J316" t="s">
        <v>406</v>
      </c>
      <c r="K316" t="s">
        <v>388</v>
      </c>
      <c r="L316" t="s">
        <v>25</v>
      </c>
    </row>
    <row r="317" spans="1:18" x14ac:dyDescent="0.25">
      <c r="A317" t="s">
        <v>52</v>
      </c>
      <c r="B317">
        <v>221950</v>
      </c>
      <c r="C317" t="s">
        <v>77</v>
      </c>
      <c r="D317" t="s">
        <v>407</v>
      </c>
      <c r="G317" s="95">
        <v>44245</v>
      </c>
      <c r="J317" t="s">
        <v>408</v>
      </c>
      <c r="K317" t="s">
        <v>24</v>
      </c>
    </row>
    <row r="318" spans="1:18" x14ac:dyDescent="0.25">
      <c r="A318" t="s">
        <v>35</v>
      </c>
      <c r="B318">
        <v>221950</v>
      </c>
      <c r="C318" t="s">
        <v>410</v>
      </c>
      <c r="D318" t="s">
        <v>417</v>
      </c>
      <c r="E318" t="s">
        <v>22</v>
      </c>
      <c r="F318">
        <v>1</v>
      </c>
      <c r="G318" s="95">
        <v>44279</v>
      </c>
      <c r="H318" s="95">
        <v>44281</v>
      </c>
      <c r="I318" s="95">
        <v>44281</v>
      </c>
      <c r="K318" t="s">
        <v>24</v>
      </c>
      <c r="L318" t="s">
        <v>58</v>
      </c>
      <c r="M318" t="s">
        <v>26</v>
      </c>
      <c r="N318">
        <v>1</v>
      </c>
      <c r="P318" t="s">
        <v>38</v>
      </c>
      <c r="Q318" t="s">
        <v>54</v>
      </c>
    </row>
    <row r="319" spans="1:18" x14ac:dyDescent="0.25">
      <c r="A319" t="s">
        <v>35</v>
      </c>
      <c r="B319">
        <v>221950</v>
      </c>
      <c r="C319" t="s">
        <v>410</v>
      </c>
      <c r="D319" t="s">
        <v>417</v>
      </c>
      <c r="E319" t="s">
        <v>68</v>
      </c>
      <c r="F319">
        <v>3</v>
      </c>
      <c r="G319" s="95">
        <v>44279</v>
      </c>
      <c r="H319" s="95">
        <v>44281</v>
      </c>
      <c r="I319" s="95">
        <v>44281</v>
      </c>
      <c r="K319" t="s">
        <v>24</v>
      </c>
      <c r="L319" t="s">
        <v>58</v>
      </c>
      <c r="M319" t="s">
        <v>26</v>
      </c>
      <c r="N319">
        <v>1</v>
      </c>
      <c r="P319" t="s">
        <v>38</v>
      </c>
      <c r="Q319" t="s">
        <v>54</v>
      </c>
    </row>
    <row r="320" spans="1:18" x14ac:dyDescent="0.25">
      <c r="A320" t="s">
        <v>35</v>
      </c>
      <c r="B320">
        <v>221950</v>
      </c>
      <c r="C320" t="s">
        <v>410</v>
      </c>
      <c r="D320" t="s">
        <v>417</v>
      </c>
      <c r="E320" t="s">
        <v>82</v>
      </c>
      <c r="F320">
        <v>1</v>
      </c>
      <c r="G320" s="95">
        <v>44279</v>
      </c>
      <c r="H320" s="95">
        <v>44281</v>
      </c>
      <c r="I320" s="95">
        <v>44281</v>
      </c>
      <c r="K320" t="s">
        <v>24</v>
      </c>
      <c r="L320" t="s">
        <v>58</v>
      </c>
      <c r="M320" t="s">
        <v>83</v>
      </c>
      <c r="N320">
        <v>1</v>
      </c>
      <c r="P320" t="s">
        <v>38</v>
      </c>
      <c r="Q320" t="s">
        <v>54</v>
      </c>
    </row>
    <row r="321" spans="1:18" x14ac:dyDescent="0.25">
      <c r="A321" t="s">
        <v>35</v>
      </c>
      <c r="B321">
        <v>221950</v>
      </c>
      <c r="C321" t="s">
        <v>410</v>
      </c>
      <c r="D321" t="s">
        <v>417</v>
      </c>
      <c r="E321" t="s">
        <v>106</v>
      </c>
      <c r="F321">
        <v>1</v>
      </c>
      <c r="G321" s="95">
        <v>44279</v>
      </c>
      <c r="H321" s="95">
        <v>44281</v>
      </c>
      <c r="I321" s="95">
        <v>44281</v>
      </c>
      <c r="K321" t="s">
        <v>24</v>
      </c>
      <c r="L321" t="s">
        <v>58</v>
      </c>
      <c r="M321" t="s">
        <v>26</v>
      </c>
      <c r="N321">
        <v>1</v>
      </c>
      <c r="P321" t="s">
        <v>38</v>
      </c>
      <c r="Q321" t="s">
        <v>54</v>
      </c>
    </row>
    <row r="322" spans="1:18" x14ac:dyDescent="0.25">
      <c r="A322" t="s">
        <v>35</v>
      </c>
      <c r="B322">
        <v>221950</v>
      </c>
      <c r="C322" t="s">
        <v>410</v>
      </c>
      <c r="D322" t="s">
        <v>417</v>
      </c>
      <c r="E322" t="s">
        <v>107</v>
      </c>
      <c r="F322">
        <v>2</v>
      </c>
      <c r="G322" s="95">
        <v>44279</v>
      </c>
      <c r="H322" s="95">
        <v>44281</v>
      </c>
      <c r="I322" s="95">
        <v>44281</v>
      </c>
      <c r="K322" t="s">
        <v>24</v>
      </c>
      <c r="L322" t="s">
        <v>58</v>
      </c>
      <c r="M322" t="s">
        <v>26</v>
      </c>
      <c r="N322">
        <v>1</v>
      </c>
      <c r="P322" t="s">
        <v>38</v>
      </c>
      <c r="Q322" t="s">
        <v>54</v>
      </c>
    </row>
    <row r="323" spans="1:18" x14ac:dyDescent="0.25">
      <c r="A323" t="s">
        <v>35</v>
      </c>
      <c r="B323">
        <v>221950</v>
      </c>
      <c r="C323" t="s">
        <v>410</v>
      </c>
      <c r="D323" t="s">
        <v>417</v>
      </c>
      <c r="E323" t="s">
        <v>104</v>
      </c>
      <c r="F323">
        <v>1</v>
      </c>
      <c r="G323" s="95">
        <v>44279</v>
      </c>
      <c r="H323" s="95">
        <v>44281</v>
      </c>
      <c r="I323" s="95">
        <v>44281</v>
      </c>
      <c r="K323" t="s">
        <v>24</v>
      </c>
      <c r="L323" t="s">
        <v>58</v>
      </c>
      <c r="M323" t="s">
        <v>26</v>
      </c>
      <c r="N323">
        <v>1</v>
      </c>
      <c r="P323" t="s">
        <v>38</v>
      </c>
      <c r="Q323" t="s">
        <v>54</v>
      </c>
    </row>
    <row r="324" spans="1:18" x14ac:dyDescent="0.25">
      <c r="A324" t="s">
        <v>300</v>
      </c>
      <c r="B324">
        <v>224036</v>
      </c>
      <c r="C324" t="s">
        <v>77</v>
      </c>
      <c r="D324" t="s">
        <v>301</v>
      </c>
      <c r="E324" t="s">
        <v>83</v>
      </c>
      <c r="G324" s="95">
        <v>44253</v>
      </c>
      <c r="H324" s="95">
        <v>44295</v>
      </c>
      <c r="J324" t="s">
        <v>409</v>
      </c>
      <c r="K324" t="s">
        <v>388</v>
      </c>
      <c r="L324" t="s">
        <v>25</v>
      </c>
      <c r="M324" t="s">
        <v>83</v>
      </c>
      <c r="O324" t="s">
        <v>27</v>
      </c>
    </row>
    <row r="325" spans="1:18" x14ac:dyDescent="0.25">
      <c r="A325" t="s">
        <v>300</v>
      </c>
      <c r="B325">
        <v>224036</v>
      </c>
      <c r="C325" t="s">
        <v>410</v>
      </c>
      <c r="D325" t="s">
        <v>301</v>
      </c>
      <c r="E325" t="s">
        <v>86</v>
      </c>
      <c r="F325">
        <v>5</v>
      </c>
      <c r="G325" s="95">
        <v>44253</v>
      </c>
      <c r="H325" s="95">
        <v>44295</v>
      </c>
      <c r="I325" s="95">
        <v>44286</v>
      </c>
      <c r="J325" t="s">
        <v>451</v>
      </c>
      <c r="K325" t="s">
        <v>24</v>
      </c>
      <c r="L325" t="s">
        <v>25</v>
      </c>
      <c r="M325" t="s">
        <v>83</v>
      </c>
      <c r="O325" t="s">
        <v>27</v>
      </c>
    </row>
    <row r="326" spans="1:18" x14ac:dyDescent="0.25">
      <c r="A326" t="s">
        <v>159</v>
      </c>
      <c r="B326">
        <v>224281</v>
      </c>
      <c r="C326" t="s">
        <v>140</v>
      </c>
      <c r="D326" t="s">
        <v>411</v>
      </c>
      <c r="E326" t="s">
        <v>134</v>
      </c>
      <c r="F326">
        <v>1</v>
      </c>
      <c r="G326" s="95">
        <v>44256</v>
      </c>
      <c r="H326" s="95">
        <v>44257</v>
      </c>
      <c r="I326" s="95">
        <v>44257</v>
      </c>
      <c r="K326" t="s">
        <v>384</v>
      </c>
      <c r="L326" t="s">
        <v>58</v>
      </c>
      <c r="M326" t="s">
        <v>26</v>
      </c>
      <c r="N326">
        <v>1</v>
      </c>
      <c r="O326" t="s">
        <v>38</v>
      </c>
      <c r="P326" t="s">
        <v>38</v>
      </c>
      <c r="Q326" t="s">
        <v>54</v>
      </c>
    </row>
    <row r="327" spans="1:18" x14ac:dyDescent="0.25">
      <c r="A327" t="s">
        <v>35</v>
      </c>
      <c r="B327">
        <v>224701</v>
      </c>
      <c r="C327" t="s">
        <v>20</v>
      </c>
      <c r="D327" t="s">
        <v>316</v>
      </c>
      <c r="E327" t="s">
        <v>83</v>
      </c>
      <c r="F327">
        <v>15</v>
      </c>
      <c r="G327" s="95">
        <v>44257</v>
      </c>
      <c r="H327" s="95">
        <v>44285</v>
      </c>
      <c r="I327" s="95">
        <v>44305</v>
      </c>
      <c r="J327" t="s">
        <v>318</v>
      </c>
      <c r="K327" t="s">
        <v>24</v>
      </c>
      <c r="L327" t="s">
        <v>25</v>
      </c>
      <c r="M327" t="s">
        <v>26</v>
      </c>
      <c r="O327" t="s">
        <v>27</v>
      </c>
      <c r="P327" t="s">
        <v>27</v>
      </c>
      <c r="Q327" t="s">
        <v>54</v>
      </c>
    </row>
    <row r="328" spans="1:18" x14ac:dyDescent="0.25">
      <c r="A328" t="s">
        <v>35</v>
      </c>
      <c r="B328">
        <v>224701</v>
      </c>
      <c r="C328" t="s">
        <v>77</v>
      </c>
      <c r="D328" t="s">
        <v>316</v>
      </c>
      <c r="E328" t="s">
        <v>83</v>
      </c>
      <c r="G328" s="95">
        <v>44257</v>
      </c>
      <c r="H328" s="95">
        <v>44287</v>
      </c>
      <c r="J328" t="s">
        <v>412</v>
      </c>
      <c r="K328" t="s">
        <v>388</v>
      </c>
      <c r="L328" t="s">
        <v>25</v>
      </c>
      <c r="M328" t="s">
        <v>83</v>
      </c>
      <c r="O328" t="s">
        <v>27</v>
      </c>
    </row>
    <row r="329" spans="1:18" x14ac:dyDescent="0.25">
      <c r="A329" t="s">
        <v>35</v>
      </c>
      <c r="B329">
        <v>224687</v>
      </c>
      <c r="C329" t="s">
        <v>20</v>
      </c>
      <c r="D329" t="s">
        <v>413</v>
      </c>
      <c r="E329" t="s">
        <v>22</v>
      </c>
      <c r="F329">
        <v>3</v>
      </c>
      <c r="G329" s="95">
        <v>44257</v>
      </c>
      <c r="H329" s="95">
        <v>44270</v>
      </c>
      <c r="I329" s="95">
        <v>44305</v>
      </c>
      <c r="K329" t="s">
        <v>24</v>
      </c>
      <c r="L329" t="s">
        <v>58</v>
      </c>
      <c r="M329" t="s">
        <v>26</v>
      </c>
      <c r="O329" t="s">
        <v>38</v>
      </c>
      <c r="P329" t="s">
        <v>27</v>
      </c>
      <c r="Q329" t="s">
        <v>29</v>
      </c>
    </row>
    <row r="330" spans="1:18" x14ac:dyDescent="0.25">
      <c r="A330" t="s">
        <v>35</v>
      </c>
      <c r="B330">
        <v>224687</v>
      </c>
      <c r="C330" t="s">
        <v>140</v>
      </c>
      <c r="D330" t="s">
        <v>413</v>
      </c>
      <c r="E330" t="s">
        <v>46</v>
      </c>
      <c r="F330">
        <v>3</v>
      </c>
      <c r="G330" s="95">
        <v>44257</v>
      </c>
      <c r="H330" s="95">
        <v>44270</v>
      </c>
      <c r="I330" s="95">
        <v>44305</v>
      </c>
      <c r="K330" t="s">
        <v>24</v>
      </c>
      <c r="L330" t="s">
        <v>58</v>
      </c>
      <c r="M330" t="s">
        <v>26</v>
      </c>
      <c r="O330" t="s">
        <v>38</v>
      </c>
      <c r="P330" t="s">
        <v>38</v>
      </c>
      <c r="Q330" t="s">
        <v>29</v>
      </c>
      <c r="R330" t="s">
        <v>28</v>
      </c>
    </row>
    <row r="331" spans="1:18" x14ac:dyDescent="0.25">
      <c r="A331" t="s">
        <v>35</v>
      </c>
      <c r="B331">
        <v>224687</v>
      </c>
      <c r="C331" t="s">
        <v>140</v>
      </c>
      <c r="D331" t="s">
        <v>413</v>
      </c>
      <c r="E331" t="s">
        <v>106</v>
      </c>
      <c r="F331">
        <v>3</v>
      </c>
      <c r="G331" s="95">
        <v>44257</v>
      </c>
      <c r="H331" s="95">
        <v>44270</v>
      </c>
      <c r="I331" s="95">
        <v>44305</v>
      </c>
      <c r="K331" t="s">
        <v>24</v>
      </c>
      <c r="L331" t="s">
        <v>58</v>
      </c>
      <c r="M331" t="s">
        <v>26</v>
      </c>
      <c r="O331" t="s">
        <v>38</v>
      </c>
      <c r="P331" t="s">
        <v>38</v>
      </c>
      <c r="Q331" t="s">
        <v>29</v>
      </c>
      <c r="R331" t="s">
        <v>28</v>
      </c>
    </row>
    <row r="332" spans="1:18" x14ac:dyDescent="0.25">
      <c r="A332" t="s">
        <v>35</v>
      </c>
      <c r="B332">
        <v>224687</v>
      </c>
      <c r="C332" t="s">
        <v>140</v>
      </c>
      <c r="D332" t="s">
        <v>413</v>
      </c>
      <c r="E332" t="s">
        <v>107</v>
      </c>
      <c r="F332">
        <v>3</v>
      </c>
      <c r="G332" s="95">
        <v>44257</v>
      </c>
      <c r="H332" s="95">
        <v>44270</v>
      </c>
      <c r="I332" s="95">
        <v>44305</v>
      </c>
      <c r="K332" t="s">
        <v>24</v>
      </c>
      <c r="L332" t="s">
        <v>58</v>
      </c>
      <c r="M332" t="s">
        <v>26</v>
      </c>
      <c r="O332" t="s">
        <v>38</v>
      </c>
      <c r="P332" t="s">
        <v>38</v>
      </c>
      <c r="Q332" t="s">
        <v>29</v>
      </c>
      <c r="R332" t="s">
        <v>28</v>
      </c>
    </row>
    <row r="333" spans="1:18" x14ac:dyDescent="0.25">
      <c r="A333" t="s">
        <v>35</v>
      </c>
      <c r="B333">
        <v>224687</v>
      </c>
      <c r="C333" t="s">
        <v>140</v>
      </c>
      <c r="D333" t="s">
        <v>413</v>
      </c>
      <c r="E333" t="s">
        <v>102</v>
      </c>
      <c r="F333">
        <v>1</v>
      </c>
      <c r="G333" s="95">
        <v>44257</v>
      </c>
      <c r="H333" s="95">
        <v>44270</v>
      </c>
      <c r="I333" s="95">
        <v>44305</v>
      </c>
      <c r="J333" t="s">
        <v>350</v>
      </c>
      <c r="K333" t="s">
        <v>24</v>
      </c>
      <c r="L333" t="s">
        <v>58</v>
      </c>
      <c r="M333" t="s">
        <v>26</v>
      </c>
      <c r="O333" t="s">
        <v>38</v>
      </c>
      <c r="P333" t="s">
        <v>38</v>
      </c>
      <c r="Q333" t="s">
        <v>29</v>
      </c>
      <c r="R333" t="s">
        <v>28</v>
      </c>
    </row>
    <row r="334" spans="1:18" x14ac:dyDescent="0.25">
      <c r="A334" t="s">
        <v>35</v>
      </c>
      <c r="B334">
        <v>224687</v>
      </c>
      <c r="C334" t="s">
        <v>20</v>
      </c>
      <c r="D334" t="s">
        <v>413</v>
      </c>
      <c r="E334" t="s">
        <v>83</v>
      </c>
      <c r="F334">
        <v>1</v>
      </c>
      <c r="G334" s="95">
        <v>44257</v>
      </c>
      <c r="H334" s="95">
        <v>44270</v>
      </c>
      <c r="I334" s="95">
        <v>44305</v>
      </c>
      <c r="J334" t="s">
        <v>414</v>
      </c>
      <c r="K334" t="s">
        <v>24</v>
      </c>
      <c r="L334" t="s">
        <v>45</v>
      </c>
      <c r="M334" t="s">
        <v>26</v>
      </c>
      <c r="O334" t="s">
        <v>27</v>
      </c>
      <c r="P334" t="s">
        <v>38</v>
      </c>
      <c r="Q334" t="s">
        <v>29</v>
      </c>
    </row>
    <row r="335" spans="1:18" x14ac:dyDescent="0.25">
      <c r="A335" t="s">
        <v>35</v>
      </c>
      <c r="B335">
        <v>224687</v>
      </c>
      <c r="C335" t="s">
        <v>140</v>
      </c>
      <c r="D335" t="s">
        <v>413</v>
      </c>
      <c r="E335" t="s">
        <v>93</v>
      </c>
      <c r="F335">
        <v>1</v>
      </c>
      <c r="G335" s="95">
        <v>44257</v>
      </c>
      <c r="H335" s="95">
        <v>44270</v>
      </c>
      <c r="I335" s="95">
        <v>44305</v>
      </c>
      <c r="K335" t="s">
        <v>24</v>
      </c>
      <c r="L335" t="s">
        <v>58</v>
      </c>
      <c r="M335" t="s">
        <v>26</v>
      </c>
      <c r="O335" t="s">
        <v>38</v>
      </c>
      <c r="P335" t="s">
        <v>38</v>
      </c>
      <c r="Q335" t="s">
        <v>29</v>
      </c>
      <c r="R335" t="s">
        <v>28</v>
      </c>
    </row>
    <row r="336" spans="1:18" x14ac:dyDescent="0.25">
      <c r="A336" t="s">
        <v>35</v>
      </c>
      <c r="B336">
        <v>224687</v>
      </c>
      <c r="C336" t="s">
        <v>20</v>
      </c>
      <c r="D336" t="s">
        <v>413</v>
      </c>
      <c r="E336" t="s">
        <v>105</v>
      </c>
      <c r="F336">
        <v>1</v>
      </c>
      <c r="G336" s="95">
        <v>44257</v>
      </c>
      <c r="H336" s="95">
        <v>44270</v>
      </c>
      <c r="I336" s="95">
        <v>44305</v>
      </c>
      <c r="J336" t="s">
        <v>415</v>
      </c>
      <c r="K336" t="s">
        <v>24</v>
      </c>
      <c r="L336" t="s">
        <v>45</v>
      </c>
      <c r="M336" t="s">
        <v>26</v>
      </c>
      <c r="O336" t="s">
        <v>27</v>
      </c>
      <c r="P336" t="s">
        <v>27</v>
      </c>
      <c r="Q336" t="s">
        <v>29</v>
      </c>
    </row>
    <row r="337" spans="1:17" x14ac:dyDescent="0.25">
      <c r="A337" t="s">
        <v>35</v>
      </c>
      <c r="B337">
        <v>224687</v>
      </c>
      <c r="C337" t="s">
        <v>20</v>
      </c>
      <c r="D337" t="s">
        <v>413</v>
      </c>
      <c r="E337" t="s">
        <v>69</v>
      </c>
      <c r="F337">
        <v>2</v>
      </c>
      <c r="G337" s="95">
        <v>44257</v>
      </c>
      <c r="H337" s="95">
        <v>44270</v>
      </c>
      <c r="I337" s="95">
        <v>44305</v>
      </c>
      <c r="J337" t="s">
        <v>416</v>
      </c>
      <c r="K337" t="s">
        <v>24</v>
      </c>
      <c r="L337" t="s">
        <v>58</v>
      </c>
      <c r="M337" t="s">
        <v>26</v>
      </c>
      <c r="O337" t="s">
        <v>27</v>
      </c>
      <c r="P337" t="s">
        <v>27</v>
      </c>
      <c r="Q337" t="s">
        <v>29</v>
      </c>
    </row>
    <row r="338" spans="1:17" x14ac:dyDescent="0.25">
      <c r="A338" t="s">
        <v>35</v>
      </c>
      <c r="B338">
        <v>224687</v>
      </c>
      <c r="C338" t="s">
        <v>20</v>
      </c>
      <c r="D338" t="s">
        <v>413</v>
      </c>
      <c r="E338" t="s">
        <v>84</v>
      </c>
      <c r="G338" s="95">
        <v>44257</v>
      </c>
      <c r="H338" s="95">
        <v>44270</v>
      </c>
      <c r="I338" s="95">
        <v>44305</v>
      </c>
      <c r="K338" t="s">
        <v>24</v>
      </c>
      <c r="L338" t="s">
        <v>37</v>
      </c>
      <c r="M338" t="s">
        <v>26</v>
      </c>
      <c r="O338" t="s">
        <v>27</v>
      </c>
      <c r="P338" t="s">
        <v>27</v>
      </c>
      <c r="Q338" t="s">
        <v>29</v>
      </c>
    </row>
    <row r="339" spans="1:17" x14ac:dyDescent="0.25">
      <c r="A339" t="s">
        <v>35</v>
      </c>
      <c r="B339">
        <v>224687</v>
      </c>
      <c r="C339" t="s">
        <v>20</v>
      </c>
      <c r="D339" t="s">
        <v>413</v>
      </c>
      <c r="E339" t="s">
        <v>22</v>
      </c>
      <c r="G339" s="95">
        <v>44278</v>
      </c>
      <c r="H339" s="95">
        <v>44278</v>
      </c>
      <c r="I339" s="95">
        <v>44305</v>
      </c>
      <c r="J339" t="s">
        <v>417</v>
      </c>
      <c r="K339" t="s">
        <v>24</v>
      </c>
      <c r="L339" t="s">
        <v>58</v>
      </c>
      <c r="M339" t="s">
        <v>26</v>
      </c>
      <c r="O339" t="s">
        <v>38</v>
      </c>
      <c r="P339" t="s">
        <v>27</v>
      </c>
      <c r="Q339" t="s">
        <v>29</v>
      </c>
    </row>
    <row r="340" spans="1:17" x14ac:dyDescent="0.25">
      <c r="A340" t="s">
        <v>35</v>
      </c>
      <c r="B340">
        <v>224687</v>
      </c>
      <c r="C340" t="s">
        <v>410</v>
      </c>
      <c r="D340" t="s">
        <v>413</v>
      </c>
      <c r="E340" t="s">
        <v>107</v>
      </c>
      <c r="F340">
        <v>2</v>
      </c>
      <c r="G340" s="95">
        <v>44278</v>
      </c>
      <c r="H340" s="95">
        <v>44281</v>
      </c>
      <c r="I340" s="95">
        <v>44305</v>
      </c>
      <c r="J340" t="s">
        <v>417</v>
      </c>
      <c r="K340" t="s">
        <v>24</v>
      </c>
      <c r="L340" t="s">
        <v>58</v>
      </c>
      <c r="M340" t="s">
        <v>26</v>
      </c>
      <c r="O340" t="s">
        <v>38</v>
      </c>
      <c r="P340" t="s">
        <v>27</v>
      </c>
      <c r="Q340" t="s">
        <v>29</v>
      </c>
    </row>
    <row r="341" spans="1:17" x14ac:dyDescent="0.25">
      <c r="A341" t="s">
        <v>35</v>
      </c>
      <c r="B341">
        <v>224687</v>
      </c>
      <c r="C341" t="s">
        <v>410</v>
      </c>
      <c r="D341" t="s">
        <v>413</v>
      </c>
      <c r="E341" t="s">
        <v>82</v>
      </c>
      <c r="F341">
        <v>1</v>
      </c>
      <c r="G341" s="95">
        <v>44278</v>
      </c>
      <c r="H341" s="95">
        <v>44281</v>
      </c>
      <c r="I341" s="95">
        <v>44305</v>
      </c>
      <c r="J341" t="s">
        <v>417</v>
      </c>
      <c r="K341" t="s">
        <v>24</v>
      </c>
      <c r="L341" t="s">
        <v>58</v>
      </c>
      <c r="M341" t="s">
        <v>26</v>
      </c>
      <c r="O341" t="s">
        <v>38</v>
      </c>
      <c r="P341" t="s">
        <v>27</v>
      </c>
      <c r="Q341" t="s">
        <v>29</v>
      </c>
    </row>
    <row r="342" spans="1:17" x14ac:dyDescent="0.25">
      <c r="A342" t="s">
        <v>35</v>
      </c>
      <c r="B342">
        <v>224687</v>
      </c>
      <c r="C342" t="s">
        <v>410</v>
      </c>
      <c r="D342" t="s">
        <v>413</v>
      </c>
      <c r="E342" t="s">
        <v>106</v>
      </c>
      <c r="F342">
        <v>1</v>
      </c>
      <c r="G342" s="95">
        <v>44278</v>
      </c>
      <c r="H342" s="95">
        <v>44281</v>
      </c>
      <c r="I342" s="95">
        <v>44305</v>
      </c>
      <c r="J342" t="s">
        <v>417</v>
      </c>
      <c r="K342" t="s">
        <v>24</v>
      </c>
      <c r="L342" t="s">
        <v>58</v>
      </c>
      <c r="M342" t="s">
        <v>26</v>
      </c>
      <c r="O342" t="s">
        <v>38</v>
      </c>
      <c r="P342" t="s">
        <v>27</v>
      </c>
      <c r="Q342" t="s">
        <v>29</v>
      </c>
    </row>
    <row r="343" spans="1:17" x14ac:dyDescent="0.25">
      <c r="A343" t="s">
        <v>39</v>
      </c>
      <c r="B343">
        <v>202584</v>
      </c>
      <c r="C343" t="s">
        <v>20</v>
      </c>
      <c r="D343" t="s">
        <v>418</v>
      </c>
      <c r="E343" t="s">
        <v>43</v>
      </c>
      <c r="G343" s="95">
        <v>44230</v>
      </c>
      <c r="K343" t="s">
        <v>386</v>
      </c>
      <c r="L343" t="s">
        <v>25</v>
      </c>
      <c r="M343" t="s">
        <v>34</v>
      </c>
    </row>
    <row r="344" spans="1:17" x14ac:dyDescent="0.25">
      <c r="A344" t="s">
        <v>39</v>
      </c>
      <c r="B344" t="s">
        <v>247</v>
      </c>
      <c r="C344" t="s">
        <v>20</v>
      </c>
      <c r="D344" t="s">
        <v>324</v>
      </c>
      <c r="E344" t="s">
        <v>201</v>
      </c>
      <c r="F344">
        <v>2</v>
      </c>
      <c r="G344" s="95">
        <v>44263</v>
      </c>
      <c r="H344" s="95">
        <v>44264</v>
      </c>
      <c r="I344" s="95">
        <v>44277</v>
      </c>
      <c r="K344" t="s">
        <v>24</v>
      </c>
      <c r="L344" t="s">
        <v>25</v>
      </c>
      <c r="M344" t="s">
        <v>26</v>
      </c>
      <c r="O344" t="s">
        <v>38</v>
      </c>
      <c r="P344" t="s">
        <v>27</v>
      </c>
    </row>
    <row r="345" spans="1:17" x14ac:dyDescent="0.25">
      <c r="A345" t="s">
        <v>39</v>
      </c>
      <c r="B345" t="s">
        <v>247</v>
      </c>
      <c r="C345" t="s">
        <v>20</v>
      </c>
      <c r="D345" t="s">
        <v>324</v>
      </c>
      <c r="E345" t="s">
        <v>116</v>
      </c>
      <c r="F345">
        <v>1</v>
      </c>
      <c r="G345" s="95">
        <v>44263</v>
      </c>
      <c r="H345" s="95">
        <v>44264</v>
      </c>
      <c r="I345" s="95">
        <v>44277</v>
      </c>
      <c r="J345" t="s">
        <v>419</v>
      </c>
      <c r="K345" t="s">
        <v>24</v>
      </c>
      <c r="L345" t="s">
        <v>25</v>
      </c>
      <c r="M345" t="s">
        <v>26</v>
      </c>
      <c r="O345" t="s">
        <v>38</v>
      </c>
      <c r="P345" t="s">
        <v>27</v>
      </c>
    </row>
    <row r="346" spans="1:17" x14ac:dyDescent="0.25">
      <c r="A346" t="s">
        <v>39</v>
      </c>
      <c r="B346" t="s">
        <v>247</v>
      </c>
      <c r="C346" t="s">
        <v>20</v>
      </c>
      <c r="D346" t="s">
        <v>324</v>
      </c>
      <c r="E346" t="s">
        <v>94</v>
      </c>
      <c r="F346">
        <v>5</v>
      </c>
      <c r="G346" s="95">
        <v>44263</v>
      </c>
      <c r="H346" s="95">
        <v>44264</v>
      </c>
      <c r="I346" s="95">
        <v>44277</v>
      </c>
      <c r="J346" t="s">
        <v>420</v>
      </c>
      <c r="K346" t="s">
        <v>24</v>
      </c>
      <c r="L346" t="s">
        <v>25</v>
      </c>
      <c r="M346" t="s">
        <v>26</v>
      </c>
      <c r="O346" t="s">
        <v>38</v>
      </c>
      <c r="P346" t="s">
        <v>27</v>
      </c>
    </row>
    <row r="347" spans="1:17" x14ac:dyDescent="0.25">
      <c r="A347" t="s">
        <v>39</v>
      </c>
      <c r="B347" t="s">
        <v>247</v>
      </c>
      <c r="C347" t="s">
        <v>20</v>
      </c>
      <c r="D347" t="s">
        <v>324</v>
      </c>
      <c r="E347" t="s">
        <v>142</v>
      </c>
      <c r="F347">
        <v>3</v>
      </c>
      <c r="G347" s="95">
        <v>44263</v>
      </c>
      <c r="H347" s="95">
        <v>44264</v>
      </c>
      <c r="I347" s="95">
        <v>44277</v>
      </c>
      <c r="J347" t="s">
        <v>421</v>
      </c>
      <c r="K347" t="s">
        <v>24</v>
      </c>
      <c r="L347" t="s">
        <v>25</v>
      </c>
      <c r="M347" t="s">
        <v>26</v>
      </c>
      <c r="O347" t="s">
        <v>38</v>
      </c>
      <c r="P347" t="s">
        <v>27</v>
      </c>
    </row>
    <row r="348" spans="1:17" x14ac:dyDescent="0.25">
      <c r="A348" t="s">
        <v>39</v>
      </c>
      <c r="B348" t="s">
        <v>247</v>
      </c>
      <c r="C348" t="s">
        <v>20</v>
      </c>
      <c r="D348" t="s">
        <v>324</v>
      </c>
      <c r="E348" t="s">
        <v>115</v>
      </c>
      <c r="F348">
        <v>2</v>
      </c>
      <c r="G348" s="95">
        <v>44263</v>
      </c>
      <c r="H348" s="95">
        <v>44264</v>
      </c>
      <c r="I348" s="95">
        <v>44277</v>
      </c>
      <c r="K348" t="s">
        <v>24</v>
      </c>
      <c r="L348" t="s">
        <v>25</v>
      </c>
      <c r="M348" t="s">
        <v>26</v>
      </c>
      <c r="O348" t="s">
        <v>38</v>
      </c>
      <c r="P348" t="s">
        <v>27</v>
      </c>
    </row>
    <row r="349" spans="1:17" x14ac:dyDescent="0.25">
      <c r="A349" t="s">
        <v>39</v>
      </c>
      <c r="B349" t="s">
        <v>247</v>
      </c>
      <c r="C349" t="s">
        <v>20</v>
      </c>
      <c r="D349" t="s">
        <v>324</v>
      </c>
      <c r="E349" t="s">
        <v>79</v>
      </c>
      <c r="F349">
        <v>1</v>
      </c>
      <c r="G349" s="95">
        <v>44263</v>
      </c>
      <c r="H349" s="95">
        <v>44264</v>
      </c>
      <c r="I349" s="95">
        <v>44277</v>
      </c>
      <c r="J349" t="s">
        <v>422</v>
      </c>
      <c r="K349" t="s">
        <v>24</v>
      </c>
      <c r="L349" t="s">
        <v>25</v>
      </c>
      <c r="M349" t="s">
        <v>26</v>
      </c>
      <c r="O349" t="s">
        <v>38</v>
      </c>
      <c r="P349" t="s">
        <v>27</v>
      </c>
    </row>
    <row r="350" spans="1:17" x14ac:dyDescent="0.25">
      <c r="A350" t="s">
        <v>39</v>
      </c>
      <c r="B350" t="s">
        <v>247</v>
      </c>
      <c r="C350" t="s">
        <v>410</v>
      </c>
      <c r="D350" t="s">
        <v>364</v>
      </c>
      <c r="E350" t="s">
        <v>22</v>
      </c>
      <c r="F350">
        <v>1</v>
      </c>
      <c r="G350" s="95">
        <v>44295</v>
      </c>
      <c r="H350" s="95">
        <v>44299</v>
      </c>
      <c r="I350" s="95">
        <v>44299</v>
      </c>
      <c r="K350" t="s">
        <v>24</v>
      </c>
      <c r="L350" t="s">
        <v>58</v>
      </c>
      <c r="M350" t="s">
        <v>26</v>
      </c>
      <c r="N350">
        <v>1</v>
      </c>
      <c r="O350" t="s">
        <v>38</v>
      </c>
      <c r="P350" t="s">
        <v>27</v>
      </c>
    </row>
    <row r="351" spans="1:17" x14ac:dyDescent="0.25">
      <c r="A351" t="s">
        <v>39</v>
      </c>
      <c r="B351" t="s">
        <v>247</v>
      </c>
      <c r="C351" t="s">
        <v>410</v>
      </c>
      <c r="D351" t="s">
        <v>364</v>
      </c>
      <c r="E351" t="s">
        <v>69</v>
      </c>
      <c r="F351">
        <v>4</v>
      </c>
      <c r="G351" s="95">
        <v>44295</v>
      </c>
      <c r="H351" s="95">
        <v>44299</v>
      </c>
      <c r="I351" s="95">
        <v>44299</v>
      </c>
      <c r="K351" t="s">
        <v>24</v>
      </c>
      <c r="L351" t="s">
        <v>58</v>
      </c>
      <c r="M351" t="s">
        <v>26</v>
      </c>
      <c r="N351">
        <v>1</v>
      </c>
      <c r="O351" t="s">
        <v>38</v>
      </c>
      <c r="P351" t="s">
        <v>27</v>
      </c>
    </row>
    <row r="352" spans="1:17" x14ac:dyDescent="0.25">
      <c r="A352" t="s">
        <v>39</v>
      </c>
      <c r="B352" t="s">
        <v>247</v>
      </c>
      <c r="C352" t="s">
        <v>410</v>
      </c>
      <c r="D352" t="s">
        <v>364</v>
      </c>
      <c r="E352" t="s">
        <v>82</v>
      </c>
      <c r="F352">
        <v>1</v>
      </c>
      <c r="G352" s="95">
        <v>44295</v>
      </c>
      <c r="H352" s="95">
        <v>44299</v>
      </c>
      <c r="I352" s="95">
        <v>44299</v>
      </c>
      <c r="K352" t="s">
        <v>24</v>
      </c>
      <c r="L352" t="s">
        <v>58</v>
      </c>
      <c r="M352" t="s">
        <v>26</v>
      </c>
      <c r="N352">
        <v>1</v>
      </c>
      <c r="O352" t="s">
        <v>38</v>
      </c>
      <c r="P352" t="s">
        <v>27</v>
      </c>
    </row>
    <row r="353" spans="1:18" x14ac:dyDescent="0.25">
      <c r="A353" t="s">
        <v>39</v>
      </c>
      <c r="B353" t="s">
        <v>247</v>
      </c>
      <c r="C353" t="s">
        <v>410</v>
      </c>
      <c r="D353" t="s">
        <v>364</v>
      </c>
      <c r="E353" t="s">
        <v>68</v>
      </c>
      <c r="F353">
        <v>3</v>
      </c>
      <c r="G353" s="95">
        <v>44295</v>
      </c>
      <c r="H353" s="95">
        <v>44299</v>
      </c>
      <c r="I353" s="95">
        <v>44299</v>
      </c>
      <c r="K353" t="s">
        <v>24</v>
      </c>
      <c r="L353" t="s">
        <v>58</v>
      </c>
      <c r="M353" t="s">
        <v>26</v>
      </c>
      <c r="N353">
        <v>1</v>
      </c>
      <c r="O353" t="s">
        <v>38</v>
      </c>
      <c r="P353" t="s">
        <v>27</v>
      </c>
    </row>
    <row r="354" spans="1:18" x14ac:dyDescent="0.25">
      <c r="A354" t="s">
        <v>39</v>
      </c>
      <c r="B354" t="s">
        <v>247</v>
      </c>
      <c r="C354" t="s">
        <v>410</v>
      </c>
      <c r="D354" t="s">
        <v>364</v>
      </c>
      <c r="E354" t="s">
        <v>153</v>
      </c>
      <c r="F354">
        <v>3</v>
      </c>
      <c r="G354" s="95">
        <v>44295</v>
      </c>
      <c r="H354" s="95">
        <v>44299</v>
      </c>
      <c r="I354" s="95">
        <v>44299</v>
      </c>
      <c r="K354" t="s">
        <v>24</v>
      </c>
      <c r="L354" t="s">
        <v>58</v>
      </c>
      <c r="M354" t="s">
        <v>26</v>
      </c>
      <c r="N354">
        <v>1</v>
      </c>
      <c r="O354" t="s">
        <v>38</v>
      </c>
      <c r="P354" t="s">
        <v>27</v>
      </c>
    </row>
    <row r="355" spans="1:18" x14ac:dyDescent="0.25">
      <c r="A355" t="s">
        <v>30</v>
      </c>
      <c r="B355">
        <v>227189</v>
      </c>
      <c r="C355" t="s">
        <v>20</v>
      </c>
      <c r="D355" t="s">
        <v>338</v>
      </c>
      <c r="E355" t="s">
        <v>22</v>
      </c>
      <c r="F355">
        <v>3</v>
      </c>
      <c r="G355" s="95">
        <v>44267</v>
      </c>
      <c r="H355" s="95">
        <v>44292</v>
      </c>
      <c r="I355" s="95">
        <v>44313</v>
      </c>
      <c r="K355" t="s">
        <v>24</v>
      </c>
      <c r="L355" t="s">
        <v>25</v>
      </c>
      <c r="M355" t="s">
        <v>26</v>
      </c>
      <c r="O355" t="s">
        <v>27</v>
      </c>
      <c r="P355" t="s">
        <v>27</v>
      </c>
      <c r="Q355" t="s">
        <v>29</v>
      </c>
      <c r="R355" t="s">
        <v>54</v>
      </c>
    </row>
    <row r="356" spans="1:18" x14ac:dyDescent="0.25">
      <c r="A356" t="s">
        <v>30</v>
      </c>
      <c r="B356">
        <v>227189</v>
      </c>
      <c r="C356" t="s">
        <v>20</v>
      </c>
      <c r="D356" t="s">
        <v>338</v>
      </c>
      <c r="E356" t="s">
        <v>46</v>
      </c>
      <c r="F356">
        <v>1</v>
      </c>
      <c r="G356" s="95">
        <v>44267</v>
      </c>
      <c r="H356" s="95">
        <v>44292</v>
      </c>
      <c r="I356" s="95">
        <v>44313</v>
      </c>
      <c r="K356" t="s">
        <v>24</v>
      </c>
      <c r="L356" t="s">
        <v>25</v>
      </c>
      <c r="M356" t="s">
        <v>26</v>
      </c>
      <c r="O356" t="s">
        <v>27</v>
      </c>
      <c r="P356" t="s">
        <v>27</v>
      </c>
      <c r="Q356" t="s">
        <v>29</v>
      </c>
      <c r="R356" t="s">
        <v>54</v>
      </c>
    </row>
    <row r="357" spans="1:18" x14ac:dyDescent="0.25">
      <c r="A357" t="s">
        <v>30</v>
      </c>
      <c r="B357">
        <v>227189</v>
      </c>
      <c r="C357" t="s">
        <v>20</v>
      </c>
      <c r="D357" t="s">
        <v>338</v>
      </c>
      <c r="E357" t="s">
        <v>106</v>
      </c>
      <c r="F357">
        <v>1</v>
      </c>
      <c r="G357" s="95">
        <v>44267</v>
      </c>
      <c r="H357" s="95">
        <v>44292</v>
      </c>
      <c r="I357" s="95">
        <v>44313</v>
      </c>
      <c r="K357" t="s">
        <v>24</v>
      </c>
      <c r="L357" t="s">
        <v>25</v>
      </c>
      <c r="M357" t="s">
        <v>26</v>
      </c>
      <c r="O357" t="s">
        <v>27</v>
      </c>
      <c r="P357" t="s">
        <v>27</v>
      </c>
      <c r="Q357" t="s">
        <v>29</v>
      </c>
      <c r="R357" t="s">
        <v>54</v>
      </c>
    </row>
    <row r="358" spans="1:18" x14ac:dyDescent="0.25">
      <c r="A358" t="s">
        <v>30</v>
      </c>
      <c r="B358">
        <v>227189</v>
      </c>
      <c r="C358" t="s">
        <v>20</v>
      </c>
      <c r="D358" t="s">
        <v>338</v>
      </c>
      <c r="E358" t="s">
        <v>127</v>
      </c>
      <c r="F358">
        <v>2</v>
      </c>
      <c r="G358" s="95">
        <v>44267</v>
      </c>
      <c r="H358" s="95">
        <v>44292</v>
      </c>
      <c r="I358" s="95">
        <v>44313</v>
      </c>
      <c r="K358" t="s">
        <v>24</v>
      </c>
      <c r="L358" t="s">
        <v>25</v>
      </c>
      <c r="M358" t="s">
        <v>26</v>
      </c>
      <c r="O358" t="s">
        <v>27</v>
      </c>
      <c r="P358" t="s">
        <v>27</v>
      </c>
      <c r="Q358" t="s">
        <v>29</v>
      </c>
      <c r="R358" t="s">
        <v>54</v>
      </c>
    </row>
    <row r="359" spans="1:18" x14ac:dyDescent="0.25">
      <c r="A359" t="s">
        <v>30</v>
      </c>
      <c r="B359">
        <v>227189</v>
      </c>
      <c r="C359" t="s">
        <v>20</v>
      </c>
      <c r="D359" t="s">
        <v>338</v>
      </c>
      <c r="E359" t="s">
        <v>147</v>
      </c>
      <c r="F359">
        <v>1</v>
      </c>
      <c r="G359" s="95">
        <v>44267</v>
      </c>
      <c r="H359" s="95">
        <v>44292</v>
      </c>
      <c r="I359" s="95">
        <v>44313</v>
      </c>
      <c r="K359" t="s">
        <v>24</v>
      </c>
      <c r="L359" t="s">
        <v>25</v>
      </c>
      <c r="M359" t="s">
        <v>26</v>
      </c>
      <c r="O359" t="s">
        <v>27</v>
      </c>
      <c r="P359" t="s">
        <v>27</v>
      </c>
      <c r="Q359" t="s">
        <v>29</v>
      </c>
      <c r="R359" t="s">
        <v>54</v>
      </c>
    </row>
    <row r="360" spans="1:18" x14ac:dyDescent="0.25">
      <c r="A360" t="s">
        <v>30</v>
      </c>
      <c r="B360">
        <v>227189</v>
      </c>
      <c r="C360" t="s">
        <v>77</v>
      </c>
      <c r="D360" t="s">
        <v>338</v>
      </c>
      <c r="G360" s="95">
        <v>44267</v>
      </c>
      <c r="H360" s="95">
        <v>44291</v>
      </c>
      <c r="I360" s="95">
        <v>44286</v>
      </c>
      <c r="J360" t="s">
        <v>423</v>
      </c>
      <c r="K360" t="s">
        <v>24</v>
      </c>
      <c r="L360" t="s">
        <v>25</v>
      </c>
      <c r="M360" t="s">
        <v>34</v>
      </c>
      <c r="O360" t="s">
        <v>27</v>
      </c>
    </row>
    <row r="361" spans="1:18" x14ac:dyDescent="0.25">
      <c r="A361" t="s">
        <v>39</v>
      </c>
      <c r="B361">
        <v>227231</v>
      </c>
      <c r="C361" t="s">
        <v>20</v>
      </c>
      <c r="D361" t="s">
        <v>342</v>
      </c>
      <c r="E361" t="s">
        <v>46</v>
      </c>
      <c r="F361">
        <v>1</v>
      </c>
      <c r="G361" s="95">
        <v>44267</v>
      </c>
      <c r="H361" s="95">
        <v>44284</v>
      </c>
      <c r="K361" t="s">
        <v>384</v>
      </c>
      <c r="L361" t="s">
        <v>45</v>
      </c>
      <c r="M361" t="s">
        <v>26</v>
      </c>
      <c r="O361" t="s">
        <v>27</v>
      </c>
      <c r="P361" t="s">
        <v>27</v>
      </c>
      <c r="Q361" t="s">
        <v>54</v>
      </c>
    </row>
    <row r="362" spans="1:18" x14ac:dyDescent="0.25">
      <c r="A362" t="s">
        <v>39</v>
      </c>
      <c r="B362">
        <v>227231</v>
      </c>
      <c r="C362" t="s">
        <v>20</v>
      </c>
      <c r="D362" t="s">
        <v>342</v>
      </c>
      <c r="E362" t="s">
        <v>22</v>
      </c>
      <c r="F362">
        <v>1</v>
      </c>
      <c r="G362" s="95">
        <v>44267</v>
      </c>
      <c r="H362" s="95">
        <v>44284</v>
      </c>
      <c r="K362" t="s">
        <v>384</v>
      </c>
      <c r="L362" t="s">
        <v>25</v>
      </c>
      <c r="M362" t="s">
        <v>26</v>
      </c>
      <c r="O362" t="s">
        <v>27</v>
      </c>
      <c r="P362" t="s">
        <v>27</v>
      </c>
      <c r="Q362" t="s">
        <v>54</v>
      </c>
    </row>
    <row r="363" spans="1:18" x14ac:dyDescent="0.25">
      <c r="A363" t="s">
        <v>39</v>
      </c>
      <c r="B363">
        <v>227231</v>
      </c>
      <c r="C363" t="s">
        <v>20</v>
      </c>
      <c r="D363" t="s">
        <v>342</v>
      </c>
      <c r="E363" t="s">
        <v>177</v>
      </c>
      <c r="F363">
        <v>1</v>
      </c>
      <c r="G363" s="95">
        <v>44267</v>
      </c>
      <c r="H363" s="95">
        <v>44284</v>
      </c>
      <c r="K363" t="s">
        <v>384</v>
      </c>
      <c r="L363" t="s">
        <v>45</v>
      </c>
      <c r="M363" t="s">
        <v>26</v>
      </c>
      <c r="O363" t="s">
        <v>27</v>
      </c>
      <c r="P363" t="s">
        <v>27</v>
      </c>
      <c r="Q363" t="s">
        <v>54</v>
      </c>
    </row>
    <row r="364" spans="1:18" x14ac:dyDescent="0.25">
      <c r="A364" t="s">
        <v>39</v>
      </c>
      <c r="B364">
        <v>226953</v>
      </c>
      <c r="C364" t="s">
        <v>20</v>
      </c>
      <c r="D364" t="s">
        <v>424</v>
      </c>
      <c r="E364" t="s">
        <v>22</v>
      </c>
      <c r="F364">
        <v>1</v>
      </c>
      <c r="G364" s="95">
        <v>44267</v>
      </c>
      <c r="H364" s="95">
        <v>44279</v>
      </c>
      <c r="J364" t="s">
        <v>425</v>
      </c>
      <c r="K364" t="s">
        <v>24</v>
      </c>
      <c r="L364" t="s">
        <v>25</v>
      </c>
      <c r="M364" t="s">
        <v>26</v>
      </c>
      <c r="O364" t="s">
        <v>27</v>
      </c>
      <c r="P364" t="s">
        <v>27</v>
      </c>
      <c r="Q364" t="s">
        <v>54</v>
      </c>
      <c r="R364" t="s">
        <v>54</v>
      </c>
    </row>
    <row r="365" spans="1:18" x14ac:dyDescent="0.25">
      <c r="A365" t="s">
        <v>39</v>
      </c>
      <c r="B365" t="s">
        <v>247</v>
      </c>
      <c r="C365" t="s">
        <v>20</v>
      </c>
      <c r="D365" t="s">
        <v>357</v>
      </c>
      <c r="E365" t="s">
        <v>22</v>
      </c>
      <c r="F365">
        <v>1</v>
      </c>
      <c r="G365" s="95">
        <v>44273</v>
      </c>
      <c r="H365" s="95">
        <v>44284</v>
      </c>
      <c r="K365" t="s">
        <v>384</v>
      </c>
      <c r="L365" t="s">
        <v>25</v>
      </c>
      <c r="M365" t="s">
        <v>26</v>
      </c>
      <c r="O365" t="s">
        <v>27</v>
      </c>
      <c r="P365" t="s">
        <v>27</v>
      </c>
      <c r="Q365" t="s">
        <v>54</v>
      </c>
    </row>
    <row r="366" spans="1:18" x14ac:dyDescent="0.25">
      <c r="A366" t="s">
        <v>39</v>
      </c>
      <c r="B366" t="s">
        <v>247</v>
      </c>
      <c r="C366" t="s">
        <v>20</v>
      </c>
      <c r="D366" t="s">
        <v>357</v>
      </c>
      <c r="E366" t="s">
        <v>46</v>
      </c>
      <c r="F366">
        <v>1</v>
      </c>
      <c r="G366" s="95">
        <v>44273</v>
      </c>
      <c r="H366" s="95">
        <v>44284</v>
      </c>
      <c r="K366" t="s">
        <v>384</v>
      </c>
      <c r="L366" t="s">
        <v>45</v>
      </c>
      <c r="M366" t="s">
        <v>26</v>
      </c>
      <c r="O366" t="s">
        <v>27</v>
      </c>
      <c r="P366" t="s">
        <v>27</v>
      </c>
      <c r="Q366" t="s">
        <v>54</v>
      </c>
    </row>
    <row r="367" spans="1:18" x14ac:dyDescent="0.25">
      <c r="A367" t="s">
        <v>39</v>
      </c>
      <c r="B367" t="s">
        <v>247</v>
      </c>
      <c r="C367" t="s">
        <v>20</v>
      </c>
      <c r="D367" t="s">
        <v>357</v>
      </c>
      <c r="E367" t="s">
        <v>177</v>
      </c>
      <c r="F367">
        <v>1</v>
      </c>
      <c r="G367" s="95">
        <v>44273</v>
      </c>
      <c r="H367" s="95">
        <v>44284</v>
      </c>
      <c r="K367" t="s">
        <v>384</v>
      </c>
      <c r="L367" t="s">
        <v>45</v>
      </c>
      <c r="M367" t="s">
        <v>26</v>
      </c>
      <c r="O367" t="s">
        <v>27</v>
      </c>
      <c r="P367" t="s">
        <v>27</v>
      </c>
      <c r="Q367" t="s">
        <v>54</v>
      </c>
    </row>
    <row r="368" spans="1:18" x14ac:dyDescent="0.25">
      <c r="A368" t="s">
        <v>96</v>
      </c>
      <c r="B368">
        <v>228465</v>
      </c>
      <c r="C368" t="s">
        <v>20</v>
      </c>
      <c r="D368" t="s">
        <v>426</v>
      </c>
      <c r="E368" t="s">
        <v>157</v>
      </c>
      <c r="F368">
        <v>1</v>
      </c>
      <c r="G368" s="95">
        <v>44273</v>
      </c>
      <c r="H368" s="95">
        <v>44277</v>
      </c>
      <c r="I368" s="95">
        <v>44277</v>
      </c>
      <c r="J368" t="s">
        <v>427</v>
      </c>
      <c r="K368" t="s">
        <v>24</v>
      </c>
      <c r="L368" t="s">
        <v>25</v>
      </c>
      <c r="M368" t="s">
        <v>26</v>
      </c>
      <c r="O368" t="s">
        <v>27</v>
      </c>
      <c r="P368" t="s">
        <v>27</v>
      </c>
      <c r="Q368" t="s">
        <v>54</v>
      </c>
      <c r="R368" t="s">
        <v>54</v>
      </c>
    </row>
    <row r="369" spans="1:18" x14ac:dyDescent="0.25">
      <c r="A369" t="s">
        <v>96</v>
      </c>
      <c r="B369">
        <v>228465</v>
      </c>
      <c r="C369" t="s">
        <v>20</v>
      </c>
      <c r="D369" t="s">
        <v>426</v>
      </c>
      <c r="E369" t="s">
        <v>115</v>
      </c>
      <c r="F369">
        <v>1</v>
      </c>
      <c r="G369" s="95">
        <v>44273</v>
      </c>
      <c r="H369" s="95">
        <v>44277</v>
      </c>
      <c r="I369" s="95">
        <v>44277</v>
      </c>
      <c r="J369" t="s">
        <v>427</v>
      </c>
      <c r="K369" t="s">
        <v>24</v>
      </c>
      <c r="L369" t="s">
        <v>25</v>
      </c>
      <c r="M369" t="s">
        <v>26</v>
      </c>
      <c r="O369" t="s">
        <v>27</v>
      </c>
      <c r="P369" t="s">
        <v>27</v>
      </c>
      <c r="Q369" t="s">
        <v>54</v>
      </c>
      <c r="R369" t="s">
        <v>54</v>
      </c>
    </row>
    <row r="370" spans="1:18" x14ac:dyDescent="0.25">
      <c r="A370" t="s">
        <v>96</v>
      </c>
      <c r="B370">
        <v>228465</v>
      </c>
      <c r="C370" t="s">
        <v>20</v>
      </c>
      <c r="D370" t="s">
        <v>426</v>
      </c>
      <c r="E370" t="s">
        <v>157</v>
      </c>
      <c r="F370">
        <v>1</v>
      </c>
      <c r="G370" s="95">
        <v>44273</v>
      </c>
      <c r="H370" s="95">
        <v>44284</v>
      </c>
      <c r="I370" s="95">
        <v>44284</v>
      </c>
      <c r="K370" t="s">
        <v>24</v>
      </c>
      <c r="L370" t="s">
        <v>25</v>
      </c>
      <c r="M370" t="s">
        <v>26</v>
      </c>
      <c r="O370" t="s">
        <v>27</v>
      </c>
      <c r="P370" t="s">
        <v>27</v>
      </c>
      <c r="Q370" t="s">
        <v>29</v>
      </c>
      <c r="R370" t="s">
        <v>29</v>
      </c>
    </row>
    <row r="371" spans="1:18" x14ac:dyDescent="0.25">
      <c r="A371" t="s">
        <v>52</v>
      </c>
      <c r="B371">
        <v>228530</v>
      </c>
      <c r="C371" t="s">
        <v>140</v>
      </c>
      <c r="D371" t="s">
        <v>428</v>
      </c>
      <c r="E371" t="s">
        <v>59</v>
      </c>
      <c r="F371">
        <v>1</v>
      </c>
      <c r="G371" s="95">
        <v>44273</v>
      </c>
      <c r="H371" s="95">
        <v>44274</v>
      </c>
      <c r="I371" s="95">
        <v>44274</v>
      </c>
      <c r="K371" t="s">
        <v>24</v>
      </c>
      <c r="L371" t="s">
        <v>37</v>
      </c>
      <c r="M371" t="s">
        <v>34</v>
      </c>
      <c r="O371" t="s">
        <v>38</v>
      </c>
      <c r="P371" t="s">
        <v>38</v>
      </c>
      <c r="Q371" t="s">
        <v>54</v>
      </c>
      <c r="R371" t="s">
        <v>185</v>
      </c>
    </row>
    <row r="372" spans="1:18" x14ac:dyDescent="0.25">
      <c r="A372" t="s">
        <v>30</v>
      </c>
      <c r="B372">
        <v>228687</v>
      </c>
      <c r="C372" t="s">
        <v>140</v>
      </c>
      <c r="D372" t="s">
        <v>429</v>
      </c>
      <c r="E372" t="s">
        <v>46</v>
      </c>
      <c r="F372">
        <v>1</v>
      </c>
      <c r="G372" s="95">
        <v>44274</v>
      </c>
      <c r="H372" s="95">
        <v>44279</v>
      </c>
      <c r="I372" s="95">
        <v>44279</v>
      </c>
      <c r="K372" t="s">
        <v>24</v>
      </c>
      <c r="L372" t="s">
        <v>37</v>
      </c>
      <c r="M372" t="s">
        <v>26</v>
      </c>
      <c r="O372" t="s">
        <v>38</v>
      </c>
      <c r="P372" t="s">
        <v>38</v>
      </c>
      <c r="Q372" t="s">
        <v>54</v>
      </c>
      <c r="R372" t="s">
        <v>54</v>
      </c>
    </row>
    <row r="373" spans="1:18" x14ac:dyDescent="0.25">
      <c r="A373" t="s">
        <v>30</v>
      </c>
      <c r="B373">
        <v>228687</v>
      </c>
      <c r="C373" t="s">
        <v>140</v>
      </c>
      <c r="D373" t="s">
        <v>429</v>
      </c>
      <c r="E373" t="s">
        <v>22</v>
      </c>
      <c r="F373">
        <v>1</v>
      </c>
      <c r="G373" s="95">
        <v>44274</v>
      </c>
      <c r="H373" s="95">
        <v>44279</v>
      </c>
      <c r="I373" s="95">
        <v>44279</v>
      </c>
      <c r="K373" t="s">
        <v>24</v>
      </c>
      <c r="L373" t="s">
        <v>37</v>
      </c>
      <c r="M373" t="s">
        <v>26</v>
      </c>
      <c r="O373" t="s">
        <v>38</v>
      </c>
      <c r="P373" t="s">
        <v>38</v>
      </c>
      <c r="Q373" t="s">
        <v>54</v>
      </c>
      <c r="R373" t="s">
        <v>54</v>
      </c>
    </row>
    <row r="374" spans="1:18" x14ac:dyDescent="0.25">
      <c r="A374" t="s">
        <v>87</v>
      </c>
      <c r="B374">
        <v>228663</v>
      </c>
      <c r="C374" t="s">
        <v>410</v>
      </c>
      <c r="D374" t="s">
        <v>430</v>
      </c>
      <c r="E374" t="s">
        <v>157</v>
      </c>
      <c r="F374">
        <v>1</v>
      </c>
      <c r="G374" s="95">
        <v>44274</v>
      </c>
      <c r="H374" s="95">
        <v>44302</v>
      </c>
      <c r="J374" t="s">
        <v>452</v>
      </c>
      <c r="K374" t="s">
        <v>24</v>
      </c>
      <c r="L374" t="s">
        <v>25</v>
      </c>
      <c r="M374" t="s">
        <v>26</v>
      </c>
      <c r="O374" t="s">
        <v>27</v>
      </c>
    </row>
    <row r="375" spans="1:18" x14ac:dyDescent="0.25">
      <c r="A375" t="s">
        <v>87</v>
      </c>
      <c r="B375">
        <v>228663</v>
      </c>
      <c r="C375" t="s">
        <v>20</v>
      </c>
      <c r="D375" t="s">
        <v>430</v>
      </c>
      <c r="E375" t="s">
        <v>157</v>
      </c>
      <c r="F375">
        <v>1</v>
      </c>
      <c r="G375" s="95">
        <v>44274</v>
      </c>
      <c r="H375" s="95">
        <v>44302</v>
      </c>
      <c r="J375" t="s">
        <v>453</v>
      </c>
      <c r="K375" t="s">
        <v>24</v>
      </c>
      <c r="L375" t="s">
        <v>25</v>
      </c>
      <c r="M375" t="s">
        <v>26</v>
      </c>
      <c r="O375" t="s">
        <v>27</v>
      </c>
    </row>
    <row r="376" spans="1:18" x14ac:dyDescent="0.25">
      <c r="A376" t="s">
        <v>72</v>
      </c>
      <c r="B376">
        <v>225891</v>
      </c>
      <c r="C376" t="s">
        <v>20</v>
      </c>
      <c r="D376" t="s">
        <v>367</v>
      </c>
      <c r="E376" t="s">
        <v>79</v>
      </c>
      <c r="F376">
        <v>1</v>
      </c>
      <c r="G376" s="95">
        <v>44263</v>
      </c>
      <c r="H376" s="95">
        <v>44227</v>
      </c>
      <c r="I376" s="95">
        <v>44313</v>
      </c>
      <c r="K376" t="s">
        <v>24</v>
      </c>
      <c r="L376" t="s">
        <v>25</v>
      </c>
      <c r="M376" t="s">
        <v>26</v>
      </c>
      <c r="O376" t="s">
        <v>27</v>
      </c>
      <c r="P376" t="s">
        <v>27</v>
      </c>
      <c r="Q376" t="s">
        <v>29</v>
      </c>
      <c r="R376" t="s">
        <v>54</v>
      </c>
    </row>
    <row r="377" spans="1:18" x14ac:dyDescent="0.25">
      <c r="A377" t="s">
        <v>72</v>
      </c>
      <c r="B377">
        <v>225891</v>
      </c>
      <c r="C377" t="s">
        <v>20</v>
      </c>
      <c r="D377" t="s">
        <v>367</v>
      </c>
      <c r="E377" t="s">
        <v>22</v>
      </c>
      <c r="F377">
        <v>1</v>
      </c>
      <c r="G377" s="95">
        <v>44263</v>
      </c>
      <c r="H377" s="95">
        <v>44227</v>
      </c>
      <c r="I377" s="95">
        <v>44313</v>
      </c>
      <c r="J377" t="s">
        <v>33</v>
      </c>
      <c r="K377" t="s">
        <v>24</v>
      </c>
      <c r="L377" t="s">
        <v>25</v>
      </c>
      <c r="M377" t="s">
        <v>26</v>
      </c>
      <c r="N377">
        <v>2</v>
      </c>
      <c r="O377" t="s">
        <v>27</v>
      </c>
      <c r="P377" t="s">
        <v>27</v>
      </c>
      <c r="Q377" t="s">
        <v>29</v>
      </c>
      <c r="R377" t="s">
        <v>54</v>
      </c>
    </row>
    <row r="378" spans="1:18" x14ac:dyDescent="0.25">
      <c r="A378" t="s">
        <v>72</v>
      </c>
      <c r="B378">
        <v>225891</v>
      </c>
      <c r="C378" t="s">
        <v>77</v>
      </c>
      <c r="D378" t="s">
        <v>367</v>
      </c>
      <c r="E378" t="s">
        <v>59</v>
      </c>
      <c r="G378" s="95">
        <v>44263</v>
      </c>
      <c r="H378" s="95">
        <v>44291</v>
      </c>
      <c r="J378" t="s">
        <v>431</v>
      </c>
      <c r="K378" t="s">
        <v>24</v>
      </c>
      <c r="O378" t="s">
        <v>27</v>
      </c>
    </row>
    <row r="379" spans="1:18" x14ac:dyDescent="0.25">
      <c r="A379" t="s">
        <v>72</v>
      </c>
      <c r="B379">
        <v>225891</v>
      </c>
      <c r="C379" t="s">
        <v>77</v>
      </c>
      <c r="D379" t="s">
        <v>367</v>
      </c>
      <c r="E379" t="s">
        <v>59</v>
      </c>
      <c r="G379" s="95">
        <v>44263</v>
      </c>
      <c r="H379" s="95">
        <v>44291</v>
      </c>
      <c r="J379" t="s">
        <v>432</v>
      </c>
      <c r="K379" t="s">
        <v>24</v>
      </c>
      <c r="O379" t="s">
        <v>27</v>
      </c>
    </row>
    <row r="380" spans="1:18" x14ac:dyDescent="0.25">
      <c r="A380" t="s">
        <v>30</v>
      </c>
      <c r="B380">
        <v>229813</v>
      </c>
      <c r="C380" t="s">
        <v>77</v>
      </c>
      <c r="D380" t="s">
        <v>433</v>
      </c>
      <c r="E380" t="s">
        <v>59</v>
      </c>
      <c r="G380" s="95">
        <v>44285</v>
      </c>
      <c r="H380" s="95">
        <v>44295</v>
      </c>
      <c r="I380" s="95">
        <v>44312</v>
      </c>
      <c r="J380" t="s">
        <v>434</v>
      </c>
      <c r="K380" t="s">
        <v>24</v>
      </c>
      <c r="L380" t="s">
        <v>58</v>
      </c>
      <c r="M380" t="s">
        <v>34</v>
      </c>
      <c r="O380" t="s">
        <v>38</v>
      </c>
    </row>
    <row r="381" spans="1:18" x14ac:dyDescent="0.25">
      <c r="A381" t="s">
        <v>30</v>
      </c>
      <c r="B381">
        <v>229813</v>
      </c>
      <c r="C381" t="s">
        <v>20</v>
      </c>
      <c r="D381" t="s">
        <v>433</v>
      </c>
      <c r="E381" t="s">
        <v>22</v>
      </c>
      <c r="F381">
        <v>1</v>
      </c>
      <c r="G381" s="95">
        <v>44285</v>
      </c>
      <c r="H381" s="95">
        <v>44302</v>
      </c>
      <c r="I381" s="95">
        <v>44312</v>
      </c>
      <c r="K381" t="s">
        <v>24</v>
      </c>
      <c r="L381" t="s">
        <v>25</v>
      </c>
      <c r="M381" t="s">
        <v>26</v>
      </c>
      <c r="O381" t="s">
        <v>27</v>
      </c>
      <c r="P381" t="s">
        <v>27</v>
      </c>
      <c r="Q381" t="s">
        <v>28</v>
      </c>
      <c r="R381" t="s">
        <v>54</v>
      </c>
    </row>
    <row r="382" spans="1:18" x14ac:dyDescent="0.25">
      <c r="A382" t="s">
        <v>30</v>
      </c>
      <c r="B382">
        <v>229813</v>
      </c>
      <c r="C382" t="s">
        <v>20</v>
      </c>
      <c r="D382" t="s">
        <v>433</v>
      </c>
      <c r="E382" t="s">
        <v>79</v>
      </c>
      <c r="F382">
        <v>1</v>
      </c>
      <c r="G382" s="95">
        <v>44285</v>
      </c>
      <c r="H382" s="95">
        <v>44302</v>
      </c>
      <c r="I382" s="95">
        <v>44312</v>
      </c>
      <c r="K382" t="s">
        <v>24</v>
      </c>
      <c r="L382" t="s">
        <v>25</v>
      </c>
      <c r="M382" t="s">
        <v>34</v>
      </c>
      <c r="O382" t="s">
        <v>27</v>
      </c>
      <c r="P382" t="s">
        <v>27</v>
      </c>
      <c r="Q382" t="s">
        <v>28</v>
      </c>
      <c r="R382" t="s">
        <v>54</v>
      </c>
    </row>
    <row r="383" spans="1:18" x14ac:dyDescent="0.25">
      <c r="A383" t="s">
        <v>30</v>
      </c>
      <c r="B383">
        <v>229813</v>
      </c>
      <c r="C383" t="s">
        <v>140</v>
      </c>
      <c r="D383" t="s">
        <v>433</v>
      </c>
      <c r="E383" t="s">
        <v>454</v>
      </c>
      <c r="F383">
        <v>5</v>
      </c>
      <c r="G383" s="95">
        <v>44285</v>
      </c>
      <c r="H383" s="95">
        <v>44306</v>
      </c>
      <c r="I383" s="95">
        <v>44312</v>
      </c>
      <c r="J383" t="s">
        <v>221</v>
      </c>
      <c r="K383" t="s">
        <v>24</v>
      </c>
      <c r="L383" t="s">
        <v>45</v>
      </c>
      <c r="M383" t="s">
        <v>83</v>
      </c>
      <c r="O383" t="s">
        <v>27</v>
      </c>
      <c r="P383" t="s">
        <v>27</v>
      </c>
      <c r="Q383" t="s">
        <v>28</v>
      </c>
      <c r="R383" t="s">
        <v>54</v>
      </c>
    </row>
    <row r="384" spans="1:18" x14ac:dyDescent="0.25">
      <c r="A384" t="s">
        <v>30</v>
      </c>
      <c r="B384">
        <v>229813</v>
      </c>
      <c r="C384" t="s">
        <v>140</v>
      </c>
      <c r="D384" t="s">
        <v>433</v>
      </c>
      <c r="E384" t="s">
        <v>153</v>
      </c>
      <c r="F384">
        <v>5</v>
      </c>
      <c r="G384" s="95">
        <v>44285</v>
      </c>
      <c r="H384" s="95">
        <v>44306</v>
      </c>
      <c r="I384" s="95">
        <v>44312</v>
      </c>
      <c r="K384" t="s">
        <v>24</v>
      </c>
      <c r="L384" t="s">
        <v>45</v>
      </c>
      <c r="M384" t="s">
        <v>26</v>
      </c>
      <c r="O384" t="s">
        <v>27</v>
      </c>
      <c r="P384" t="s">
        <v>27</v>
      </c>
      <c r="Q384" t="s">
        <v>28</v>
      </c>
      <c r="R384" t="s">
        <v>54</v>
      </c>
    </row>
    <row r="385" spans="1:18" x14ac:dyDescent="0.25">
      <c r="A385" t="s">
        <v>30</v>
      </c>
      <c r="B385">
        <v>229813</v>
      </c>
      <c r="C385" t="s">
        <v>140</v>
      </c>
      <c r="D385" t="s">
        <v>433</v>
      </c>
      <c r="E385" t="s">
        <v>68</v>
      </c>
      <c r="F385">
        <v>5</v>
      </c>
      <c r="G385" s="95">
        <v>44285</v>
      </c>
      <c r="H385" s="95">
        <v>44306</v>
      </c>
      <c r="I385" s="95">
        <v>44312</v>
      </c>
      <c r="K385" t="s">
        <v>24</v>
      </c>
      <c r="L385" t="s">
        <v>45</v>
      </c>
      <c r="M385" t="s">
        <v>26</v>
      </c>
      <c r="O385" t="s">
        <v>27</v>
      </c>
      <c r="P385" t="s">
        <v>27</v>
      </c>
      <c r="Q385" t="s">
        <v>28</v>
      </c>
      <c r="R385" t="s">
        <v>54</v>
      </c>
    </row>
    <row r="386" spans="1:18" x14ac:dyDescent="0.25">
      <c r="A386" t="s">
        <v>30</v>
      </c>
      <c r="B386">
        <v>229813</v>
      </c>
      <c r="C386" t="s">
        <v>140</v>
      </c>
      <c r="D386" t="s">
        <v>433</v>
      </c>
      <c r="E386" t="s">
        <v>82</v>
      </c>
      <c r="F386">
        <v>1</v>
      </c>
      <c r="G386" s="95">
        <v>44285</v>
      </c>
      <c r="H386" s="95">
        <v>44306</v>
      </c>
      <c r="I386" s="95">
        <v>44312</v>
      </c>
      <c r="K386" t="s">
        <v>24</v>
      </c>
      <c r="L386" t="s">
        <v>45</v>
      </c>
      <c r="M386" t="s">
        <v>83</v>
      </c>
      <c r="O386" t="s">
        <v>27</v>
      </c>
      <c r="P386" t="s">
        <v>27</v>
      </c>
      <c r="Q386" t="s">
        <v>28</v>
      </c>
      <c r="R386" t="s">
        <v>54</v>
      </c>
    </row>
    <row r="387" spans="1:18" x14ac:dyDescent="0.25">
      <c r="A387" t="s">
        <v>30</v>
      </c>
      <c r="B387">
        <v>229813</v>
      </c>
      <c r="C387" t="s">
        <v>140</v>
      </c>
      <c r="D387" t="s">
        <v>433</v>
      </c>
      <c r="E387" t="s">
        <v>455</v>
      </c>
      <c r="F387">
        <v>1</v>
      </c>
      <c r="G387" s="95">
        <v>44285</v>
      </c>
      <c r="H387" s="95">
        <v>44306</v>
      </c>
      <c r="I387" s="95">
        <v>44312</v>
      </c>
      <c r="K387" t="s">
        <v>24</v>
      </c>
      <c r="L387" t="s">
        <v>45</v>
      </c>
      <c r="M387" t="s">
        <v>83</v>
      </c>
      <c r="O387" t="s">
        <v>27</v>
      </c>
      <c r="P387" t="s">
        <v>27</v>
      </c>
      <c r="Q387" t="s">
        <v>28</v>
      </c>
      <c r="R387" t="s">
        <v>54</v>
      </c>
    </row>
    <row r="388" spans="1:18" x14ac:dyDescent="0.25">
      <c r="A388" t="s">
        <v>30</v>
      </c>
      <c r="B388">
        <v>229915</v>
      </c>
      <c r="C388" t="s">
        <v>77</v>
      </c>
      <c r="D388" t="s">
        <v>435</v>
      </c>
      <c r="E388" t="s">
        <v>83</v>
      </c>
      <c r="F388">
        <v>1</v>
      </c>
      <c r="G388" s="95">
        <v>44280</v>
      </c>
      <c r="H388" s="95">
        <v>44292</v>
      </c>
      <c r="I388" s="95">
        <v>44292</v>
      </c>
      <c r="J388" t="s">
        <v>436</v>
      </c>
      <c r="K388" t="s">
        <v>24</v>
      </c>
      <c r="L388" t="s">
        <v>58</v>
      </c>
      <c r="M388" t="s">
        <v>83</v>
      </c>
      <c r="O388" t="s">
        <v>38</v>
      </c>
      <c r="Q388" t="s">
        <v>28</v>
      </c>
      <c r="R388" t="s">
        <v>54</v>
      </c>
    </row>
    <row r="389" spans="1:18" x14ac:dyDescent="0.25">
      <c r="A389" t="s">
        <v>300</v>
      </c>
      <c r="B389">
        <v>230598</v>
      </c>
      <c r="C389" t="s">
        <v>140</v>
      </c>
      <c r="D389" t="s">
        <v>373</v>
      </c>
      <c r="E389" t="s">
        <v>46</v>
      </c>
      <c r="F389">
        <v>1</v>
      </c>
      <c r="G389" s="95">
        <v>44284</v>
      </c>
      <c r="H389" s="95">
        <v>44287</v>
      </c>
      <c r="I389" s="95">
        <v>44286</v>
      </c>
      <c r="K389" t="s">
        <v>24</v>
      </c>
      <c r="L389" t="s">
        <v>58</v>
      </c>
      <c r="M389" t="s">
        <v>26</v>
      </c>
      <c r="O389" t="s">
        <v>38</v>
      </c>
      <c r="P389" t="s">
        <v>38</v>
      </c>
      <c r="Q389" t="s">
        <v>54</v>
      </c>
      <c r="R389" t="s">
        <v>28</v>
      </c>
    </row>
    <row r="390" spans="1:18" x14ac:dyDescent="0.25">
      <c r="A390" t="s">
        <v>300</v>
      </c>
      <c r="B390">
        <v>230598</v>
      </c>
      <c r="C390" t="s">
        <v>140</v>
      </c>
      <c r="D390" t="s">
        <v>373</v>
      </c>
      <c r="E390" t="s">
        <v>107</v>
      </c>
      <c r="F390">
        <v>1</v>
      </c>
      <c r="G390" s="95">
        <v>44284</v>
      </c>
      <c r="H390" s="95">
        <v>44287</v>
      </c>
      <c r="I390" s="95">
        <v>44286</v>
      </c>
      <c r="K390" t="s">
        <v>24</v>
      </c>
      <c r="L390" t="s">
        <v>58</v>
      </c>
      <c r="M390" t="s">
        <v>26</v>
      </c>
      <c r="O390" t="s">
        <v>38</v>
      </c>
      <c r="P390" t="s">
        <v>38</v>
      </c>
      <c r="Q390" t="s">
        <v>54</v>
      </c>
      <c r="R390" t="s">
        <v>28</v>
      </c>
    </row>
    <row r="391" spans="1:18" x14ac:dyDescent="0.25">
      <c r="A391" t="s">
        <v>300</v>
      </c>
      <c r="B391">
        <v>230598</v>
      </c>
      <c r="C391" t="s">
        <v>140</v>
      </c>
      <c r="D391" t="s">
        <v>373</v>
      </c>
      <c r="E391" t="s">
        <v>22</v>
      </c>
      <c r="F391">
        <v>1</v>
      </c>
      <c r="G391" s="95">
        <v>44284</v>
      </c>
      <c r="H391" s="95">
        <v>44287</v>
      </c>
      <c r="I391" s="95">
        <v>44286</v>
      </c>
      <c r="K391" t="s">
        <v>24</v>
      </c>
      <c r="L391" t="s">
        <v>58</v>
      </c>
      <c r="M391" t="s">
        <v>26</v>
      </c>
      <c r="O391" t="s">
        <v>38</v>
      </c>
      <c r="P391" t="s">
        <v>38</v>
      </c>
      <c r="Q391" t="s">
        <v>54</v>
      </c>
      <c r="R391" t="s">
        <v>28</v>
      </c>
    </row>
    <row r="392" spans="1:18" x14ac:dyDescent="0.25">
      <c r="A392" t="s">
        <v>300</v>
      </c>
      <c r="B392">
        <v>230598</v>
      </c>
      <c r="C392" t="s">
        <v>140</v>
      </c>
      <c r="D392" t="s">
        <v>373</v>
      </c>
      <c r="E392" t="s">
        <v>41</v>
      </c>
      <c r="F392">
        <v>3</v>
      </c>
      <c r="G392" s="95">
        <v>44284</v>
      </c>
      <c r="H392" s="95">
        <v>44287</v>
      </c>
      <c r="I392" s="95">
        <v>44286</v>
      </c>
      <c r="K392" t="s">
        <v>24</v>
      </c>
      <c r="L392" t="s">
        <v>58</v>
      </c>
      <c r="M392" t="s">
        <v>26</v>
      </c>
      <c r="O392" t="s">
        <v>38</v>
      </c>
      <c r="P392" t="s">
        <v>38</v>
      </c>
      <c r="Q392" t="s">
        <v>54</v>
      </c>
      <c r="R392" t="s">
        <v>28</v>
      </c>
    </row>
    <row r="393" spans="1:18" x14ac:dyDescent="0.25">
      <c r="A393" t="s">
        <v>39</v>
      </c>
      <c r="B393" t="s">
        <v>247</v>
      </c>
      <c r="C393" t="s">
        <v>410</v>
      </c>
      <c r="D393" t="s">
        <v>437</v>
      </c>
      <c r="E393" t="s">
        <v>219</v>
      </c>
      <c r="F393">
        <v>2</v>
      </c>
      <c r="G393" s="95">
        <v>44284</v>
      </c>
      <c r="H393" s="95">
        <v>44286</v>
      </c>
      <c r="I393" s="95">
        <v>44286</v>
      </c>
      <c r="K393" t="s">
        <v>24</v>
      </c>
      <c r="L393" t="s">
        <v>58</v>
      </c>
      <c r="M393" t="s">
        <v>26</v>
      </c>
      <c r="O393" t="s">
        <v>38</v>
      </c>
    </row>
    <row r="394" spans="1:18" x14ac:dyDescent="0.25">
      <c r="A394" t="s">
        <v>39</v>
      </c>
      <c r="B394" t="s">
        <v>247</v>
      </c>
      <c r="C394" t="s">
        <v>410</v>
      </c>
      <c r="D394" t="s">
        <v>437</v>
      </c>
      <c r="E394" t="s">
        <v>107</v>
      </c>
      <c r="F394">
        <v>16</v>
      </c>
      <c r="G394" s="95">
        <v>44284</v>
      </c>
      <c r="H394" s="95">
        <v>44286</v>
      </c>
      <c r="I394" s="95">
        <v>44286</v>
      </c>
      <c r="K394" t="s">
        <v>24</v>
      </c>
      <c r="L394" t="s">
        <v>58</v>
      </c>
      <c r="M394" t="s">
        <v>26</v>
      </c>
      <c r="O394" t="s">
        <v>38</v>
      </c>
    </row>
    <row r="395" spans="1:18" x14ac:dyDescent="0.25">
      <c r="A395" t="s">
        <v>39</v>
      </c>
      <c r="B395" t="s">
        <v>247</v>
      </c>
      <c r="C395" t="s">
        <v>410</v>
      </c>
      <c r="D395" t="s">
        <v>437</v>
      </c>
      <c r="E395" t="s">
        <v>456</v>
      </c>
      <c r="F395">
        <v>2</v>
      </c>
      <c r="G395" s="95">
        <v>44284</v>
      </c>
      <c r="H395" s="95">
        <v>44286</v>
      </c>
      <c r="I395" s="95">
        <v>44286</v>
      </c>
      <c r="K395" t="s">
        <v>24</v>
      </c>
      <c r="L395" t="s">
        <v>58</v>
      </c>
      <c r="M395" t="s">
        <v>26</v>
      </c>
      <c r="O395" t="s">
        <v>38</v>
      </c>
    </row>
    <row r="396" spans="1:18" x14ac:dyDescent="0.25">
      <c r="A396" t="s">
        <v>39</v>
      </c>
      <c r="B396" t="s">
        <v>247</v>
      </c>
      <c r="C396" t="s">
        <v>410</v>
      </c>
      <c r="D396" t="s">
        <v>437</v>
      </c>
      <c r="E396" t="s">
        <v>22</v>
      </c>
      <c r="F396">
        <v>1</v>
      </c>
      <c r="G396" s="95">
        <v>44284</v>
      </c>
      <c r="H396" s="95">
        <v>44286</v>
      </c>
      <c r="I396" s="95">
        <v>44286</v>
      </c>
      <c r="K396" t="s">
        <v>24</v>
      </c>
      <c r="L396" t="s">
        <v>58</v>
      </c>
      <c r="M396" t="s">
        <v>26</v>
      </c>
      <c r="O396" t="s">
        <v>38</v>
      </c>
    </row>
    <row r="397" spans="1:18" x14ac:dyDescent="0.25">
      <c r="A397" t="s">
        <v>39</v>
      </c>
      <c r="B397" t="s">
        <v>247</v>
      </c>
      <c r="C397" t="s">
        <v>410</v>
      </c>
      <c r="D397" t="s">
        <v>437</v>
      </c>
      <c r="E397" t="s">
        <v>106</v>
      </c>
      <c r="F397">
        <v>3</v>
      </c>
      <c r="G397" s="95">
        <v>44284</v>
      </c>
      <c r="H397" s="95">
        <v>44286</v>
      </c>
      <c r="I397" s="95">
        <v>44286</v>
      </c>
      <c r="K397" t="s">
        <v>24</v>
      </c>
      <c r="L397" t="s">
        <v>58</v>
      </c>
      <c r="M397" t="s">
        <v>26</v>
      </c>
      <c r="O397" t="s">
        <v>38</v>
      </c>
    </row>
    <row r="398" spans="1:18" x14ac:dyDescent="0.25">
      <c r="A398" t="s">
        <v>39</v>
      </c>
      <c r="B398" t="s">
        <v>247</v>
      </c>
      <c r="C398" t="s">
        <v>410</v>
      </c>
      <c r="D398" t="s">
        <v>437</v>
      </c>
      <c r="E398" t="s">
        <v>48</v>
      </c>
      <c r="F398">
        <v>1</v>
      </c>
      <c r="G398" s="95">
        <v>44284</v>
      </c>
      <c r="H398" s="95">
        <v>44286</v>
      </c>
      <c r="I398" s="95">
        <v>44286</v>
      </c>
      <c r="K398" t="s">
        <v>24</v>
      </c>
      <c r="L398" t="s">
        <v>58</v>
      </c>
      <c r="M398" t="s">
        <v>26</v>
      </c>
      <c r="O398" t="s">
        <v>38</v>
      </c>
    </row>
    <row r="399" spans="1:18" x14ac:dyDescent="0.25">
      <c r="A399" t="s">
        <v>39</v>
      </c>
      <c r="B399" t="s">
        <v>247</v>
      </c>
      <c r="C399" t="s">
        <v>410</v>
      </c>
      <c r="D399" t="s">
        <v>437</v>
      </c>
      <c r="E399" t="s">
        <v>94</v>
      </c>
      <c r="F399">
        <v>1</v>
      </c>
      <c r="G399" s="95">
        <v>44284</v>
      </c>
      <c r="H399" s="95">
        <v>44286</v>
      </c>
      <c r="I399" s="95">
        <v>44286</v>
      </c>
      <c r="K399" t="s">
        <v>24</v>
      </c>
      <c r="L399" t="s">
        <v>58</v>
      </c>
      <c r="M399" t="s">
        <v>26</v>
      </c>
      <c r="O399" t="s">
        <v>38</v>
      </c>
    </row>
    <row r="400" spans="1:18" x14ac:dyDescent="0.25">
      <c r="A400" t="s">
        <v>39</v>
      </c>
      <c r="B400" t="s">
        <v>247</v>
      </c>
      <c r="C400" t="s">
        <v>410</v>
      </c>
      <c r="D400" t="s">
        <v>437</v>
      </c>
      <c r="E400" t="s">
        <v>151</v>
      </c>
      <c r="F400">
        <v>2</v>
      </c>
      <c r="G400" s="95">
        <v>44284</v>
      </c>
      <c r="H400" s="95">
        <v>44286</v>
      </c>
      <c r="I400" s="95">
        <v>44286</v>
      </c>
      <c r="K400" t="s">
        <v>24</v>
      </c>
      <c r="L400" t="s">
        <v>58</v>
      </c>
      <c r="M400" t="s">
        <v>26</v>
      </c>
      <c r="O400" t="s">
        <v>38</v>
      </c>
    </row>
    <row r="401" spans="1:18" x14ac:dyDescent="0.25">
      <c r="A401" t="s">
        <v>39</v>
      </c>
      <c r="B401" t="s">
        <v>247</v>
      </c>
      <c r="C401" t="s">
        <v>410</v>
      </c>
      <c r="D401" t="s">
        <v>437</v>
      </c>
      <c r="E401" t="s">
        <v>69</v>
      </c>
      <c r="F401">
        <v>4</v>
      </c>
      <c r="G401" s="95">
        <v>44284</v>
      </c>
      <c r="H401" s="95">
        <v>44286</v>
      </c>
      <c r="I401" s="95">
        <v>44286</v>
      </c>
      <c r="K401" t="s">
        <v>24</v>
      </c>
      <c r="L401" t="s">
        <v>58</v>
      </c>
      <c r="M401" t="s">
        <v>26</v>
      </c>
      <c r="O401" t="s">
        <v>38</v>
      </c>
    </row>
    <row r="402" spans="1:18" x14ac:dyDescent="0.25">
      <c r="A402" t="s">
        <v>39</v>
      </c>
      <c r="B402" t="s">
        <v>247</v>
      </c>
      <c r="C402" t="s">
        <v>77</v>
      </c>
      <c r="D402" t="s">
        <v>437</v>
      </c>
      <c r="E402" t="s">
        <v>302</v>
      </c>
      <c r="J402" t="s">
        <v>438</v>
      </c>
      <c r="K402" t="s">
        <v>24</v>
      </c>
      <c r="L402" t="s">
        <v>25</v>
      </c>
      <c r="O402" t="s">
        <v>38</v>
      </c>
    </row>
    <row r="403" spans="1:18" x14ac:dyDescent="0.25">
      <c r="A403" t="s">
        <v>39</v>
      </c>
      <c r="B403" t="s">
        <v>247</v>
      </c>
      <c r="C403" t="s">
        <v>77</v>
      </c>
      <c r="D403" t="s">
        <v>437</v>
      </c>
      <c r="E403" t="s">
        <v>83</v>
      </c>
      <c r="J403" t="s">
        <v>457</v>
      </c>
      <c r="K403" t="s">
        <v>24</v>
      </c>
      <c r="O403" t="s">
        <v>38</v>
      </c>
    </row>
    <row r="404" spans="1:18" x14ac:dyDescent="0.25">
      <c r="A404" t="s">
        <v>39</v>
      </c>
      <c r="B404" t="s">
        <v>247</v>
      </c>
      <c r="C404" t="s">
        <v>410</v>
      </c>
      <c r="D404" t="s">
        <v>437</v>
      </c>
      <c r="E404" t="s">
        <v>179</v>
      </c>
      <c r="G404" s="95">
        <v>44303</v>
      </c>
      <c r="H404" s="95">
        <v>44306</v>
      </c>
      <c r="J404" t="s">
        <v>458</v>
      </c>
      <c r="K404" t="s">
        <v>24</v>
      </c>
      <c r="O404" t="s">
        <v>38</v>
      </c>
    </row>
    <row r="405" spans="1:18" x14ac:dyDescent="0.25">
      <c r="A405" t="s">
        <v>39</v>
      </c>
      <c r="B405" t="s">
        <v>247</v>
      </c>
      <c r="C405" t="s">
        <v>20</v>
      </c>
      <c r="D405" t="s">
        <v>439</v>
      </c>
      <c r="E405" t="s">
        <v>22</v>
      </c>
      <c r="F405">
        <v>3</v>
      </c>
      <c r="G405" s="95">
        <v>44284</v>
      </c>
      <c r="H405" s="95">
        <v>44295</v>
      </c>
      <c r="K405" t="s">
        <v>384</v>
      </c>
      <c r="L405" t="s">
        <v>25</v>
      </c>
      <c r="M405" t="s">
        <v>26</v>
      </c>
      <c r="O405" t="s">
        <v>27</v>
      </c>
      <c r="P405" t="s">
        <v>27</v>
      </c>
      <c r="Q405" t="s">
        <v>54</v>
      </c>
    </row>
    <row r="406" spans="1:18" x14ac:dyDescent="0.25">
      <c r="A406" t="s">
        <v>39</v>
      </c>
      <c r="B406" t="s">
        <v>247</v>
      </c>
      <c r="C406" t="s">
        <v>20</v>
      </c>
      <c r="D406" t="s">
        <v>439</v>
      </c>
      <c r="E406" t="s">
        <v>79</v>
      </c>
      <c r="F406">
        <v>1</v>
      </c>
      <c r="G406" s="95">
        <v>44284</v>
      </c>
      <c r="H406" s="95">
        <v>44295</v>
      </c>
      <c r="K406" t="s">
        <v>384</v>
      </c>
      <c r="L406" t="s">
        <v>25</v>
      </c>
      <c r="M406" t="s">
        <v>26</v>
      </c>
      <c r="O406" t="s">
        <v>27</v>
      </c>
      <c r="P406" t="s">
        <v>27</v>
      </c>
      <c r="Q406" t="s">
        <v>54</v>
      </c>
    </row>
    <row r="407" spans="1:18" x14ac:dyDescent="0.25">
      <c r="A407" t="s">
        <v>39</v>
      </c>
      <c r="B407" t="s">
        <v>247</v>
      </c>
      <c r="C407" t="s">
        <v>77</v>
      </c>
      <c r="D407" t="s">
        <v>439</v>
      </c>
      <c r="E407" t="s">
        <v>43</v>
      </c>
      <c r="G407" s="95">
        <v>44284</v>
      </c>
      <c r="H407" s="95">
        <v>44294</v>
      </c>
      <c r="J407" t="s">
        <v>440</v>
      </c>
      <c r="K407" t="s">
        <v>24</v>
      </c>
      <c r="L407" t="s">
        <v>25</v>
      </c>
      <c r="M407" t="s">
        <v>34</v>
      </c>
      <c r="O407" t="s">
        <v>27</v>
      </c>
    </row>
    <row r="408" spans="1:18" x14ac:dyDescent="0.25">
      <c r="A408" t="s">
        <v>52</v>
      </c>
      <c r="B408">
        <v>229683</v>
      </c>
      <c r="C408" t="s">
        <v>77</v>
      </c>
      <c r="D408" t="s">
        <v>441</v>
      </c>
      <c r="E408" t="s">
        <v>74</v>
      </c>
      <c r="G408" s="95">
        <v>44285</v>
      </c>
      <c r="H408" s="95">
        <v>44292</v>
      </c>
      <c r="I408" s="95">
        <v>44292</v>
      </c>
      <c r="J408" t="s">
        <v>442</v>
      </c>
      <c r="K408" t="s">
        <v>24</v>
      </c>
      <c r="L408" t="s">
        <v>25</v>
      </c>
      <c r="M408" t="s">
        <v>34</v>
      </c>
      <c r="O408" t="s">
        <v>27</v>
      </c>
    </row>
    <row r="409" spans="1:18" x14ac:dyDescent="0.25">
      <c r="A409" t="s">
        <v>52</v>
      </c>
      <c r="B409">
        <v>229683</v>
      </c>
      <c r="C409" t="s">
        <v>77</v>
      </c>
      <c r="D409" t="s">
        <v>441</v>
      </c>
      <c r="E409" t="s">
        <v>83</v>
      </c>
      <c r="G409" s="95">
        <v>44285</v>
      </c>
      <c r="J409" t="s">
        <v>443</v>
      </c>
      <c r="K409" t="s">
        <v>388</v>
      </c>
      <c r="L409" t="s">
        <v>25</v>
      </c>
      <c r="M409" t="s">
        <v>34</v>
      </c>
      <c r="O409" t="s">
        <v>27</v>
      </c>
    </row>
    <row r="410" spans="1:18" x14ac:dyDescent="0.25">
      <c r="A410" t="s">
        <v>52</v>
      </c>
      <c r="B410">
        <v>229683</v>
      </c>
      <c r="C410" t="s">
        <v>20</v>
      </c>
      <c r="D410" t="s">
        <v>441</v>
      </c>
      <c r="E410" t="s">
        <v>69</v>
      </c>
      <c r="F410">
        <v>2</v>
      </c>
      <c r="G410" s="95">
        <v>44285</v>
      </c>
      <c r="H410" s="95">
        <v>44295</v>
      </c>
      <c r="K410" t="s">
        <v>384</v>
      </c>
      <c r="L410" t="s">
        <v>25</v>
      </c>
      <c r="M410" t="s">
        <v>34</v>
      </c>
      <c r="O410" t="s">
        <v>27</v>
      </c>
    </row>
    <row r="411" spans="1:18" x14ac:dyDescent="0.25">
      <c r="A411" t="s">
        <v>52</v>
      </c>
      <c r="B411">
        <v>229683</v>
      </c>
      <c r="C411" t="s">
        <v>20</v>
      </c>
      <c r="D411" t="s">
        <v>441</v>
      </c>
      <c r="E411" t="s">
        <v>79</v>
      </c>
      <c r="F411">
        <v>1</v>
      </c>
      <c r="G411" s="95">
        <v>44285</v>
      </c>
      <c r="H411" s="95">
        <v>44295</v>
      </c>
      <c r="K411" t="s">
        <v>384</v>
      </c>
      <c r="L411" t="s">
        <v>25</v>
      </c>
      <c r="M411" t="s">
        <v>34</v>
      </c>
      <c r="O411" t="s">
        <v>27</v>
      </c>
    </row>
    <row r="412" spans="1:18" x14ac:dyDescent="0.25">
      <c r="A412" t="s">
        <v>49</v>
      </c>
      <c r="B412">
        <v>231835</v>
      </c>
      <c r="C412" t="s">
        <v>140</v>
      </c>
      <c r="D412" t="s">
        <v>444</v>
      </c>
      <c r="E412" t="s">
        <v>46</v>
      </c>
      <c r="F412">
        <v>1</v>
      </c>
      <c r="G412" s="95">
        <v>44291</v>
      </c>
      <c r="H412" s="95">
        <v>44293</v>
      </c>
      <c r="I412" s="95">
        <v>44292</v>
      </c>
      <c r="K412" t="s">
        <v>24</v>
      </c>
      <c r="L412" t="s">
        <v>58</v>
      </c>
      <c r="M412" t="s">
        <v>26</v>
      </c>
      <c r="N412">
        <v>2</v>
      </c>
      <c r="O412" t="s">
        <v>38</v>
      </c>
      <c r="P412" t="s">
        <v>38</v>
      </c>
      <c r="Q412" t="s">
        <v>54</v>
      </c>
      <c r="R412" t="s">
        <v>54</v>
      </c>
    </row>
    <row r="413" spans="1:18" x14ac:dyDescent="0.25">
      <c r="A413" t="s">
        <v>49</v>
      </c>
      <c r="B413">
        <v>231835</v>
      </c>
      <c r="C413" t="s">
        <v>140</v>
      </c>
      <c r="D413" t="s">
        <v>444</v>
      </c>
      <c r="E413" t="s">
        <v>74</v>
      </c>
      <c r="F413">
        <v>1</v>
      </c>
      <c r="G413" s="95">
        <v>44291</v>
      </c>
      <c r="H413" s="95">
        <v>44293</v>
      </c>
      <c r="I413" s="95">
        <v>44292</v>
      </c>
      <c r="K413" t="s">
        <v>24</v>
      </c>
      <c r="L413" t="s">
        <v>37</v>
      </c>
      <c r="M413" t="s">
        <v>26</v>
      </c>
      <c r="O413" t="s">
        <v>38</v>
      </c>
      <c r="P413" t="s">
        <v>38</v>
      </c>
      <c r="Q413" t="s">
        <v>54</v>
      </c>
      <c r="R413" t="s">
        <v>54</v>
      </c>
    </row>
    <row r="414" spans="1:18" x14ac:dyDescent="0.25">
      <c r="A414" t="s">
        <v>49</v>
      </c>
      <c r="B414">
        <v>231835</v>
      </c>
      <c r="C414" t="s">
        <v>140</v>
      </c>
      <c r="D414" t="s">
        <v>444</v>
      </c>
      <c r="E414" t="s">
        <v>22</v>
      </c>
      <c r="F414">
        <v>1</v>
      </c>
      <c r="G414" s="95">
        <v>44291</v>
      </c>
      <c r="H414" s="95">
        <v>44293</v>
      </c>
      <c r="I414" s="95">
        <v>44292</v>
      </c>
      <c r="K414" t="s">
        <v>24</v>
      </c>
      <c r="L414" t="s">
        <v>58</v>
      </c>
      <c r="M414" t="s">
        <v>26</v>
      </c>
      <c r="N414">
        <v>2</v>
      </c>
      <c r="O414" t="s">
        <v>38</v>
      </c>
      <c r="P414" t="s">
        <v>38</v>
      </c>
      <c r="Q414" t="s">
        <v>54</v>
      </c>
      <c r="R414" t="s">
        <v>54</v>
      </c>
    </row>
    <row r="415" spans="1:18" x14ac:dyDescent="0.25">
      <c r="A415" t="s">
        <v>49</v>
      </c>
      <c r="B415">
        <v>231835</v>
      </c>
      <c r="C415" t="s">
        <v>140</v>
      </c>
      <c r="D415" t="s">
        <v>444</v>
      </c>
      <c r="E415" t="s">
        <v>41</v>
      </c>
      <c r="F415">
        <v>3</v>
      </c>
      <c r="G415" s="95">
        <v>44291</v>
      </c>
      <c r="H415" s="95">
        <v>44293</v>
      </c>
      <c r="I415" s="95">
        <v>44292</v>
      </c>
      <c r="K415" t="s">
        <v>24</v>
      </c>
      <c r="L415" t="s">
        <v>58</v>
      </c>
      <c r="M415" t="s">
        <v>26</v>
      </c>
      <c r="N415">
        <v>2</v>
      </c>
      <c r="O415" t="s">
        <v>38</v>
      </c>
      <c r="P415" t="s">
        <v>38</v>
      </c>
      <c r="Q415" t="s">
        <v>54</v>
      </c>
      <c r="R415" t="s">
        <v>54</v>
      </c>
    </row>
    <row r="416" spans="1:18" x14ac:dyDescent="0.25">
      <c r="A416" t="s">
        <v>49</v>
      </c>
      <c r="B416">
        <v>231835</v>
      </c>
      <c r="C416" t="s">
        <v>140</v>
      </c>
      <c r="D416" t="s">
        <v>444</v>
      </c>
      <c r="E416" t="s">
        <v>107</v>
      </c>
      <c r="F416">
        <v>2</v>
      </c>
      <c r="G416" s="95">
        <v>44291</v>
      </c>
      <c r="H416" s="95">
        <v>44293</v>
      </c>
      <c r="I416" s="95">
        <v>44292</v>
      </c>
      <c r="K416" t="s">
        <v>24</v>
      </c>
      <c r="L416" t="s">
        <v>58</v>
      </c>
      <c r="M416" t="s">
        <v>26</v>
      </c>
      <c r="N416">
        <v>2</v>
      </c>
      <c r="O416" t="s">
        <v>38</v>
      </c>
      <c r="P416" t="s">
        <v>38</v>
      </c>
      <c r="Q416" t="s">
        <v>54</v>
      </c>
      <c r="R416" t="s">
        <v>54</v>
      </c>
    </row>
    <row r="417" spans="1:18" x14ac:dyDescent="0.25">
      <c r="A417" t="s">
        <v>49</v>
      </c>
      <c r="B417">
        <v>231835</v>
      </c>
      <c r="C417" t="s">
        <v>140</v>
      </c>
      <c r="D417" t="s">
        <v>444</v>
      </c>
      <c r="E417" t="s">
        <v>69</v>
      </c>
      <c r="F417">
        <v>2</v>
      </c>
      <c r="G417" s="95">
        <v>44291</v>
      </c>
      <c r="H417" s="95">
        <v>44293</v>
      </c>
      <c r="I417" s="95">
        <v>44292</v>
      </c>
      <c r="K417" t="s">
        <v>24</v>
      </c>
      <c r="L417" t="s">
        <v>58</v>
      </c>
      <c r="M417" t="s">
        <v>26</v>
      </c>
      <c r="N417">
        <v>2</v>
      </c>
      <c r="O417" t="s">
        <v>38</v>
      </c>
      <c r="P417" t="s">
        <v>38</v>
      </c>
      <c r="Q417" t="s">
        <v>54</v>
      </c>
      <c r="R417" t="s">
        <v>54</v>
      </c>
    </row>
    <row r="418" spans="1:18" x14ac:dyDescent="0.25">
      <c r="A418" t="s">
        <v>30</v>
      </c>
      <c r="B418">
        <v>231497</v>
      </c>
      <c r="C418" t="s">
        <v>410</v>
      </c>
      <c r="D418" t="s">
        <v>445</v>
      </c>
      <c r="E418" t="s">
        <v>48</v>
      </c>
      <c r="F418">
        <v>10</v>
      </c>
      <c r="G418" s="95">
        <v>44287</v>
      </c>
      <c r="H418" s="95">
        <v>44294</v>
      </c>
      <c r="I418" s="95">
        <v>44443</v>
      </c>
      <c r="K418" t="s">
        <v>24</v>
      </c>
      <c r="L418" t="s">
        <v>58</v>
      </c>
      <c r="M418" t="s">
        <v>26</v>
      </c>
      <c r="N418">
        <v>3</v>
      </c>
      <c r="O418" t="s">
        <v>38</v>
      </c>
      <c r="P418" t="s">
        <v>38</v>
      </c>
      <c r="Q418" t="s">
        <v>54</v>
      </c>
      <c r="R418" t="s">
        <v>54</v>
      </c>
    </row>
    <row r="419" spans="1:18" x14ac:dyDescent="0.25">
      <c r="A419" t="s">
        <v>39</v>
      </c>
      <c r="B419">
        <v>231804</v>
      </c>
      <c r="C419" t="s">
        <v>410</v>
      </c>
      <c r="D419" t="s">
        <v>446</v>
      </c>
      <c r="E419" t="s">
        <v>59</v>
      </c>
      <c r="F419">
        <v>10</v>
      </c>
      <c r="G419" s="95">
        <v>44291</v>
      </c>
      <c r="H419" s="95">
        <v>44294</v>
      </c>
      <c r="I419" s="95">
        <v>44294</v>
      </c>
      <c r="J419" t="s">
        <v>459</v>
      </c>
      <c r="K419" t="s">
        <v>386</v>
      </c>
      <c r="L419" t="s">
        <v>58</v>
      </c>
      <c r="M419" t="s">
        <v>26</v>
      </c>
      <c r="O419" t="s">
        <v>38</v>
      </c>
    </row>
    <row r="420" spans="1:18" x14ac:dyDescent="0.25">
      <c r="A420" t="s">
        <v>30</v>
      </c>
      <c r="B420">
        <v>231826</v>
      </c>
      <c r="C420" t="s">
        <v>77</v>
      </c>
      <c r="D420" t="s">
        <v>447</v>
      </c>
      <c r="E420" t="s">
        <v>59</v>
      </c>
      <c r="G420" s="95">
        <v>44291</v>
      </c>
      <c r="H420" s="95">
        <v>44293</v>
      </c>
      <c r="I420" s="95">
        <v>44299</v>
      </c>
      <c r="J420" t="s">
        <v>448</v>
      </c>
      <c r="K420" t="s">
        <v>24</v>
      </c>
      <c r="L420" t="s">
        <v>25</v>
      </c>
      <c r="M420" t="s">
        <v>26</v>
      </c>
      <c r="O420" t="s">
        <v>27</v>
      </c>
    </row>
    <row r="421" spans="1:18" x14ac:dyDescent="0.25">
      <c r="A421" t="s">
        <v>30</v>
      </c>
      <c r="B421">
        <v>231826</v>
      </c>
      <c r="C421" t="s">
        <v>20</v>
      </c>
      <c r="D421" t="s">
        <v>447</v>
      </c>
      <c r="E421" t="s">
        <v>59</v>
      </c>
      <c r="G421" s="95">
        <v>44291</v>
      </c>
      <c r="J421" t="s">
        <v>460</v>
      </c>
      <c r="K421" t="s">
        <v>388</v>
      </c>
      <c r="L421" t="s">
        <v>58</v>
      </c>
      <c r="M421" t="s">
        <v>26</v>
      </c>
      <c r="O421" t="s">
        <v>38</v>
      </c>
    </row>
    <row r="422" spans="1:18" x14ac:dyDescent="0.25">
      <c r="A422" t="s">
        <v>30</v>
      </c>
      <c r="B422">
        <v>231829</v>
      </c>
      <c r="C422" t="s">
        <v>20</v>
      </c>
      <c r="D422" t="s">
        <v>449</v>
      </c>
      <c r="E422" t="s">
        <v>59</v>
      </c>
      <c r="G422" s="95">
        <v>44291</v>
      </c>
      <c r="J422" t="s">
        <v>460</v>
      </c>
      <c r="K422" t="s">
        <v>388</v>
      </c>
      <c r="L422" t="s">
        <v>58</v>
      </c>
      <c r="M422" t="s">
        <v>26</v>
      </c>
      <c r="O422" t="s">
        <v>38</v>
      </c>
    </row>
    <row r="423" spans="1:18" x14ac:dyDescent="0.25">
      <c r="A423" t="s">
        <v>192</v>
      </c>
      <c r="B423">
        <v>231933</v>
      </c>
      <c r="C423" t="s">
        <v>410</v>
      </c>
      <c r="D423" t="s">
        <v>450</v>
      </c>
      <c r="E423" t="s">
        <v>84</v>
      </c>
      <c r="G423" s="95">
        <v>44292</v>
      </c>
      <c r="H423" s="95">
        <v>44381</v>
      </c>
      <c r="I423" s="95">
        <v>44381</v>
      </c>
      <c r="K423" t="s">
        <v>24</v>
      </c>
      <c r="L423" t="s">
        <v>37</v>
      </c>
      <c r="M423" t="s">
        <v>26</v>
      </c>
      <c r="O423" t="s">
        <v>38</v>
      </c>
      <c r="Q423" t="s">
        <v>54</v>
      </c>
      <c r="R423" t="s">
        <v>29</v>
      </c>
    </row>
    <row r="424" spans="1:18" x14ac:dyDescent="0.25">
      <c r="A424" t="s">
        <v>39</v>
      </c>
      <c r="B424">
        <v>231941</v>
      </c>
      <c r="C424" t="s">
        <v>140</v>
      </c>
      <c r="D424" t="s">
        <v>461</v>
      </c>
      <c r="F424">
        <v>1</v>
      </c>
      <c r="G424" s="95">
        <v>44292</v>
      </c>
      <c r="H424" s="95">
        <v>44314</v>
      </c>
      <c r="I424" s="95">
        <v>44312</v>
      </c>
      <c r="J424" t="s">
        <v>462</v>
      </c>
      <c r="K424" t="s">
        <v>384</v>
      </c>
      <c r="L424" t="s">
        <v>58</v>
      </c>
      <c r="M424" t="s">
        <v>26</v>
      </c>
    </row>
    <row r="425" spans="1:18" x14ac:dyDescent="0.25">
      <c r="A425" t="s">
        <v>39</v>
      </c>
      <c r="B425">
        <v>231941</v>
      </c>
      <c r="C425" t="s">
        <v>140</v>
      </c>
      <c r="D425" t="s">
        <v>461</v>
      </c>
      <c r="E425" t="s">
        <v>463</v>
      </c>
      <c r="F425">
        <v>1</v>
      </c>
      <c r="G425" s="95">
        <v>44292</v>
      </c>
      <c r="H425" s="95">
        <v>44314</v>
      </c>
      <c r="I425" s="95">
        <v>44312</v>
      </c>
      <c r="J425" t="s">
        <v>464</v>
      </c>
      <c r="K425" t="s">
        <v>24</v>
      </c>
      <c r="L425" t="s">
        <v>58</v>
      </c>
      <c r="M425" t="s">
        <v>26</v>
      </c>
    </row>
    <row r="426" spans="1:18" x14ac:dyDescent="0.25">
      <c r="A426" t="s">
        <v>39</v>
      </c>
      <c r="B426">
        <v>231941</v>
      </c>
      <c r="C426" t="s">
        <v>140</v>
      </c>
      <c r="D426" t="s">
        <v>461</v>
      </c>
      <c r="F426">
        <v>1</v>
      </c>
      <c r="G426" s="95">
        <v>44292</v>
      </c>
      <c r="H426" s="95">
        <v>44314</v>
      </c>
      <c r="I426" s="95">
        <v>44312</v>
      </c>
      <c r="J426" t="s">
        <v>465</v>
      </c>
      <c r="K426" t="s">
        <v>24</v>
      </c>
      <c r="L426" t="s">
        <v>25</v>
      </c>
      <c r="M426" t="s">
        <v>26</v>
      </c>
      <c r="N426">
        <v>2</v>
      </c>
    </row>
    <row r="427" spans="1:18" x14ac:dyDescent="0.25">
      <c r="A427" t="s">
        <v>39</v>
      </c>
      <c r="B427">
        <v>231941</v>
      </c>
      <c r="C427" t="s">
        <v>140</v>
      </c>
      <c r="D427" t="s">
        <v>461</v>
      </c>
      <c r="E427" t="s">
        <v>69</v>
      </c>
      <c r="F427">
        <v>3</v>
      </c>
      <c r="G427" s="95">
        <v>44292</v>
      </c>
      <c r="H427" s="95">
        <v>44314</v>
      </c>
      <c r="I427" s="95">
        <v>44313</v>
      </c>
      <c r="J427" t="s">
        <v>466</v>
      </c>
      <c r="K427" t="s">
        <v>384</v>
      </c>
      <c r="L427" t="s">
        <v>58</v>
      </c>
      <c r="M427" t="s">
        <v>26</v>
      </c>
    </row>
    <row r="428" spans="1:18" x14ac:dyDescent="0.25">
      <c r="A428" t="s">
        <v>39</v>
      </c>
      <c r="B428">
        <v>231941</v>
      </c>
      <c r="C428" t="s">
        <v>140</v>
      </c>
      <c r="D428" t="s">
        <v>461</v>
      </c>
      <c r="E428" t="s">
        <v>46</v>
      </c>
      <c r="F428">
        <v>2</v>
      </c>
      <c r="G428" s="95">
        <v>44292</v>
      </c>
      <c r="H428" s="95">
        <v>44321</v>
      </c>
      <c r="I428" s="95">
        <v>44321</v>
      </c>
      <c r="J428" t="s">
        <v>467</v>
      </c>
      <c r="K428" t="s">
        <v>384</v>
      </c>
      <c r="L428" t="s">
        <v>58</v>
      </c>
      <c r="M428" t="s">
        <v>26</v>
      </c>
    </row>
    <row r="429" spans="1:18" x14ac:dyDescent="0.25">
      <c r="A429" t="s">
        <v>39</v>
      </c>
      <c r="B429">
        <v>231941</v>
      </c>
      <c r="C429" t="s">
        <v>140</v>
      </c>
      <c r="D429" t="s">
        <v>461</v>
      </c>
      <c r="E429" t="s">
        <v>22</v>
      </c>
      <c r="F429">
        <v>2</v>
      </c>
      <c r="G429" s="95">
        <v>44292</v>
      </c>
      <c r="H429" s="95">
        <v>44321</v>
      </c>
      <c r="I429" s="95">
        <v>44321</v>
      </c>
      <c r="J429" t="s">
        <v>468</v>
      </c>
      <c r="K429" t="s">
        <v>384</v>
      </c>
      <c r="L429" t="s">
        <v>58</v>
      </c>
      <c r="M429" t="s">
        <v>26</v>
      </c>
    </row>
    <row r="430" spans="1:18" x14ac:dyDescent="0.25">
      <c r="A430" t="s">
        <v>300</v>
      </c>
      <c r="B430" t="s">
        <v>247</v>
      </c>
      <c r="C430" t="s">
        <v>140</v>
      </c>
      <c r="D430" t="s">
        <v>319</v>
      </c>
      <c r="E430" t="s">
        <v>227</v>
      </c>
      <c r="F430">
        <v>1</v>
      </c>
      <c r="G430" s="95">
        <v>44284</v>
      </c>
      <c r="H430" s="95">
        <v>44292</v>
      </c>
      <c r="I430" s="95">
        <v>44320</v>
      </c>
      <c r="K430" t="s">
        <v>24</v>
      </c>
      <c r="L430" t="s">
        <v>58</v>
      </c>
      <c r="O430" t="s">
        <v>38</v>
      </c>
      <c r="P430" t="s">
        <v>38</v>
      </c>
      <c r="Q430" t="s">
        <v>54</v>
      </c>
      <c r="R430" t="s">
        <v>54</v>
      </c>
    </row>
    <row r="431" spans="1:18" x14ac:dyDescent="0.25">
      <c r="A431" t="s">
        <v>39</v>
      </c>
      <c r="B431" t="s">
        <v>247</v>
      </c>
      <c r="C431" t="s">
        <v>140</v>
      </c>
      <c r="D431" t="s">
        <v>469</v>
      </c>
      <c r="E431" t="s">
        <v>22</v>
      </c>
      <c r="F431">
        <v>2</v>
      </c>
      <c r="G431" s="95">
        <v>44293</v>
      </c>
      <c r="H431" s="95">
        <v>44293</v>
      </c>
      <c r="I431" s="95">
        <v>44381</v>
      </c>
      <c r="K431" t="s">
        <v>24</v>
      </c>
      <c r="L431" t="s">
        <v>58</v>
      </c>
      <c r="O431" t="s">
        <v>38</v>
      </c>
      <c r="P431" t="s">
        <v>38</v>
      </c>
    </row>
    <row r="432" spans="1:18" x14ac:dyDescent="0.25">
      <c r="A432" t="s">
        <v>49</v>
      </c>
      <c r="B432">
        <v>232272</v>
      </c>
      <c r="C432" t="s">
        <v>20</v>
      </c>
      <c r="D432" t="s">
        <v>470</v>
      </c>
      <c r="E432" t="s">
        <v>22</v>
      </c>
      <c r="F432">
        <v>1</v>
      </c>
      <c r="G432" s="95">
        <v>44294</v>
      </c>
      <c r="H432" s="95">
        <v>44306</v>
      </c>
      <c r="I432" s="95">
        <v>44306</v>
      </c>
      <c r="K432" t="s">
        <v>24</v>
      </c>
      <c r="L432" t="s">
        <v>25</v>
      </c>
      <c r="M432" t="s">
        <v>26</v>
      </c>
      <c r="O432" t="s">
        <v>27</v>
      </c>
      <c r="P432" t="s">
        <v>27</v>
      </c>
      <c r="Q432" t="s">
        <v>185</v>
      </c>
      <c r="R432" t="s">
        <v>54</v>
      </c>
    </row>
    <row r="433" spans="1:18" x14ac:dyDescent="0.25">
      <c r="A433" t="s">
        <v>49</v>
      </c>
      <c r="B433">
        <v>232272</v>
      </c>
      <c r="C433" t="s">
        <v>20</v>
      </c>
      <c r="D433" t="s">
        <v>470</v>
      </c>
      <c r="E433" t="s">
        <v>46</v>
      </c>
      <c r="F433">
        <v>1</v>
      </c>
      <c r="G433" s="95">
        <v>44294</v>
      </c>
      <c r="H433" s="95">
        <v>44306</v>
      </c>
      <c r="I433" s="95">
        <v>44306</v>
      </c>
      <c r="K433" t="s">
        <v>24</v>
      </c>
      <c r="L433" t="s">
        <v>25</v>
      </c>
      <c r="M433" t="s">
        <v>26</v>
      </c>
      <c r="O433" t="s">
        <v>27</v>
      </c>
      <c r="P433" t="s">
        <v>27</v>
      </c>
      <c r="Q433" t="s">
        <v>185</v>
      </c>
      <c r="R433" t="s">
        <v>54</v>
      </c>
    </row>
    <row r="434" spans="1:18" x14ac:dyDescent="0.25">
      <c r="A434" t="s">
        <v>49</v>
      </c>
      <c r="B434">
        <v>232272</v>
      </c>
      <c r="C434" t="s">
        <v>20</v>
      </c>
      <c r="D434" t="s">
        <v>470</v>
      </c>
      <c r="E434" t="s">
        <v>177</v>
      </c>
      <c r="F434">
        <v>1</v>
      </c>
      <c r="G434" s="95">
        <v>44294</v>
      </c>
      <c r="H434" s="95">
        <v>44306</v>
      </c>
      <c r="I434" s="95">
        <v>44306</v>
      </c>
      <c r="K434" t="s">
        <v>24</v>
      </c>
      <c r="L434" t="s">
        <v>25</v>
      </c>
      <c r="M434" t="s">
        <v>26</v>
      </c>
      <c r="O434" t="s">
        <v>27</v>
      </c>
      <c r="P434" t="s">
        <v>27</v>
      </c>
      <c r="Q434" t="s">
        <v>185</v>
      </c>
      <c r="R434" t="s">
        <v>54</v>
      </c>
    </row>
    <row r="435" spans="1:18" x14ac:dyDescent="0.25">
      <c r="A435" t="s">
        <v>52</v>
      </c>
      <c r="B435">
        <v>231989</v>
      </c>
      <c r="C435" t="s">
        <v>77</v>
      </c>
      <c r="D435" t="s">
        <v>471</v>
      </c>
      <c r="F435">
        <v>1</v>
      </c>
      <c r="G435" s="95">
        <v>44294</v>
      </c>
      <c r="H435" s="95">
        <v>44295</v>
      </c>
      <c r="I435" s="95">
        <v>44295</v>
      </c>
      <c r="J435" t="s">
        <v>472</v>
      </c>
      <c r="K435" t="s">
        <v>24</v>
      </c>
      <c r="L435" t="s">
        <v>37</v>
      </c>
      <c r="O435" t="s">
        <v>38</v>
      </c>
      <c r="Q435" t="s">
        <v>54</v>
      </c>
      <c r="R435" t="s">
        <v>54</v>
      </c>
    </row>
    <row r="436" spans="1:18" x14ac:dyDescent="0.25">
      <c r="A436" t="s">
        <v>49</v>
      </c>
      <c r="B436">
        <v>232060</v>
      </c>
      <c r="C436" t="s">
        <v>140</v>
      </c>
      <c r="D436" t="s">
        <v>473</v>
      </c>
      <c r="E436" t="s">
        <v>474</v>
      </c>
      <c r="F436">
        <v>5</v>
      </c>
      <c r="G436" s="95">
        <v>44294</v>
      </c>
      <c r="H436" s="95">
        <v>44298</v>
      </c>
      <c r="I436" s="95">
        <v>44295</v>
      </c>
      <c r="K436" t="s">
        <v>24</v>
      </c>
      <c r="L436" t="s">
        <v>25</v>
      </c>
      <c r="M436" t="s">
        <v>26</v>
      </c>
      <c r="O436" t="s">
        <v>38</v>
      </c>
      <c r="P436" t="s">
        <v>38</v>
      </c>
      <c r="Q436" t="s">
        <v>54</v>
      </c>
      <c r="R436" t="s">
        <v>54</v>
      </c>
    </row>
    <row r="437" spans="1:18" x14ac:dyDescent="0.25">
      <c r="A437" t="s">
        <v>30</v>
      </c>
      <c r="B437">
        <v>232333</v>
      </c>
      <c r="C437" t="s">
        <v>20</v>
      </c>
      <c r="D437" t="s">
        <v>475</v>
      </c>
      <c r="E437" t="s">
        <v>127</v>
      </c>
      <c r="F437">
        <v>1</v>
      </c>
      <c r="G437" s="95">
        <v>44294</v>
      </c>
      <c r="H437" s="95">
        <v>44316</v>
      </c>
      <c r="K437" t="s">
        <v>384</v>
      </c>
      <c r="L437" t="s">
        <v>25</v>
      </c>
      <c r="M437" t="s">
        <v>26</v>
      </c>
      <c r="O437" t="s">
        <v>38</v>
      </c>
    </row>
    <row r="438" spans="1:18" x14ac:dyDescent="0.25">
      <c r="A438" t="s">
        <v>30</v>
      </c>
      <c r="B438">
        <v>232333</v>
      </c>
      <c r="C438" t="s">
        <v>140</v>
      </c>
      <c r="D438" t="s">
        <v>475</v>
      </c>
      <c r="E438" t="s">
        <v>127</v>
      </c>
      <c r="F438">
        <v>1</v>
      </c>
      <c r="G438" s="95">
        <v>44294</v>
      </c>
      <c r="H438" s="95">
        <v>44316</v>
      </c>
      <c r="K438" t="s">
        <v>384</v>
      </c>
      <c r="L438" t="s">
        <v>25</v>
      </c>
      <c r="M438" t="s">
        <v>26</v>
      </c>
      <c r="O438" t="s">
        <v>38</v>
      </c>
    </row>
    <row r="439" spans="1:18" x14ac:dyDescent="0.25">
      <c r="A439" t="s">
        <v>76</v>
      </c>
      <c r="B439">
        <v>231503</v>
      </c>
      <c r="C439" t="s">
        <v>140</v>
      </c>
      <c r="D439" t="s">
        <v>476</v>
      </c>
      <c r="E439" t="s">
        <v>69</v>
      </c>
      <c r="F439">
        <v>1</v>
      </c>
      <c r="G439" s="95">
        <v>44287</v>
      </c>
      <c r="H439" s="95">
        <v>44287</v>
      </c>
      <c r="I439" s="95">
        <v>44287</v>
      </c>
      <c r="K439" t="s">
        <v>24</v>
      </c>
      <c r="L439" t="s">
        <v>58</v>
      </c>
      <c r="O439" t="s">
        <v>38</v>
      </c>
      <c r="P439" t="s">
        <v>38</v>
      </c>
      <c r="Q439" t="s">
        <v>54</v>
      </c>
      <c r="R439" t="s">
        <v>54</v>
      </c>
    </row>
    <row r="440" spans="1:18" x14ac:dyDescent="0.25">
      <c r="A440" t="s">
        <v>182</v>
      </c>
      <c r="B440">
        <v>232597</v>
      </c>
      <c r="C440" t="s">
        <v>140</v>
      </c>
      <c r="D440" t="s">
        <v>477</v>
      </c>
      <c r="E440" t="s">
        <v>41</v>
      </c>
      <c r="F440">
        <v>3</v>
      </c>
      <c r="G440" s="95">
        <v>44298</v>
      </c>
      <c r="H440" s="95">
        <v>44300</v>
      </c>
      <c r="I440" s="95">
        <v>44300</v>
      </c>
      <c r="K440" t="s">
        <v>24</v>
      </c>
      <c r="L440" t="s">
        <v>58</v>
      </c>
      <c r="O440" t="s">
        <v>38</v>
      </c>
      <c r="P440" t="s">
        <v>38</v>
      </c>
      <c r="Q440" t="s">
        <v>185</v>
      </c>
      <c r="R440" t="s">
        <v>28</v>
      </c>
    </row>
    <row r="441" spans="1:18" x14ac:dyDescent="0.25">
      <c r="A441" t="s">
        <v>182</v>
      </c>
      <c r="B441">
        <v>232597</v>
      </c>
      <c r="C441" t="s">
        <v>140</v>
      </c>
      <c r="D441" t="s">
        <v>477</v>
      </c>
      <c r="E441" t="s">
        <v>107</v>
      </c>
      <c r="F441">
        <v>5</v>
      </c>
      <c r="G441" s="95">
        <v>44298</v>
      </c>
      <c r="H441" s="95">
        <v>44300</v>
      </c>
      <c r="I441" s="95">
        <v>44300</v>
      </c>
      <c r="K441" t="s">
        <v>24</v>
      </c>
      <c r="L441" t="s">
        <v>58</v>
      </c>
      <c r="O441" t="s">
        <v>38</v>
      </c>
      <c r="P441" t="s">
        <v>38</v>
      </c>
      <c r="Q441" t="s">
        <v>185</v>
      </c>
      <c r="R441" t="s">
        <v>28</v>
      </c>
    </row>
    <row r="442" spans="1:18" x14ac:dyDescent="0.25">
      <c r="A442" t="s">
        <v>182</v>
      </c>
      <c r="B442">
        <v>232597</v>
      </c>
      <c r="C442" t="s">
        <v>140</v>
      </c>
      <c r="D442" t="s">
        <v>477</v>
      </c>
      <c r="E442" t="s">
        <v>106</v>
      </c>
      <c r="F442">
        <v>7</v>
      </c>
      <c r="G442" s="95">
        <v>44298</v>
      </c>
      <c r="H442" s="95">
        <v>44300</v>
      </c>
      <c r="I442" s="95">
        <v>44300</v>
      </c>
      <c r="K442" t="s">
        <v>24</v>
      </c>
      <c r="L442" t="s">
        <v>58</v>
      </c>
      <c r="O442" t="s">
        <v>38</v>
      </c>
      <c r="P442" t="s">
        <v>38</v>
      </c>
      <c r="Q442" t="s">
        <v>185</v>
      </c>
      <c r="R442" t="s">
        <v>28</v>
      </c>
    </row>
    <row r="443" spans="1:18" x14ac:dyDescent="0.25">
      <c r="A443" t="s">
        <v>182</v>
      </c>
      <c r="B443">
        <v>232597</v>
      </c>
      <c r="C443" t="s">
        <v>140</v>
      </c>
      <c r="D443" t="s">
        <v>477</v>
      </c>
      <c r="E443" t="s">
        <v>22</v>
      </c>
      <c r="F443">
        <v>4</v>
      </c>
      <c r="G443" s="95">
        <v>44298</v>
      </c>
      <c r="H443" s="95">
        <v>44300</v>
      </c>
      <c r="I443" s="95">
        <v>44300</v>
      </c>
      <c r="K443" t="s">
        <v>24</v>
      </c>
      <c r="L443" t="s">
        <v>58</v>
      </c>
      <c r="O443" t="s">
        <v>38</v>
      </c>
      <c r="P443" t="s">
        <v>38</v>
      </c>
      <c r="Q443" t="s">
        <v>185</v>
      </c>
      <c r="R443" t="s">
        <v>28</v>
      </c>
    </row>
    <row r="444" spans="1:18" x14ac:dyDescent="0.25">
      <c r="A444" t="s">
        <v>72</v>
      </c>
      <c r="B444">
        <v>7842</v>
      </c>
      <c r="C444" t="s">
        <v>410</v>
      </c>
      <c r="D444" t="s">
        <v>478</v>
      </c>
      <c r="E444" t="s">
        <v>41</v>
      </c>
      <c r="F444">
        <v>3</v>
      </c>
      <c r="G444" s="95">
        <v>44292</v>
      </c>
      <c r="H444" s="95">
        <v>44293</v>
      </c>
      <c r="I444" s="95">
        <v>44293</v>
      </c>
      <c r="K444" t="s">
        <v>24</v>
      </c>
      <c r="L444" t="s">
        <v>58</v>
      </c>
      <c r="M444" t="s">
        <v>26</v>
      </c>
      <c r="N444">
        <v>2</v>
      </c>
      <c r="O444" t="s">
        <v>38</v>
      </c>
      <c r="P444" t="s">
        <v>38</v>
      </c>
      <c r="Q444" t="s">
        <v>54</v>
      </c>
    </row>
    <row r="445" spans="1:18" x14ac:dyDescent="0.25">
      <c r="A445" t="s">
        <v>72</v>
      </c>
      <c r="B445">
        <v>7842</v>
      </c>
      <c r="C445" t="s">
        <v>410</v>
      </c>
      <c r="D445" t="s">
        <v>478</v>
      </c>
      <c r="E445" t="s">
        <v>68</v>
      </c>
      <c r="F445">
        <v>4</v>
      </c>
      <c r="G445" s="95">
        <v>44292</v>
      </c>
      <c r="H445" s="95">
        <v>44293</v>
      </c>
      <c r="I445" s="95">
        <v>44293</v>
      </c>
      <c r="K445" t="s">
        <v>24</v>
      </c>
      <c r="L445" t="s">
        <v>58</v>
      </c>
      <c r="M445" t="s">
        <v>26</v>
      </c>
      <c r="N445">
        <v>2</v>
      </c>
      <c r="O445" t="s">
        <v>38</v>
      </c>
      <c r="P445" t="s">
        <v>38</v>
      </c>
      <c r="Q445" t="s">
        <v>54</v>
      </c>
    </row>
    <row r="446" spans="1:18" x14ac:dyDescent="0.25">
      <c r="A446" t="s">
        <v>72</v>
      </c>
      <c r="B446">
        <v>7842</v>
      </c>
      <c r="C446" t="s">
        <v>410</v>
      </c>
      <c r="D446" t="s">
        <v>478</v>
      </c>
      <c r="E446" t="s">
        <v>153</v>
      </c>
      <c r="F446">
        <v>4</v>
      </c>
      <c r="G446" s="95">
        <v>44292</v>
      </c>
      <c r="H446" s="95">
        <v>44293</v>
      </c>
      <c r="I446" s="95">
        <v>44293</v>
      </c>
      <c r="K446" t="s">
        <v>24</v>
      </c>
      <c r="L446" t="s">
        <v>58</v>
      </c>
      <c r="M446" t="s">
        <v>26</v>
      </c>
      <c r="N446">
        <v>2</v>
      </c>
      <c r="O446" t="s">
        <v>38</v>
      </c>
      <c r="P446" t="s">
        <v>38</v>
      </c>
      <c r="Q446" t="s">
        <v>54</v>
      </c>
    </row>
    <row r="447" spans="1:18" x14ac:dyDescent="0.25">
      <c r="A447" t="s">
        <v>72</v>
      </c>
      <c r="B447">
        <v>7842</v>
      </c>
      <c r="C447" t="s">
        <v>410</v>
      </c>
      <c r="D447" t="s">
        <v>478</v>
      </c>
      <c r="E447" t="s">
        <v>107</v>
      </c>
      <c r="F447">
        <v>1</v>
      </c>
      <c r="G447" s="95">
        <v>44292</v>
      </c>
      <c r="H447" s="95">
        <v>44293</v>
      </c>
      <c r="I447" s="95">
        <v>44293</v>
      </c>
      <c r="K447" t="s">
        <v>24</v>
      </c>
      <c r="L447" t="s">
        <v>58</v>
      </c>
      <c r="M447" t="s">
        <v>26</v>
      </c>
      <c r="N447">
        <v>2</v>
      </c>
      <c r="O447" t="s">
        <v>38</v>
      </c>
      <c r="P447" t="s">
        <v>38</v>
      </c>
      <c r="Q447" t="s">
        <v>54</v>
      </c>
    </row>
    <row r="448" spans="1:18" x14ac:dyDescent="0.25">
      <c r="A448" t="s">
        <v>72</v>
      </c>
      <c r="B448">
        <v>7842</v>
      </c>
      <c r="C448" t="s">
        <v>410</v>
      </c>
      <c r="D448" t="s">
        <v>478</v>
      </c>
      <c r="E448" t="s">
        <v>82</v>
      </c>
      <c r="F448">
        <v>1</v>
      </c>
      <c r="G448" s="95">
        <v>44292</v>
      </c>
      <c r="H448" s="95">
        <v>44293</v>
      </c>
      <c r="I448" s="95">
        <v>44293</v>
      </c>
      <c r="K448" t="s">
        <v>24</v>
      </c>
      <c r="L448" t="s">
        <v>58</v>
      </c>
      <c r="M448" t="s">
        <v>83</v>
      </c>
      <c r="N448">
        <v>2</v>
      </c>
      <c r="O448" t="s">
        <v>38</v>
      </c>
      <c r="P448" t="s">
        <v>38</v>
      </c>
      <c r="Q448" t="s">
        <v>54</v>
      </c>
    </row>
    <row r="449" spans="1:18" x14ac:dyDescent="0.25">
      <c r="A449" t="s">
        <v>72</v>
      </c>
      <c r="B449">
        <v>231471</v>
      </c>
      <c r="C449" t="s">
        <v>410</v>
      </c>
      <c r="D449" t="s">
        <v>479</v>
      </c>
      <c r="E449" t="s">
        <v>82</v>
      </c>
      <c r="F449">
        <v>5</v>
      </c>
      <c r="G449" s="95">
        <v>44295</v>
      </c>
      <c r="H449" s="95">
        <v>44300</v>
      </c>
      <c r="I449" s="95">
        <v>44300</v>
      </c>
      <c r="K449" t="s">
        <v>24</v>
      </c>
      <c r="L449" t="s">
        <v>58</v>
      </c>
      <c r="M449" t="s">
        <v>83</v>
      </c>
      <c r="P449" t="s">
        <v>38</v>
      </c>
      <c r="Q449" t="s">
        <v>54</v>
      </c>
      <c r="R449" t="s">
        <v>29</v>
      </c>
    </row>
    <row r="450" spans="1:18" x14ac:dyDescent="0.25">
      <c r="A450" t="s">
        <v>72</v>
      </c>
      <c r="B450">
        <v>231471</v>
      </c>
      <c r="C450" t="s">
        <v>410</v>
      </c>
      <c r="D450" t="s">
        <v>479</v>
      </c>
      <c r="E450" t="s">
        <v>480</v>
      </c>
      <c r="F450">
        <v>1</v>
      </c>
      <c r="G450" s="95">
        <v>44299</v>
      </c>
      <c r="H450" s="95">
        <v>44302</v>
      </c>
      <c r="I450" s="95">
        <v>44313</v>
      </c>
      <c r="K450" t="s">
        <v>24</v>
      </c>
      <c r="L450" t="s">
        <v>58</v>
      </c>
      <c r="M450" t="s">
        <v>26</v>
      </c>
      <c r="N450">
        <v>1</v>
      </c>
      <c r="O450" t="s">
        <v>38</v>
      </c>
      <c r="P450" t="s">
        <v>38</v>
      </c>
      <c r="Q450" t="s">
        <v>29</v>
      </c>
      <c r="R450" t="s">
        <v>29</v>
      </c>
    </row>
    <row r="451" spans="1:18" x14ac:dyDescent="0.25">
      <c r="A451" t="s">
        <v>39</v>
      </c>
      <c r="B451" t="s">
        <v>481</v>
      </c>
      <c r="C451" t="s">
        <v>20</v>
      </c>
      <c r="D451" t="s">
        <v>482</v>
      </c>
      <c r="E451" t="s">
        <v>22</v>
      </c>
      <c r="F451">
        <v>1</v>
      </c>
      <c r="G451" s="95">
        <v>44300</v>
      </c>
      <c r="H451" s="95">
        <v>44300</v>
      </c>
      <c r="I451" s="95">
        <v>44300</v>
      </c>
      <c r="J451" t="s">
        <v>483</v>
      </c>
      <c r="K451" t="s">
        <v>24</v>
      </c>
      <c r="L451" t="s">
        <v>58</v>
      </c>
      <c r="M451" t="s">
        <v>26</v>
      </c>
      <c r="O451" t="s">
        <v>38</v>
      </c>
      <c r="P451" t="s">
        <v>38</v>
      </c>
      <c r="Q451" t="s">
        <v>54</v>
      </c>
      <c r="R451" t="s">
        <v>54</v>
      </c>
    </row>
    <row r="452" spans="1:18" x14ac:dyDescent="0.25">
      <c r="A452" t="s">
        <v>39</v>
      </c>
      <c r="B452" t="s">
        <v>481</v>
      </c>
      <c r="C452" t="s">
        <v>20</v>
      </c>
      <c r="D452" t="s">
        <v>482</v>
      </c>
      <c r="E452" t="s">
        <v>46</v>
      </c>
      <c r="F452">
        <v>1</v>
      </c>
      <c r="G452" s="95">
        <v>44300</v>
      </c>
      <c r="H452" s="95">
        <v>44300</v>
      </c>
      <c r="I452" s="95">
        <v>44300</v>
      </c>
      <c r="J452" t="s">
        <v>483</v>
      </c>
      <c r="K452" t="s">
        <v>24</v>
      </c>
      <c r="L452" t="s">
        <v>58</v>
      </c>
      <c r="M452" t="s">
        <v>26</v>
      </c>
      <c r="O452" t="s">
        <v>38</v>
      </c>
      <c r="P452" t="s">
        <v>38</v>
      </c>
      <c r="Q452" t="s">
        <v>54</v>
      </c>
      <c r="R452" t="s">
        <v>54</v>
      </c>
    </row>
    <row r="453" spans="1:18" x14ac:dyDescent="0.25">
      <c r="A453" t="s">
        <v>39</v>
      </c>
      <c r="B453" t="s">
        <v>484</v>
      </c>
      <c r="C453" t="s">
        <v>20</v>
      </c>
      <c r="D453" t="s">
        <v>482</v>
      </c>
      <c r="E453" t="s">
        <v>22</v>
      </c>
      <c r="F453">
        <v>1</v>
      </c>
      <c r="G453" s="95">
        <v>44300</v>
      </c>
      <c r="H453" s="95">
        <v>44300</v>
      </c>
      <c r="I453" s="95">
        <v>44300</v>
      </c>
      <c r="J453" t="s">
        <v>485</v>
      </c>
      <c r="K453" t="s">
        <v>24</v>
      </c>
      <c r="L453" t="s">
        <v>58</v>
      </c>
      <c r="M453" t="s">
        <v>26</v>
      </c>
      <c r="O453" t="s">
        <v>38</v>
      </c>
      <c r="P453" t="s">
        <v>38</v>
      </c>
      <c r="Q453" t="s">
        <v>54</v>
      </c>
      <c r="R453" t="s">
        <v>54</v>
      </c>
    </row>
    <row r="454" spans="1:18" x14ac:dyDescent="0.25">
      <c r="A454" t="s">
        <v>39</v>
      </c>
      <c r="B454" t="s">
        <v>484</v>
      </c>
      <c r="C454" t="s">
        <v>20</v>
      </c>
      <c r="D454" t="s">
        <v>482</v>
      </c>
      <c r="E454" t="s">
        <v>46</v>
      </c>
      <c r="F454">
        <v>1</v>
      </c>
      <c r="G454" s="95">
        <v>44300</v>
      </c>
      <c r="H454" s="95">
        <v>44300</v>
      </c>
      <c r="I454" s="95">
        <v>44300</v>
      </c>
      <c r="J454" t="s">
        <v>485</v>
      </c>
      <c r="K454" t="s">
        <v>24</v>
      </c>
      <c r="L454" t="s">
        <v>58</v>
      </c>
      <c r="M454" t="s">
        <v>26</v>
      </c>
      <c r="O454" t="s">
        <v>38</v>
      </c>
      <c r="P454" t="s">
        <v>38</v>
      </c>
      <c r="Q454" t="s">
        <v>54</v>
      </c>
      <c r="R454" t="s">
        <v>54</v>
      </c>
    </row>
    <row r="455" spans="1:18" x14ac:dyDescent="0.25">
      <c r="A455" t="s">
        <v>39</v>
      </c>
      <c r="B455" t="s">
        <v>247</v>
      </c>
      <c r="C455" t="s">
        <v>140</v>
      </c>
      <c r="D455" t="s">
        <v>469</v>
      </c>
      <c r="E455" t="s">
        <v>22</v>
      </c>
      <c r="F455">
        <v>2</v>
      </c>
      <c r="G455" s="95">
        <v>44300</v>
      </c>
      <c r="H455" s="95">
        <v>44300</v>
      </c>
      <c r="I455" s="95">
        <v>44300</v>
      </c>
      <c r="K455" t="s">
        <v>24</v>
      </c>
      <c r="L455" t="s">
        <v>58</v>
      </c>
      <c r="M455" t="s">
        <v>26</v>
      </c>
      <c r="O455" t="s">
        <v>38</v>
      </c>
      <c r="P455" t="s">
        <v>38</v>
      </c>
    </row>
    <row r="456" spans="1:18" x14ac:dyDescent="0.25">
      <c r="A456" t="s">
        <v>39</v>
      </c>
      <c r="B456">
        <v>221305</v>
      </c>
      <c r="C456" t="s">
        <v>140</v>
      </c>
      <c r="D456" t="s">
        <v>486</v>
      </c>
      <c r="E456" t="s">
        <v>107</v>
      </c>
      <c r="F456">
        <v>4</v>
      </c>
      <c r="H456" s="95">
        <v>44311</v>
      </c>
      <c r="I456" s="95">
        <v>44312</v>
      </c>
      <c r="K456" t="s">
        <v>24</v>
      </c>
      <c r="L456" t="s">
        <v>58</v>
      </c>
      <c r="M456" t="s">
        <v>26</v>
      </c>
      <c r="O456" t="s">
        <v>38</v>
      </c>
      <c r="P456" t="s">
        <v>38</v>
      </c>
      <c r="Q456" t="s">
        <v>54</v>
      </c>
      <c r="R456" t="s">
        <v>54</v>
      </c>
    </row>
    <row r="457" spans="1:18" x14ac:dyDescent="0.25">
      <c r="A457" t="s">
        <v>49</v>
      </c>
      <c r="B457">
        <v>232808</v>
      </c>
      <c r="C457" t="s">
        <v>140</v>
      </c>
      <c r="D457" t="s">
        <v>487</v>
      </c>
      <c r="E457" t="s">
        <v>115</v>
      </c>
      <c r="F457">
        <v>1</v>
      </c>
      <c r="G457" s="95">
        <v>44300</v>
      </c>
      <c r="H457" s="95">
        <v>44301</v>
      </c>
      <c r="I457" s="95">
        <v>44301</v>
      </c>
      <c r="J457" t="s">
        <v>488</v>
      </c>
      <c r="K457" t="s">
        <v>24</v>
      </c>
      <c r="L457" t="s">
        <v>58</v>
      </c>
      <c r="M457" t="s">
        <v>26</v>
      </c>
      <c r="O457" t="s">
        <v>38</v>
      </c>
      <c r="P457" t="s">
        <v>38</v>
      </c>
      <c r="Q457" t="s">
        <v>54</v>
      </c>
      <c r="R457" t="s">
        <v>54</v>
      </c>
    </row>
    <row r="458" spans="1:18" x14ac:dyDescent="0.25">
      <c r="A458" t="s">
        <v>49</v>
      </c>
      <c r="B458">
        <v>232808</v>
      </c>
      <c r="C458" t="s">
        <v>140</v>
      </c>
      <c r="D458" t="s">
        <v>487</v>
      </c>
      <c r="E458" t="s">
        <v>116</v>
      </c>
      <c r="F458">
        <v>1</v>
      </c>
      <c r="G458" s="95">
        <v>44300</v>
      </c>
      <c r="H458" s="95">
        <v>44301</v>
      </c>
      <c r="I458" s="95">
        <v>44301</v>
      </c>
      <c r="J458" t="s">
        <v>488</v>
      </c>
      <c r="K458" t="s">
        <v>24</v>
      </c>
      <c r="L458" t="s">
        <v>58</v>
      </c>
      <c r="M458" t="s">
        <v>26</v>
      </c>
      <c r="O458" t="s">
        <v>38</v>
      </c>
      <c r="P458" t="s">
        <v>38</v>
      </c>
      <c r="Q458" t="s">
        <v>54</v>
      </c>
      <c r="R458" t="s">
        <v>54</v>
      </c>
    </row>
    <row r="459" spans="1:18" x14ac:dyDescent="0.25">
      <c r="A459" t="s">
        <v>132</v>
      </c>
      <c r="B459">
        <v>232735</v>
      </c>
      <c r="C459" t="s">
        <v>140</v>
      </c>
      <c r="D459" t="s">
        <v>489</v>
      </c>
      <c r="E459" t="s">
        <v>102</v>
      </c>
      <c r="F459">
        <v>1</v>
      </c>
      <c r="G459" s="95">
        <v>44299</v>
      </c>
      <c r="H459" s="95">
        <v>44326</v>
      </c>
      <c r="I459" s="95">
        <v>44314</v>
      </c>
      <c r="J459" t="s">
        <v>490</v>
      </c>
      <c r="K459" t="s">
        <v>384</v>
      </c>
      <c r="L459" t="s">
        <v>25</v>
      </c>
      <c r="M459" t="s">
        <v>26</v>
      </c>
      <c r="O459" t="s">
        <v>27</v>
      </c>
      <c r="P459" t="s">
        <v>27</v>
      </c>
      <c r="Q459" t="s">
        <v>54</v>
      </c>
    </row>
    <row r="460" spans="1:18" x14ac:dyDescent="0.25">
      <c r="A460" t="s">
        <v>132</v>
      </c>
      <c r="B460">
        <v>232735</v>
      </c>
      <c r="C460" t="s">
        <v>140</v>
      </c>
      <c r="D460" t="s">
        <v>489</v>
      </c>
      <c r="E460" t="s">
        <v>116</v>
      </c>
      <c r="F460">
        <v>1</v>
      </c>
      <c r="G460" s="95">
        <v>44299</v>
      </c>
      <c r="H460" s="95">
        <v>44326</v>
      </c>
      <c r="I460" s="95">
        <v>44314</v>
      </c>
      <c r="J460" t="s">
        <v>490</v>
      </c>
      <c r="K460" t="s">
        <v>384</v>
      </c>
      <c r="L460" t="s">
        <v>25</v>
      </c>
      <c r="M460" t="s">
        <v>26</v>
      </c>
      <c r="O460" t="s">
        <v>27</v>
      </c>
      <c r="P460" t="s">
        <v>27</v>
      </c>
      <c r="Q460" t="s">
        <v>54</v>
      </c>
    </row>
    <row r="461" spans="1:18" x14ac:dyDescent="0.25">
      <c r="A461" t="s">
        <v>132</v>
      </c>
      <c r="B461">
        <v>232735</v>
      </c>
      <c r="C461" t="s">
        <v>140</v>
      </c>
      <c r="D461" t="s">
        <v>489</v>
      </c>
      <c r="E461" t="s">
        <v>115</v>
      </c>
      <c r="F461">
        <v>2</v>
      </c>
      <c r="G461" s="95">
        <v>44299</v>
      </c>
      <c r="H461" s="95">
        <v>44326</v>
      </c>
      <c r="I461" s="95">
        <v>44314</v>
      </c>
      <c r="J461" t="s">
        <v>490</v>
      </c>
      <c r="K461" t="s">
        <v>384</v>
      </c>
      <c r="L461" t="s">
        <v>25</v>
      </c>
      <c r="M461" t="s">
        <v>26</v>
      </c>
      <c r="O461" t="s">
        <v>27</v>
      </c>
      <c r="P461" t="s">
        <v>27</v>
      </c>
      <c r="Q461" t="s">
        <v>54</v>
      </c>
    </row>
    <row r="462" spans="1:18" x14ac:dyDescent="0.25">
      <c r="A462" t="s">
        <v>52</v>
      </c>
      <c r="B462">
        <v>232845</v>
      </c>
      <c r="C462" t="s">
        <v>20</v>
      </c>
      <c r="D462" t="s">
        <v>491</v>
      </c>
      <c r="E462" t="s">
        <v>157</v>
      </c>
      <c r="F462">
        <v>1</v>
      </c>
      <c r="G462" s="95">
        <v>44300</v>
      </c>
      <c r="H462" s="95">
        <v>44313</v>
      </c>
      <c r="K462" t="s">
        <v>384</v>
      </c>
      <c r="L462" t="s">
        <v>25</v>
      </c>
      <c r="M462" t="s">
        <v>26</v>
      </c>
      <c r="O462" t="s">
        <v>27</v>
      </c>
      <c r="P462" t="s">
        <v>27</v>
      </c>
    </row>
    <row r="463" spans="1:18" x14ac:dyDescent="0.25">
      <c r="A463" t="s">
        <v>300</v>
      </c>
      <c r="B463">
        <v>232745</v>
      </c>
      <c r="C463" t="s">
        <v>20</v>
      </c>
      <c r="D463" t="s">
        <v>492</v>
      </c>
      <c r="E463" t="s">
        <v>94</v>
      </c>
      <c r="F463">
        <v>1</v>
      </c>
      <c r="G463" s="95">
        <v>44299</v>
      </c>
      <c r="H463" s="95">
        <v>44301</v>
      </c>
      <c r="K463" t="s">
        <v>384</v>
      </c>
      <c r="L463" t="s">
        <v>37</v>
      </c>
      <c r="M463" t="s">
        <v>26</v>
      </c>
      <c r="O463" t="s">
        <v>38</v>
      </c>
      <c r="P463" t="s">
        <v>38</v>
      </c>
      <c r="Q463" t="s">
        <v>286</v>
      </c>
    </row>
    <row r="464" spans="1:18" x14ac:dyDescent="0.25">
      <c r="A464" t="s">
        <v>300</v>
      </c>
      <c r="B464">
        <v>232745</v>
      </c>
      <c r="C464" t="s">
        <v>20</v>
      </c>
      <c r="D464" t="s">
        <v>492</v>
      </c>
      <c r="E464" t="s">
        <v>84</v>
      </c>
      <c r="F464">
        <v>1</v>
      </c>
      <c r="G464" s="95">
        <v>44299</v>
      </c>
      <c r="H464" s="95">
        <v>44301</v>
      </c>
      <c r="K464" t="s">
        <v>384</v>
      </c>
      <c r="L464" t="s">
        <v>37</v>
      </c>
      <c r="M464" t="s">
        <v>26</v>
      </c>
      <c r="O464" t="s">
        <v>38</v>
      </c>
      <c r="P464" t="s">
        <v>38</v>
      </c>
      <c r="Q464" t="s">
        <v>286</v>
      </c>
    </row>
    <row r="465" spans="1:18" x14ac:dyDescent="0.25">
      <c r="A465" t="s">
        <v>39</v>
      </c>
      <c r="B465" t="s">
        <v>247</v>
      </c>
      <c r="C465" t="s">
        <v>410</v>
      </c>
      <c r="D465" t="s">
        <v>493</v>
      </c>
      <c r="E465" t="s">
        <v>102</v>
      </c>
      <c r="F465">
        <v>22</v>
      </c>
      <c r="G465" s="95">
        <v>44298</v>
      </c>
      <c r="H465" s="95">
        <v>44301</v>
      </c>
      <c r="J465" t="s">
        <v>494</v>
      </c>
      <c r="K465" t="s">
        <v>24</v>
      </c>
      <c r="L465" t="s">
        <v>25</v>
      </c>
      <c r="M465" t="s">
        <v>26</v>
      </c>
    </row>
    <row r="466" spans="1:18" x14ac:dyDescent="0.25">
      <c r="A466" t="s">
        <v>39</v>
      </c>
      <c r="B466" t="s">
        <v>247</v>
      </c>
      <c r="C466" t="s">
        <v>410</v>
      </c>
      <c r="D466" t="s">
        <v>495</v>
      </c>
      <c r="E466" t="s">
        <v>22</v>
      </c>
      <c r="F466">
        <v>1</v>
      </c>
      <c r="G466" s="95">
        <v>44298</v>
      </c>
      <c r="H466" s="95">
        <v>44298</v>
      </c>
      <c r="I466" s="95">
        <v>44298</v>
      </c>
      <c r="K466" t="s">
        <v>24</v>
      </c>
      <c r="L466" t="s">
        <v>58</v>
      </c>
      <c r="M466" t="s">
        <v>26</v>
      </c>
      <c r="O466" t="s">
        <v>38</v>
      </c>
      <c r="Q466" t="s">
        <v>54</v>
      </c>
      <c r="R466" t="s">
        <v>54</v>
      </c>
    </row>
    <row r="467" spans="1:18" x14ac:dyDescent="0.25">
      <c r="A467" t="s">
        <v>39</v>
      </c>
      <c r="B467" t="s">
        <v>247</v>
      </c>
      <c r="C467" t="s">
        <v>410</v>
      </c>
      <c r="D467" t="s">
        <v>495</v>
      </c>
      <c r="E467" t="s">
        <v>46</v>
      </c>
      <c r="F467">
        <v>1</v>
      </c>
      <c r="G467" s="95">
        <v>44298</v>
      </c>
      <c r="H467" s="95">
        <v>44298</v>
      </c>
      <c r="I467" s="95">
        <v>44298</v>
      </c>
      <c r="K467" t="s">
        <v>24</v>
      </c>
      <c r="L467" t="s">
        <v>58</v>
      </c>
      <c r="M467" t="s">
        <v>26</v>
      </c>
      <c r="N467">
        <v>1</v>
      </c>
      <c r="O467" t="s">
        <v>38</v>
      </c>
      <c r="Q467" t="s">
        <v>54</v>
      </c>
      <c r="R467" t="s">
        <v>54</v>
      </c>
    </row>
    <row r="468" spans="1:18" x14ac:dyDescent="0.25">
      <c r="A468" t="s">
        <v>39</v>
      </c>
      <c r="B468" t="s">
        <v>496</v>
      </c>
      <c r="C468" t="s">
        <v>20</v>
      </c>
      <c r="D468" t="s">
        <v>497</v>
      </c>
      <c r="E468" t="s">
        <v>22</v>
      </c>
      <c r="F468">
        <v>1</v>
      </c>
      <c r="G468" s="95">
        <v>44294</v>
      </c>
      <c r="H468" s="95">
        <v>44319</v>
      </c>
      <c r="J468" t="s">
        <v>498</v>
      </c>
      <c r="K468" t="s">
        <v>384</v>
      </c>
      <c r="L468" t="s">
        <v>25</v>
      </c>
      <c r="M468" t="s">
        <v>26</v>
      </c>
      <c r="O468" t="s">
        <v>27</v>
      </c>
      <c r="P468" t="s">
        <v>27</v>
      </c>
      <c r="Q468" t="s">
        <v>54</v>
      </c>
      <c r="R468" t="s">
        <v>29</v>
      </c>
    </row>
    <row r="469" spans="1:18" x14ac:dyDescent="0.25">
      <c r="A469" t="s">
        <v>39</v>
      </c>
      <c r="B469" t="s">
        <v>496</v>
      </c>
      <c r="C469" t="s">
        <v>20</v>
      </c>
      <c r="D469" t="s">
        <v>497</v>
      </c>
      <c r="E469" t="s">
        <v>46</v>
      </c>
      <c r="F469">
        <v>1</v>
      </c>
      <c r="G469" s="95">
        <v>44294</v>
      </c>
      <c r="H469" s="95">
        <v>44319</v>
      </c>
      <c r="K469" t="s">
        <v>384</v>
      </c>
      <c r="L469" t="s">
        <v>25</v>
      </c>
      <c r="M469" t="s">
        <v>26</v>
      </c>
      <c r="O469" t="s">
        <v>27</v>
      </c>
      <c r="P469" t="s">
        <v>27</v>
      </c>
      <c r="Q469" t="s">
        <v>54</v>
      </c>
      <c r="R469" t="s">
        <v>29</v>
      </c>
    </row>
    <row r="470" spans="1:18" x14ac:dyDescent="0.25">
      <c r="A470" t="s">
        <v>39</v>
      </c>
      <c r="B470" t="s">
        <v>496</v>
      </c>
      <c r="C470" t="s">
        <v>20</v>
      </c>
      <c r="D470" t="s">
        <v>497</v>
      </c>
      <c r="E470" t="s">
        <v>177</v>
      </c>
      <c r="F470">
        <v>1</v>
      </c>
      <c r="G470" s="95">
        <v>44294</v>
      </c>
      <c r="H470" s="95">
        <v>44319</v>
      </c>
      <c r="K470" t="s">
        <v>384</v>
      </c>
      <c r="L470" t="s">
        <v>25</v>
      </c>
      <c r="M470" t="s">
        <v>26</v>
      </c>
      <c r="O470" t="s">
        <v>27</v>
      </c>
      <c r="P470" t="s">
        <v>27</v>
      </c>
      <c r="Q470" t="s">
        <v>54</v>
      </c>
      <c r="R470" t="s">
        <v>29</v>
      </c>
    </row>
    <row r="471" spans="1:18" x14ac:dyDescent="0.25">
      <c r="A471" t="s">
        <v>76</v>
      </c>
      <c r="B471" t="s">
        <v>499</v>
      </c>
      <c r="C471" t="s">
        <v>140</v>
      </c>
      <c r="D471" t="s">
        <v>500</v>
      </c>
      <c r="E471" t="s">
        <v>107</v>
      </c>
      <c r="F471">
        <v>1</v>
      </c>
      <c r="G471" s="95">
        <v>44298</v>
      </c>
      <c r="H471" s="95">
        <v>44306</v>
      </c>
      <c r="I471" s="95">
        <v>44308</v>
      </c>
      <c r="J471" t="s">
        <v>501</v>
      </c>
      <c r="K471" t="s">
        <v>24</v>
      </c>
      <c r="L471" t="s">
        <v>45</v>
      </c>
      <c r="M471" t="s">
        <v>26</v>
      </c>
      <c r="O471" t="s">
        <v>27</v>
      </c>
      <c r="P471" t="s">
        <v>27</v>
      </c>
      <c r="Q471" t="s">
        <v>54</v>
      </c>
      <c r="R471" t="s">
        <v>54</v>
      </c>
    </row>
    <row r="472" spans="1:18" x14ac:dyDescent="0.25">
      <c r="A472" t="s">
        <v>76</v>
      </c>
      <c r="B472" t="s">
        <v>499</v>
      </c>
      <c r="C472" t="s">
        <v>140</v>
      </c>
      <c r="D472" t="s">
        <v>500</v>
      </c>
      <c r="E472" t="s">
        <v>153</v>
      </c>
      <c r="F472">
        <v>3</v>
      </c>
      <c r="G472" s="95">
        <v>44298</v>
      </c>
      <c r="H472" s="95">
        <v>44306</v>
      </c>
      <c r="I472" s="95">
        <v>44308</v>
      </c>
      <c r="J472" t="s">
        <v>501</v>
      </c>
      <c r="K472" t="s">
        <v>24</v>
      </c>
      <c r="L472" t="s">
        <v>45</v>
      </c>
      <c r="M472" t="s">
        <v>26</v>
      </c>
      <c r="O472" t="s">
        <v>27</v>
      </c>
      <c r="P472" t="s">
        <v>27</v>
      </c>
      <c r="Q472" t="s">
        <v>54</v>
      </c>
      <c r="R472" t="s">
        <v>54</v>
      </c>
    </row>
    <row r="473" spans="1:18" x14ac:dyDescent="0.25">
      <c r="A473" t="s">
        <v>76</v>
      </c>
      <c r="B473" t="s">
        <v>499</v>
      </c>
      <c r="C473" t="s">
        <v>140</v>
      </c>
      <c r="D473" t="s">
        <v>500</v>
      </c>
      <c r="E473" t="s">
        <v>22</v>
      </c>
      <c r="F473">
        <v>1</v>
      </c>
      <c r="G473" s="95">
        <v>44298</v>
      </c>
      <c r="H473" s="95">
        <v>44306</v>
      </c>
      <c r="I473" s="95">
        <v>44308</v>
      </c>
      <c r="J473" t="s">
        <v>501</v>
      </c>
      <c r="K473" t="s">
        <v>24</v>
      </c>
      <c r="L473" t="s">
        <v>25</v>
      </c>
      <c r="M473" t="s">
        <v>26</v>
      </c>
      <c r="O473" t="s">
        <v>27</v>
      </c>
      <c r="P473" t="s">
        <v>27</v>
      </c>
      <c r="Q473" t="s">
        <v>54</v>
      </c>
      <c r="R473" t="s">
        <v>54</v>
      </c>
    </row>
    <row r="474" spans="1:18" x14ac:dyDescent="0.25">
      <c r="A474" t="s">
        <v>30</v>
      </c>
      <c r="B474">
        <v>232913</v>
      </c>
      <c r="C474" t="s">
        <v>410</v>
      </c>
      <c r="D474" t="s">
        <v>502</v>
      </c>
      <c r="E474" t="s">
        <v>105</v>
      </c>
      <c r="F474">
        <v>6</v>
      </c>
      <c r="G474" s="95">
        <v>44301</v>
      </c>
      <c r="H474" s="95">
        <v>44306</v>
      </c>
      <c r="K474" t="s">
        <v>24</v>
      </c>
      <c r="M474" t="s">
        <v>26</v>
      </c>
      <c r="O474" t="s">
        <v>38</v>
      </c>
      <c r="Q474" t="s">
        <v>29</v>
      </c>
      <c r="R474" t="s">
        <v>29</v>
      </c>
    </row>
    <row r="475" spans="1:18" x14ac:dyDescent="0.25">
      <c r="A475" t="s">
        <v>76</v>
      </c>
      <c r="B475" t="s">
        <v>503</v>
      </c>
      <c r="C475" t="s">
        <v>140</v>
      </c>
      <c r="D475" t="s">
        <v>105</v>
      </c>
      <c r="E475" t="s">
        <v>105</v>
      </c>
      <c r="F475">
        <v>1</v>
      </c>
      <c r="G475" s="95">
        <v>44301</v>
      </c>
      <c r="H475" s="95">
        <v>44301</v>
      </c>
      <c r="I475" s="95">
        <v>44301</v>
      </c>
      <c r="K475" t="s">
        <v>24</v>
      </c>
      <c r="L475" t="s">
        <v>25</v>
      </c>
      <c r="M475" t="s">
        <v>26</v>
      </c>
      <c r="N475">
        <v>1</v>
      </c>
      <c r="O475" t="s">
        <v>27</v>
      </c>
      <c r="P475" t="s">
        <v>27</v>
      </c>
      <c r="Q475" t="s">
        <v>28</v>
      </c>
      <c r="R475" t="s">
        <v>54</v>
      </c>
    </row>
    <row r="476" spans="1:18" x14ac:dyDescent="0.25">
      <c r="A476" t="s">
        <v>300</v>
      </c>
      <c r="B476" t="s">
        <v>504</v>
      </c>
      <c r="C476" t="s">
        <v>77</v>
      </c>
      <c r="D476" t="s">
        <v>505</v>
      </c>
      <c r="E476" t="s">
        <v>506</v>
      </c>
      <c r="G476" s="95">
        <v>44301</v>
      </c>
      <c r="H476" s="95">
        <v>44308</v>
      </c>
      <c r="J476" t="s">
        <v>507</v>
      </c>
      <c r="K476" t="s">
        <v>388</v>
      </c>
      <c r="L476" t="s">
        <v>25</v>
      </c>
      <c r="M476" t="s">
        <v>74</v>
      </c>
    </row>
    <row r="477" spans="1:18" x14ac:dyDescent="0.25">
      <c r="A477" t="s">
        <v>30</v>
      </c>
      <c r="B477">
        <v>233037</v>
      </c>
      <c r="C477" t="s">
        <v>410</v>
      </c>
      <c r="D477" t="s">
        <v>508</v>
      </c>
      <c r="E477" t="s">
        <v>51</v>
      </c>
      <c r="F477">
        <v>1</v>
      </c>
      <c r="G477" s="95">
        <v>44302</v>
      </c>
      <c r="H477" s="95">
        <v>44305</v>
      </c>
      <c r="K477" t="s">
        <v>24</v>
      </c>
      <c r="L477" t="s">
        <v>25</v>
      </c>
      <c r="M477" t="s">
        <v>26</v>
      </c>
      <c r="N477">
        <v>2</v>
      </c>
      <c r="O477" t="s">
        <v>27</v>
      </c>
      <c r="Q477" t="s">
        <v>29</v>
      </c>
      <c r="R477" t="s">
        <v>29</v>
      </c>
    </row>
    <row r="478" spans="1:18" x14ac:dyDescent="0.25">
      <c r="A478" t="s">
        <v>49</v>
      </c>
      <c r="B478">
        <v>233068</v>
      </c>
      <c r="C478" t="s">
        <v>20</v>
      </c>
      <c r="D478" t="s">
        <v>509</v>
      </c>
      <c r="E478" t="s">
        <v>46</v>
      </c>
      <c r="F478">
        <v>1</v>
      </c>
      <c r="G478" s="95">
        <v>44302</v>
      </c>
      <c r="H478" s="95">
        <v>44312</v>
      </c>
      <c r="I478" s="95">
        <v>44312</v>
      </c>
      <c r="J478" t="s">
        <v>510</v>
      </c>
      <c r="K478" t="s">
        <v>24</v>
      </c>
      <c r="L478" t="s">
        <v>25</v>
      </c>
      <c r="M478" t="s">
        <v>26</v>
      </c>
      <c r="O478" t="s">
        <v>27</v>
      </c>
      <c r="P478" t="s">
        <v>27</v>
      </c>
      <c r="Q478" t="s">
        <v>185</v>
      </c>
      <c r="R478" t="s">
        <v>54</v>
      </c>
    </row>
    <row r="479" spans="1:18" x14ac:dyDescent="0.25">
      <c r="A479" t="s">
        <v>49</v>
      </c>
      <c r="B479">
        <v>233068</v>
      </c>
      <c r="C479" t="s">
        <v>20</v>
      </c>
      <c r="D479" t="s">
        <v>509</v>
      </c>
      <c r="E479" t="s">
        <v>22</v>
      </c>
      <c r="F479">
        <v>1</v>
      </c>
      <c r="G479" s="95">
        <v>44302</v>
      </c>
      <c r="H479" s="95">
        <v>44312</v>
      </c>
      <c r="I479" s="95">
        <v>44312</v>
      </c>
      <c r="J479" t="s">
        <v>510</v>
      </c>
      <c r="K479" t="s">
        <v>24</v>
      </c>
      <c r="L479" t="s">
        <v>25</v>
      </c>
      <c r="M479" t="s">
        <v>26</v>
      </c>
      <c r="O479" t="s">
        <v>27</v>
      </c>
      <c r="P479" t="s">
        <v>27</v>
      </c>
      <c r="Q479" t="s">
        <v>185</v>
      </c>
      <c r="R479" t="s">
        <v>54</v>
      </c>
    </row>
    <row r="480" spans="1:18" x14ac:dyDescent="0.25">
      <c r="A480" t="s">
        <v>49</v>
      </c>
      <c r="B480">
        <v>233068</v>
      </c>
      <c r="C480" t="s">
        <v>20</v>
      </c>
      <c r="D480" t="s">
        <v>509</v>
      </c>
      <c r="E480" t="s">
        <v>177</v>
      </c>
      <c r="F480">
        <v>1</v>
      </c>
      <c r="G480" s="95">
        <v>44302</v>
      </c>
      <c r="H480" s="95">
        <v>44312</v>
      </c>
      <c r="I480" s="95">
        <v>44312</v>
      </c>
      <c r="J480" t="s">
        <v>510</v>
      </c>
      <c r="K480" t="s">
        <v>24</v>
      </c>
      <c r="L480" t="s">
        <v>58</v>
      </c>
      <c r="M480" t="s">
        <v>26</v>
      </c>
      <c r="O480" t="s">
        <v>27</v>
      </c>
      <c r="P480" t="s">
        <v>27</v>
      </c>
      <c r="Q480" t="s">
        <v>185</v>
      </c>
      <c r="R480" t="s">
        <v>54</v>
      </c>
    </row>
    <row r="481" spans="1:18" x14ac:dyDescent="0.25">
      <c r="A481" t="s">
        <v>39</v>
      </c>
      <c r="B481" t="s">
        <v>247</v>
      </c>
      <c r="C481" t="s">
        <v>410</v>
      </c>
      <c r="D481" t="s">
        <v>511</v>
      </c>
      <c r="E481" t="s">
        <v>79</v>
      </c>
      <c r="F481">
        <v>1</v>
      </c>
      <c r="G481" s="95">
        <v>44303</v>
      </c>
      <c r="H481" s="95">
        <v>44305</v>
      </c>
      <c r="J481" t="s">
        <v>512</v>
      </c>
      <c r="K481" t="s">
        <v>24</v>
      </c>
      <c r="L481" t="s">
        <v>58</v>
      </c>
      <c r="M481" t="s">
        <v>26</v>
      </c>
      <c r="N481">
        <v>1</v>
      </c>
      <c r="O481" t="s">
        <v>27</v>
      </c>
    </row>
    <row r="482" spans="1:18" x14ac:dyDescent="0.25">
      <c r="A482" t="s">
        <v>96</v>
      </c>
      <c r="B482" t="s">
        <v>513</v>
      </c>
      <c r="C482" t="s">
        <v>20</v>
      </c>
      <c r="D482" t="s">
        <v>514</v>
      </c>
      <c r="E482" t="s">
        <v>515</v>
      </c>
      <c r="F482">
        <v>1</v>
      </c>
      <c r="G482" s="95">
        <v>44301</v>
      </c>
      <c r="K482" t="s">
        <v>388</v>
      </c>
      <c r="L482" t="s">
        <v>58</v>
      </c>
      <c r="M482" t="s">
        <v>26</v>
      </c>
      <c r="O482" t="s">
        <v>38</v>
      </c>
    </row>
    <row r="483" spans="1:18" x14ac:dyDescent="0.25">
      <c r="A483" t="s">
        <v>72</v>
      </c>
      <c r="B483" t="s">
        <v>516</v>
      </c>
      <c r="C483" t="s">
        <v>140</v>
      </c>
      <c r="D483" t="s">
        <v>517</v>
      </c>
      <c r="E483" t="s">
        <v>94</v>
      </c>
      <c r="F483">
        <v>1</v>
      </c>
      <c r="G483" s="95">
        <v>44302</v>
      </c>
      <c r="H483" s="95">
        <v>44305</v>
      </c>
      <c r="I483" s="95">
        <v>44305</v>
      </c>
      <c r="K483" t="s">
        <v>24</v>
      </c>
      <c r="L483" t="s">
        <v>25</v>
      </c>
      <c r="M483" t="s">
        <v>26</v>
      </c>
      <c r="O483" t="s">
        <v>27</v>
      </c>
      <c r="P483" t="s">
        <v>27</v>
      </c>
      <c r="Q483" t="s">
        <v>28</v>
      </c>
      <c r="R483" t="s">
        <v>54</v>
      </c>
    </row>
    <row r="484" spans="1:18" x14ac:dyDescent="0.25">
      <c r="A484" t="s">
        <v>96</v>
      </c>
      <c r="B484" t="s">
        <v>518</v>
      </c>
      <c r="C484" t="s">
        <v>20</v>
      </c>
      <c r="D484" t="s">
        <v>519</v>
      </c>
      <c r="E484" t="s">
        <v>84</v>
      </c>
      <c r="G484" s="95">
        <v>44301</v>
      </c>
      <c r="H484" s="95">
        <v>44308</v>
      </c>
      <c r="I484" s="95">
        <v>44308</v>
      </c>
      <c r="J484" t="s">
        <v>520</v>
      </c>
      <c r="K484" t="s">
        <v>384</v>
      </c>
      <c r="L484" t="s">
        <v>37</v>
      </c>
      <c r="M484" t="s">
        <v>34</v>
      </c>
      <c r="O484" t="s">
        <v>38</v>
      </c>
      <c r="P484" t="s">
        <v>27</v>
      </c>
      <c r="Q484" t="s">
        <v>286</v>
      </c>
      <c r="R484" t="s">
        <v>28</v>
      </c>
    </row>
    <row r="485" spans="1:18" x14ac:dyDescent="0.25">
      <c r="A485" t="s">
        <v>159</v>
      </c>
      <c r="B485" t="s">
        <v>521</v>
      </c>
      <c r="C485" t="s">
        <v>20</v>
      </c>
      <c r="D485" t="s">
        <v>522</v>
      </c>
      <c r="E485" t="s">
        <v>22</v>
      </c>
      <c r="F485">
        <v>2</v>
      </c>
      <c r="G485" s="95">
        <v>44293</v>
      </c>
      <c r="H485" s="95">
        <v>44309</v>
      </c>
      <c r="K485" t="s">
        <v>384</v>
      </c>
      <c r="L485" t="s">
        <v>58</v>
      </c>
      <c r="M485" t="s">
        <v>34</v>
      </c>
      <c r="N485">
        <v>1</v>
      </c>
      <c r="O485" t="s">
        <v>38</v>
      </c>
      <c r="P485" t="s">
        <v>38</v>
      </c>
      <c r="Q485" t="s">
        <v>54</v>
      </c>
      <c r="R485" t="s">
        <v>54</v>
      </c>
    </row>
    <row r="486" spans="1:18" x14ac:dyDescent="0.25">
      <c r="A486" t="s">
        <v>159</v>
      </c>
      <c r="B486" t="s">
        <v>521</v>
      </c>
      <c r="C486" t="s">
        <v>20</v>
      </c>
      <c r="D486" t="s">
        <v>522</v>
      </c>
      <c r="E486" t="s">
        <v>68</v>
      </c>
      <c r="F486">
        <v>1</v>
      </c>
      <c r="G486" s="95">
        <v>44293</v>
      </c>
      <c r="H486" s="95">
        <v>44309</v>
      </c>
      <c r="K486" t="s">
        <v>384</v>
      </c>
      <c r="L486" t="s">
        <v>58</v>
      </c>
      <c r="M486" t="s">
        <v>34</v>
      </c>
      <c r="O486" t="s">
        <v>38</v>
      </c>
      <c r="P486" t="s">
        <v>38</v>
      </c>
      <c r="Q486" t="s">
        <v>54</v>
      </c>
      <c r="R486" t="s">
        <v>54</v>
      </c>
    </row>
    <row r="487" spans="1:18" x14ac:dyDescent="0.25">
      <c r="A487" t="s">
        <v>159</v>
      </c>
      <c r="B487" t="s">
        <v>521</v>
      </c>
      <c r="C487" t="s">
        <v>20</v>
      </c>
      <c r="D487" t="s">
        <v>522</v>
      </c>
      <c r="E487" t="s">
        <v>46</v>
      </c>
      <c r="F487">
        <v>2</v>
      </c>
      <c r="G487" s="95">
        <v>44293</v>
      </c>
      <c r="H487" s="95">
        <v>44309</v>
      </c>
      <c r="K487" t="s">
        <v>384</v>
      </c>
      <c r="L487" t="s">
        <v>58</v>
      </c>
      <c r="M487" t="s">
        <v>34</v>
      </c>
      <c r="O487" t="s">
        <v>38</v>
      </c>
      <c r="P487" t="s">
        <v>38</v>
      </c>
      <c r="Q487" t="s">
        <v>54</v>
      </c>
      <c r="R487" t="s">
        <v>54</v>
      </c>
    </row>
    <row r="488" spans="1:18" x14ac:dyDescent="0.25">
      <c r="A488" t="s">
        <v>159</v>
      </c>
      <c r="B488" t="s">
        <v>521</v>
      </c>
      <c r="C488" t="s">
        <v>20</v>
      </c>
      <c r="D488" t="s">
        <v>522</v>
      </c>
      <c r="E488" t="s">
        <v>177</v>
      </c>
      <c r="F488">
        <v>2</v>
      </c>
      <c r="G488" s="95">
        <v>44293</v>
      </c>
      <c r="H488" s="95">
        <v>44309</v>
      </c>
      <c r="K488" t="s">
        <v>384</v>
      </c>
      <c r="L488" t="s">
        <v>58</v>
      </c>
      <c r="M488" t="s">
        <v>34</v>
      </c>
      <c r="O488" t="s">
        <v>38</v>
      </c>
      <c r="P488" t="s">
        <v>38</v>
      </c>
      <c r="Q488" t="s">
        <v>54</v>
      </c>
      <c r="R488" t="s">
        <v>54</v>
      </c>
    </row>
    <row r="489" spans="1:18" x14ac:dyDescent="0.25">
      <c r="A489" t="s">
        <v>159</v>
      </c>
      <c r="B489" t="s">
        <v>521</v>
      </c>
      <c r="C489" t="s">
        <v>20</v>
      </c>
      <c r="D489" t="s">
        <v>522</v>
      </c>
      <c r="E489" t="s">
        <v>106</v>
      </c>
      <c r="F489">
        <v>2</v>
      </c>
      <c r="G489" s="95">
        <v>44293</v>
      </c>
      <c r="H489" s="95">
        <v>44309</v>
      </c>
      <c r="K489" t="s">
        <v>384</v>
      </c>
      <c r="L489" t="s">
        <v>58</v>
      </c>
      <c r="M489" t="s">
        <v>34</v>
      </c>
      <c r="O489" t="s">
        <v>38</v>
      </c>
      <c r="P489" t="s">
        <v>38</v>
      </c>
      <c r="Q489" t="s">
        <v>54</v>
      </c>
      <c r="R489" t="s">
        <v>54</v>
      </c>
    </row>
    <row r="490" spans="1:18" x14ac:dyDescent="0.25">
      <c r="A490" t="s">
        <v>159</v>
      </c>
      <c r="B490" t="s">
        <v>521</v>
      </c>
      <c r="C490" t="s">
        <v>20</v>
      </c>
      <c r="D490" t="s">
        <v>522</v>
      </c>
      <c r="E490" t="s">
        <v>41</v>
      </c>
      <c r="F490">
        <v>1</v>
      </c>
      <c r="G490" s="95">
        <v>44293</v>
      </c>
      <c r="H490" s="95">
        <v>44309</v>
      </c>
      <c r="K490" t="s">
        <v>384</v>
      </c>
      <c r="L490" t="s">
        <v>58</v>
      </c>
      <c r="M490" t="s">
        <v>34</v>
      </c>
      <c r="O490" t="s">
        <v>38</v>
      </c>
      <c r="P490" t="s">
        <v>38</v>
      </c>
      <c r="Q490" t="s">
        <v>54</v>
      </c>
      <c r="R490" t="s">
        <v>54</v>
      </c>
    </row>
    <row r="491" spans="1:18" x14ac:dyDescent="0.25">
      <c r="A491" t="s">
        <v>159</v>
      </c>
      <c r="B491" t="s">
        <v>521</v>
      </c>
      <c r="C491" t="s">
        <v>20</v>
      </c>
      <c r="D491" t="s">
        <v>522</v>
      </c>
      <c r="E491" t="s">
        <v>74</v>
      </c>
      <c r="F491">
        <v>1</v>
      </c>
      <c r="G491" s="95">
        <v>44293</v>
      </c>
      <c r="H491" s="95">
        <v>44309</v>
      </c>
      <c r="K491" t="s">
        <v>384</v>
      </c>
      <c r="L491" t="s">
        <v>58</v>
      </c>
      <c r="M491" t="s">
        <v>34</v>
      </c>
      <c r="O491" t="s">
        <v>38</v>
      </c>
      <c r="P491" t="s">
        <v>38</v>
      </c>
      <c r="Q491" t="s">
        <v>54</v>
      </c>
      <c r="R491" t="s">
        <v>54</v>
      </c>
    </row>
    <row r="492" spans="1:18" x14ac:dyDescent="0.25">
      <c r="A492" t="s">
        <v>159</v>
      </c>
      <c r="B492" t="s">
        <v>523</v>
      </c>
      <c r="C492" t="s">
        <v>140</v>
      </c>
      <c r="D492" t="s">
        <v>524</v>
      </c>
      <c r="E492" t="s">
        <v>41</v>
      </c>
      <c r="F492">
        <v>3</v>
      </c>
      <c r="G492" s="95">
        <v>44301</v>
      </c>
      <c r="H492" s="95">
        <v>44306</v>
      </c>
      <c r="I492" s="95">
        <v>44305</v>
      </c>
      <c r="K492" t="s">
        <v>24</v>
      </c>
      <c r="L492" t="s">
        <v>58</v>
      </c>
      <c r="M492" t="s">
        <v>26</v>
      </c>
      <c r="O492" t="s">
        <v>38</v>
      </c>
      <c r="P492" t="s">
        <v>38</v>
      </c>
      <c r="Q492" t="s">
        <v>54</v>
      </c>
      <c r="R492" t="s">
        <v>54</v>
      </c>
    </row>
    <row r="493" spans="1:18" x14ac:dyDescent="0.25">
      <c r="A493" t="s">
        <v>159</v>
      </c>
      <c r="B493" t="s">
        <v>523</v>
      </c>
      <c r="C493" t="s">
        <v>140</v>
      </c>
      <c r="D493" t="s">
        <v>524</v>
      </c>
      <c r="E493" t="s">
        <v>46</v>
      </c>
      <c r="F493">
        <v>1</v>
      </c>
      <c r="G493" s="95">
        <v>44301</v>
      </c>
      <c r="H493" s="95">
        <v>44306</v>
      </c>
      <c r="I493" s="95">
        <v>44302</v>
      </c>
      <c r="K493" t="s">
        <v>24</v>
      </c>
      <c r="L493" t="s">
        <v>58</v>
      </c>
      <c r="M493" t="s">
        <v>26</v>
      </c>
      <c r="O493" t="s">
        <v>38</v>
      </c>
      <c r="P493" t="s">
        <v>38</v>
      </c>
      <c r="Q493" t="s">
        <v>54</v>
      </c>
      <c r="R493" t="s">
        <v>54</v>
      </c>
    </row>
    <row r="494" spans="1:18" x14ac:dyDescent="0.25">
      <c r="A494" t="s">
        <v>72</v>
      </c>
      <c r="B494" t="s">
        <v>525</v>
      </c>
      <c r="C494" t="s">
        <v>140</v>
      </c>
      <c r="D494" t="s">
        <v>526</v>
      </c>
      <c r="E494" t="s">
        <v>105</v>
      </c>
      <c r="F494">
        <v>10</v>
      </c>
      <c r="G494" s="95">
        <v>44301</v>
      </c>
      <c r="H494" s="95">
        <v>44306</v>
      </c>
      <c r="I494" s="95">
        <v>44305</v>
      </c>
      <c r="K494" t="s">
        <v>384</v>
      </c>
      <c r="L494" t="s">
        <v>58</v>
      </c>
      <c r="M494" t="s">
        <v>26</v>
      </c>
      <c r="O494" t="s">
        <v>38</v>
      </c>
    </row>
    <row r="495" spans="1:18" x14ac:dyDescent="0.25">
      <c r="A495" t="s">
        <v>39</v>
      </c>
      <c r="B495" t="s">
        <v>527</v>
      </c>
      <c r="C495" t="s">
        <v>77</v>
      </c>
      <c r="D495" t="s">
        <v>528</v>
      </c>
      <c r="E495" t="s">
        <v>74</v>
      </c>
      <c r="G495" s="95">
        <v>44293</v>
      </c>
      <c r="H495" s="95">
        <v>44298</v>
      </c>
      <c r="I495" s="95">
        <v>44298</v>
      </c>
      <c r="K495" t="s">
        <v>24</v>
      </c>
      <c r="M495" t="s">
        <v>74</v>
      </c>
      <c r="O495" t="s">
        <v>27</v>
      </c>
    </row>
    <row r="496" spans="1:18" x14ac:dyDescent="0.25">
      <c r="A496" t="s">
        <v>39</v>
      </c>
      <c r="B496" t="s">
        <v>247</v>
      </c>
      <c r="C496" t="s">
        <v>20</v>
      </c>
      <c r="D496" t="s">
        <v>529</v>
      </c>
      <c r="G496" s="95">
        <v>44305</v>
      </c>
      <c r="H496" s="95">
        <v>44328</v>
      </c>
      <c r="J496" t="s">
        <v>530</v>
      </c>
      <c r="K496" t="s">
        <v>388</v>
      </c>
      <c r="M496" t="s">
        <v>26</v>
      </c>
      <c r="O496" t="s">
        <v>27</v>
      </c>
    </row>
    <row r="497" spans="1:18" x14ac:dyDescent="0.25">
      <c r="A497" t="s">
        <v>39</v>
      </c>
      <c r="B497" t="s">
        <v>247</v>
      </c>
      <c r="C497" t="s">
        <v>20</v>
      </c>
      <c r="D497" t="s">
        <v>531</v>
      </c>
      <c r="G497" s="95">
        <v>44305</v>
      </c>
      <c r="H497" s="95">
        <v>44328</v>
      </c>
      <c r="J497" t="s">
        <v>530</v>
      </c>
      <c r="K497" t="s">
        <v>388</v>
      </c>
      <c r="M497" t="s">
        <v>26</v>
      </c>
      <c r="O497" t="s">
        <v>27</v>
      </c>
    </row>
    <row r="498" spans="1:18" x14ac:dyDescent="0.25">
      <c r="A498" t="s">
        <v>39</v>
      </c>
      <c r="B498">
        <v>233146</v>
      </c>
      <c r="C498" t="s">
        <v>20</v>
      </c>
      <c r="D498" t="s">
        <v>532</v>
      </c>
      <c r="E498" t="s">
        <v>68</v>
      </c>
      <c r="F498">
        <v>5</v>
      </c>
      <c r="G498" s="95">
        <v>44305</v>
      </c>
      <c r="H498" s="95">
        <v>44307</v>
      </c>
      <c r="I498" s="95">
        <v>44307</v>
      </c>
      <c r="J498" t="s">
        <v>533</v>
      </c>
      <c r="K498" t="s">
        <v>24</v>
      </c>
      <c r="L498" t="s">
        <v>25</v>
      </c>
      <c r="M498" t="s">
        <v>26</v>
      </c>
      <c r="O498" t="s">
        <v>38</v>
      </c>
      <c r="P498" t="s">
        <v>27</v>
      </c>
      <c r="Q498" t="s">
        <v>29</v>
      </c>
      <c r="R498" t="s">
        <v>29</v>
      </c>
    </row>
    <row r="499" spans="1:18" x14ac:dyDescent="0.25">
      <c r="A499" t="s">
        <v>39</v>
      </c>
      <c r="B499">
        <v>233146</v>
      </c>
      <c r="C499" t="s">
        <v>20</v>
      </c>
      <c r="D499" t="s">
        <v>532</v>
      </c>
      <c r="E499" t="s">
        <v>153</v>
      </c>
      <c r="F499">
        <v>5</v>
      </c>
      <c r="G499" s="95">
        <v>44305</v>
      </c>
      <c r="H499" s="95">
        <v>44307</v>
      </c>
      <c r="I499" s="95">
        <v>44307</v>
      </c>
      <c r="J499" t="s">
        <v>533</v>
      </c>
      <c r="K499" t="s">
        <v>24</v>
      </c>
      <c r="L499" t="s">
        <v>25</v>
      </c>
      <c r="M499" t="s">
        <v>26</v>
      </c>
      <c r="O499" t="s">
        <v>38</v>
      </c>
      <c r="P499" t="s">
        <v>27</v>
      </c>
      <c r="Q499" t="s">
        <v>29</v>
      </c>
      <c r="R499" t="s">
        <v>29</v>
      </c>
    </row>
    <row r="500" spans="1:18" x14ac:dyDescent="0.25">
      <c r="A500" t="s">
        <v>39</v>
      </c>
      <c r="B500">
        <v>233146</v>
      </c>
      <c r="C500" t="s">
        <v>20</v>
      </c>
      <c r="D500" t="s">
        <v>532</v>
      </c>
      <c r="E500" t="s">
        <v>68</v>
      </c>
      <c r="F500">
        <v>6</v>
      </c>
      <c r="G500" s="95">
        <v>44305</v>
      </c>
      <c r="H500" s="95">
        <v>44314</v>
      </c>
      <c r="I500" s="95">
        <v>44307</v>
      </c>
      <c r="J500" t="s">
        <v>534</v>
      </c>
      <c r="K500" t="s">
        <v>24</v>
      </c>
      <c r="L500" t="s">
        <v>25</v>
      </c>
      <c r="M500" t="s">
        <v>26</v>
      </c>
      <c r="O500" t="s">
        <v>38</v>
      </c>
      <c r="P500" t="s">
        <v>27</v>
      </c>
      <c r="Q500" t="s">
        <v>29</v>
      </c>
      <c r="R500" t="s">
        <v>29</v>
      </c>
    </row>
    <row r="501" spans="1:18" x14ac:dyDescent="0.25">
      <c r="A501" t="s">
        <v>39</v>
      </c>
      <c r="B501">
        <v>233146</v>
      </c>
      <c r="C501" t="s">
        <v>20</v>
      </c>
      <c r="D501" t="s">
        <v>532</v>
      </c>
      <c r="E501" t="s">
        <v>153</v>
      </c>
      <c r="F501">
        <v>6</v>
      </c>
      <c r="G501" s="95">
        <v>44305</v>
      </c>
      <c r="H501" s="95">
        <v>44314</v>
      </c>
      <c r="I501" s="95">
        <v>44307</v>
      </c>
      <c r="J501" t="s">
        <v>534</v>
      </c>
      <c r="K501" t="s">
        <v>24</v>
      </c>
      <c r="L501" t="s">
        <v>25</v>
      </c>
      <c r="M501" t="s">
        <v>26</v>
      </c>
      <c r="O501" t="s">
        <v>38</v>
      </c>
      <c r="P501" t="s">
        <v>27</v>
      </c>
      <c r="Q501" t="s">
        <v>29</v>
      </c>
      <c r="R501" t="s">
        <v>29</v>
      </c>
    </row>
    <row r="502" spans="1:18" x14ac:dyDescent="0.25">
      <c r="A502" t="s">
        <v>39</v>
      </c>
      <c r="B502">
        <v>233146</v>
      </c>
      <c r="C502" t="s">
        <v>20</v>
      </c>
      <c r="D502" t="s">
        <v>532</v>
      </c>
      <c r="E502" t="s">
        <v>68</v>
      </c>
      <c r="F502">
        <v>5</v>
      </c>
      <c r="G502" s="95">
        <v>44305</v>
      </c>
      <c r="H502" s="95">
        <v>44314</v>
      </c>
      <c r="I502" s="95">
        <v>44307</v>
      </c>
      <c r="J502" t="s">
        <v>535</v>
      </c>
      <c r="K502" t="s">
        <v>24</v>
      </c>
      <c r="L502" t="s">
        <v>25</v>
      </c>
      <c r="M502" t="s">
        <v>26</v>
      </c>
      <c r="O502" t="s">
        <v>38</v>
      </c>
      <c r="P502" t="s">
        <v>27</v>
      </c>
      <c r="Q502" t="s">
        <v>29</v>
      </c>
      <c r="R502" t="s">
        <v>29</v>
      </c>
    </row>
    <row r="503" spans="1:18" x14ac:dyDescent="0.25">
      <c r="A503" t="s">
        <v>39</v>
      </c>
      <c r="B503">
        <v>233146</v>
      </c>
      <c r="C503" t="s">
        <v>20</v>
      </c>
      <c r="D503" t="s">
        <v>532</v>
      </c>
      <c r="E503" t="s">
        <v>153</v>
      </c>
      <c r="F503">
        <v>5</v>
      </c>
      <c r="G503" s="95">
        <v>44305</v>
      </c>
      <c r="H503" s="95">
        <v>44314</v>
      </c>
      <c r="I503" s="95">
        <v>44307</v>
      </c>
      <c r="J503" t="s">
        <v>535</v>
      </c>
      <c r="K503" t="s">
        <v>24</v>
      </c>
      <c r="L503" t="s">
        <v>25</v>
      </c>
      <c r="M503" t="s">
        <v>26</v>
      </c>
      <c r="O503" t="s">
        <v>38</v>
      </c>
      <c r="P503" t="s">
        <v>27</v>
      </c>
      <c r="Q503" t="s">
        <v>29</v>
      </c>
      <c r="R503" t="s">
        <v>29</v>
      </c>
    </row>
    <row r="504" spans="1:18" x14ac:dyDescent="0.25">
      <c r="A504" t="s">
        <v>39</v>
      </c>
      <c r="B504">
        <v>233146</v>
      </c>
      <c r="C504" t="s">
        <v>20</v>
      </c>
      <c r="D504" t="s">
        <v>532</v>
      </c>
      <c r="E504" t="s">
        <v>79</v>
      </c>
      <c r="F504">
        <v>1</v>
      </c>
      <c r="G504" s="95">
        <v>44305</v>
      </c>
      <c r="H504" s="95">
        <v>44314</v>
      </c>
      <c r="I504" s="95">
        <v>44307</v>
      </c>
      <c r="K504" t="s">
        <v>24</v>
      </c>
      <c r="L504" t="s">
        <v>58</v>
      </c>
      <c r="M504" t="s">
        <v>26</v>
      </c>
      <c r="O504" t="s">
        <v>38</v>
      </c>
      <c r="P504" t="s">
        <v>27</v>
      </c>
      <c r="Q504" t="s">
        <v>29</v>
      </c>
      <c r="R504" t="s">
        <v>29</v>
      </c>
    </row>
    <row r="505" spans="1:18" x14ac:dyDescent="0.25">
      <c r="A505" t="s">
        <v>30</v>
      </c>
      <c r="B505">
        <v>233191</v>
      </c>
      <c r="C505" t="s">
        <v>410</v>
      </c>
      <c r="D505" t="s">
        <v>536</v>
      </c>
      <c r="E505" t="s">
        <v>48</v>
      </c>
      <c r="F505">
        <v>4</v>
      </c>
      <c r="G505" s="95">
        <v>44305</v>
      </c>
      <c r="H505" s="95">
        <v>44309</v>
      </c>
      <c r="I505" s="95">
        <v>44309</v>
      </c>
      <c r="K505" t="s">
        <v>24</v>
      </c>
      <c r="L505" t="s">
        <v>58</v>
      </c>
      <c r="M505" t="s">
        <v>26</v>
      </c>
      <c r="O505" t="s">
        <v>27</v>
      </c>
      <c r="P505" t="s">
        <v>38</v>
      </c>
      <c r="Q505" t="s">
        <v>29</v>
      </c>
      <c r="R505" t="s">
        <v>29</v>
      </c>
    </row>
    <row r="506" spans="1:18" x14ac:dyDescent="0.25">
      <c r="A506" t="s">
        <v>52</v>
      </c>
      <c r="B506" t="s">
        <v>247</v>
      </c>
      <c r="C506" t="s">
        <v>20</v>
      </c>
      <c r="D506" t="s">
        <v>537</v>
      </c>
      <c r="E506" t="s">
        <v>127</v>
      </c>
      <c r="F506">
        <v>1</v>
      </c>
      <c r="G506" s="95">
        <v>44305</v>
      </c>
      <c r="H506" s="95">
        <v>44308</v>
      </c>
      <c r="I506" s="95">
        <v>44308</v>
      </c>
      <c r="J506" t="s">
        <v>538</v>
      </c>
      <c r="K506" t="s">
        <v>24</v>
      </c>
      <c r="L506" t="s">
        <v>25</v>
      </c>
      <c r="M506" t="s">
        <v>26</v>
      </c>
      <c r="O506" t="s">
        <v>27</v>
      </c>
      <c r="P506" t="s">
        <v>27</v>
      </c>
    </row>
    <row r="507" spans="1:18" x14ac:dyDescent="0.25">
      <c r="A507" t="s">
        <v>52</v>
      </c>
      <c r="B507" t="s">
        <v>247</v>
      </c>
      <c r="C507" t="s">
        <v>20</v>
      </c>
      <c r="D507" t="s">
        <v>537</v>
      </c>
      <c r="E507" t="s">
        <v>124</v>
      </c>
      <c r="F507">
        <v>1</v>
      </c>
      <c r="G507" s="95">
        <v>44305</v>
      </c>
      <c r="H507" s="95">
        <v>44308</v>
      </c>
      <c r="I507" s="95">
        <v>44308</v>
      </c>
      <c r="J507" t="s">
        <v>538</v>
      </c>
      <c r="K507" t="s">
        <v>24</v>
      </c>
      <c r="L507" t="s">
        <v>25</v>
      </c>
      <c r="M507" t="s">
        <v>26</v>
      </c>
      <c r="O507" t="s">
        <v>27</v>
      </c>
      <c r="P507" t="s">
        <v>27</v>
      </c>
    </row>
    <row r="508" spans="1:18" x14ac:dyDescent="0.25">
      <c r="A508" t="s">
        <v>39</v>
      </c>
      <c r="B508" t="s">
        <v>247</v>
      </c>
      <c r="C508" t="s">
        <v>20</v>
      </c>
      <c r="D508" t="s">
        <v>539</v>
      </c>
      <c r="E508" t="s">
        <v>124</v>
      </c>
      <c r="F508">
        <v>3</v>
      </c>
      <c r="G508" s="95">
        <v>44305</v>
      </c>
      <c r="H508" s="95">
        <v>44305</v>
      </c>
      <c r="I508" s="95">
        <v>44305</v>
      </c>
      <c r="K508" t="s">
        <v>24</v>
      </c>
      <c r="L508" t="s">
        <v>25</v>
      </c>
      <c r="M508" t="s">
        <v>26</v>
      </c>
      <c r="O508" t="s">
        <v>27</v>
      </c>
      <c r="P508" t="s">
        <v>27</v>
      </c>
    </row>
    <row r="509" spans="1:18" x14ac:dyDescent="0.25">
      <c r="A509" t="s">
        <v>96</v>
      </c>
      <c r="B509" t="s">
        <v>540</v>
      </c>
      <c r="C509" t="s">
        <v>140</v>
      </c>
      <c r="D509" t="s">
        <v>541</v>
      </c>
      <c r="E509" t="s">
        <v>107</v>
      </c>
      <c r="F509">
        <v>1</v>
      </c>
      <c r="G509" s="95">
        <v>44306</v>
      </c>
      <c r="H509" s="95">
        <v>44306</v>
      </c>
      <c r="I509" s="95">
        <v>44306</v>
      </c>
      <c r="K509" t="s">
        <v>24</v>
      </c>
      <c r="L509" t="s">
        <v>58</v>
      </c>
      <c r="M509" t="s">
        <v>26</v>
      </c>
      <c r="O509" t="s">
        <v>38</v>
      </c>
      <c r="P509" t="s">
        <v>38</v>
      </c>
      <c r="Q509" t="s">
        <v>54</v>
      </c>
      <c r="R509" t="s">
        <v>54</v>
      </c>
    </row>
    <row r="510" spans="1:18" x14ac:dyDescent="0.25">
      <c r="A510" t="s">
        <v>300</v>
      </c>
      <c r="B510">
        <v>233300</v>
      </c>
      <c r="C510" t="s">
        <v>20</v>
      </c>
      <c r="D510" t="s">
        <v>542</v>
      </c>
      <c r="E510" t="s">
        <v>69</v>
      </c>
      <c r="F510">
        <v>1</v>
      </c>
      <c r="G510" s="95">
        <v>44306</v>
      </c>
      <c r="H510" s="95">
        <v>44308</v>
      </c>
      <c r="K510" t="s">
        <v>384</v>
      </c>
      <c r="L510" t="s">
        <v>58</v>
      </c>
      <c r="M510" t="s">
        <v>26</v>
      </c>
      <c r="O510" t="s">
        <v>38</v>
      </c>
      <c r="P510" t="s">
        <v>38</v>
      </c>
      <c r="Q510" t="s">
        <v>286</v>
      </c>
    </row>
    <row r="511" spans="1:18" x14ac:dyDescent="0.25">
      <c r="A511" t="s">
        <v>300</v>
      </c>
      <c r="B511">
        <v>233300</v>
      </c>
      <c r="C511" t="s">
        <v>20</v>
      </c>
      <c r="D511" t="s">
        <v>542</v>
      </c>
      <c r="E511" t="s">
        <v>102</v>
      </c>
      <c r="F511">
        <v>3</v>
      </c>
      <c r="G511" s="95">
        <v>44306</v>
      </c>
      <c r="H511" s="95">
        <v>44308</v>
      </c>
      <c r="K511" t="s">
        <v>384</v>
      </c>
      <c r="L511" t="s">
        <v>58</v>
      </c>
      <c r="M511" t="s">
        <v>26</v>
      </c>
      <c r="N511">
        <v>2</v>
      </c>
      <c r="O511" t="s">
        <v>38</v>
      </c>
      <c r="P511" t="s">
        <v>38</v>
      </c>
      <c r="Q511" t="s">
        <v>286</v>
      </c>
    </row>
    <row r="512" spans="1:18" x14ac:dyDescent="0.25">
      <c r="A512" t="s">
        <v>300</v>
      </c>
      <c r="B512">
        <v>233300</v>
      </c>
      <c r="C512" t="s">
        <v>20</v>
      </c>
      <c r="D512" t="s">
        <v>542</v>
      </c>
      <c r="E512" t="s">
        <v>82</v>
      </c>
      <c r="F512">
        <v>1</v>
      </c>
      <c r="G512" s="95">
        <v>44306</v>
      </c>
      <c r="H512" s="95">
        <v>44308</v>
      </c>
      <c r="K512" t="s">
        <v>384</v>
      </c>
      <c r="L512" t="s">
        <v>58</v>
      </c>
      <c r="M512" t="s">
        <v>26</v>
      </c>
      <c r="O512" t="s">
        <v>38</v>
      </c>
      <c r="P512" t="s">
        <v>38</v>
      </c>
      <c r="Q512" t="s">
        <v>286</v>
      </c>
    </row>
    <row r="513" spans="1:18" x14ac:dyDescent="0.25">
      <c r="A513" t="s">
        <v>300</v>
      </c>
      <c r="B513">
        <v>233300</v>
      </c>
      <c r="C513" t="s">
        <v>20</v>
      </c>
      <c r="D513" t="s">
        <v>542</v>
      </c>
      <c r="E513" t="s">
        <v>68</v>
      </c>
      <c r="F513">
        <v>3</v>
      </c>
      <c r="G513" s="95">
        <v>44306</v>
      </c>
      <c r="H513" s="95">
        <v>44308</v>
      </c>
      <c r="K513" t="s">
        <v>384</v>
      </c>
      <c r="L513" t="s">
        <v>58</v>
      </c>
      <c r="M513" t="s">
        <v>26</v>
      </c>
      <c r="O513" t="s">
        <v>38</v>
      </c>
      <c r="P513" t="s">
        <v>38</v>
      </c>
      <c r="Q513" t="s">
        <v>286</v>
      </c>
    </row>
    <row r="514" spans="1:18" x14ac:dyDescent="0.25">
      <c r="A514" t="s">
        <v>300</v>
      </c>
      <c r="B514">
        <v>233300</v>
      </c>
      <c r="C514" t="s">
        <v>20</v>
      </c>
      <c r="D514" t="s">
        <v>364</v>
      </c>
      <c r="E514" t="s">
        <v>153</v>
      </c>
      <c r="F514">
        <v>3</v>
      </c>
      <c r="G514" s="95">
        <v>44308</v>
      </c>
      <c r="H514" s="95">
        <v>44308</v>
      </c>
      <c r="K514" t="s">
        <v>384</v>
      </c>
      <c r="L514" t="s">
        <v>58</v>
      </c>
      <c r="M514" t="s">
        <v>26</v>
      </c>
      <c r="O514" t="s">
        <v>38</v>
      </c>
      <c r="P514" t="s">
        <v>38</v>
      </c>
      <c r="Q514" t="s">
        <v>286</v>
      </c>
    </row>
    <row r="515" spans="1:18" x14ac:dyDescent="0.25">
      <c r="A515" t="s">
        <v>300</v>
      </c>
      <c r="B515">
        <v>233300</v>
      </c>
      <c r="C515" t="s">
        <v>20</v>
      </c>
      <c r="D515" t="s">
        <v>364</v>
      </c>
      <c r="E515" t="s">
        <v>22</v>
      </c>
      <c r="F515">
        <v>1</v>
      </c>
      <c r="G515" s="95">
        <v>44308</v>
      </c>
      <c r="H515" s="95">
        <v>44308</v>
      </c>
      <c r="K515" t="s">
        <v>384</v>
      </c>
      <c r="L515" t="s">
        <v>58</v>
      </c>
      <c r="M515" t="s">
        <v>26</v>
      </c>
      <c r="O515" t="s">
        <v>38</v>
      </c>
      <c r="P515" t="s">
        <v>38</v>
      </c>
      <c r="Q515" t="s">
        <v>286</v>
      </c>
    </row>
    <row r="516" spans="1:18" x14ac:dyDescent="0.25">
      <c r="A516" t="s">
        <v>300</v>
      </c>
      <c r="B516">
        <v>233300</v>
      </c>
      <c r="C516" t="s">
        <v>20</v>
      </c>
      <c r="D516" t="s">
        <v>364</v>
      </c>
      <c r="E516" t="s">
        <v>111</v>
      </c>
      <c r="F516">
        <v>1</v>
      </c>
      <c r="G516" s="95">
        <v>44308</v>
      </c>
      <c r="H516" s="95">
        <v>44308</v>
      </c>
      <c r="J516" t="s">
        <v>543</v>
      </c>
      <c r="K516" t="s">
        <v>384</v>
      </c>
      <c r="L516" t="s">
        <v>58</v>
      </c>
      <c r="M516" t="s">
        <v>26</v>
      </c>
      <c r="O516" t="s">
        <v>38</v>
      </c>
      <c r="P516" t="s">
        <v>38</v>
      </c>
      <c r="Q516" t="s">
        <v>286</v>
      </c>
    </row>
    <row r="517" spans="1:18" x14ac:dyDescent="0.25">
      <c r="A517" t="s">
        <v>39</v>
      </c>
      <c r="B517" t="s">
        <v>247</v>
      </c>
      <c r="C517" t="s">
        <v>140</v>
      </c>
      <c r="D517" t="s">
        <v>544</v>
      </c>
      <c r="E517" t="s">
        <v>545</v>
      </c>
      <c r="F517">
        <v>6</v>
      </c>
      <c r="G517" s="95">
        <v>44274</v>
      </c>
      <c r="H517" s="95">
        <v>44309</v>
      </c>
      <c r="I517" s="95">
        <v>44309</v>
      </c>
      <c r="J517" t="s">
        <v>546</v>
      </c>
      <c r="K517" t="s">
        <v>384</v>
      </c>
      <c r="L517" t="s">
        <v>25</v>
      </c>
    </row>
    <row r="518" spans="1:18" x14ac:dyDescent="0.25">
      <c r="A518" t="s">
        <v>49</v>
      </c>
      <c r="B518">
        <v>233289</v>
      </c>
      <c r="C518" t="s">
        <v>140</v>
      </c>
      <c r="D518" t="s">
        <v>547</v>
      </c>
      <c r="E518" t="s">
        <v>107</v>
      </c>
      <c r="F518">
        <v>1</v>
      </c>
      <c r="G518" s="95">
        <v>44306</v>
      </c>
      <c r="H518" s="95">
        <v>44312</v>
      </c>
      <c r="I518" s="95">
        <v>44308</v>
      </c>
      <c r="K518" t="s">
        <v>24</v>
      </c>
      <c r="L518" t="s">
        <v>37</v>
      </c>
      <c r="M518" t="s">
        <v>26</v>
      </c>
      <c r="O518" t="s">
        <v>38</v>
      </c>
      <c r="P518" t="s">
        <v>38</v>
      </c>
      <c r="Q518" t="s">
        <v>54</v>
      </c>
      <c r="R518" t="s">
        <v>54</v>
      </c>
    </row>
    <row r="519" spans="1:18" x14ac:dyDescent="0.25">
      <c r="A519" t="s">
        <v>548</v>
      </c>
      <c r="B519" t="s">
        <v>247</v>
      </c>
      <c r="C519" t="s">
        <v>140</v>
      </c>
      <c r="D519" t="s">
        <v>319</v>
      </c>
      <c r="E519" t="s">
        <v>227</v>
      </c>
      <c r="F519">
        <v>1</v>
      </c>
      <c r="I519" s="95">
        <v>44305</v>
      </c>
      <c r="K519" t="s">
        <v>384</v>
      </c>
      <c r="L519" t="s">
        <v>58</v>
      </c>
      <c r="M519" t="s">
        <v>26</v>
      </c>
      <c r="O519" t="s">
        <v>38</v>
      </c>
      <c r="P519" t="s">
        <v>38</v>
      </c>
    </row>
    <row r="520" spans="1:18" x14ac:dyDescent="0.25">
      <c r="A520" t="s">
        <v>182</v>
      </c>
      <c r="B520" t="s">
        <v>247</v>
      </c>
      <c r="C520" t="s">
        <v>140</v>
      </c>
      <c r="D520" t="s">
        <v>319</v>
      </c>
      <c r="E520" t="s">
        <v>227</v>
      </c>
      <c r="F520">
        <v>1</v>
      </c>
      <c r="G520" s="95">
        <v>44281</v>
      </c>
      <c r="I520" s="95">
        <v>44301</v>
      </c>
      <c r="K520" t="s">
        <v>24</v>
      </c>
      <c r="L520" t="s">
        <v>58</v>
      </c>
      <c r="M520" t="s">
        <v>26</v>
      </c>
      <c r="O520" t="s">
        <v>38</v>
      </c>
      <c r="P520" t="s">
        <v>38</v>
      </c>
    </row>
    <row r="521" spans="1:18" x14ac:dyDescent="0.25">
      <c r="A521" t="s">
        <v>76</v>
      </c>
      <c r="B521" t="s">
        <v>247</v>
      </c>
      <c r="C521" t="s">
        <v>140</v>
      </c>
      <c r="D521" t="s">
        <v>319</v>
      </c>
      <c r="E521" t="s">
        <v>227</v>
      </c>
      <c r="F521">
        <v>1</v>
      </c>
      <c r="G521" s="95">
        <v>44285</v>
      </c>
      <c r="H521" s="95">
        <v>44293</v>
      </c>
      <c r="I521" s="95">
        <v>44293</v>
      </c>
      <c r="K521" t="s">
        <v>24</v>
      </c>
      <c r="L521" t="s">
        <v>58</v>
      </c>
      <c r="M521" t="s">
        <v>26</v>
      </c>
      <c r="O521" t="s">
        <v>38</v>
      </c>
      <c r="P521" t="s">
        <v>38</v>
      </c>
      <c r="Q521" t="s">
        <v>54</v>
      </c>
      <c r="R521" t="s">
        <v>54</v>
      </c>
    </row>
    <row r="522" spans="1:18" x14ac:dyDescent="0.25">
      <c r="A522" t="s">
        <v>35</v>
      </c>
      <c r="B522" t="s">
        <v>247</v>
      </c>
      <c r="C522" t="s">
        <v>140</v>
      </c>
      <c r="D522" t="s">
        <v>319</v>
      </c>
      <c r="E522" t="s">
        <v>227</v>
      </c>
      <c r="F522">
        <v>1</v>
      </c>
      <c r="G522" s="95">
        <v>44291</v>
      </c>
      <c r="H522" s="95">
        <v>44298</v>
      </c>
      <c r="I522" s="95">
        <v>44298</v>
      </c>
      <c r="K522" t="s">
        <v>24</v>
      </c>
      <c r="L522" t="s">
        <v>58</v>
      </c>
      <c r="M522" t="s">
        <v>26</v>
      </c>
      <c r="N522">
        <v>2</v>
      </c>
      <c r="O522" t="s">
        <v>38</v>
      </c>
      <c r="P522" t="s">
        <v>38</v>
      </c>
      <c r="Q522" t="s">
        <v>54</v>
      </c>
      <c r="R522" t="s">
        <v>54</v>
      </c>
    </row>
    <row r="523" spans="1:18" x14ac:dyDescent="0.25">
      <c r="A523" t="s">
        <v>49</v>
      </c>
      <c r="B523" t="s">
        <v>247</v>
      </c>
      <c r="C523" t="s">
        <v>140</v>
      </c>
      <c r="D523" t="s">
        <v>319</v>
      </c>
      <c r="E523" t="s">
        <v>227</v>
      </c>
      <c r="F523">
        <v>1</v>
      </c>
      <c r="G523" s="95">
        <v>44292</v>
      </c>
      <c r="H523" s="95">
        <v>44299</v>
      </c>
      <c r="I523" s="95">
        <v>44298</v>
      </c>
      <c r="K523" t="s">
        <v>24</v>
      </c>
      <c r="L523" t="s">
        <v>58</v>
      </c>
      <c r="M523" t="s">
        <v>26</v>
      </c>
      <c r="N523">
        <v>1</v>
      </c>
      <c r="O523" t="s">
        <v>38</v>
      </c>
      <c r="P523" t="s">
        <v>38</v>
      </c>
      <c r="Q523" t="s">
        <v>54</v>
      </c>
      <c r="R523" t="s">
        <v>54</v>
      </c>
    </row>
    <row r="524" spans="1:18" x14ac:dyDescent="0.25">
      <c r="A524" t="s">
        <v>52</v>
      </c>
      <c r="B524" t="s">
        <v>247</v>
      </c>
      <c r="C524" t="s">
        <v>140</v>
      </c>
      <c r="D524" t="s">
        <v>319</v>
      </c>
      <c r="E524" t="s">
        <v>227</v>
      </c>
      <c r="F524">
        <v>1</v>
      </c>
      <c r="G524" s="95">
        <v>44294</v>
      </c>
      <c r="H524" s="95">
        <v>44301</v>
      </c>
      <c r="I524" s="95">
        <v>44299</v>
      </c>
      <c r="K524" t="s">
        <v>24</v>
      </c>
      <c r="L524" t="s">
        <v>58</v>
      </c>
      <c r="M524" t="s">
        <v>26</v>
      </c>
      <c r="N524">
        <v>3</v>
      </c>
      <c r="O524" t="s">
        <v>38</v>
      </c>
      <c r="P524" t="s">
        <v>38</v>
      </c>
      <c r="Q524" t="s">
        <v>28</v>
      </c>
      <c r="R524" t="s">
        <v>54</v>
      </c>
    </row>
    <row r="525" spans="1:18" x14ac:dyDescent="0.25">
      <c r="A525" t="s">
        <v>39</v>
      </c>
      <c r="B525" t="s">
        <v>247</v>
      </c>
      <c r="C525" t="s">
        <v>140</v>
      </c>
      <c r="D525" t="s">
        <v>319</v>
      </c>
      <c r="E525" t="s">
        <v>227</v>
      </c>
      <c r="F525">
        <v>1</v>
      </c>
      <c r="G525" s="95">
        <v>44299</v>
      </c>
      <c r="H525" s="95">
        <v>44306</v>
      </c>
      <c r="I525" s="95">
        <v>44306</v>
      </c>
      <c r="K525" t="s">
        <v>24</v>
      </c>
      <c r="L525" t="s">
        <v>58</v>
      </c>
      <c r="M525" t="s">
        <v>26</v>
      </c>
      <c r="N525">
        <v>2</v>
      </c>
      <c r="O525" t="s">
        <v>38</v>
      </c>
      <c r="P525" t="s">
        <v>38</v>
      </c>
      <c r="Q525" t="s">
        <v>28</v>
      </c>
      <c r="R525" t="s">
        <v>54</v>
      </c>
    </row>
    <row r="526" spans="1:18" x14ac:dyDescent="0.25">
      <c r="A526" t="s">
        <v>76</v>
      </c>
      <c r="B526" t="s">
        <v>549</v>
      </c>
      <c r="C526" t="s">
        <v>140</v>
      </c>
      <c r="D526" t="s">
        <v>550</v>
      </c>
      <c r="E526" t="s">
        <v>107</v>
      </c>
      <c r="F526">
        <v>1</v>
      </c>
      <c r="G526" s="95">
        <v>44306</v>
      </c>
      <c r="H526" s="95">
        <v>44313</v>
      </c>
      <c r="I526" s="95">
        <v>44312</v>
      </c>
      <c r="J526" t="s">
        <v>551</v>
      </c>
      <c r="K526" t="s">
        <v>24</v>
      </c>
      <c r="L526" t="s">
        <v>58</v>
      </c>
      <c r="M526" t="s">
        <v>26</v>
      </c>
      <c r="O526" t="s">
        <v>38</v>
      </c>
      <c r="P526" t="s">
        <v>38</v>
      </c>
      <c r="Q526" t="s">
        <v>54</v>
      </c>
      <c r="R526" t="s">
        <v>54</v>
      </c>
    </row>
    <row r="527" spans="1:18" x14ac:dyDescent="0.25">
      <c r="A527" t="s">
        <v>76</v>
      </c>
      <c r="B527" t="s">
        <v>549</v>
      </c>
      <c r="C527" t="s">
        <v>140</v>
      </c>
      <c r="D527" t="s">
        <v>550</v>
      </c>
      <c r="E527" t="s">
        <v>46</v>
      </c>
      <c r="F527">
        <v>1</v>
      </c>
      <c r="G527" s="95">
        <v>44306</v>
      </c>
      <c r="H527" s="95">
        <v>44313</v>
      </c>
      <c r="I527" s="95">
        <v>44312</v>
      </c>
      <c r="J527" t="s">
        <v>551</v>
      </c>
      <c r="K527" t="s">
        <v>24</v>
      </c>
      <c r="L527" t="s">
        <v>58</v>
      </c>
      <c r="M527" t="s">
        <v>26</v>
      </c>
      <c r="O527" t="s">
        <v>38</v>
      </c>
      <c r="P527" t="s">
        <v>38</v>
      </c>
      <c r="Q527" t="s">
        <v>54</v>
      </c>
      <c r="R527" t="s">
        <v>54</v>
      </c>
    </row>
    <row r="528" spans="1:18" x14ac:dyDescent="0.25">
      <c r="A528" t="s">
        <v>76</v>
      </c>
      <c r="B528" t="s">
        <v>549</v>
      </c>
      <c r="C528" t="s">
        <v>140</v>
      </c>
      <c r="D528" t="s">
        <v>550</v>
      </c>
      <c r="E528" t="s">
        <v>69</v>
      </c>
      <c r="F528">
        <v>1</v>
      </c>
      <c r="G528" s="95">
        <v>44306</v>
      </c>
      <c r="H528" s="95">
        <v>44313</v>
      </c>
      <c r="I528" s="95">
        <v>44312</v>
      </c>
      <c r="J528" t="s">
        <v>551</v>
      </c>
      <c r="K528" t="s">
        <v>24</v>
      </c>
      <c r="L528" t="s">
        <v>58</v>
      </c>
      <c r="M528" t="s">
        <v>26</v>
      </c>
      <c r="O528" t="s">
        <v>38</v>
      </c>
      <c r="P528" t="s">
        <v>38</v>
      </c>
      <c r="Q528" t="s">
        <v>54</v>
      </c>
      <c r="R528" t="s">
        <v>54</v>
      </c>
    </row>
    <row r="529" spans="1:18" x14ac:dyDescent="0.25">
      <c r="A529" t="s">
        <v>30</v>
      </c>
      <c r="B529" t="s">
        <v>552</v>
      </c>
      <c r="C529" t="s">
        <v>20</v>
      </c>
      <c r="D529" t="s">
        <v>553</v>
      </c>
      <c r="E529" t="s">
        <v>59</v>
      </c>
      <c r="G529" s="95">
        <v>44308</v>
      </c>
      <c r="H529" s="95">
        <v>44309</v>
      </c>
      <c r="J529" t="s">
        <v>554</v>
      </c>
      <c r="K529" t="s">
        <v>384</v>
      </c>
      <c r="L529" t="s">
        <v>37</v>
      </c>
      <c r="M529" t="s">
        <v>26</v>
      </c>
      <c r="O529" t="s">
        <v>38</v>
      </c>
    </row>
    <row r="530" spans="1:18" x14ac:dyDescent="0.25">
      <c r="A530" t="s">
        <v>30</v>
      </c>
      <c r="B530" t="s">
        <v>552</v>
      </c>
      <c r="C530" t="s">
        <v>140</v>
      </c>
      <c r="D530" t="s">
        <v>553</v>
      </c>
      <c r="E530" t="s">
        <v>110</v>
      </c>
      <c r="F530">
        <v>1</v>
      </c>
      <c r="G530" s="95">
        <v>44308</v>
      </c>
      <c r="H530" s="95">
        <v>44319</v>
      </c>
      <c r="I530" s="95">
        <v>44316</v>
      </c>
      <c r="K530" t="s">
        <v>384</v>
      </c>
      <c r="L530" t="s">
        <v>58</v>
      </c>
      <c r="M530" t="s">
        <v>26</v>
      </c>
      <c r="O530" t="s">
        <v>38</v>
      </c>
      <c r="P530" t="s">
        <v>38</v>
      </c>
    </row>
    <row r="531" spans="1:18" x14ac:dyDescent="0.25">
      <c r="A531" t="s">
        <v>30</v>
      </c>
      <c r="B531" t="s">
        <v>552</v>
      </c>
      <c r="C531" t="s">
        <v>140</v>
      </c>
      <c r="D531" t="s">
        <v>553</v>
      </c>
      <c r="E531" t="s">
        <v>104</v>
      </c>
      <c r="F531">
        <v>1</v>
      </c>
      <c r="G531" s="95">
        <v>44308</v>
      </c>
      <c r="H531" s="95">
        <v>44319</v>
      </c>
      <c r="I531" s="95">
        <v>44316</v>
      </c>
      <c r="K531" t="s">
        <v>384</v>
      </c>
      <c r="L531" t="s">
        <v>58</v>
      </c>
      <c r="M531" t="s">
        <v>26</v>
      </c>
      <c r="O531" t="s">
        <v>38</v>
      </c>
      <c r="P531" t="s">
        <v>38</v>
      </c>
    </row>
    <row r="532" spans="1:18" x14ac:dyDescent="0.25">
      <c r="A532" t="s">
        <v>30</v>
      </c>
      <c r="B532" t="s">
        <v>552</v>
      </c>
      <c r="C532" t="s">
        <v>140</v>
      </c>
      <c r="D532" t="s">
        <v>553</v>
      </c>
      <c r="E532" t="s">
        <v>116</v>
      </c>
      <c r="F532">
        <v>1</v>
      </c>
      <c r="G532" s="95">
        <v>44308</v>
      </c>
      <c r="H532" s="95">
        <v>44319</v>
      </c>
      <c r="I532" s="95">
        <v>44316</v>
      </c>
      <c r="K532" t="s">
        <v>384</v>
      </c>
      <c r="L532" t="s">
        <v>58</v>
      </c>
      <c r="M532" t="s">
        <v>26</v>
      </c>
      <c r="O532" t="s">
        <v>38</v>
      </c>
      <c r="P532" t="s">
        <v>38</v>
      </c>
    </row>
    <row r="533" spans="1:18" x14ac:dyDescent="0.25">
      <c r="A533" t="s">
        <v>30</v>
      </c>
      <c r="B533" t="s">
        <v>552</v>
      </c>
      <c r="C533" t="s">
        <v>140</v>
      </c>
      <c r="D533" t="s">
        <v>553</v>
      </c>
      <c r="E533" t="s">
        <v>22</v>
      </c>
      <c r="F533">
        <v>1</v>
      </c>
      <c r="G533" s="95">
        <v>44308</v>
      </c>
      <c r="H533" s="95">
        <v>44319</v>
      </c>
      <c r="I533" s="95">
        <v>44316</v>
      </c>
      <c r="K533" t="s">
        <v>384</v>
      </c>
      <c r="L533" t="s">
        <v>58</v>
      </c>
      <c r="M533" t="s">
        <v>26</v>
      </c>
      <c r="O533" t="s">
        <v>38</v>
      </c>
      <c r="P533" t="s">
        <v>38</v>
      </c>
    </row>
    <row r="534" spans="1:18" x14ac:dyDescent="0.25">
      <c r="A534" t="s">
        <v>30</v>
      </c>
      <c r="B534" t="s">
        <v>552</v>
      </c>
      <c r="C534" t="s">
        <v>140</v>
      </c>
      <c r="D534" t="s">
        <v>553</v>
      </c>
      <c r="E534" t="s">
        <v>82</v>
      </c>
      <c r="F534">
        <v>1</v>
      </c>
      <c r="G534" s="95">
        <v>44308</v>
      </c>
      <c r="H534" s="95">
        <v>44319</v>
      </c>
      <c r="I534" s="95">
        <v>44316</v>
      </c>
      <c r="K534" t="s">
        <v>384</v>
      </c>
      <c r="L534" t="s">
        <v>58</v>
      </c>
      <c r="M534" t="s">
        <v>26</v>
      </c>
      <c r="O534" t="s">
        <v>38</v>
      </c>
      <c r="P534" t="s">
        <v>38</v>
      </c>
    </row>
    <row r="535" spans="1:18" x14ac:dyDescent="0.25">
      <c r="A535" t="s">
        <v>30</v>
      </c>
      <c r="B535" t="s">
        <v>552</v>
      </c>
      <c r="C535" t="s">
        <v>140</v>
      </c>
      <c r="D535" t="s">
        <v>553</v>
      </c>
      <c r="E535" t="s">
        <v>106</v>
      </c>
      <c r="F535">
        <v>1</v>
      </c>
      <c r="G535" s="95">
        <v>44308</v>
      </c>
      <c r="H535" s="95">
        <v>44319</v>
      </c>
      <c r="I535" s="95">
        <v>44316</v>
      </c>
      <c r="K535" t="s">
        <v>384</v>
      </c>
      <c r="L535" t="s">
        <v>58</v>
      </c>
      <c r="M535" t="s">
        <v>26</v>
      </c>
      <c r="O535" t="s">
        <v>38</v>
      </c>
      <c r="P535" t="s">
        <v>38</v>
      </c>
    </row>
    <row r="536" spans="1:18" x14ac:dyDescent="0.25">
      <c r="A536" t="s">
        <v>30</v>
      </c>
      <c r="B536" t="s">
        <v>552</v>
      </c>
      <c r="C536" t="s">
        <v>140</v>
      </c>
      <c r="D536" t="s">
        <v>553</v>
      </c>
      <c r="E536" t="s">
        <v>111</v>
      </c>
      <c r="F536">
        <v>1</v>
      </c>
      <c r="G536" s="95">
        <v>44308</v>
      </c>
      <c r="H536" s="95">
        <v>44319</v>
      </c>
      <c r="I536" s="95">
        <v>44316</v>
      </c>
      <c r="J536" t="s">
        <v>555</v>
      </c>
      <c r="K536" t="s">
        <v>384</v>
      </c>
      <c r="L536" t="s">
        <v>58</v>
      </c>
      <c r="M536" t="s">
        <v>26</v>
      </c>
      <c r="O536" t="s">
        <v>38</v>
      </c>
      <c r="P536" t="s">
        <v>38</v>
      </c>
    </row>
    <row r="537" spans="1:18" x14ac:dyDescent="0.25">
      <c r="A537" t="s">
        <v>159</v>
      </c>
      <c r="B537" t="s">
        <v>556</v>
      </c>
      <c r="C537" t="s">
        <v>410</v>
      </c>
      <c r="D537" t="s">
        <v>364</v>
      </c>
      <c r="E537" t="s">
        <v>69</v>
      </c>
      <c r="F537">
        <v>2</v>
      </c>
      <c r="G537" s="95">
        <v>44306</v>
      </c>
      <c r="H537" s="95">
        <v>44309</v>
      </c>
      <c r="I537" s="95">
        <v>44309</v>
      </c>
      <c r="J537" t="s">
        <v>557</v>
      </c>
      <c r="K537" t="s">
        <v>24</v>
      </c>
      <c r="L537" t="s">
        <v>58</v>
      </c>
      <c r="M537" t="s">
        <v>26</v>
      </c>
      <c r="N537">
        <v>2</v>
      </c>
      <c r="O537" t="s">
        <v>38</v>
      </c>
      <c r="Q537" t="s">
        <v>54</v>
      </c>
      <c r="R537" t="s">
        <v>54</v>
      </c>
    </row>
    <row r="538" spans="1:18" x14ac:dyDescent="0.25">
      <c r="A538" t="s">
        <v>159</v>
      </c>
      <c r="B538" t="s">
        <v>556</v>
      </c>
      <c r="C538" t="s">
        <v>410</v>
      </c>
      <c r="D538" t="s">
        <v>364</v>
      </c>
      <c r="E538" t="s">
        <v>68</v>
      </c>
      <c r="F538">
        <v>8</v>
      </c>
      <c r="G538" s="95">
        <v>44306</v>
      </c>
      <c r="H538" s="95">
        <v>44309</v>
      </c>
      <c r="I538" s="95">
        <v>44309</v>
      </c>
      <c r="J538" t="s">
        <v>557</v>
      </c>
      <c r="K538" t="s">
        <v>24</v>
      </c>
      <c r="L538" t="s">
        <v>58</v>
      </c>
      <c r="M538" t="s">
        <v>26</v>
      </c>
      <c r="N538">
        <v>2</v>
      </c>
      <c r="O538" t="s">
        <v>38</v>
      </c>
      <c r="Q538" t="s">
        <v>54</v>
      </c>
      <c r="R538" t="s">
        <v>54</v>
      </c>
    </row>
    <row r="539" spans="1:18" x14ac:dyDescent="0.25">
      <c r="A539" t="s">
        <v>159</v>
      </c>
      <c r="B539" t="s">
        <v>556</v>
      </c>
      <c r="C539" t="s">
        <v>410</v>
      </c>
      <c r="D539" t="s">
        <v>364</v>
      </c>
      <c r="E539" t="s">
        <v>153</v>
      </c>
      <c r="F539">
        <v>10</v>
      </c>
      <c r="G539" s="95">
        <v>44306</v>
      </c>
      <c r="H539" s="95">
        <v>44309</v>
      </c>
      <c r="I539" s="95">
        <v>44309</v>
      </c>
      <c r="J539" t="s">
        <v>557</v>
      </c>
      <c r="K539" t="s">
        <v>24</v>
      </c>
      <c r="L539" t="s">
        <v>58</v>
      </c>
      <c r="M539" t="s">
        <v>26</v>
      </c>
      <c r="N539">
        <v>2</v>
      </c>
      <c r="O539" t="s">
        <v>38</v>
      </c>
      <c r="Q539" t="s">
        <v>54</v>
      </c>
      <c r="R539" t="s">
        <v>54</v>
      </c>
    </row>
    <row r="540" spans="1:18" x14ac:dyDescent="0.25">
      <c r="A540" t="s">
        <v>159</v>
      </c>
      <c r="B540" t="s">
        <v>556</v>
      </c>
      <c r="C540" t="s">
        <v>410</v>
      </c>
      <c r="D540" t="s">
        <v>364</v>
      </c>
      <c r="E540" t="s">
        <v>82</v>
      </c>
      <c r="F540">
        <v>1</v>
      </c>
      <c r="G540" s="95">
        <v>44306</v>
      </c>
      <c r="H540" s="95">
        <v>44309</v>
      </c>
      <c r="I540" s="95">
        <v>44309</v>
      </c>
      <c r="J540" t="s">
        <v>557</v>
      </c>
      <c r="K540" t="s">
        <v>24</v>
      </c>
      <c r="L540" t="s">
        <v>58</v>
      </c>
      <c r="M540" t="s">
        <v>83</v>
      </c>
      <c r="N540">
        <v>2</v>
      </c>
      <c r="O540" t="s">
        <v>38</v>
      </c>
      <c r="Q540" t="s">
        <v>54</v>
      </c>
      <c r="R540" t="s">
        <v>54</v>
      </c>
    </row>
    <row r="541" spans="1:18" x14ac:dyDescent="0.25">
      <c r="A541" t="s">
        <v>72</v>
      </c>
      <c r="B541">
        <v>231232</v>
      </c>
      <c r="C541" t="s">
        <v>140</v>
      </c>
      <c r="D541" t="s">
        <v>558</v>
      </c>
      <c r="E541" t="s">
        <v>69</v>
      </c>
      <c r="F541">
        <v>2</v>
      </c>
      <c r="G541" s="95">
        <v>44298</v>
      </c>
      <c r="H541" s="95">
        <v>44309</v>
      </c>
      <c r="I541" s="95">
        <v>44309</v>
      </c>
      <c r="K541" t="s">
        <v>384</v>
      </c>
      <c r="L541" t="s">
        <v>58</v>
      </c>
      <c r="M541" t="s">
        <v>26</v>
      </c>
      <c r="O541" t="s">
        <v>38</v>
      </c>
    </row>
    <row r="542" spans="1:18" x14ac:dyDescent="0.25">
      <c r="A542" t="s">
        <v>39</v>
      </c>
      <c r="B542" t="s">
        <v>247</v>
      </c>
      <c r="C542" t="s">
        <v>140</v>
      </c>
      <c r="D542" t="s">
        <v>559</v>
      </c>
      <c r="E542" t="s">
        <v>98</v>
      </c>
      <c r="F542">
        <v>18</v>
      </c>
      <c r="G542" s="95">
        <v>44305</v>
      </c>
      <c r="H542" s="95">
        <v>44326</v>
      </c>
      <c r="I542" s="95">
        <v>44320</v>
      </c>
      <c r="K542" t="s">
        <v>24</v>
      </c>
      <c r="L542" t="s">
        <v>25</v>
      </c>
      <c r="M542" t="s">
        <v>26</v>
      </c>
      <c r="O542" t="s">
        <v>27</v>
      </c>
      <c r="P542" t="s">
        <v>27</v>
      </c>
      <c r="Q542" t="s">
        <v>29</v>
      </c>
      <c r="R542" t="s">
        <v>29</v>
      </c>
    </row>
    <row r="543" spans="1:18" x14ac:dyDescent="0.25">
      <c r="A543" t="s">
        <v>87</v>
      </c>
      <c r="B543">
        <v>233464</v>
      </c>
      <c r="C543" t="s">
        <v>20</v>
      </c>
      <c r="D543" t="s">
        <v>364</v>
      </c>
      <c r="E543" t="s">
        <v>22</v>
      </c>
      <c r="F543">
        <v>1</v>
      </c>
      <c r="G543" s="95">
        <v>44308</v>
      </c>
      <c r="H543" s="95">
        <v>44309</v>
      </c>
      <c r="K543" t="s">
        <v>24</v>
      </c>
      <c r="L543" t="s">
        <v>58</v>
      </c>
      <c r="M543" t="s">
        <v>26</v>
      </c>
      <c r="N543">
        <v>1</v>
      </c>
      <c r="O543" t="s">
        <v>38</v>
      </c>
      <c r="P543" t="s">
        <v>38</v>
      </c>
      <c r="Q543" t="s">
        <v>54</v>
      </c>
      <c r="R543" t="s">
        <v>29</v>
      </c>
    </row>
    <row r="544" spans="1:18" x14ac:dyDescent="0.25">
      <c r="A544" t="s">
        <v>87</v>
      </c>
      <c r="B544">
        <v>233464</v>
      </c>
      <c r="C544" t="s">
        <v>20</v>
      </c>
      <c r="D544" t="s">
        <v>364</v>
      </c>
      <c r="E544" t="s">
        <v>68</v>
      </c>
      <c r="F544">
        <v>3</v>
      </c>
      <c r="G544" s="95">
        <v>44308</v>
      </c>
      <c r="H544" s="95">
        <v>44309</v>
      </c>
      <c r="K544" t="s">
        <v>24</v>
      </c>
      <c r="L544" t="s">
        <v>58</v>
      </c>
      <c r="M544" t="s">
        <v>26</v>
      </c>
      <c r="O544" t="s">
        <v>38</v>
      </c>
      <c r="P544" t="s">
        <v>38</v>
      </c>
      <c r="Q544" t="s">
        <v>54</v>
      </c>
      <c r="R544" t="s">
        <v>29</v>
      </c>
    </row>
    <row r="545" spans="1:18" x14ac:dyDescent="0.25">
      <c r="A545" t="s">
        <v>87</v>
      </c>
      <c r="B545">
        <v>233464</v>
      </c>
      <c r="C545" t="s">
        <v>20</v>
      </c>
      <c r="D545" t="s">
        <v>364</v>
      </c>
      <c r="E545" t="s">
        <v>153</v>
      </c>
      <c r="F545">
        <v>3</v>
      </c>
      <c r="G545" s="95">
        <v>44308</v>
      </c>
      <c r="H545" s="95">
        <v>44309</v>
      </c>
      <c r="K545" t="s">
        <v>24</v>
      </c>
      <c r="L545" t="s">
        <v>58</v>
      </c>
      <c r="M545" t="s">
        <v>26</v>
      </c>
      <c r="O545" t="s">
        <v>38</v>
      </c>
      <c r="P545" t="s">
        <v>38</v>
      </c>
      <c r="Q545" t="s">
        <v>54</v>
      </c>
      <c r="R545" t="s">
        <v>29</v>
      </c>
    </row>
    <row r="546" spans="1:18" x14ac:dyDescent="0.25">
      <c r="A546" t="s">
        <v>87</v>
      </c>
      <c r="B546">
        <v>233464</v>
      </c>
      <c r="C546" t="s">
        <v>20</v>
      </c>
      <c r="D546" t="s">
        <v>364</v>
      </c>
      <c r="E546" t="s">
        <v>82</v>
      </c>
      <c r="F546">
        <v>1</v>
      </c>
      <c r="G546" s="95">
        <v>44308</v>
      </c>
      <c r="H546" s="95">
        <v>44309</v>
      </c>
      <c r="K546" t="s">
        <v>24</v>
      </c>
      <c r="L546" t="s">
        <v>58</v>
      </c>
      <c r="M546" t="s">
        <v>26</v>
      </c>
      <c r="O546" t="s">
        <v>38</v>
      </c>
      <c r="P546" t="s">
        <v>38</v>
      </c>
      <c r="Q546" t="s">
        <v>54</v>
      </c>
      <c r="R546" t="s">
        <v>29</v>
      </c>
    </row>
    <row r="547" spans="1:18" x14ac:dyDescent="0.25">
      <c r="A547" t="s">
        <v>87</v>
      </c>
      <c r="B547">
        <v>233464</v>
      </c>
      <c r="C547" t="s">
        <v>20</v>
      </c>
      <c r="D547" t="s">
        <v>364</v>
      </c>
      <c r="E547" t="s">
        <v>69</v>
      </c>
      <c r="F547">
        <v>1</v>
      </c>
      <c r="G547" s="95">
        <v>44308</v>
      </c>
      <c r="H547" s="95">
        <v>44309</v>
      </c>
      <c r="K547" t="s">
        <v>24</v>
      </c>
      <c r="L547" t="s">
        <v>58</v>
      </c>
      <c r="M547" t="s">
        <v>26</v>
      </c>
      <c r="O547" t="s">
        <v>38</v>
      </c>
      <c r="P547" t="s">
        <v>38</v>
      </c>
      <c r="Q547" t="s">
        <v>54</v>
      </c>
      <c r="R547" t="s">
        <v>29</v>
      </c>
    </row>
    <row r="548" spans="1:18" x14ac:dyDescent="0.25">
      <c r="A548" t="s">
        <v>87</v>
      </c>
      <c r="B548">
        <v>233464</v>
      </c>
      <c r="C548" t="s">
        <v>20</v>
      </c>
      <c r="D548" t="s">
        <v>364</v>
      </c>
      <c r="E548" t="s">
        <v>102</v>
      </c>
      <c r="F548">
        <v>1</v>
      </c>
      <c r="G548" s="95">
        <v>44308</v>
      </c>
      <c r="H548" s="95">
        <v>44309</v>
      </c>
      <c r="K548" t="s">
        <v>24</v>
      </c>
      <c r="L548" t="s">
        <v>58</v>
      </c>
      <c r="M548" t="s">
        <v>26</v>
      </c>
      <c r="N548">
        <v>1</v>
      </c>
      <c r="O548" t="s">
        <v>38</v>
      </c>
      <c r="P548" t="s">
        <v>38</v>
      </c>
      <c r="Q548" t="s">
        <v>54</v>
      </c>
      <c r="R548" t="s">
        <v>29</v>
      </c>
    </row>
    <row r="549" spans="1:18" x14ac:dyDescent="0.25">
      <c r="A549" t="s">
        <v>87</v>
      </c>
      <c r="B549">
        <v>233464</v>
      </c>
      <c r="C549" t="s">
        <v>20</v>
      </c>
      <c r="D549" t="s">
        <v>364</v>
      </c>
      <c r="E549" t="s">
        <v>111</v>
      </c>
      <c r="F549">
        <v>1</v>
      </c>
      <c r="G549" s="95">
        <v>44308</v>
      </c>
      <c r="H549" s="95">
        <v>44309</v>
      </c>
      <c r="J549" t="s">
        <v>543</v>
      </c>
      <c r="K549" t="s">
        <v>24</v>
      </c>
      <c r="L549" t="s">
        <v>58</v>
      </c>
      <c r="M549" t="s">
        <v>26</v>
      </c>
      <c r="O549" t="s">
        <v>38</v>
      </c>
      <c r="P549" t="s">
        <v>38</v>
      </c>
      <c r="Q549" t="s">
        <v>54</v>
      </c>
      <c r="R549" t="s">
        <v>29</v>
      </c>
    </row>
    <row r="550" spans="1:18" x14ac:dyDescent="0.25">
      <c r="A550" t="s">
        <v>87</v>
      </c>
      <c r="B550">
        <v>233464</v>
      </c>
      <c r="C550" t="s">
        <v>20</v>
      </c>
      <c r="D550" t="s">
        <v>364</v>
      </c>
      <c r="E550" t="s">
        <v>463</v>
      </c>
      <c r="F550">
        <v>1</v>
      </c>
      <c r="G550" s="95">
        <v>44308</v>
      </c>
      <c r="H550" s="95">
        <v>44309</v>
      </c>
      <c r="J550" t="s">
        <v>560</v>
      </c>
      <c r="K550" t="s">
        <v>24</v>
      </c>
      <c r="L550" t="s">
        <v>58</v>
      </c>
      <c r="M550" t="s">
        <v>26</v>
      </c>
      <c r="N550">
        <v>1</v>
      </c>
      <c r="O550" t="s">
        <v>38</v>
      </c>
      <c r="P550" t="s">
        <v>38</v>
      </c>
      <c r="Q550" t="s">
        <v>54</v>
      </c>
      <c r="R550" t="s">
        <v>29</v>
      </c>
    </row>
    <row r="551" spans="1:18" x14ac:dyDescent="0.25">
      <c r="A551" t="s">
        <v>87</v>
      </c>
      <c r="B551">
        <v>233464</v>
      </c>
      <c r="C551" t="s">
        <v>20</v>
      </c>
      <c r="D551" t="s">
        <v>364</v>
      </c>
      <c r="E551" t="s">
        <v>561</v>
      </c>
      <c r="F551">
        <v>1</v>
      </c>
      <c r="G551" s="95">
        <v>44308</v>
      </c>
      <c r="H551" s="95">
        <v>44316</v>
      </c>
      <c r="J551" t="s">
        <v>560</v>
      </c>
      <c r="K551" t="s">
        <v>24</v>
      </c>
      <c r="L551" t="s">
        <v>58</v>
      </c>
      <c r="M551" t="s">
        <v>26</v>
      </c>
      <c r="O551" t="s">
        <v>38</v>
      </c>
      <c r="P551" t="s">
        <v>38</v>
      </c>
      <c r="Q551" t="s">
        <v>54</v>
      </c>
      <c r="R551" t="s">
        <v>29</v>
      </c>
    </row>
    <row r="552" spans="1:18" x14ac:dyDescent="0.25">
      <c r="A552" t="s">
        <v>87</v>
      </c>
      <c r="B552">
        <v>233464</v>
      </c>
      <c r="C552" t="s">
        <v>20</v>
      </c>
      <c r="D552" t="s">
        <v>364</v>
      </c>
      <c r="E552" t="s">
        <v>41</v>
      </c>
      <c r="F552">
        <v>1</v>
      </c>
      <c r="G552" s="95">
        <v>44320</v>
      </c>
      <c r="H552" s="95">
        <v>44321</v>
      </c>
      <c r="K552" t="s">
        <v>384</v>
      </c>
      <c r="L552" t="s">
        <v>58</v>
      </c>
      <c r="M552" t="s">
        <v>26</v>
      </c>
      <c r="O552" t="s">
        <v>38</v>
      </c>
      <c r="P552" t="s">
        <v>38</v>
      </c>
      <c r="Q552" t="s">
        <v>54</v>
      </c>
      <c r="R552" t="s">
        <v>29</v>
      </c>
    </row>
    <row r="553" spans="1:18" x14ac:dyDescent="0.25">
      <c r="A553" t="s">
        <v>87</v>
      </c>
      <c r="B553">
        <v>233464</v>
      </c>
      <c r="C553" t="s">
        <v>20</v>
      </c>
      <c r="D553" t="s">
        <v>364</v>
      </c>
      <c r="E553" t="s">
        <v>454</v>
      </c>
      <c r="F553">
        <v>1</v>
      </c>
      <c r="G553" s="95">
        <v>44320</v>
      </c>
      <c r="H553" s="95">
        <v>44321</v>
      </c>
      <c r="K553" t="s">
        <v>384</v>
      </c>
      <c r="L553" t="s">
        <v>58</v>
      </c>
      <c r="M553" t="s">
        <v>26</v>
      </c>
      <c r="O553" t="s">
        <v>38</v>
      </c>
      <c r="P553" t="s">
        <v>38</v>
      </c>
      <c r="Q553" t="s">
        <v>54</v>
      </c>
      <c r="R553" t="s">
        <v>29</v>
      </c>
    </row>
    <row r="554" spans="1:18" x14ac:dyDescent="0.25">
      <c r="A554" t="s">
        <v>39</v>
      </c>
      <c r="B554" t="s">
        <v>247</v>
      </c>
      <c r="C554" t="s">
        <v>140</v>
      </c>
      <c r="D554" t="s">
        <v>562</v>
      </c>
      <c r="E554" t="s">
        <v>102</v>
      </c>
      <c r="F554">
        <v>4</v>
      </c>
      <c r="G554" s="95">
        <v>44309</v>
      </c>
      <c r="H554" s="95">
        <v>44309</v>
      </c>
      <c r="I554" s="95">
        <v>44309</v>
      </c>
      <c r="K554" t="s">
        <v>24</v>
      </c>
      <c r="L554" t="s">
        <v>45</v>
      </c>
      <c r="M554" t="s">
        <v>26</v>
      </c>
      <c r="O554" t="s">
        <v>38</v>
      </c>
    </row>
    <row r="555" spans="1:18" x14ac:dyDescent="0.25">
      <c r="A555" t="s">
        <v>49</v>
      </c>
      <c r="B555">
        <v>233543</v>
      </c>
      <c r="C555" t="s">
        <v>140</v>
      </c>
      <c r="D555" t="s">
        <v>563</v>
      </c>
      <c r="E555" t="s">
        <v>116</v>
      </c>
      <c r="F555">
        <v>1</v>
      </c>
      <c r="G555" s="95">
        <v>44309</v>
      </c>
      <c r="H555" s="95">
        <v>44321</v>
      </c>
      <c r="I555" s="95">
        <v>44319</v>
      </c>
      <c r="J555" t="s">
        <v>564</v>
      </c>
      <c r="K555" t="s">
        <v>384</v>
      </c>
      <c r="L555" t="s">
        <v>58</v>
      </c>
      <c r="M555" t="s">
        <v>26</v>
      </c>
      <c r="O555" t="s">
        <v>38</v>
      </c>
    </row>
    <row r="556" spans="1:18" x14ac:dyDescent="0.25">
      <c r="A556" t="s">
        <v>72</v>
      </c>
      <c r="B556" t="s">
        <v>565</v>
      </c>
      <c r="C556" t="s">
        <v>20</v>
      </c>
      <c r="D556" t="s">
        <v>566</v>
      </c>
      <c r="E556" t="s">
        <v>79</v>
      </c>
      <c r="F556">
        <v>1</v>
      </c>
      <c r="G556" s="95">
        <v>44309</v>
      </c>
      <c r="H556" s="95">
        <v>44320</v>
      </c>
      <c r="J556" t="s">
        <v>567</v>
      </c>
      <c r="K556" t="s">
        <v>384</v>
      </c>
      <c r="L556" t="s">
        <v>25</v>
      </c>
      <c r="M556" t="s">
        <v>34</v>
      </c>
      <c r="O556" t="s">
        <v>27</v>
      </c>
      <c r="P556" t="s">
        <v>27</v>
      </c>
      <c r="Q556" t="s">
        <v>54</v>
      </c>
      <c r="R556" t="s">
        <v>29</v>
      </c>
    </row>
    <row r="557" spans="1:18" x14ac:dyDescent="0.25">
      <c r="A557" t="s">
        <v>72</v>
      </c>
      <c r="B557" t="s">
        <v>565</v>
      </c>
      <c r="C557" t="s">
        <v>20</v>
      </c>
      <c r="D557" t="s">
        <v>566</v>
      </c>
      <c r="E557" t="s">
        <v>22</v>
      </c>
      <c r="F557">
        <v>1</v>
      </c>
      <c r="G557" s="95">
        <v>44309</v>
      </c>
      <c r="H557" s="95">
        <v>44320</v>
      </c>
      <c r="J557" t="s">
        <v>567</v>
      </c>
      <c r="K557" t="s">
        <v>384</v>
      </c>
      <c r="L557" t="s">
        <v>25</v>
      </c>
      <c r="M557" t="s">
        <v>26</v>
      </c>
      <c r="O557" t="s">
        <v>27</v>
      </c>
      <c r="P557" t="s">
        <v>27</v>
      </c>
      <c r="Q557" t="s">
        <v>54</v>
      </c>
      <c r="R557" t="s">
        <v>29</v>
      </c>
    </row>
    <row r="558" spans="1:18" x14ac:dyDescent="0.25">
      <c r="A558" t="s">
        <v>49</v>
      </c>
      <c r="B558">
        <v>233710</v>
      </c>
      <c r="C558" t="s">
        <v>20</v>
      </c>
      <c r="D558" t="s">
        <v>568</v>
      </c>
      <c r="E558" t="s">
        <v>46</v>
      </c>
      <c r="F558">
        <v>1</v>
      </c>
      <c r="G558" s="95">
        <v>44312</v>
      </c>
      <c r="H558" s="95">
        <v>44319</v>
      </c>
      <c r="J558" t="s">
        <v>569</v>
      </c>
      <c r="K558" t="s">
        <v>384</v>
      </c>
      <c r="L558" t="s">
        <v>25</v>
      </c>
      <c r="M558" t="s">
        <v>26</v>
      </c>
      <c r="O558" t="s">
        <v>27</v>
      </c>
      <c r="P558" t="s">
        <v>27</v>
      </c>
      <c r="Q558" t="s">
        <v>28</v>
      </c>
      <c r="R558" t="s">
        <v>54</v>
      </c>
    </row>
    <row r="559" spans="1:18" x14ac:dyDescent="0.25">
      <c r="A559" t="s">
        <v>49</v>
      </c>
      <c r="B559">
        <v>233710</v>
      </c>
      <c r="C559" t="s">
        <v>20</v>
      </c>
      <c r="D559" t="s">
        <v>568</v>
      </c>
      <c r="E559" t="s">
        <v>22</v>
      </c>
      <c r="F559">
        <v>1</v>
      </c>
      <c r="G559" s="95">
        <v>44312</v>
      </c>
      <c r="H559" s="95">
        <v>44319</v>
      </c>
      <c r="K559" t="s">
        <v>384</v>
      </c>
      <c r="L559" t="s">
        <v>25</v>
      </c>
      <c r="M559" t="s">
        <v>26</v>
      </c>
      <c r="O559" t="s">
        <v>27</v>
      </c>
      <c r="P559" t="s">
        <v>27</v>
      </c>
      <c r="Q559" t="s">
        <v>28</v>
      </c>
      <c r="R559" t="s">
        <v>54</v>
      </c>
    </row>
    <row r="560" spans="1:18" x14ac:dyDescent="0.25">
      <c r="A560" t="s">
        <v>49</v>
      </c>
      <c r="B560">
        <v>233710</v>
      </c>
      <c r="C560" t="s">
        <v>20</v>
      </c>
      <c r="D560" t="s">
        <v>568</v>
      </c>
      <c r="E560" t="s">
        <v>177</v>
      </c>
      <c r="F560">
        <v>1</v>
      </c>
      <c r="G560" s="95">
        <v>44312</v>
      </c>
      <c r="H560" s="95">
        <v>44319</v>
      </c>
      <c r="K560" t="s">
        <v>384</v>
      </c>
      <c r="L560" t="s">
        <v>25</v>
      </c>
      <c r="M560" t="s">
        <v>26</v>
      </c>
      <c r="O560" t="s">
        <v>27</v>
      </c>
      <c r="P560" t="s">
        <v>27</v>
      </c>
      <c r="Q560" t="s">
        <v>28</v>
      </c>
      <c r="R560" t="s">
        <v>54</v>
      </c>
    </row>
    <row r="561" spans="1:18" x14ac:dyDescent="0.25">
      <c r="A561" t="s">
        <v>49</v>
      </c>
      <c r="B561">
        <v>233710</v>
      </c>
      <c r="C561" t="s">
        <v>20</v>
      </c>
      <c r="D561" t="s">
        <v>568</v>
      </c>
      <c r="E561" t="s">
        <v>127</v>
      </c>
      <c r="F561">
        <v>1</v>
      </c>
      <c r="G561" s="95">
        <v>44312</v>
      </c>
      <c r="H561" s="95">
        <v>44319</v>
      </c>
      <c r="J561" t="s">
        <v>22</v>
      </c>
      <c r="K561" t="s">
        <v>384</v>
      </c>
      <c r="L561" t="s">
        <v>25</v>
      </c>
      <c r="M561" t="s">
        <v>26</v>
      </c>
      <c r="O561" t="s">
        <v>27</v>
      </c>
      <c r="P561" t="s">
        <v>27</v>
      </c>
      <c r="Q561" t="s">
        <v>28</v>
      </c>
      <c r="R561" t="s">
        <v>54</v>
      </c>
    </row>
    <row r="562" spans="1:18" x14ac:dyDescent="0.25">
      <c r="A562" t="s">
        <v>39</v>
      </c>
      <c r="C562" t="s">
        <v>410</v>
      </c>
      <c r="D562" t="s">
        <v>570</v>
      </c>
      <c r="E562" t="s">
        <v>102</v>
      </c>
      <c r="F562">
        <v>1</v>
      </c>
      <c r="G562" s="95">
        <v>44313</v>
      </c>
      <c r="H562" s="95">
        <v>44313</v>
      </c>
      <c r="I562" s="95">
        <v>44313</v>
      </c>
      <c r="K562" t="s">
        <v>24</v>
      </c>
      <c r="L562" t="s">
        <v>58</v>
      </c>
      <c r="M562" t="s">
        <v>26</v>
      </c>
      <c r="O562" t="s">
        <v>38</v>
      </c>
      <c r="P562" t="s">
        <v>38</v>
      </c>
      <c r="Q562" t="s">
        <v>29</v>
      </c>
      <c r="R562" t="s">
        <v>29</v>
      </c>
    </row>
    <row r="563" spans="1:18" x14ac:dyDescent="0.25">
      <c r="A563" t="s">
        <v>159</v>
      </c>
      <c r="C563" t="s">
        <v>410</v>
      </c>
      <c r="D563" t="s">
        <v>570</v>
      </c>
      <c r="E563" t="s">
        <v>102</v>
      </c>
      <c r="F563">
        <v>1</v>
      </c>
      <c r="G563" s="95">
        <v>44313</v>
      </c>
      <c r="H563" s="95">
        <v>44313</v>
      </c>
      <c r="I563" s="95">
        <v>44313</v>
      </c>
      <c r="K563" t="s">
        <v>24</v>
      </c>
      <c r="L563" t="s">
        <v>58</v>
      </c>
      <c r="M563" t="s">
        <v>26</v>
      </c>
      <c r="O563" t="s">
        <v>38</v>
      </c>
      <c r="P563" t="s">
        <v>38</v>
      </c>
      <c r="Q563" t="s">
        <v>29</v>
      </c>
      <c r="R563" t="s">
        <v>29</v>
      </c>
    </row>
    <row r="564" spans="1:18" x14ac:dyDescent="0.25">
      <c r="A564" t="s">
        <v>39</v>
      </c>
      <c r="B564" t="s">
        <v>571</v>
      </c>
      <c r="C564" t="s">
        <v>140</v>
      </c>
      <c r="D564" t="s">
        <v>572</v>
      </c>
      <c r="E564" t="s">
        <v>46</v>
      </c>
      <c r="G564" s="95">
        <v>44313</v>
      </c>
      <c r="H564" s="95">
        <v>44326</v>
      </c>
      <c r="J564" t="s">
        <v>573</v>
      </c>
      <c r="K564" t="s">
        <v>388</v>
      </c>
      <c r="L564" t="s">
        <v>58</v>
      </c>
      <c r="M564" t="s">
        <v>26</v>
      </c>
      <c r="O564" t="s">
        <v>38</v>
      </c>
      <c r="P564" t="s">
        <v>38</v>
      </c>
    </row>
    <row r="565" spans="1:18" x14ac:dyDescent="0.25">
      <c r="A565" t="s">
        <v>39</v>
      </c>
      <c r="B565" t="s">
        <v>571</v>
      </c>
      <c r="C565" t="s">
        <v>140</v>
      </c>
      <c r="D565" t="s">
        <v>572</v>
      </c>
      <c r="E565" t="s">
        <v>22</v>
      </c>
      <c r="G565" s="95">
        <v>44313</v>
      </c>
      <c r="H565" s="95">
        <v>44326</v>
      </c>
      <c r="J565" t="s">
        <v>573</v>
      </c>
      <c r="K565" t="s">
        <v>388</v>
      </c>
      <c r="L565" t="s">
        <v>58</v>
      </c>
      <c r="M565" t="s">
        <v>26</v>
      </c>
      <c r="O565" t="s">
        <v>38</v>
      </c>
      <c r="P565" t="s">
        <v>38</v>
      </c>
    </row>
    <row r="566" spans="1:18" x14ac:dyDescent="0.25">
      <c r="A566" t="s">
        <v>72</v>
      </c>
      <c r="B566" t="s">
        <v>574</v>
      </c>
      <c r="C566" t="s">
        <v>20</v>
      </c>
      <c r="D566" t="s">
        <v>575</v>
      </c>
      <c r="E566" t="s">
        <v>157</v>
      </c>
      <c r="G566" s="95">
        <v>44313</v>
      </c>
      <c r="H566" s="95">
        <v>44316</v>
      </c>
      <c r="I566" s="95">
        <v>44316</v>
      </c>
      <c r="J566" t="s">
        <v>576</v>
      </c>
      <c r="K566" t="s">
        <v>384</v>
      </c>
      <c r="L566" t="s">
        <v>58</v>
      </c>
      <c r="M566" t="s">
        <v>26</v>
      </c>
      <c r="O566" t="s">
        <v>27</v>
      </c>
      <c r="P566" t="s">
        <v>27</v>
      </c>
      <c r="Q566" t="s">
        <v>54</v>
      </c>
      <c r="R566" t="s">
        <v>54</v>
      </c>
    </row>
    <row r="567" spans="1:18" x14ac:dyDescent="0.25">
      <c r="A567" t="s">
        <v>76</v>
      </c>
      <c r="B567" t="s">
        <v>577</v>
      </c>
      <c r="C567" t="s">
        <v>410</v>
      </c>
      <c r="D567" t="s">
        <v>578</v>
      </c>
      <c r="E567" t="s">
        <v>106</v>
      </c>
      <c r="F567">
        <v>1</v>
      </c>
      <c r="G567" s="95">
        <v>44314</v>
      </c>
      <c r="H567" s="95">
        <v>44314</v>
      </c>
      <c r="K567" t="s">
        <v>386</v>
      </c>
      <c r="L567" t="s">
        <v>58</v>
      </c>
      <c r="M567" t="s">
        <v>26</v>
      </c>
      <c r="N567">
        <v>1</v>
      </c>
      <c r="O567" t="s">
        <v>38</v>
      </c>
      <c r="P567" t="s">
        <v>38</v>
      </c>
      <c r="Q567" t="s">
        <v>54</v>
      </c>
    </row>
    <row r="568" spans="1:18" x14ac:dyDescent="0.25">
      <c r="A568" t="s">
        <v>76</v>
      </c>
      <c r="B568" t="s">
        <v>577</v>
      </c>
      <c r="C568" t="s">
        <v>410</v>
      </c>
      <c r="D568" t="s">
        <v>578</v>
      </c>
      <c r="E568" t="s">
        <v>107</v>
      </c>
      <c r="F568">
        <v>1</v>
      </c>
      <c r="G568" s="95">
        <v>44314</v>
      </c>
      <c r="H568" s="95">
        <v>44314</v>
      </c>
      <c r="K568" t="s">
        <v>386</v>
      </c>
      <c r="L568" t="s">
        <v>58</v>
      </c>
      <c r="M568" t="s">
        <v>26</v>
      </c>
      <c r="N568">
        <v>1</v>
      </c>
      <c r="O568" t="s">
        <v>38</v>
      </c>
      <c r="P568" t="s">
        <v>38</v>
      </c>
      <c r="Q568" t="s">
        <v>54</v>
      </c>
    </row>
    <row r="569" spans="1:18" x14ac:dyDescent="0.25">
      <c r="A569" t="s">
        <v>76</v>
      </c>
      <c r="B569" t="s">
        <v>577</v>
      </c>
      <c r="C569" t="s">
        <v>410</v>
      </c>
      <c r="D569" t="s">
        <v>578</v>
      </c>
      <c r="E569" t="s">
        <v>46</v>
      </c>
      <c r="F569">
        <v>1</v>
      </c>
      <c r="G569" s="95">
        <v>44314</v>
      </c>
      <c r="H569" s="95">
        <v>44314</v>
      </c>
      <c r="K569" t="s">
        <v>386</v>
      </c>
      <c r="L569" t="s">
        <v>58</v>
      </c>
      <c r="M569" t="s">
        <v>26</v>
      </c>
      <c r="N569">
        <v>1</v>
      </c>
      <c r="O569" t="s">
        <v>38</v>
      </c>
      <c r="P569" t="s">
        <v>38</v>
      </c>
      <c r="Q569" t="s">
        <v>54</v>
      </c>
    </row>
    <row r="570" spans="1:18" x14ac:dyDescent="0.25">
      <c r="A570" t="s">
        <v>39</v>
      </c>
      <c r="B570" t="s">
        <v>247</v>
      </c>
      <c r="C570" t="s">
        <v>410</v>
      </c>
      <c r="D570" t="s">
        <v>579</v>
      </c>
      <c r="E570" t="s">
        <v>86</v>
      </c>
      <c r="G570" s="95">
        <v>44314</v>
      </c>
      <c r="H570" s="95">
        <v>44321</v>
      </c>
      <c r="J570" t="s">
        <v>580</v>
      </c>
      <c r="K570" t="s">
        <v>384</v>
      </c>
      <c r="L570" t="s">
        <v>58</v>
      </c>
      <c r="M570" t="s">
        <v>26</v>
      </c>
    </row>
    <row r="571" spans="1:18" x14ac:dyDescent="0.25">
      <c r="A571" t="s">
        <v>39</v>
      </c>
      <c r="B571" t="s">
        <v>247</v>
      </c>
      <c r="C571" t="s">
        <v>410</v>
      </c>
      <c r="D571" t="s">
        <v>581</v>
      </c>
      <c r="E571" t="s">
        <v>116</v>
      </c>
      <c r="G571" s="95">
        <v>44435</v>
      </c>
      <c r="H571" s="95">
        <v>44436</v>
      </c>
      <c r="J571" t="s">
        <v>582</v>
      </c>
      <c r="K571" t="s">
        <v>24</v>
      </c>
      <c r="L571" t="s">
        <v>58</v>
      </c>
      <c r="M571" t="s">
        <v>26</v>
      </c>
    </row>
    <row r="572" spans="1:18" x14ac:dyDescent="0.25">
      <c r="A572" t="s">
        <v>39</v>
      </c>
      <c r="B572" t="s">
        <v>247</v>
      </c>
      <c r="C572" t="s">
        <v>140</v>
      </c>
      <c r="D572" t="s">
        <v>583</v>
      </c>
      <c r="E572" t="s">
        <v>22</v>
      </c>
      <c r="F572">
        <v>2</v>
      </c>
      <c r="G572" s="95">
        <v>44314</v>
      </c>
      <c r="H572" s="95">
        <v>44314</v>
      </c>
      <c r="K572" t="s">
        <v>24</v>
      </c>
      <c r="L572" t="s">
        <v>58</v>
      </c>
      <c r="M572" t="s">
        <v>26</v>
      </c>
      <c r="O572" t="s">
        <v>38</v>
      </c>
      <c r="P572" t="s">
        <v>38</v>
      </c>
    </row>
    <row r="573" spans="1:18" x14ac:dyDescent="0.25">
      <c r="A573" t="s">
        <v>39</v>
      </c>
      <c r="B573" t="s">
        <v>247</v>
      </c>
      <c r="C573" t="s">
        <v>410</v>
      </c>
      <c r="D573" t="s">
        <v>584</v>
      </c>
      <c r="E573" t="s">
        <v>105</v>
      </c>
      <c r="F573">
        <v>1</v>
      </c>
      <c r="G573" s="95">
        <v>44314</v>
      </c>
      <c r="H573" s="95">
        <v>44319</v>
      </c>
      <c r="J573" t="s">
        <v>585</v>
      </c>
      <c r="K573" t="s">
        <v>384</v>
      </c>
      <c r="L573" t="s">
        <v>25</v>
      </c>
      <c r="M573" t="s">
        <v>26</v>
      </c>
      <c r="O573" t="s">
        <v>27</v>
      </c>
    </row>
    <row r="574" spans="1:18" x14ac:dyDescent="0.25">
      <c r="A574" t="s">
        <v>72</v>
      </c>
      <c r="B574" t="s">
        <v>247</v>
      </c>
      <c r="C574" t="s">
        <v>20</v>
      </c>
      <c r="D574" t="s">
        <v>586</v>
      </c>
      <c r="E574" t="s">
        <v>107</v>
      </c>
      <c r="F574">
        <v>3</v>
      </c>
      <c r="G574" s="95">
        <v>44314</v>
      </c>
      <c r="H574" s="95">
        <v>44314</v>
      </c>
      <c r="I574" s="95">
        <v>44314</v>
      </c>
      <c r="J574" t="s">
        <v>587</v>
      </c>
      <c r="K574" t="s">
        <v>24</v>
      </c>
      <c r="L574" t="s">
        <v>58</v>
      </c>
      <c r="M574" t="s">
        <v>26</v>
      </c>
      <c r="O574" t="s">
        <v>38</v>
      </c>
      <c r="P574" t="s">
        <v>27</v>
      </c>
      <c r="Q574" t="s">
        <v>54</v>
      </c>
      <c r="R574" t="s">
        <v>54</v>
      </c>
    </row>
    <row r="575" spans="1:18" x14ac:dyDescent="0.25">
      <c r="A575" t="s">
        <v>72</v>
      </c>
      <c r="B575" t="s">
        <v>247</v>
      </c>
      <c r="C575" t="s">
        <v>20</v>
      </c>
      <c r="D575" t="s">
        <v>586</v>
      </c>
      <c r="E575" t="s">
        <v>127</v>
      </c>
      <c r="F575">
        <v>3</v>
      </c>
      <c r="G575" s="95">
        <v>44314</v>
      </c>
      <c r="H575" s="95">
        <v>44314</v>
      </c>
      <c r="I575" s="95">
        <v>44314</v>
      </c>
      <c r="J575" t="s">
        <v>587</v>
      </c>
      <c r="K575" t="s">
        <v>24</v>
      </c>
      <c r="L575" t="s">
        <v>58</v>
      </c>
      <c r="M575" t="s">
        <v>26</v>
      </c>
      <c r="O575" t="s">
        <v>38</v>
      </c>
      <c r="P575" t="s">
        <v>27</v>
      </c>
      <c r="Q575" t="s">
        <v>54</v>
      </c>
      <c r="R575" t="s">
        <v>54</v>
      </c>
    </row>
    <row r="576" spans="1:18" x14ac:dyDescent="0.25">
      <c r="A576" t="s">
        <v>39</v>
      </c>
      <c r="B576" t="s">
        <v>247</v>
      </c>
      <c r="C576" t="s">
        <v>410</v>
      </c>
      <c r="D576" t="s">
        <v>364</v>
      </c>
      <c r="E576" t="s">
        <v>82</v>
      </c>
      <c r="F576">
        <v>7</v>
      </c>
      <c r="G576" s="95">
        <v>44314</v>
      </c>
      <c r="H576" s="95">
        <v>44315</v>
      </c>
      <c r="K576" t="s">
        <v>24</v>
      </c>
      <c r="L576" t="s">
        <v>58</v>
      </c>
      <c r="M576" t="s">
        <v>83</v>
      </c>
      <c r="O576" t="s">
        <v>38</v>
      </c>
      <c r="P576" t="s">
        <v>38</v>
      </c>
      <c r="Q576" t="s">
        <v>54</v>
      </c>
    </row>
    <row r="577" spans="1:18" x14ac:dyDescent="0.25">
      <c r="A577" t="s">
        <v>39</v>
      </c>
      <c r="B577" t="s">
        <v>247</v>
      </c>
      <c r="C577" t="s">
        <v>410</v>
      </c>
      <c r="D577" t="s">
        <v>364</v>
      </c>
      <c r="E577" t="s">
        <v>106</v>
      </c>
      <c r="F577">
        <v>72</v>
      </c>
      <c r="G577" s="95">
        <v>44314</v>
      </c>
      <c r="H577" s="95">
        <v>44315</v>
      </c>
      <c r="K577" t="s">
        <v>24</v>
      </c>
      <c r="L577" t="s">
        <v>58</v>
      </c>
      <c r="M577" t="s">
        <v>26</v>
      </c>
      <c r="O577" t="s">
        <v>38</v>
      </c>
      <c r="P577" t="s">
        <v>38</v>
      </c>
      <c r="Q577" t="s">
        <v>54</v>
      </c>
    </row>
    <row r="578" spans="1:18" x14ac:dyDescent="0.25">
      <c r="A578" t="s">
        <v>39</v>
      </c>
      <c r="B578" t="s">
        <v>247</v>
      </c>
      <c r="C578" t="s">
        <v>410</v>
      </c>
      <c r="D578" t="s">
        <v>364</v>
      </c>
      <c r="E578" t="s">
        <v>107</v>
      </c>
      <c r="F578">
        <v>93</v>
      </c>
      <c r="G578" s="95">
        <v>44314</v>
      </c>
      <c r="H578" s="95">
        <v>44315</v>
      </c>
      <c r="K578" t="s">
        <v>24</v>
      </c>
      <c r="L578" t="s">
        <v>58</v>
      </c>
      <c r="M578" t="s">
        <v>26</v>
      </c>
      <c r="O578" t="s">
        <v>38</v>
      </c>
      <c r="P578" t="s">
        <v>38</v>
      </c>
      <c r="Q578" t="s">
        <v>54</v>
      </c>
    </row>
    <row r="579" spans="1:18" x14ac:dyDescent="0.25">
      <c r="A579" t="s">
        <v>39</v>
      </c>
      <c r="B579" t="s">
        <v>247</v>
      </c>
      <c r="C579" t="s">
        <v>410</v>
      </c>
      <c r="D579" t="s">
        <v>364</v>
      </c>
      <c r="E579" t="s">
        <v>102</v>
      </c>
      <c r="F579">
        <v>7</v>
      </c>
      <c r="G579" s="95">
        <v>44314</v>
      </c>
      <c r="H579" s="95">
        <v>44315</v>
      </c>
      <c r="K579" t="s">
        <v>24</v>
      </c>
      <c r="L579" t="s">
        <v>58</v>
      </c>
      <c r="M579" t="s">
        <v>26</v>
      </c>
      <c r="O579" t="s">
        <v>38</v>
      </c>
      <c r="P579" t="s">
        <v>38</v>
      </c>
      <c r="Q579" t="s">
        <v>54</v>
      </c>
    </row>
    <row r="580" spans="1:18" x14ac:dyDescent="0.25">
      <c r="A580" t="s">
        <v>39</v>
      </c>
      <c r="B580" t="s">
        <v>247</v>
      </c>
      <c r="C580" t="s">
        <v>410</v>
      </c>
      <c r="D580" t="s">
        <v>364</v>
      </c>
      <c r="E580" t="s">
        <v>116</v>
      </c>
      <c r="F580">
        <v>1</v>
      </c>
      <c r="G580" s="95">
        <v>44315</v>
      </c>
      <c r="H580" s="95">
        <v>44315</v>
      </c>
      <c r="I580" s="95">
        <v>44315</v>
      </c>
      <c r="K580" t="s">
        <v>24</v>
      </c>
      <c r="L580" t="s">
        <v>58</v>
      </c>
      <c r="M580" t="s">
        <v>26</v>
      </c>
      <c r="N580">
        <v>4</v>
      </c>
      <c r="O580" t="s">
        <v>38</v>
      </c>
      <c r="P580" t="s">
        <v>38</v>
      </c>
      <c r="Q580" t="s">
        <v>54</v>
      </c>
    </row>
    <row r="581" spans="1:18" x14ac:dyDescent="0.25">
      <c r="A581" t="s">
        <v>39</v>
      </c>
      <c r="B581" t="s">
        <v>588</v>
      </c>
      <c r="C581" t="s">
        <v>140</v>
      </c>
      <c r="D581" t="s">
        <v>589</v>
      </c>
      <c r="E581" t="s">
        <v>46</v>
      </c>
      <c r="F581">
        <v>2</v>
      </c>
      <c r="G581" s="95">
        <v>44314</v>
      </c>
      <c r="H581" s="95">
        <v>44316</v>
      </c>
      <c r="I581" s="95">
        <v>44316</v>
      </c>
      <c r="J581" t="s">
        <v>590</v>
      </c>
      <c r="K581" t="s">
        <v>24</v>
      </c>
      <c r="L581" t="s">
        <v>58</v>
      </c>
      <c r="M581" t="s">
        <v>26</v>
      </c>
      <c r="O581" t="s">
        <v>38</v>
      </c>
      <c r="P581" t="s">
        <v>38</v>
      </c>
      <c r="Q581" t="s">
        <v>54</v>
      </c>
      <c r="R581" t="s">
        <v>54</v>
      </c>
    </row>
    <row r="582" spans="1:18" x14ac:dyDescent="0.25">
      <c r="A582" t="s">
        <v>39</v>
      </c>
      <c r="B582" t="s">
        <v>588</v>
      </c>
      <c r="C582" t="s">
        <v>140</v>
      </c>
      <c r="D582" t="s">
        <v>589</v>
      </c>
      <c r="E582" t="s">
        <v>22</v>
      </c>
      <c r="F582">
        <v>2</v>
      </c>
      <c r="G582" s="95">
        <v>44314</v>
      </c>
      <c r="H582" s="95">
        <v>44316</v>
      </c>
      <c r="I582" s="95">
        <v>44316</v>
      </c>
      <c r="J582" t="s">
        <v>590</v>
      </c>
      <c r="K582" t="s">
        <v>24</v>
      </c>
      <c r="L582" t="s">
        <v>58</v>
      </c>
      <c r="M582" t="s">
        <v>26</v>
      </c>
      <c r="O582" t="s">
        <v>38</v>
      </c>
      <c r="P582" t="s">
        <v>38</v>
      </c>
      <c r="Q582" t="s">
        <v>54</v>
      </c>
      <c r="R582" t="s">
        <v>54</v>
      </c>
    </row>
    <row r="583" spans="1:18" x14ac:dyDescent="0.25">
      <c r="A583" t="s">
        <v>52</v>
      </c>
      <c r="B583">
        <v>233961</v>
      </c>
      <c r="C583" t="s">
        <v>20</v>
      </c>
      <c r="D583" t="s">
        <v>591</v>
      </c>
      <c r="E583" t="s">
        <v>124</v>
      </c>
      <c r="G583" s="95">
        <v>44314</v>
      </c>
      <c r="H583" s="95">
        <v>44323</v>
      </c>
      <c r="K583" t="s">
        <v>388</v>
      </c>
      <c r="L583" t="s">
        <v>25</v>
      </c>
    </row>
    <row r="584" spans="1:18" x14ac:dyDescent="0.25">
      <c r="A584" t="s">
        <v>39</v>
      </c>
      <c r="B584" t="s">
        <v>592</v>
      </c>
      <c r="C584" t="s">
        <v>410</v>
      </c>
      <c r="D584" t="s">
        <v>593</v>
      </c>
      <c r="E584" t="s">
        <v>22</v>
      </c>
      <c r="F584">
        <v>1</v>
      </c>
      <c r="G584" s="95">
        <v>44315</v>
      </c>
      <c r="H584" s="95">
        <v>44316</v>
      </c>
      <c r="K584" t="s">
        <v>24</v>
      </c>
      <c r="L584" t="s">
        <v>58</v>
      </c>
      <c r="M584" t="s">
        <v>26</v>
      </c>
      <c r="O584" t="s">
        <v>38</v>
      </c>
    </row>
    <row r="585" spans="1:18" x14ac:dyDescent="0.25">
      <c r="A585" t="s">
        <v>39</v>
      </c>
      <c r="B585" t="s">
        <v>592</v>
      </c>
      <c r="C585" t="s">
        <v>410</v>
      </c>
      <c r="D585" t="s">
        <v>593</v>
      </c>
      <c r="E585" t="s">
        <v>46</v>
      </c>
      <c r="F585">
        <v>1</v>
      </c>
      <c r="G585" s="95">
        <v>44315</v>
      </c>
      <c r="H585" s="95">
        <v>44316</v>
      </c>
      <c r="K585" t="s">
        <v>24</v>
      </c>
      <c r="L585" t="s">
        <v>58</v>
      </c>
      <c r="M585" t="s">
        <v>83</v>
      </c>
      <c r="O585" t="s">
        <v>38</v>
      </c>
    </row>
    <row r="586" spans="1:18" x14ac:dyDescent="0.25">
      <c r="A586" t="s">
        <v>39</v>
      </c>
      <c r="B586" t="s">
        <v>592</v>
      </c>
      <c r="C586" t="s">
        <v>410</v>
      </c>
      <c r="D586" t="s">
        <v>593</v>
      </c>
      <c r="E586" t="s">
        <v>69</v>
      </c>
      <c r="F586">
        <v>1</v>
      </c>
      <c r="G586" s="95">
        <v>44315</v>
      </c>
      <c r="H586" s="95">
        <v>44316</v>
      </c>
      <c r="J586" t="s">
        <v>594</v>
      </c>
      <c r="K586" t="s">
        <v>24</v>
      </c>
      <c r="L586" t="s">
        <v>58</v>
      </c>
      <c r="M586" t="s">
        <v>26</v>
      </c>
      <c r="O586" t="s">
        <v>38</v>
      </c>
    </row>
    <row r="587" spans="1:18" x14ac:dyDescent="0.25">
      <c r="A587" t="s">
        <v>39</v>
      </c>
      <c r="B587" t="s">
        <v>595</v>
      </c>
      <c r="C587" t="s">
        <v>140</v>
      </c>
      <c r="D587" t="s">
        <v>596</v>
      </c>
      <c r="E587" t="s">
        <v>46</v>
      </c>
      <c r="F587">
        <v>1</v>
      </c>
      <c r="G587" s="95">
        <v>44315</v>
      </c>
      <c r="H587" s="95">
        <v>44319</v>
      </c>
      <c r="I587" s="95">
        <v>44319</v>
      </c>
      <c r="K587" t="s">
        <v>384</v>
      </c>
      <c r="L587" t="s">
        <v>58</v>
      </c>
      <c r="M587" t="s">
        <v>26</v>
      </c>
      <c r="N587">
        <v>2</v>
      </c>
      <c r="O587" t="s">
        <v>38</v>
      </c>
      <c r="P587" t="s">
        <v>38</v>
      </c>
    </row>
    <row r="588" spans="1:18" x14ac:dyDescent="0.25">
      <c r="A588" t="s">
        <v>39</v>
      </c>
      <c r="B588" t="s">
        <v>595</v>
      </c>
      <c r="C588" t="s">
        <v>140</v>
      </c>
      <c r="D588" t="s">
        <v>596</v>
      </c>
      <c r="E588" t="s">
        <v>22</v>
      </c>
      <c r="F588">
        <v>1</v>
      </c>
      <c r="G588" s="95">
        <v>44315</v>
      </c>
      <c r="H588" s="95">
        <v>44319</v>
      </c>
      <c r="I588" s="95">
        <v>44319</v>
      </c>
      <c r="K588" t="s">
        <v>384</v>
      </c>
      <c r="L588" t="s">
        <v>58</v>
      </c>
      <c r="M588" t="s">
        <v>26</v>
      </c>
      <c r="N588">
        <v>2</v>
      </c>
      <c r="O588" t="s">
        <v>38</v>
      </c>
      <c r="P588" t="s">
        <v>38</v>
      </c>
    </row>
    <row r="589" spans="1:18" x14ac:dyDescent="0.25">
      <c r="A589" t="s">
        <v>39</v>
      </c>
      <c r="B589" t="s">
        <v>597</v>
      </c>
      <c r="C589" t="s">
        <v>140</v>
      </c>
      <c r="D589" t="s">
        <v>598</v>
      </c>
      <c r="E589" t="s">
        <v>22</v>
      </c>
      <c r="F589">
        <v>1</v>
      </c>
      <c r="G589" s="95">
        <v>44314</v>
      </c>
      <c r="H589" s="95">
        <v>44320</v>
      </c>
      <c r="I589" s="95">
        <v>44316</v>
      </c>
      <c r="K589" t="s">
        <v>384</v>
      </c>
      <c r="L589" t="s">
        <v>58</v>
      </c>
      <c r="M589" t="s">
        <v>26</v>
      </c>
      <c r="O589" t="s">
        <v>38</v>
      </c>
      <c r="P589" t="s">
        <v>38</v>
      </c>
    </row>
    <row r="590" spans="1:18" x14ac:dyDescent="0.25">
      <c r="A590" t="s">
        <v>159</v>
      </c>
      <c r="B590" t="s">
        <v>599</v>
      </c>
      <c r="C590" t="s">
        <v>410</v>
      </c>
      <c r="D590" t="s">
        <v>175</v>
      </c>
      <c r="E590" t="s">
        <v>142</v>
      </c>
      <c r="F590">
        <v>1</v>
      </c>
      <c r="G590" s="95">
        <v>44314</v>
      </c>
      <c r="H590" s="95">
        <v>44319</v>
      </c>
      <c r="J590" t="s">
        <v>600</v>
      </c>
      <c r="K590" t="s">
        <v>384</v>
      </c>
      <c r="L590" t="s">
        <v>58</v>
      </c>
      <c r="M590" t="s">
        <v>26</v>
      </c>
      <c r="O590" t="s">
        <v>38</v>
      </c>
      <c r="P590" t="s">
        <v>38</v>
      </c>
      <c r="Q590" t="s">
        <v>54</v>
      </c>
    </row>
    <row r="591" spans="1:18" x14ac:dyDescent="0.25">
      <c r="A591" t="s">
        <v>159</v>
      </c>
      <c r="B591" t="s">
        <v>599</v>
      </c>
      <c r="C591" t="s">
        <v>410</v>
      </c>
      <c r="D591" t="s">
        <v>175</v>
      </c>
      <c r="E591" t="s">
        <v>142</v>
      </c>
      <c r="G591" s="95">
        <v>44314</v>
      </c>
      <c r="H591" s="95">
        <v>44319</v>
      </c>
      <c r="J591" t="s">
        <v>601</v>
      </c>
      <c r="K591" t="s">
        <v>388</v>
      </c>
      <c r="L591" t="s">
        <v>58</v>
      </c>
      <c r="M591" t="s">
        <v>26</v>
      </c>
      <c r="O591" t="s">
        <v>38</v>
      </c>
      <c r="P591" t="s">
        <v>38</v>
      </c>
      <c r="Q591" t="s">
        <v>54</v>
      </c>
    </row>
    <row r="592" spans="1:18" x14ac:dyDescent="0.25">
      <c r="A592" t="s">
        <v>159</v>
      </c>
      <c r="B592" t="s">
        <v>599</v>
      </c>
      <c r="C592" t="s">
        <v>410</v>
      </c>
      <c r="D592" t="s">
        <v>175</v>
      </c>
      <c r="E592" t="s">
        <v>144</v>
      </c>
      <c r="F592">
        <v>1</v>
      </c>
      <c r="G592" s="95">
        <v>44314</v>
      </c>
      <c r="H592" s="95">
        <v>44319</v>
      </c>
      <c r="J592" t="s">
        <v>602</v>
      </c>
      <c r="K592" t="s">
        <v>384</v>
      </c>
      <c r="L592" t="s">
        <v>58</v>
      </c>
      <c r="M592" t="s">
        <v>26</v>
      </c>
      <c r="O592" t="s">
        <v>38</v>
      </c>
      <c r="P592" t="s">
        <v>38</v>
      </c>
      <c r="Q592" t="s">
        <v>54</v>
      </c>
    </row>
    <row r="593" spans="1:18" x14ac:dyDescent="0.25">
      <c r="A593" t="s">
        <v>76</v>
      </c>
      <c r="B593" t="s">
        <v>603</v>
      </c>
      <c r="C593" t="s">
        <v>140</v>
      </c>
      <c r="D593" t="s">
        <v>604</v>
      </c>
      <c r="E593" t="s">
        <v>177</v>
      </c>
      <c r="F593">
        <v>1</v>
      </c>
      <c r="G593" s="95">
        <v>44309</v>
      </c>
      <c r="H593" s="95">
        <v>44316</v>
      </c>
      <c r="I593" s="95">
        <v>44316</v>
      </c>
      <c r="J593" t="s">
        <v>605</v>
      </c>
      <c r="K593" t="s">
        <v>24</v>
      </c>
      <c r="L593" t="s">
        <v>37</v>
      </c>
      <c r="M593" t="s">
        <v>26</v>
      </c>
      <c r="O593" t="s">
        <v>38</v>
      </c>
      <c r="P593" t="s">
        <v>38</v>
      </c>
      <c r="Q593" t="s">
        <v>28</v>
      </c>
    </row>
    <row r="594" spans="1:18" x14ac:dyDescent="0.25">
      <c r="A594" t="s">
        <v>39</v>
      </c>
      <c r="B594" t="s">
        <v>606</v>
      </c>
      <c r="C594" t="s">
        <v>140</v>
      </c>
      <c r="D594" t="s">
        <v>607</v>
      </c>
      <c r="E594" t="s">
        <v>79</v>
      </c>
      <c r="F594">
        <v>1</v>
      </c>
      <c r="G594" s="95">
        <v>44314</v>
      </c>
      <c r="H594" s="95">
        <v>44321</v>
      </c>
      <c r="I594" s="95">
        <v>44320</v>
      </c>
      <c r="J594" t="s">
        <v>608</v>
      </c>
      <c r="K594" t="s">
        <v>24</v>
      </c>
      <c r="L594" t="s">
        <v>58</v>
      </c>
      <c r="M594" t="s">
        <v>26</v>
      </c>
      <c r="O594" t="s">
        <v>38</v>
      </c>
      <c r="P594" t="s">
        <v>38</v>
      </c>
      <c r="Q594" t="s">
        <v>54</v>
      </c>
      <c r="R594" t="s">
        <v>54</v>
      </c>
    </row>
    <row r="595" spans="1:18" x14ac:dyDescent="0.25">
      <c r="A595" t="s">
        <v>52</v>
      </c>
      <c r="B595" t="s">
        <v>609</v>
      </c>
      <c r="C595" t="s">
        <v>20</v>
      </c>
      <c r="D595" t="s">
        <v>610</v>
      </c>
      <c r="E595" t="s">
        <v>98</v>
      </c>
      <c r="F595">
        <v>1</v>
      </c>
      <c r="G595" s="95">
        <v>44312</v>
      </c>
      <c r="H595" s="95">
        <v>44316</v>
      </c>
      <c r="I595" s="95">
        <v>44316</v>
      </c>
      <c r="K595" t="s">
        <v>24</v>
      </c>
      <c r="L595" t="s">
        <v>37</v>
      </c>
      <c r="M595" t="s">
        <v>26</v>
      </c>
      <c r="O595" t="s">
        <v>27</v>
      </c>
      <c r="P595" t="s">
        <v>27</v>
      </c>
      <c r="Q595" t="s">
        <v>185</v>
      </c>
      <c r="R595" t="s">
        <v>185</v>
      </c>
    </row>
    <row r="596" spans="1:18" x14ac:dyDescent="0.25">
      <c r="A596" t="s">
        <v>39</v>
      </c>
      <c r="B596" t="s">
        <v>247</v>
      </c>
      <c r="C596" t="s">
        <v>410</v>
      </c>
      <c r="D596" t="s">
        <v>611</v>
      </c>
      <c r="E596" t="s">
        <v>102</v>
      </c>
      <c r="F596">
        <v>2</v>
      </c>
      <c r="G596" s="95">
        <v>44315</v>
      </c>
      <c r="H596" s="95">
        <v>44316</v>
      </c>
      <c r="I596" s="95">
        <v>44316</v>
      </c>
      <c r="K596" t="s">
        <v>24</v>
      </c>
      <c r="L596" t="s">
        <v>58</v>
      </c>
      <c r="M596" t="s">
        <v>26</v>
      </c>
      <c r="O596" t="s">
        <v>27</v>
      </c>
      <c r="P596" t="s">
        <v>27</v>
      </c>
    </row>
    <row r="597" spans="1:18" x14ac:dyDescent="0.25">
      <c r="A597" t="s">
        <v>39</v>
      </c>
      <c r="B597" t="s">
        <v>247</v>
      </c>
      <c r="C597" t="s">
        <v>410</v>
      </c>
      <c r="D597" t="s">
        <v>611</v>
      </c>
      <c r="E597" t="s">
        <v>22</v>
      </c>
      <c r="F597">
        <v>4</v>
      </c>
      <c r="G597" s="95">
        <v>44315</v>
      </c>
      <c r="H597" s="95">
        <v>44316</v>
      </c>
      <c r="I597" s="95">
        <v>44316</v>
      </c>
      <c r="K597" t="s">
        <v>24</v>
      </c>
      <c r="L597" t="s">
        <v>58</v>
      </c>
      <c r="M597" t="s">
        <v>26</v>
      </c>
      <c r="O597" t="s">
        <v>27</v>
      </c>
      <c r="P597" t="s">
        <v>27</v>
      </c>
    </row>
    <row r="598" spans="1:18" x14ac:dyDescent="0.25">
      <c r="A598" t="s">
        <v>39</v>
      </c>
      <c r="B598" t="s">
        <v>247</v>
      </c>
      <c r="C598" t="s">
        <v>410</v>
      </c>
      <c r="D598" t="s">
        <v>611</v>
      </c>
      <c r="E598" t="s">
        <v>104</v>
      </c>
      <c r="F598">
        <v>4</v>
      </c>
      <c r="G598" s="95">
        <v>44315</v>
      </c>
      <c r="H598" s="95">
        <v>44316</v>
      </c>
      <c r="I598" s="95">
        <v>44316</v>
      </c>
      <c r="K598" t="s">
        <v>24</v>
      </c>
      <c r="L598" t="s">
        <v>58</v>
      </c>
      <c r="M598" t="s">
        <v>26</v>
      </c>
      <c r="O598" t="s">
        <v>27</v>
      </c>
      <c r="P598" t="s">
        <v>27</v>
      </c>
    </row>
    <row r="599" spans="1:18" x14ac:dyDescent="0.25">
      <c r="A599" t="s">
        <v>72</v>
      </c>
      <c r="B599" t="s">
        <v>612</v>
      </c>
      <c r="C599" t="s">
        <v>140</v>
      </c>
      <c r="D599" t="s">
        <v>613</v>
      </c>
      <c r="G599" s="95">
        <v>44316</v>
      </c>
      <c r="H599" s="95">
        <v>44319</v>
      </c>
      <c r="I599" s="95">
        <v>44319</v>
      </c>
      <c r="K599" t="s">
        <v>384</v>
      </c>
      <c r="L599" t="s">
        <v>58</v>
      </c>
    </row>
    <row r="600" spans="1:18" x14ac:dyDescent="0.25">
      <c r="A600" t="s">
        <v>39</v>
      </c>
      <c r="B600" t="s">
        <v>247</v>
      </c>
      <c r="C600" t="s">
        <v>20</v>
      </c>
      <c r="D600" t="s">
        <v>614</v>
      </c>
      <c r="E600" t="s">
        <v>106</v>
      </c>
      <c r="F600">
        <v>24</v>
      </c>
      <c r="G600" s="95">
        <v>44315</v>
      </c>
      <c r="H600" s="95">
        <v>44316</v>
      </c>
      <c r="I600" s="95">
        <v>44316</v>
      </c>
      <c r="K600" t="s">
        <v>24</v>
      </c>
      <c r="L600" t="s">
        <v>25</v>
      </c>
      <c r="M600" t="s">
        <v>26</v>
      </c>
      <c r="O600" t="s">
        <v>27</v>
      </c>
      <c r="P600" t="s">
        <v>27</v>
      </c>
    </row>
    <row r="601" spans="1:18" x14ac:dyDescent="0.25">
      <c r="A601" t="s">
        <v>159</v>
      </c>
      <c r="B601" t="s">
        <v>615</v>
      </c>
      <c r="C601" t="s">
        <v>20</v>
      </c>
      <c r="D601" t="s">
        <v>616</v>
      </c>
      <c r="E601" t="s">
        <v>82</v>
      </c>
      <c r="F601">
        <v>1</v>
      </c>
      <c r="G601" s="95">
        <v>44289</v>
      </c>
      <c r="H601" s="95">
        <v>44321</v>
      </c>
      <c r="K601" t="s">
        <v>384</v>
      </c>
      <c r="L601" t="s">
        <v>25</v>
      </c>
      <c r="M601" t="s">
        <v>26</v>
      </c>
      <c r="O601" t="s">
        <v>38</v>
      </c>
      <c r="P601" t="s">
        <v>27</v>
      </c>
      <c r="Q601" t="s">
        <v>54</v>
      </c>
      <c r="R601" t="s">
        <v>28</v>
      </c>
    </row>
    <row r="602" spans="1:18" x14ac:dyDescent="0.25">
      <c r="A602" t="s">
        <v>39</v>
      </c>
      <c r="B602" t="s">
        <v>247</v>
      </c>
      <c r="C602" t="s">
        <v>410</v>
      </c>
      <c r="D602" t="s">
        <v>617</v>
      </c>
      <c r="E602" t="s">
        <v>106</v>
      </c>
      <c r="F602">
        <v>1</v>
      </c>
      <c r="G602" s="95">
        <v>44320</v>
      </c>
      <c r="H602" s="95">
        <v>44320</v>
      </c>
      <c r="I602" s="95">
        <v>44320</v>
      </c>
      <c r="K602" t="s">
        <v>384</v>
      </c>
      <c r="L602" t="s">
        <v>58</v>
      </c>
      <c r="M602" t="s">
        <v>26</v>
      </c>
    </row>
    <row r="603" spans="1:18" x14ac:dyDescent="0.25">
      <c r="A603" t="s">
        <v>30</v>
      </c>
      <c r="B603">
        <v>233744</v>
      </c>
      <c r="C603" t="s">
        <v>140</v>
      </c>
      <c r="D603" t="s">
        <v>618</v>
      </c>
      <c r="E603" t="s">
        <v>107</v>
      </c>
      <c r="G603" s="95">
        <v>44313</v>
      </c>
      <c r="H603" s="95">
        <v>44321</v>
      </c>
      <c r="K603" t="s">
        <v>388</v>
      </c>
    </row>
    <row r="604" spans="1:18" x14ac:dyDescent="0.25">
      <c r="A604" t="s">
        <v>39</v>
      </c>
      <c r="B604" t="s">
        <v>61</v>
      </c>
      <c r="C604" t="s">
        <v>140</v>
      </c>
      <c r="D604" t="s">
        <v>583</v>
      </c>
      <c r="E604" t="s">
        <v>22</v>
      </c>
      <c r="F604">
        <v>2</v>
      </c>
      <c r="G604" s="95">
        <v>44321</v>
      </c>
      <c r="H604" s="95">
        <v>44321</v>
      </c>
      <c r="I604" s="95">
        <v>44321</v>
      </c>
      <c r="K604" t="s">
        <v>24</v>
      </c>
      <c r="L604" t="s">
        <v>58</v>
      </c>
      <c r="M604" t="s">
        <v>26</v>
      </c>
      <c r="O604" t="s">
        <v>38</v>
      </c>
      <c r="P604" t="s">
        <v>38</v>
      </c>
    </row>
    <row r="605" spans="1:18" x14ac:dyDescent="0.25">
      <c r="A605" t="s">
        <v>39</v>
      </c>
      <c r="B605" t="s">
        <v>247</v>
      </c>
      <c r="C605" t="s">
        <v>410</v>
      </c>
      <c r="D605" t="s">
        <v>619</v>
      </c>
      <c r="E605" t="s">
        <v>106</v>
      </c>
      <c r="F605">
        <v>11</v>
      </c>
      <c r="G605" s="95">
        <v>44321</v>
      </c>
      <c r="H605" s="95">
        <v>44321</v>
      </c>
      <c r="I605" s="95">
        <v>44321</v>
      </c>
      <c r="K605" t="s">
        <v>24</v>
      </c>
      <c r="L605" t="s">
        <v>58</v>
      </c>
      <c r="M605" t="s">
        <v>26</v>
      </c>
    </row>
    <row r="606" spans="1:18" x14ac:dyDescent="0.25">
      <c r="A606" t="s">
        <v>39</v>
      </c>
      <c r="B606" t="s">
        <v>247</v>
      </c>
      <c r="C606" t="s">
        <v>410</v>
      </c>
      <c r="D606" t="s">
        <v>619</v>
      </c>
      <c r="E606" t="s">
        <v>68</v>
      </c>
      <c r="F606">
        <v>11</v>
      </c>
      <c r="G606" s="95">
        <v>44321</v>
      </c>
      <c r="H606" s="95">
        <v>44321</v>
      </c>
      <c r="I606" s="95">
        <v>44321</v>
      </c>
      <c r="K606" t="s">
        <v>24</v>
      </c>
      <c r="L606" t="s">
        <v>58</v>
      </c>
      <c r="M606" t="s">
        <v>26</v>
      </c>
    </row>
    <row r="607" spans="1:18" x14ac:dyDescent="0.25">
      <c r="A607" t="s">
        <v>39</v>
      </c>
      <c r="B607" t="s">
        <v>247</v>
      </c>
      <c r="C607" t="s">
        <v>410</v>
      </c>
      <c r="D607" t="s">
        <v>620</v>
      </c>
      <c r="E607" t="s">
        <v>106</v>
      </c>
      <c r="F607">
        <v>8</v>
      </c>
      <c r="G607" s="95">
        <v>44321</v>
      </c>
      <c r="H607" s="95">
        <v>44321</v>
      </c>
      <c r="I607" s="95">
        <v>44321</v>
      </c>
      <c r="K607" t="s">
        <v>24</v>
      </c>
      <c r="L607" t="s">
        <v>58</v>
      </c>
      <c r="M607" t="s">
        <v>26</v>
      </c>
    </row>
  </sheetData>
  <autoFilter ref="A1:S504" xr:uid="{216024E7-86E2-446E-B224-478602A22A47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4"/>
  <sheetViews>
    <sheetView workbookViewId="0">
      <selection activeCell="C2" sqref="C2:C94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621</v>
      </c>
      <c r="I1" s="6" t="s">
        <v>16</v>
      </c>
      <c r="J1" s="7" t="s">
        <v>622</v>
      </c>
    </row>
    <row r="2" spans="1:10" x14ac:dyDescent="0.25">
      <c r="A2" s="1" t="s">
        <v>623</v>
      </c>
      <c r="B2" t="s">
        <v>44</v>
      </c>
      <c r="C2" t="s">
        <v>94</v>
      </c>
      <c r="E2" s="3" t="s">
        <v>24</v>
      </c>
      <c r="F2" s="1" t="s">
        <v>58</v>
      </c>
      <c r="G2" s="1" t="s">
        <v>26</v>
      </c>
      <c r="H2" s="1" t="s">
        <v>38</v>
      </c>
      <c r="I2" t="s">
        <v>286</v>
      </c>
      <c r="J2" t="s">
        <v>286</v>
      </c>
    </row>
    <row r="3" spans="1:10" ht="15" customHeight="1" x14ac:dyDescent="0.25">
      <c r="A3" s="1" t="s">
        <v>39</v>
      </c>
      <c r="B3" t="s">
        <v>64</v>
      </c>
      <c r="C3" t="s">
        <v>151</v>
      </c>
      <c r="E3" s="2" t="s">
        <v>384</v>
      </c>
      <c r="F3" s="1" t="s">
        <v>25</v>
      </c>
      <c r="G3" s="1" t="s">
        <v>83</v>
      </c>
      <c r="H3" s="1" t="s">
        <v>27</v>
      </c>
      <c r="I3" t="s">
        <v>185</v>
      </c>
      <c r="J3" t="s">
        <v>185</v>
      </c>
    </row>
    <row r="4" spans="1:10" ht="15" customHeight="1" x14ac:dyDescent="0.25">
      <c r="A4" s="1" t="s">
        <v>624</v>
      </c>
      <c r="B4" t="s">
        <v>100</v>
      </c>
      <c r="C4" t="s">
        <v>79</v>
      </c>
      <c r="E4" s="1" t="s">
        <v>388</v>
      </c>
      <c r="F4" t="s">
        <v>45</v>
      </c>
      <c r="G4" s="1" t="s">
        <v>34</v>
      </c>
      <c r="I4" t="s">
        <v>28</v>
      </c>
      <c r="J4" t="s">
        <v>28</v>
      </c>
    </row>
    <row r="5" spans="1:10" ht="15" customHeight="1" x14ac:dyDescent="0.25">
      <c r="A5" s="1" t="s">
        <v>96</v>
      </c>
      <c r="B5" t="s">
        <v>625</v>
      </c>
      <c r="C5" t="s">
        <v>515</v>
      </c>
      <c r="E5" s="4" t="s">
        <v>379</v>
      </c>
      <c r="F5" s="1" t="s">
        <v>626</v>
      </c>
      <c r="G5" s="1" t="s">
        <v>74</v>
      </c>
      <c r="H5" s="1"/>
      <c r="I5" t="s">
        <v>54</v>
      </c>
      <c r="J5" t="s">
        <v>54</v>
      </c>
    </row>
    <row r="6" spans="1:10" ht="15" customHeight="1" x14ac:dyDescent="0.25">
      <c r="A6" s="1" t="s">
        <v>182</v>
      </c>
      <c r="B6" s="1" t="s">
        <v>627</v>
      </c>
      <c r="C6" t="s">
        <v>110</v>
      </c>
      <c r="E6" s="8" t="s">
        <v>386</v>
      </c>
      <c r="F6" s="1" t="s">
        <v>37</v>
      </c>
      <c r="G6" s="1" t="s">
        <v>327</v>
      </c>
      <c r="H6" s="1"/>
      <c r="I6" t="s">
        <v>29</v>
      </c>
      <c r="J6" t="s">
        <v>29</v>
      </c>
    </row>
    <row r="7" spans="1:10" ht="15" customHeight="1" x14ac:dyDescent="0.25">
      <c r="A7" s="1" t="s">
        <v>49</v>
      </c>
      <c r="B7" t="s">
        <v>190</v>
      </c>
      <c r="C7" t="s">
        <v>628</v>
      </c>
      <c r="G7" s="1" t="s">
        <v>213</v>
      </c>
      <c r="H7" s="1"/>
    </row>
    <row r="8" spans="1:10" ht="15" customHeight="1" x14ac:dyDescent="0.25">
      <c r="A8" s="1" t="s">
        <v>629</v>
      </c>
      <c r="B8" s="1" t="s">
        <v>410</v>
      </c>
      <c r="C8" t="s">
        <v>102</v>
      </c>
      <c r="D8" s="1"/>
      <c r="G8" s="1"/>
      <c r="H8" s="1"/>
    </row>
    <row r="9" spans="1:10" ht="15" customHeight="1" x14ac:dyDescent="0.25">
      <c r="A9" s="1" t="s">
        <v>361</v>
      </c>
      <c r="B9" t="s">
        <v>630</v>
      </c>
      <c r="C9" t="s">
        <v>41</v>
      </c>
      <c r="D9" s="1"/>
      <c r="H9" s="1"/>
    </row>
    <row r="10" spans="1:10" ht="15" customHeight="1" x14ac:dyDescent="0.25">
      <c r="A10" s="1" t="s">
        <v>159</v>
      </c>
      <c r="B10" t="s">
        <v>631</v>
      </c>
      <c r="C10" t="s">
        <v>632</v>
      </c>
      <c r="D10" s="1"/>
      <c r="H10" s="1"/>
    </row>
    <row r="11" spans="1:10" ht="15" customHeight="1" x14ac:dyDescent="0.25">
      <c r="A11" s="1" t="s">
        <v>19</v>
      </c>
      <c r="B11" s="1" t="s">
        <v>140</v>
      </c>
      <c r="C11" t="s">
        <v>145</v>
      </c>
      <c r="D11" s="1"/>
      <c r="G11" s="1"/>
      <c r="H11" s="1"/>
    </row>
    <row r="12" spans="1:10" ht="15" customHeight="1" x14ac:dyDescent="0.25">
      <c r="A12" s="1" t="s">
        <v>35</v>
      </c>
      <c r="B12" t="s">
        <v>77</v>
      </c>
      <c r="C12" t="s">
        <v>111</v>
      </c>
      <c r="D12" s="1"/>
      <c r="G12" s="1"/>
      <c r="H12" s="1"/>
    </row>
    <row r="13" spans="1:10" ht="15" customHeight="1" x14ac:dyDescent="0.25">
      <c r="A13" s="1" t="s">
        <v>87</v>
      </c>
      <c r="B13" s="1" t="s">
        <v>633</v>
      </c>
      <c r="C13" t="s">
        <v>634</v>
      </c>
      <c r="D13" s="1"/>
      <c r="G13" s="1"/>
      <c r="H13" s="1"/>
    </row>
    <row r="14" spans="1:10" ht="15" customHeight="1" x14ac:dyDescent="0.25">
      <c r="A14" s="1" t="s">
        <v>256</v>
      </c>
      <c r="B14" t="s">
        <v>62</v>
      </c>
      <c r="C14" t="s">
        <v>463</v>
      </c>
      <c r="D14" s="1"/>
      <c r="G14" s="1"/>
      <c r="H14" s="1"/>
    </row>
    <row r="15" spans="1:10" ht="15" customHeight="1" x14ac:dyDescent="0.25">
      <c r="A15" s="1" t="s">
        <v>300</v>
      </c>
      <c r="B15" t="s">
        <v>635</v>
      </c>
      <c r="C15" t="s">
        <v>195</v>
      </c>
      <c r="D15" s="1"/>
      <c r="H15" s="1"/>
    </row>
    <row r="16" spans="1:10" ht="15" customHeight="1" x14ac:dyDescent="0.25">
      <c r="A16" s="1" t="s">
        <v>52</v>
      </c>
      <c r="B16" t="s">
        <v>31</v>
      </c>
      <c r="C16" t="s">
        <v>456</v>
      </c>
      <c r="D16" s="1"/>
      <c r="H16" s="1"/>
    </row>
    <row r="17" spans="1:8" ht="15" customHeight="1" x14ac:dyDescent="0.25">
      <c r="A17" s="1" t="s">
        <v>163</v>
      </c>
      <c r="B17" t="s">
        <v>636</v>
      </c>
      <c r="C17" t="s">
        <v>59</v>
      </c>
      <c r="D17" s="1"/>
      <c r="H17" s="1"/>
    </row>
    <row r="18" spans="1:8" ht="15" customHeight="1" x14ac:dyDescent="0.25">
      <c r="A18" s="1" t="s">
        <v>130</v>
      </c>
      <c r="B18" t="s">
        <v>138</v>
      </c>
      <c r="C18" t="s">
        <v>201</v>
      </c>
      <c r="D18" s="1"/>
      <c r="H18" s="1"/>
    </row>
    <row r="19" spans="1:8" ht="15" customHeight="1" x14ac:dyDescent="0.25">
      <c r="A19" s="1" t="s">
        <v>76</v>
      </c>
      <c r="B19" t="s">
        <v>20</v>
      </c>
      <c r="C19" t="s">
        <v>637</v>
      </c>
      <c r="D19" s="1"/>
      <c r="H19" s="1"/>
    </row>
    <row r="20" spans="1:8" ht="15" customHeight="1" x14ac:dyDescent="0.25">
      <c r="A20" s="1" t="s">
        <v>30</v>
      </c>
      <c r="B20" s="1"/>
      <c r="C20" t="s">
        <v>219</v>
      </c>
      <c r="D20" s="1"/>
    </row>
    <row r="21" spans="1:8" ht="15" customHeight="1" x14ac:dyDescent="0.25">
      <c r="A21" s="1" t="s">
        <v>132</v>
      </c>
      <c r="B21" s="1"/>
      <c r="C21" t="s">
        <v>116</v>
      </c>
      <c r="D21" s="1"/>
    </row>
    <row r="22" spans="1:8" ht="15" customHeight="1" x14ac:dyDescent="0.25">
      <c r="A22" s="1" t="s">
        <v>192</v>
      </c>
      <c r="B22" s="1"/>
      <c r="C22" t="s">
        <v>134</v>
      </c>
      <c r="D22" s="1"/>
    </row>
    <row r="23" spans="1:8" ht="15" customHeight="1" x14ac:dyDescent="0.25">
      <c r="A23" s="1" t="s">
        <v>548</v>
      </c>
      <c r="B23" s="1"/>
      <c r="C23" t="s">
        <v>69</v>
      </c>
      <c r="D23" s="1"/>
    </row>
    <row r="24" spans="1:8" ht="15" customHeight="1" x14ac:dyDescent="0.25">
      <c r="A24" s="1" t="s">
        <v>72</v>
      </c>
      <c r="B24" s="1"/>
      <c r="C24" t="s">
        <v>86</v>
      </c>
    </row>
    <row r="25" spans="1:8" ht="15" customHeight="1" x14ac:dyDescent="0.25">
      <c r="A25" s="1" t="s">
        <v>60</v>
      </c>
      <c r="B25" s="1"/>
      <c r="C25" t="s">
        <v>480</v>
      </c>
    </row>
    <row r="26" spans="1:8" ht="15" customHeight="1" x14ac:dyDescent="0.25">
      <c r="A26" s="1"/>
      <c r="B26" s="1"/>
      <c r="C26" t="s">
        <v>269</v>
      </c>
    </row>
    <row r="27" spans="1:8" ht="15" customHeight="1" x14ac:dyDescent="0.25">
      <c r="A27" s="1"/>
      <c r="B27" s="1"/>
      <c r="C27" t="s">
        <v>33</v>
      </c>
    </row>
    <row r="28" spans="1:8" ht="15" customHeight="1" x14ac:dyDescent="0.25">
      <c r="A28" s="1"/>
      <c r="B28" s="1"/>
      <c r="C28" t="s">
        <v>67</v>
      </c>
    </row>
    <row r="29" spans="1:8" ht="15" customHeight="1" x14ac:dyDescent="0.25">
      <c r="A29" s="1"/>
      <c r="B29" s="1"/>
      <c r="C29" t="s">
        <v>170</v>
      </c>
    </row>
    <row r="30" spans="1:8" ht="15" customHeight="1" x14ac:dyDescent="0.25">
      <c r="A30" s="1"/>
      <c r="B30" s="1"/>
      <c r="C30" t="s">
        <v>345</v>
      </c>
    </row>
    <row r="31" spans="1:8" ht="15" customHeight="1" x14ac:dyDescent="0.25">
      <c r="A31" s="1"/>
      <c r="B31" s="1"/>
      <c r="C31" t="s">
        <v>278</v>
      </c>
    </row>
    <row r="32" spans="1:8" ht="15" customHeight="1" x14ac:dyDescent="0.25">
      <c r="A32" s="1"/>
      <c r="B32" s="1"/>
      <c r="C32" t="s">
        <v>22</v>
      </c>
    </row>
    <row r="33" spans="1:4" ht="15" customHeight="1" x14ac:dyDescent="0.25">
      <c r="A33" s="1"/>
      <c r="B33" s="1"/>
      <c r="C33" t="s">
        <v>142</v>
      </c>
    </row>
    <row r="34" spans="1:4" ht="15" customHeight="1" x14ac:dyDescent="0.25">
      <c r="A34" s="1"/>
      <c r="B34" s="1"/>
      <c r="C34" t="s">
        <v>638</v>
      </c>
    </row>
    <row r="35" spans="1:4" ht="15" customHeight="1" x14ac:dyDescent="0.25">
      <c r="A35" s="1"/>
      <c r="B35" s="1"/>
      <c r="C35" t="s">
        <v>51</v>
      </c>
    </row>
    <row r="36" spans="1:4" ht="15" customHeight="1" x14ac:dyDescent="0.25">
      <c r="A36" s="1"/>
      <c r="B36" s="1"/>
      <c r="C36" t="s">
        <v>561</v>
      </c>
    </row>
    <row r="37" spans="1:4" ht="15" customHeight="1" x14ac:dyDescent="0.25">
      <c r="A37" s="1"/>
      <c r="B37" s="1"/>
      <c r="C37" t="s">
        <v>199</v>
      </c>
      <c r="D37" s="1"/>
    </row>
    <row r="38" spans="1:4" ht="15" customHeight="1" x14ac:dyDescent="0.25">
      <c r="A38" s="1"/>
      <c r="B38" s="1"/>
      <c r="C38" t="s">
        <v>98</v>
      </c>
      <c r="D38" s="1"/>
    </row>
    <row r="39" spans="1:4" ht="15" customHeight="1" x14ac:dyDescent="0.25">
      <c r="A39" s="1"/>
      <c r="B39" s="1"/>
      <c r="C39" t="s">
        <v>114</v>
      </c>
      <c r="D39" s="1"/>
    </row>
    <row r="40" spans="1:4" ht="15" customHeight="1" x14ac:dyDescent="0.25">
      <c r="A40" s="1"/>
      <c r="B40" s="1"/>
      <c r="C40" t="s">
        <v>639</v>
      </c>
      <c r="D40" s="1"/>
    </row>
    <row r="41" spans="1:4" ht="15" customHeight="1" x14ac:dyDescent="0.25">
      <c r="A41" s="1"/>
      <c r="B41" s="1"/>
      <c r="C41" t="s">
        <v>188</v>
      </c>
      <c r="D41" s="1"/>
    </row>
    <row r="42" spans="1:4" ht="15" customHeight="1" x14ac:dyDescent="0.25">
      <c r="A42" s="1"/>
      <c r="B42" s="1"/>
      <c r="C42" t="s">
        <v>545</v>
      </c>
      <c r="D42" s="1"/>
    </row>
    <row r="43" spans="1:4" ht="15" customHeight="1" x14ac:dyDescent="0.25">
      <c r="A43" s="1"/>
      <c r="B43" s="1"/>
      <c r="C43" t="s">
        <v>179</v>
      </c>
      <c r="D43" s="1"/>
    </row>
    <row r="44" spans="1:4" ht="15" customHeight="1" x14ac:dyDescent="0.25">
      <c r="A44" s="1"/>
      <c r="B44" s="1"/>
      <c r="C44" t="s">
        <v>640</v>
      </c>
      <c r="D44" s="1"/>
    </row>
    <row r="45" spans="1:4" ht="15" customHeight="1" x14ac:dyDescent="0.25">
      <c r="A45" s="1"/>
      <c r="B45" s="1"/>
      <c r="C45" t="s">
        <v>55</v>
      </c>
      <c r="D45" s="1"/>
    </row>
    <row r="46" spans="1:4" x14ac:dyDescent="0.25">
      <c r="A46" s="1"/>
      <c r="B46" s="1"/>
      <c r="C46" t="s">
        <v>177</v>
      </c>
      <c r="D46" s="1"/>
    </row>
    <row r="47" spans="1:4" x14ac:dyDescent="0.25">
      <c r="C47" t="s">
        <v>236</v>
      </c>
    </row>
    <row r="48" spans="1:4" x14ac:dyDescent="0.25">
      <c r="C48" t="s">
        <v>129</v>
      </c>
    </row>
    <row r="49" spans="3:3" x14ac:dyDescent="0.25">
      <c r="C49" t="s">
        <v>641</v>
      </c>
    </row>
    <row r="50" spans="3:3" x14ac:dyDescent="0.25">
      <c r="C50" t="s">
        <v>642</v>
      </c>
    </row>
    <row r="51" spans="3:3" x14ac:dyDescent="0.25">
      <c r="C51" t="s">
        <v>643</v>
      </c>
    </row>
    <row r="52" spans="3:3" x14ac:dyDescent="0.25">
      <c r="C52" t="s">
        <v>644</v>
      </c>
    </row>
    <row r="53" spans="3:3" x14ac:dyDescent="0.25">
      <c r="C53" t="s">
        <v>115</v>
      </c>
    </row>
    <row r="54" spans="3:3" x14ac:dyDescent="0.25">
      <c r="C54" t="s">
        <v>645</v>
      </c>
    </row>
    <row r="55" spans="3:3" x14ac:dyDescent="0.25">
      <c r="C55" t="s">
        <v>91</v>
      </c>
    </row>
    <row r="56" spans="3:3" x14ac:dyDescent="0.25">
      <c r="C56" t="s">
        <v>48</v>
      </c>
    </row>
    <row r="57" spans="3:3" x14ac:dyDescent="0.25">
      <c r="C57" t="s">
        <v>646</v>
      </c>
    </row>
    <row r="58" spans="3:3" x14ac:dyDescent="0.25">
      <c r="C58" t="s">
        <v>647</v>
      </c>
    </row>
    <row r="59" spans="3:3" x14ac:dyDescent="0.25">
      <c r="C59" t="s">
        <v>147</v>
      </c>
    </row>
    <row r="60" spans="3:3" x14ac:dyDescent="0.25">
      <c r="C60" t="s">
        <v>175</v>
      </c>
    </row>
    <row r="61" spans="3:3" x14ac:dyDescent="0.25">
      <c r="C61" t="s">
        <v>144</v>
      </c>
    </row>
    <row r="62" spans="3:3" x14ac:dyDescent="0.25">
      <c r="C62" t="s">
        <v>84</v>
      </c>
    </row>
    <row r="63" spans="3:3" x14ac:dyDescent="0.25">
      <c r="C63" t="s">
        <v>43</v>
      </c>
    </row>
    <row r="64" spans="3:3" x14ac:dyDescent="0.25">
      <c r="C64" t="s">
        <v>105</v>
      </c>
    </row>
    <row r="65" spans="3:3" x14ac:dyDescent="0.25">
      <c r="C65" t="s">
        <v>648</v>
      </c>
    </row>
    <row r="66" spans="3:3" x14ac:dyDescent="0.25">
      <c r="C66" t="s">
        <v>649</v>
      </c>
    </row>
    <row r="67" spans="3:3" x14ac:dyDescent="0.25">
      <c r="C67" t="s">
        <v>68</v>
      </c>
    </row>
    <row r="68" spans="3:3" x14ac:dyDescent="0.25">
      <c r="C68" t="s">
        <v>107</v>
      </c>
    </row>
    <row r="69" spans="3:3" x14ac:dyDescent="0.25">
      <c r="C69" t="s">
        <v>82</v>
      </c>
    </row>
    <row r="70" spans="3:3" x14ac:dyDescent="0.25">
      <c r="C70" t="s">
        <v>46</v>
      </c>
    </row>
    <row r="71" spans="3:3" x14ac:dyDescent="0.25">
      <c r="C71" t="s">
        <v>127</v>
      </c>
    </row>
    <row r="72" spans="3:3" x14ac:dyDescent="0.25">
      <c r="C72" t="s">
        <v>288</v>
      </c>
    </row>
    <row r="73" spans="3:3" x14ac:dyDescent="0.25">
      <c r="C73" t="s">
        <v>74</v>
      </c>
    </row>
    <row r="74" spans="3:3" x14ac:dyDescent="0.25">
      <c r="C74" t="s">
        <v>227</v>
      </c>
    </row>
    <row r="75" spans="3:3" x14ac:dyDescent="0.25">
      <c r="C75" t="s">
        <v>157</v>
      </c>
    </row>
    <row r="76" spans="3:3" x14ac:dyDescent="0.25">
      <c r="C76" t="s">
        <v>302</v>
      </c>
    </row>
    <row r="77" spans="3:3" x14ac:dyDescent="0.25">
      <c r="C77" t="s">
        <v>650</v>
      </c>
    </row>
    <row r="78" spans="3:3" x14ac:dyDescent="0.25">
      <c r="C78" t="s">
        <v>651</v>
      </c>
    </row>
    <row r="79" spans="3:3" x14ac:dyDescent="0.25">
      <c r="C79" t="s">
        <v>124</v>
      </c>
    </row>
    <row r="80" spans="3:3" x14ac:dyDescent="0.25">
      <c r="C80" t="s">
        <v>71</v>
      </c>
    </row>
    <row r="81" spans="3:3" x14ac:dyDescent="0.25">
      <c r="C81" t="s">
        <v>506</v>
      </c>
    </row>
    <row r="82" spans="3:3" x14ac:dyDescent="0.25">
      <c r="C82" t="s">
        <v>106</v>
      </c>
    </row>
    <row r="83" spans="3:3" x14ac:dyDescent="0.25">
      <c r="C83" t="s">
        <v>153</v>
      </c>
    </row>
    <row r="84" spans="3:3" x14ac:dyDescent="0.25">
      <c r="C84" t="s">
        <v>455</v>
      </c>
    </row>
    <row r="85" spans="3:3" x14ac:dyDescent="0.25">
      <c r="C85" t="s">
        <v>93</v>
      </c>
    </row>
    <row r="86" spans="3:3" x14ac:dyDescent="0.25">
      <c r="C86" t="s">
        <v>652</v>
      </c>
    </row>
    <row r="87" spans="3:3" x14ac:dyDescent="0.25">
      <c r="C87" t="s">
        <v>653</v>
      </c>
    </row>
    <row r="88" spans="3:3" x14ac:dyDescent="0.25">
      <c r="C88" t="s">
        <v>474</v>
      </c>
    </row>
    <row r="89" spans="3:3" x14ac:dyDescent="0.25">
      <c r="C89" t="s">
        <v>454</v>
      </c>
    </row>
    <row r="90" spans="3:3" x14ac:dyDescent="0.25">
      <c r="C90" t="s">
        <v>83</v>
      </c>
    </row>
    <row r="91" spans="3:3" x14ac:dyDescent="0.25">
      <c r="C91" t="s">
        <v>654</v>
      </c>
    </row>
    <row r="92" spans="3:3" x14ac:dyDescent="0.25">
      <c r="C92" t="s">
        <v>655</v>
      </c>
    </row>
    <row r="93" spans="3:3" x14ac:dyDescent="0.25">
      <c r="C93" t="s">
        <v>104</v>
      </c>
    </row>
    <row r="94" spans="3:3" x14ac:dyDescent="0.25">
      <c r="C94" t="s">
        <v>656</v>
      </c>
    </row>
  </sheetData>
  <sortState xmlns:xlrd2="http://schemas.microsoft.com/office/spreadsheetml/2017/richdata2" ref="C2:C94">
    <sortCondition ref="C2:C9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:AB16"/>
  <sheetViews>
    <sheetView workbookViewId="0">
      <selection activeCell="O22" sqref="J21:O22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96" t="s">
        <v>657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33"/>
      <c r="O1" s="32"/>
      <c r="P1" s="33"/>
      <c r="Q1" s="97" t="s">
        <v>658</v>
      </c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</row>
    <row r="2" spans="1:28" ht="18.75" x14ac:dyDescent="0.3">
      <c r="A2" s="64"/>
      <c r="B2" s="68" t="s">
        <v>659</v>
      </c>
      <c r="C2" s="68" t="s">
        <v>660</v>
      </c>
      <c r="D2" s="68" t="s">
        <v>661</v>
      </c>
      <c r="E2" s="68" t="s">
        <v>662</v>
      </c>
      <c r="F2" s="68" t="s">
        <v>663</v>
      </c>
      <c r="G2" s="68" t="s">
        <v>664</v>
      </c>
      <c r="H2" s="68" t="s">
        <v>665</v>
      </c>
      <c r="I2" s="68" t="s">
        <v>666</v>
      </c>
      <c r="J2" s="68" t="s">
        <v>667</v>
      </c>
      <c r="K2" s="68" t="s">
        <v>668</v>
      </c>
      <c r="L2" s="68" t="s">
        <v>669</v>
      </c>
      <c r="M2" s="68" t="s">
        <v>670</v>
      </c>
      <c r="N2" s="33"/>
      <c r="O2" s="32"/>
      <c r="P2" s="33"/>
      <c r="Q2" s="60" t="s">
        <v>671</v>
      </c>
      <c r="R2" s="60" t="s">
        <v>672</v>
      </c>
      <c r="S2" s="60" t="s">
        <v>673</v>
      </c>
      <c r="T2" s="60" t="s">
        <v>674</v>
      </c>
      <c r="U2" s="60" t="s">
        <v>675</v>
      </c>
      <c r="V2" s="60" t="s">
        <v>676</v>
      </c>
      <c r="W2" s="60" t="s">
        <v>677</v>
      </c>
      <c r="X2" s="60" t="s">
        <v>678</v>
      </c>
      <c r="Y2" s="60" t="s">
        <v>679</v>
      </c>
      <c r="Z2" s="60" t="s">
        <v>680</v>
      </c>
      <c r="AA2" s="60" t="s">
        <v>681</v>
      </c>
      <c r="AB2" s="60" t="s">
        <v>682</v>
      </c>
    </row>
    <row r="3" spans="1:28" x14ac:dyDescent="0.25">
      <c r="A3" s="77" t="s">
        <v>346</v>
      </c>
      <c r="B3" s="77">
        <f>COUNTIFS(CONSOLIDADO!$O:$O,$A3,CONSOLIDADO!$I:$I,Q$3,CONSOLIDADO!$I:$I,Q$4,CONSOLIDADO!$K:$K,"&lt;&gt;NOVO")</f>
        <v>37</v>
      </c>
      <c r="C3" s="77">
        <f>COUNTIFS(CONSOLIDADO!$O:$O,$A3,CONSOLIDADO!$I:$I,R$3,CONSOLIDADO!$I:$I,R$4,CONSOLIDADO!$K:$K,"&lt;&gt;NOVO")</f>
        <v>80</v>
      </c>
      <c r="D3" s="77">
        <f>COUNTIFS(CONSOLIDADO!$O:$O,$A3,CONSOLIDADO!$I:$I,S$3,CONSOLIDADO!$I:$I,S$4,CONSOLIDADO!$K:$K,"&lt;&gt;NOVO")</f>
        <v>53</v>
      </c>
      <c r="E3" s="77">
        <f>COUNTIFS(CONSOLIDADO!$O:$O,$A3,CONSOLIDADO!$I:$I,T$3,CONSOLIDADO!$I:$I,T$4,CONSOLIDADO!$K:$K,"&lt;&gt;NOVO")</f>
        <v>93</v>
      </c>
      <c r="F3" s="77">
        <f>COUNTIFS(CONSOLIDADO!$O:$O,$A3,CONSOLIDADO!$I:$I,U$3,CONSOLIDADO!$I:$I,U$4,CONSOLIDADO!$K:$K,"&lt;&gt;NOVO")</f>
        <v>6</v>
      </c>
      <c r="G3" s="77">
        <f>COUNTIFS(CONSOLIDADO!$O:$O,$A3,CONSOLIDADO!$I:$I,V$3,CONSOLIDADO!$I:$I,V$4,CONSOLIDADO!$K:$K,"&lt;&gt;NOVO")</f>
        <v>0</v>
      </c>
      <c r="H3" s="77">
        <f>COUNTIFS(CONSOLIDADO!$O:$O,$A3,CONSOLIDADO!$I:$I,W$3,CONSOLIDADO!$I:$I,W$4,CONSOLIDADO!$K:$K,"&lt;&gt;NOVO")</f>
        <v>2</v>
      </c>
      <c r="I3" s="77">
        <f>COUNTIFS(CONSOLIDADO!$O:$O,$A3,CONSOLIDADO!$I:$I,X$3,CONSOLIDADO!$I:$I,X$4,CONSOLIDADO!$K:$K,"&lt;&gt;NOVO")</f>
        <v>0</v>
      </c>
      <c r="J3" s="77">
        <f>COUNTIFS(CONSOLIDADO!$O:$O,$A3,CONSOLIDADO!$I:$I,Y$3,CONSOLIDADO!$I:$I,Y$4,CONSOLIDADO!$K:$K,"&lt;&gt;NOVO")</f>
        <v>1</v>
      </c>
      <c r="K3" s="77">
        <f>COUNTIFS(CONSOLIDADO!$O:$O,$A3,CONSOLIDADO!$I:$I,Z$3,CONSOLIDADO!$I:$I,Z$4,CONSOLIDADO!$K:$K,"&lt;&gt;NOVO")</f>
        <v>0</v>
      </c>
      <c r="L3" s="77">
        <f>COUNTIFS(CONSOLIDADO!$O:$O,$A3,CONSOLIDADO!$I:$I,AA$3,CONSOLIDADO!$I:$I,AA$4,CONSOLIDADO!$K:$K,"&lt;&gt;NOVO")</f>
        <v>0</v>
      </c>
      <c r="M3" s="77">
        <f>COUNTIFS(CONSOLIDADO!$O:$O,$A3,CONSOLIDADO!$I:$I,AB$3,CONSOLIDADO!$I:$I,AB$4,CONSOLIDADO!$K:$K,"&lt;&gt;NOVO")</f>
        <v>0</v>
      </c>
      <c r="N3" s="33"/>
      <c r="O3" s="32"/>
      <c r="P3" s="33"/>
      <c r="Q3" s="61" t="s">
        <v>683</v>
      </c>
      <c r="R3" s="61" t="s">
        <v>684</v>
      </c>
      <c r="S3" s="61" t="s">
        <v>685</v>
      </c>
      <c r="T3" s="61" t="s">
        <v>686</v>
      </c>
      <c r="U3" s="61" t="s">
        <v>687</v>
      </c>
      <c r="V3" s="61" t="s">
        <v>688</v>
      </c>
      <c r="W3" s="61" t="s">
        <v>689</v>
      </c>
      <c r="X3" s="61" t="s">
        <v>690</v>
      </c>
      <c r="Y3" s="61" t="s">
        <v>691</v>
      </c>
      <c r="Z3" s="61" t="s">
        <v>692</v>
      </c>
      <c r="AA3" s="61" t="s">
        <v>693</v>
      </c>
      <c r="AB3" s="61" t="s">
        <v>694</v>
      </c>
    </row>
    <row r="4" spans="1:28" x14ac:dyDescent="0.25">
      <c r="A4" s="77" t="s">
        <v>695</v>
      </c>
      <c r="B4" s="77">
        <f>COUNTIFS(CONSOLIDADO!$O:$O,$A4,CONSOLIDADO!$I:$I,Q$3,CONSOLIDADO!$I:$I,Q$4,CONSOLIDADO!$K:$K,"&lt;&gt;NOVO")</f>
        <v>52</v>
      </c>
      <c r="C4" s="77">
        <f>COUNTIFS(CONSOLIDADO!$O:$O,$A4,CONSOLIDADO!$I:$I,R$3,CONSOLIDADO!$I:$I,R$4,CONSOLIDADO!$K:$K,"&lt;&gt;NOVO")</f>
        <v>54</v>
      </c>
      <c r="D4" s="77">
        <f>COUNTIFS(CONSOLIDADO!$O:$O,$A4,CONSOLIDADO!$I:$I,S$3,CONSOLIDADO!$I:$I,S$4,CONSOLIDADO!$K:$K,"&lt;&gt;NOVO")</f>
        <v>26</v>
      </c>
      <c r="E4" s="77">
        <f>COUNTIFS(CONSOLIDADO!$O:$O,$A4,CONSOLIDADO!$I:$I,T$3,CONSOLIDADO!$I:$I,T$4,CONSOLIDADO!$K:$K,"&lt;&gt;NOVO")</f>
        <v>46</v>
      </c>
      <c r="F4" s="77">
        <f>COUNTIFS(CONSOLIDADO!$O:$O,$A4,CONSOLIDADO!$I:$I,U$3,CONSOLIDADO!$I:$I,U$4,CONSOLIDADO!$K:$K,"&lt;&gt;NOVO")</f>
        <v>2</v>
      </c>
      <c r="G4" s="77">
        <f>COUNTIFS(CONSOLIDADO!$O:$O,$A4,CONSOLIDADO!$I:$I,V$3,CONSOLIDADO!$I:$I,V$4,CONSOLIDADO!$K:$K,"&lt;&gt;NOVO")</f>
        <v>0</v>
      </c>
      <c r="H4" s="77">
        <f>COUNTIFS(CONSOLIDADO!$O:$O,$A4,CONSOLIDADO!$I:$I,W$3,CONSOLIDADO!$I:$I,W$4,CONSOLIDADO!$K:$K,"&lt;&gt;NOVO")</f>
        <v>0</v>
      </c>
      <c r="I4" s="77">
        <f>COUNTIFS(CONSOLIDADO!$O:$O,$A4,CONSOLIDADO!$I:$I,X$3,CONSOLIDADO!$I:$I,X$4,CONSOLIDADO!$K:$K,"&lt;&gt;NOVO")</f>
        <v>0</v>
      </c>
      <c r="J4" s="77">
        <f>COUNTIFS(CONSOLIDADO!$O:$O,$A4,CONSOLIDADO!$I:$I,Y$3,CONSOLIDADO!$I:$I,Y$4,CONSOLIDADO!$K:$K,"&lt;&gt;NOVO")</f>
        <v>0</v>
      </c>
      <c r="K4" s="77">
        <f>COUNTIFS(CONSOLIDADO!$O:$O,$A4,CONSOLIDADO!$I:$I,Z$3,CONSOLIDADO!$I:$I,Z$4,CONSOLIDADO!$K:$K,"&lt;&gt;NOVO")</f>
        <v>0</v>
      </c>
      <c r="L4" s="77">
        <f>COUNTIFS(CONSOLIDADO!$O:$O,$A4,CONSOLIDADO!$I:$I,AA$3,CONSOLIDADO!$I:$I,AA$4,CONSOLIDADO!$K:$K,"&lt;&gt;NOVO")</f>
        <v>0</v>
      </c>
      <c r="M4" s="77">
        <f>COUNTIFS(CONSOLIDADO!$O:$O,$A4,CONSOLIDADO!$I:$I,AB$3,CONSOLIDADO!$I:$I,AB$4,CONSOLIDADO!$K:$K,"&lt;&gt;NOVO")</f>
        <v>4</v>
      </c>
      <c r="N4" s="33"/>
      <c r="O4" s="32"/>
      <c r="P4" s="33"/>
      <c r="Q4" s="61" t="s">
        <v>696</v>
      </c>
      <c r="R4" s="61" t="s">
        <v>697</v>
      </c>
      <c r="S4" s="61" t="s">
        <v>698</v>
      </c>
      <c r="T4" s="61" t="s">
        <v>699</v>
      </c>
      <c r="U4" s="61" t="s">
        <v>700</v>
      </c>
      <c r="V4" s="61" t="s">
        <v>701</v>
      </c>
      <c r="W4" s="61" t="s">
        <v>702</v>
      </c>
      <c r="X4" s="61" t="s">
        <v>703</v>
      </c>
      <c r="Y4" s="61" t="s">
        <v>704</v>
      </c>
      <c r="Z4" s="61" t="s">
        <v>705</v>
      </c>
      <c r="AA4" s="61" t="s">
        <v>706</v>
      </c>
      <c r="AB4" s="61" t="s">
        <v>707</v>
      </c>
    </row>
    <row r="5" spans="1:28" x14ac:dyDescent="0.25">
      <c r="A5" s="77" t="s">
        <v>708</v>
      </c>
      <c r="B5" s="78">
        <f>B3/SUM(B3:B4)</f>
        <v>0.4157303370786517</v>
      </c>
      <c r="C5" s="78">
        <f t="shared" ref="C5:M5" si="0">C3/SUM(C3:C4)</f>
        <v>0.59701492537313428</v>
      </c>
      <c r="D5" s="78">
        <f t="shared" si="0"/>
        <v>0.67088607594936711</v>
      </c>
      <c r="E5" s="78">
        <f t="shared" si="0"/>
        <v>0.6690647482014388</v>
      </c>
      <c r="F5" s="78">
        <f t="shared" si="0"/>
        <v>0.75</v>
      </c>
      <c r="G5" s="78" t="e">
        <f t="shared" si="0"/>
        <v>#DIV/0!</v>
      </c>
      <c r="H5" s="78">
        <f t="shared" si="0"/>
        <v>1</v>
      </c>
      <c r="I5" s="78" t="e">
        <f t="shared" si="0"/>
        <v>#DIV/0!</v>
      </c>
      <c r="J5" s="78">
        <f t="shared" si="0"/>
        <v>1</v>
      </c>
      <c r="K5" s="78" t="e">
        <f t="shared" si="0"/>
        <v>#DIV/0!</v>
      </c>
      <c r="L5" s="78" t="e">
        <f t="shared" si="0"/>
        <v>#DIV/0!</v>
      </c>
      <c r="M5" s="78">
        <f t="shared" si="0"/>
        <v>0</v>
      </c>
      <c r="N5" s="33"/>
      <c r="O5" s="3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2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8.75" x14ac:dyDescent="0.3">
      <c r="A7" s="33"/>
      <c r="B7" s="98" t="s">
        <v>709</v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33"/>
      <c r="O7" s="32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1:28" ht="18.75" x14ac:dyDescent="0.3">
      <c r="A8" s="33"/>
      <c r="B8" s="68" t="s">
        <v>659</v>
      </c>
      <c r="C8" s="68" t="s">
        <v>660</v>
      </c>
      <c r="D8" s="68" t="s">
        <v>661</v>
      </c>
      <c r="E8" s="68" t="s">
        <v>662</v>
      </c>
      <c r="F8" s="68" t="s">
        <v>663</v>
      </c>
      <c r="G8" s="68" t="s">
        <v>664</v>
      </c>
      <c r="H8" s="68" t="s">
        <v>665</v>
      </c>
      <c r="I8" s="68" t="s">
        <v>666</v>
      </c>
      <c r="J8" s="68" t="s">
        <v>667</v>
      </c>
      <c r="K8" s="68" t="s">
        <v>668</v>
      </c>
      <c r="L8" s="68" t="s">
        <v>669</v>
      </c>
      <c r="M8" s="68" t="s">
        <v>670</v>
      </c>
      <c r="N8" s="33"/>
      <c r="O8" s="32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1:28" x14ac:dyDescent="0.25">
      <c r="A9" t="s">
        <v>710</v>
      </c>
      <c r="B9">
        <f>COUNTIFS(CONSOLIDADO!$G:$G,ANÁLISE!Q$3,CONSOLIDADO!$G:$G,ANÁLISE!Q$4,CONSOLIDADO!$K:$K,ANÁLISE!$A9)</f>
        <v>166</v>
      </c>
      <c r="C9">
        <f>COUNTIFS(CONSOLIDADO!$G:$G,ANÁLISE!R$3,CONSOLIDADO!$G:$G,ANÁLISE!R$4,CONSOLIDADO!$K:$K,ANÁLISE!$A9)</f>
        <v>86</v>
      </c>
      <c r="D9">
        <f>COUNTIFS(CONSOLIDADO!$G:$G,ANÁLISE!S$3,CONSOLIDADO!$G:$G,ANÁLISE!S$4,CONSOLIDADO!$K:$K,ANÁLISE!$A9)</f>
        <v>104</v>
      </c>
      <c r="E9">
        <f>COUNTIFS(CONSOLIDADO!$G:$G,ANÁLISE!T$3,CONSOLIDADO!$G:$G,ANÁLISE!T$4,CONSOLIDADO!$K:$K,ANÁLISE!$A9)</f>
        <v>116</v>
      </c>
      <c r="F9">
        <f>COUNTIFS(CONSOLIDADO!$G:$G,ANÁLISE!U$3,CONSOLIDADO!$G:$G,ANÁLISE!U$4,CONSOLIDADO!$K:$K,ANÁLISE!$A9)</f>
        <v>4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1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0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0</v>
      </c>
      <c r="N9" s="33"/>
      <c r="O9" s="32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8" x14ac:dyDescent="0.25">
      <c r="A10" t="s">
        <v>711</v>
      </c>
      <c r="B10">
        <f>COUNTIFS(CONSOLIDADO!$G:$G,ANÁLISE!Q$3,CONSOLIDADO!$G:$G,ANÁLISE!Q$4,CONSOLIDADO!$K:$K,ANÁLISE!$A10)</f>
        <v>2</v>
      </c>
      <c r="C10">
        <f>COUNTIFS(CONSOLIDADO!$G:$G,ANÁLISE!R$3,CONSOLIDADO!$G:$G,ANÁLISE!R$4,CONSOLIDADO!$K:$K,ANÁLISE!$A10)</f>
        <v>5</v>
      </c>
      <c r="D10">
        <f>COUNTIFS(CONSOLIDADO!$G:$G,ANÁLISE!S$3,CONSOLIDADO!$G:$G,ANÁLISE!S$4,CONSOLIDADO!$K:$K,ANÁLISE!$A10)</f>
        <v>2</v>
      </c>
      <c r="E10">
        <f>COUNTIFS(CONSOLIDADO!$G:$G,ANÁLISE!T$3,CONSOLIDADO!$G:$G,ANÁLISE!T$4,CONSOLIDADO!$K:$K,ANÁLISE!$A10)</f>
        <v>11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3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8" x14ac:dyDescent="0.25">
      <c r="A11" t="s">
        <v>708</v>
      </c>
      <c r="B11" s="79">
        <f>B9/SUM(B9:B10)</f>
        <v>0.98809523809523814</v>
      </c>
      <c r="C11" s="79">
        <f t="shared" ref="C11:M11" si="1">C9/SUM(C9:C10)</f>
        <v>0.94505494505494503</v>
      </c>
      <c r="D11" s="79">
        <f t="shared" si="1"/>
        <v>0.98113207547169812</v>
      </c>
      <c r="E11" s="79">
        <f t="shared" si="1"/>
        <v>0.91338582677165359</v>
      </c>
      <c r="F11" s="79">
        <f t="shared" si="1"/>
        <v>1</v>
      </c>
      <c r="G11" s="79" t="e">
        <f t="shared" si="1"/>
        <v>#DIV/0!</v>
      </c>
      <c r="H11" s="79" t="e">
        <f t="shared" si="1"/>
        <v>#DIV/0!</v>
      </c>
      <c r="I11" s="79">
        <f t="shared" si="1"/>
        <v>1</v>
      </c>
      <c r="J11" s="79" t="e">
        <f t="shared" si="1"/>
        <v>#DIV/0!</v>
      </c>
      <c r="K11" s="79" t="e">
        <f t="shared" si="1"/>
        <v>#DIV/0!</v>
      </c>
      <c r="L11" s="79" t="e">
        <f t="shared" si="1"/>
        <v>#DIV/0!</v>
      </c>
      <c r="M11" s="79" t="e">
        <f t="shared" si="1"/>
        <v>#DIV/0!</v>
      </c>
      <c r="N11" s="33"/>
      <c r="O11" s="32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2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1:28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2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1:28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46A2-47FB-4D55-9CD2-968066258C31}">
  <sheetPr codeName="Planilha8"/>
  <dimension ref="A1:AB122"/>
  <sheetViews>
    <sheetView topLeftCell="A82" workbookViewId="0">
      <selection activeCell="J106" sqref="J106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2.7109375" bestFit="1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11.7109375" bestFit="1" customWidth="1"/>
  </cols>
  <sheetData>
    <row r="1" spans="1:28" ht="23.25" x14ac:dyDescent="0.25">
      <c r="A1" s="99" t="s">
        <v>658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2" spans="1:28" x14ac:dyDescent="0.25">
      <c r="A2" s="60" t="s">
        <v>671</v>
      </c>
      <c r="B2" s="60" t="s">
        <v>672</v>
      </c>
      <c r="C2" s="60" t="s">
        <v>673</v>
      </c>
      <c r="D2" s="60" t="s">
        <v>674</v>
      </c>
      <c r="E2" s="60" t="s">
        <v>675</v>
      </c>
      <c r="F2" s="60" t="s">
        <v>676</v>
      </c>
      <c r="G2" s="60" t="s">
        <v>677</v>
      </c>
      <c r="H2" s="60" t="s">
        <v>678</v>
      </c>
      <c r="I2" s="60" t="s">
        <v>679</v>
      </c>
      <c r="J2" s="60" t="s">
        <v>680</v>
      </c>
      <c r="K2" s="60" t="s">
        <v>681</v>
      </c>
      <c r="L2" s="60" t="s">
        <v>682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61" t="s">
        <v>683</v>
      </c>
      <c r="B3" s="61" t="s">
        <v>684</v>
      </c>
      <c r="C3" s="61" t="s">
        <v>685</v>
      </c>
      <c r="D3" s="61" t="s">
        <v>686</v>
      </c>
      <c r="E3" s="61" t="s">
        <v>687</v>
      </c>
      <c r="F3" s="61" t="s">
        <v>688</v>
      </c>
      <c r="G3" s="61" t="s">
        <v>689</v>
      </c>
      <c r="H3" s="61" t="s">
        <v>690</v>
      </c>
      <c r="I3" s="61" t="s">
        <v>691</v>
      </c>
      <c r="J3" s="61" t="s">
        <v>692</v>
      </c>
      <c r="K3" s="61" t="s">
        <v>693</v>
      </c>
      <c r="L3" s="61" t="s">
        <v>694</v>
      </c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1:28" x14ac:dyDescent="0.25">
      <c r="A4" s="61" t="s">
        <v>696</v>
      </c>
      <c r="B4" s="61" t="s">
        <v>697</v>
      </c>
      <c r="C4" s="61" t="s">
        <v>698</v>
      </c>
      <c r="D4" s="61" t="s">
        <v>699</v>
      </c>
      <c r="E4" s="61" t="s">
        <v>700</v>
      </c>
      <c r="F4" s="61" t="s">
        <v>701</v>
      </c>
      <c r="G4" s="61" t="s">
        <v>702</v>
      </c>
      <c r="H4" s="61" t="s">
        <v>703</v>
      </c>
      <c r="I4" s="61" t="s">
        <v>704</v>
      </c>
      <c r="J4" s="61" t="s">
        <v>705</v>
      </c>
      <c r="K4" s="61" t="s">
        <v>706</v>
      </c>
      <c r="L4" s="61" t="s">
        <v>707</v>
      </c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8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5.75" x14ac:dyDescent="0.25">
      <c r="A7" s="100" t="s">
        <v>712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1"/>
      <c r="N7" s="102" t="s">
        <v>713</v>
      </c>
      <c r="O7" s="102"/>
      <c r="P7" s="102" t="s">
        <v>714</v>
      </c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33"/>
    </row>
    <row r="8" spans="1:28" ht="15.75" x14ac:dyDescent="0.25">
      <c r="A8" s="62" t="s">
        <v>715</v>
      </c>
      <c r="B8" s="62" t="s">
        <v>659</v>
      </c>
      <c r="C8" s="62" t="s">
        <v>660</v>
      </c>
      <c r="D8" s="62" t="s">
        <v>661</v>
      </c>
      <c r="E8" s="62" t="s">
        <v>662</v>
      </c>
      <c r="F8" s="62" t="s">
        <v>663</v>
      </c>
      <c r="G8" s="62" t="s">
        <v>664</v>
      </c>
      <c r="H8" s="62" t="s">
        <v>665</v>
      </c>
      <c r="I8" s="62" t="s">
        <v>666</v>
      </c>
      <c r="J8" s="62" t="s">
        <v>667</v>
      </c>
      <c r="K8" s="62" t="s">
        <v>668</v>
      </c>
      <c r="L8" s="62" t="s">
        <v>669</v>
      </c>
      <c r="M8" s="62" t="s">
        <v>670</v>
      </c>
      <c r="N8" s="62" t="s">
        <v>716</v>
      </c>
      <c r="O8" s="62" t="s">
        <v>717</v>
      </c>
      <c r="P8" s="62" t="s">
        <v>659</v>
      </c>
      <c r="Q8" s="62" t="s">
        <v>660</v>
      </c>
      <c r="R8" s="62" t="s">
        <v>661</v>
      </c>
      <c r="S8" s="62" t="s">
        <v>662</v>
      </c>
      <c r="T8" s="62" t="s">
        <v>663</v>
      </c>
      <c r="U8" s="62" t="s">
        <v>664</v>
      </c>
      <c r="V8" s="62" t="s">
        <v>665</v>
      </c>
      <c r="W8" s="62" t="s">
        <v>666</v>
      </c>
      <c r="X8" s="62" t="s">
        <v>667</v>
      </c>
      <c r="Y8" s="62" t="s">
        <v>668</v>
      </c>
      <c r="Z8" s="62" t="s">
        <v>669</v>
      </c>
      <c r="AA8" s="62" t="s">
        <v>670</v>
      </c>
      <c r="AB8" s="33"/>
    </row>
    <row r="9" spans="1:28" x14ac:dyDescent="0.25">
      <c r="A9" s="63" t="s">
        <v>94</v>
      </c>
      <c r="B9" s="64">
        <f>SUMIFS(CONSOLIDADO!$F:$F,CONSOLIDADO!$E:$E,$A9,CONSOLIDADO!$I:$I,A$3,CONSOLIDADO!$I:$I,A$4,CONSOLIDADO!$K:$K,"&lt;&gt;NOVO")</f>
        <v>4</v>
      </c>
      <c r="C9" s="64">
        <f>SUMIFS(CONSOLIDADO!$F:$F,CONSOLIDADO!$E:$E,$A9,CONSOLIDADO!$I:$I,B$3,CONSOLIDADO!$I:$I,B$4,CONSOLIDADO!$K:$K,"&lt;&gt;NOVO")</f>
        <v>8</v>
      </c>
      <c r="D9" s="64">
        <f>SUMIFS(CONSOLIDADO!$F:$F,CONSOLIDADO!$E:$E,$A9,CONSOLIDADO!$I:$I,C$3,CONSOLIDADO!$I:$I,C$4,CONSOLIDADO!$K:$K,"&lt;&gt;NOVO")</f>
        <v>9</v>
      </c>
      <c r="E9" s="64">
        <f>SUMIFS(CONSOLIDADO!$F:$F,CONSOLIDADO!$E:$E,$A9,CONSOLIDADO!$I:$I,D$3,CONSOLIDADO!$I:$I,D$4,CONSOLIDADO!$K:$K,"&lt;&gt;NOVO")</f>
        <v>1</v>
      </c>
      <c r="F9" s="64">
        <f>SUMIFS(CONSOLIDADO!$F:$F,CONSOLIDADO!$E:$E,$A9,CONSOLIDADO!$I:$I,E$3,CONSOLIDADO!$I:$I,E$4,CONSOLIDADO!$K:$K,"&lt;&gt;NOVO")</f>
        <v>0</v>
      </c>
      <c r="G9" s="64">
        <f>SUMIFS(CONSOLIDADO!$F:$F,CONSOLIDADO!$E:$E,$A9,CONSOLIDADO!$I:$I,F$3,CONSOLIDADO!$I:$I,F$4,CONSOLIDADO!$K:$K,"&lt;&gt;NOVO")</f>
        <v>0</v>
      </c>
      <c r="H9" s="64">
        <f>SUMIFS(CONSOLIDADO!$F:$F,CONSOLIDADO!$E:$E,$A9,CONSOLIDADO!$I:$I,G$3,CONSOLIDADO!$I:$I,G$4,CONSOLIDADO!$K:$K,"&lt;&gt;NOVO")</f>
        <v>0</v>
      </c>
      <c r="I9" s="64">
        <f>SUMIFS(CONSOLIDADO!$F:$F,CONSOLIDADO!$E:$E,$A9,CONSOLIDADO!$I:$I,H$3,CONSOLIDADO!$I:$I,H$4,CONSOLIDADO!$K:$K,"&lt;&gt;NOVO")</f>
        <v>0</v>
      </c>
      <c r="J9" s="64">
        <f>SUMIFS(CONSOLIDADO!$F:$F,CONSOLIDADO!$E:$E,$A9,CONSOLIDADO!$I:$I,I$3,CONSOLIDADO!$I:$I,I$4,CONSOLIDADO!$K:$K,"&lt;&gt;NOVO")</f>
        <v>0</v>
      </c>
      <c r="K9" s="64">
        <f>SUMIFS(CONSOLIDADO!$F:$F,CONSOLIDADO!$E:$E,$A9,CONSOLIDADO!$I:$I,J$3,CONSOLIDADO!$I:$I,J$4,CONSOLIDADO!$K:$K,"&lt;&gt;NOVO")</f>
        <v>0</v>
      </c>
      <c r="L9" s="64">
        <f>SUMIFS(CONSOLIDADO!$F:$F,CONSOLIDADO!$E:$E,$A9,CONSOLIDADO!$I:$I,K$3,CONSOLIDADO!$I:$I,K$4,CONSOLIDADO!$K:$K,"&lt;&gt;NOVO")</f>
        <v>0</v>
      </c>
      <c r="M9" s="64">
        <f>SUMIFS(CONSOLIDADO!$F:$F,CONSOLIDADO!$E:$E,$A9,CONSOLIDADO!$I:$I,L$3,CONSOLIDADO!$I:$I,L$4,CONSOLIDADO!$K:$K,"&lt;&gt;NOVO")</f>
        <v>0</v>
      </c>
      <c r="N9" s="66">
        <v>652.09</v>
      </c>
      <c r="O9" s="65">
        <v>0.8</v>
      </c>
      <c r="P9" s="66">
        <f>B9*($N9*(1-$O9))</f>
        <v>521.67199999999991</v>
      </c>
      <c r="Q9" s="66">
        <f t="shared" ref="Q9:AA24" si="0">C9*($N9*(1-$O9))</f>
        <v>1043.3439999999998</v>
      </c>
      <c r="R9" s="66">
        <f t="shared" si="0"/>
        <v>1173.7619999999997</v>
      </c>
      <c r="S9" s="66">
        <f t="shared" si="0"/>
        <v>130.41799999999998</v>
      </c>
      <c r="T9" s="66">
        <f t="shared" si="0"/>
        <v>0</v>
      </c>
      <c r="U9" s="66">
        <f t="shared" si="0"/>
        <v>0</v>
      </c>
      <c r="V9" s="66">
        <f t="shared" si="0"/>
        <v>0</v>
      </c>
      <c r="W9" s="66">
        <f t="shared" si="0"/>
        <v>0</v>
      </c>
      <c r="X9" s="66">
        <f t="shared" si="0"/>
        <v>0</v>
      </c>
      <c r="Y9" s="66">
        <f t="shared" si="0"/>
        <v>0</v>
      </c>
      <c r="Z9" s="66">
        <f t="shared" si="0"/>
        <v>0</v>
      </c>
      <c r="AA9" s="66">
        <f t="shared" si="0"/>
        <v>0</v>
      </c>
      <c r="AB9" s="33"/>
    </row>
    <row r="10" spans="1:28" x14ac:dyDescent="0.25">
      <c r="A10" s="63" t="s">
        <v>151</v>
      </c>
      <c r="B10" s="64">
        <f>SUMIFS(CONSOLIDADO!$F:$F,CONSOLIDADO!$E:$E,$A10,CONSOLIDADO!$I:$I,A$3,CONSOLIDADO!$I:$I,A$4,CONSOLIDADO!$K:$K,"&lt;&gt;NOVO")</f>
        <v>0</v>
      </c>
      <c r="C10" s="64">
        <f>SUMIFS(CONSOLIDADO!$F:$F,CONSOLIDADO!$E:$E,$A10,CONSOLIDADO!$I:$I,B$3,CONSOLIDADO!$I:$I,B$4,CONSOLIDADO!$K:$K,"&lt;&gt;NOVO")</f>
        <v>1</v>
      </c>
      <c r="D10" s="64">
        <f>SUMIFS(CONSOLIDADO!$F:$F,CONSOLIDADO!$E:$E,$A10,CONSOLIDADO!$I:$I,C$3,CONSOLIDADO!$I:$I,C$4,CONSOLIDADO!$K:$K,"&lt;&gt;NOVO")</f>
        <v>2</v>
      </c>
      <c r="E10" s="64">
        <f>SUMIFS(CONSOLIDADO!$F:$F,CONSOLIDADO!$E:$E,$A10,CONSOLIDADO!$I:$I,D$3,CONSOLIDADO!$I:$I,D$4,CONSOLIDADO!$K:$K,"&lt;&gt;NOVO")</f>
        <v>0</v>
      </c>
      <c r="F10" s="64">
        <f>SUMIFS(CONSOLIDADO!$F:$F,CONSOLIDADO!$E:$E,$A10,CONSOLIDADO!$I:$I,E$3,CONSOLIDADO!$I:$I,E$4,CONSOLIDADO!$K:$K,"&lt;&gt;NOVO")</f>
        <v>0</v>
      </c>
      <c r="G10" s="64">
        <f>SUMIFS(CONSOLIDADO!$F:$F,CONSOLIDADO!$E:$E,$A10,CONSOLIDADO!$I:$I,F$3,CONSOLIDADO!$I:$I,F$4,CONSOLIDADO!$K:$K,"&lt;&gt;NOVO")</f>
        <v>0</v>
      </c>
      <c r="H10" s="64">
        <f>SUMIFS(CONSOLIDADO!$F:$F,CONSOLIDADO!$E:$E,$A10,CONSOLIDADO!$I:$I,G$3,CONSOLIDADO!$I:$I,G$4,CONSOLIDADO!$K:$K,"&lt;&gt;NOVO")</f>
        <v>0</v>
      </c>
      <c r="I10" s="64">
        <f>SUMIFS(CONSOLIDADO!$F:$F,CONSOLIDADO!$E:$E,$A10,CONSOLIDADO!$I:$I,H$3,CONSOLIDADO!$I:$I,H$4,CONSOLIDADO!$K:$K,"&lt;&gt;NOVO")</f>
        <v>0</v>
      </c>
      <c r="J10" s="64">
        <f>SUMIFS(CONSOLIDADO!$F:$F,CONSOLIDADO!$E:$E,$A10,CONSOLIDADO!$I:$I,I$3,CONSOLIDADO!$I:$I,I$4,CONSOLIDADO!$K:$K,"&lt;&gt;NOVO")</f>
        <v>0</v>
      </c>
      <c r="K10" s="64">
        <f>SUMIFS(CONSOLIDADO!$F:$F,CONSOLIDADO!$E:$E,$A10,CONSOLIDADO!$I:$I,J$3,CONSOLIDADO!$I:$I,J$4,CONSOLIDADO!$K:$K,"&lt;&gt;NOVO")</f>
        <v>0</v>
      </c>
      <c r="L10" s="64">
        <f>SUMIFS(CONSOLIDADO!$F:$F,CONSOLIDADO!$E:$E,$A10,CONSOLIDADO!$I:$I,K$3,CONSOLIDADO!$I:$I,K$4,CONSOLIDADO!$K:$K,"&lt;&gt;NOVO")</f>
        <v>0</v>
      </c>
      <c r="M10" s="64">
        <f>SUMIFS(CONSOLIDADO!$F:$F,CONSOLIDADO!$E:$E,$A10,CONSOLIDADO!$I:$I,L$3,CONSOLIDADO!$I:$I,L$4,CONSOLIDADO!$K:$K,"&lt;&gt;NOVO")</f>
        <v>0</v>
      </c>
      <c r="N10" s="66">
        <v>982.59</v>
      </c>
      <c r="O10" s="65">
        <v>0.8</v>
      </c>
      <c r="P10" s="66">
        <f t="shared" ref="P10:AA44" si="1">B10*($N10*(1-$O10))</f>
        <v>0</v>
      </c>
      <c r="Q10" s="66">
        <f t="shared" si="0"/>
        <v>196.51799999999997</v>
      </c>
      <c r="R10" s="66">
        <f t="shared" si="0"/>
        <v>393.03599999999994</v>
      </c>
      <c r="S10" s="66">
        <f t="shared" si="0"/>
        <v>0</v>
      </c>
      <c r="T10" s="66">
        <f t="shared" si="0"/>
        <v>0</v>
      </c>
      <c r="U10" s="66">
        <f t="shared" si="0"/>
        <v>0</v>
      </c>
      <c r="V10" s="66">
        <f t="shared" si="0"/>
        <v>0</v>
      </c>
      <c r="W10" s="66">
        <f t="shared" si="0"/>
        <v>0</v>
      </c>
      <c r="X10" s="66">
        <f t="shared" si="0"/>
        <v>0</v>
      </c>
      <c r="Y10" s="66">
        <f t="shared" si="0"/>
        <v>0</v>
      </c>
      <c r="Z10" s="66">
        <f t="shared" si="0"/>
        <v>0</v>
      </c>
      <c r="AA10" s="66">
        <f t="shared" si="0"/>
        <v>0</v>
      </c>
      <c r="AB10" s="33"/>
    </row>
    <row r="11" spans="1:28" x14ac:dyDescent="0.25">
      <c r="A11" s="63" t="s">
        <v>79</v>
      </c>
      <c r="B11" s="64">
        <f>SUMIFS(CONSOLIDADO!$F:$F,CONSOLIDADO!$E:$E,$A11,CONSOLIDADO!$I:$I,A$3,CONSOLIDADO!$I:$I,A$4,CONSOLIDADO!$K:$K,"&lt;&gt;NOVO")</f>
        <v>6</v>
      </c>
      <c r="C11" s="64">
        <f>SUMIFS(CONSOLIDADO!$F:$F,CONSOLIDADO!$E:$E,$A11,CONSOLIDADO!$I:$I,B$3,CONSOLIDADO!$I:$I,B$4,CONSOLIDADO!$K:$K,"&lt;&gt;NOVO")</f>
        <v>7</v>
      </c>
      <c r="D11" s="64">
        <f>SUMIFS(CONSOLIDADO!$F:$F,CONSOLIDADO!$E:$E,$A11,CONSOLIDADO!$I:$I,C$3,CONSOLIDADO!$I:$I,C$4,CONSOLIDADO!$K:$K,"&lt;&gt;NOVO")</f>
        <v>3</v>
      </c>
      <c r="E11" s="64">
        <f>SUMIFS(CONSOLIDADO!$F:$F,CONSOLIDADO!$E:$E,$A11,CONSOLIDADO!$I:$I,D$3,CONSOLIDADO!$I:$I,D$4,CONSOLIDADO!$K:$K,"&lt;&gt;NOVO")</f>
        <v>3</v>
      </c>
      <c r="F11" s="64">
        <f>SUMIFS(CONSOLIDADO!$F:$F,CONSOLIDADO!$E:$E,$A11,CONSOLIDADO!$I:$I,E$3,CONSOLIDADO!$I:$I,E$4,CONSOLIDADO!$K:$K,"&lt;&gt;NOVO")</f>
        <v>1</v>
      </c>
      <c r="G11" s="64">
        <f>SUMIFS(CONSOLIDADO!$F:$F,CONSOLIDADO!$E:$E,$A11,CONSOLIDADO!$I:$I,F$3,CONSOLIDADO!$I:$I,F$4,CONSOLIDADO!$K:$K,"&lt;&gt;NOVO")</f>
        <v>0</v>
      </c>
      <c r="H11" s="64">
        <f>SUMIFS(CONSOLIDADO!$F:$F,CONSOLIDADO!$E:$E,$A11,CONSOLIDADO!$I:$I,G$3,CONSOLIDADO!$I:$I,G$4,CONSOLIDADO!$K:$K,"&lt;&gt;NOVO")</f>
        <v>0</v>
      </c>
      <c r="I11" s="64">
        <f>SUMIFS(CONSOLIDADO!$F:$F,CONSOLIDADO!$E:$E,$A11,CONSOLIDADO!$I:$I,H$3,CONSOLIDADO!$I:$I,H$4,CONSOLIDADO!$K:$K,"&lt;&gt;NOVO")</f>
        <v>0</v>
      </c>
      <c r="J11" s="64">
        <f>SUMIFS(CONSOLIDADO!$F:$F,CONSOLIDADO!$E:$E,$A11,CONSOLIDADO!$I:$I,I$3,CONSOLIDADO!$I:$I,I$4,CONSOLIDADO!$K:$K,"&lt;&gt;NOVO")</f>
        <v>0</v>
      </c>
      <c r="K11" s="64">
        <f>SUMIFS(CONSOLIDADO!$F:$F,CONSOLIDADO!$E:$E,$A11,CONSOLIDADO!$I:$I,J$3,CONSOLIDADO!$I:$I,J$4,CONSOLIDADO!$K:$K,"&lt;&gt;NOVO")</f>
        <v>0</v>
      </c>
      <c r="L11" s="64">
        <f>SUMIFS(CONSOLIDADO!$F:$F,CONSOLIDADO!$E:$E,$A11,CONSOLIDADO!$I:$I,K$3,CONSOLIDADO!$I:$I,K$4,CONSOLIDADO!$K:$K,"&lt;&gt;NOVO")</f>
        <v>0</v>
      </c>
      <c r="M11" s="64">
        <f>SUMIFS(CONSOLIDADO!$F:$F,CONSOLIDADO!$E:$E,$A11,CONSOLIDADO!$I:$I,L$3,CONSOLIDADO!$I:$I,L$4,CONSOLIDADO!$K:$K,"&lt;&gt;NOVO")</f>
        <v>0</v>
      </c>
      <c r="N11" s="66">
        <v>1000</v>
      </c>
      <c r="O11" s="65">
        <v>0.8</v>
      </c>
      <c r="P11" s="66">
        <f t="shared" si="1"/>
        <v>1199.9999999999995</v>
      </c>
      <c r="Q11" s="66">
        <f t="shared" si="0"/>
        <v>1399.9999999999995</v>
      </c>
      <c r="R11" s="66">
        <f t="shared" si="0"/>
        <v>599.99999999999977</v>
      </c>
      <c r="S11" s="66">
        <f t="shared" si="0"/>
        <v>599.99999999999977</v>
      </c>
      <c r="T11" s="66">
        <f t="shared" si="0"/>
        <v>199.99999999999994</v>
      </c>
      <c r="U11" s="66">
        <f t="shared" si="0"/>
        <v>0</v>
      </c>
      <c r="V11" s="66">
        <f t="shared" si="0"/>
        <v>0</v>
      </c>
      <c r="W11" s="66">
        <f t="shared" si="0"/>
        <v>0</v>
      </c>
      <c r="X11" s="66">
        <f t="shared" si="0"/>
        <v>0</v>
      </c>
      <c r="Y11" s="66">
        <f t="shared" si="0"/>
        <v>0</v>
      </c>
      <c r="Z11" s="66">
        <f t="shared" si="0"/>
        <v>0</v>
      </c>
      <c r="AA11" s="66">
        <f t="shared" si="0"/>
        <v>0</v>
      </c>
      <c r="AB11" s="33"/>
    </row>
    <row r="12" spans="1:28" x14ac:dyDescent="0.25">
      <c r="A12" s="63" t="s">
        <v>515</v>
      </c>
      <c r="B12" s="64">
        <f>SUMIFS(CONSOLIDADO!$F:$F,CONSOLIDADO!$E:$E,$A12,CONSOLIDADO!$I:$I,A$3,CONSOLIDADO!$I:$I,A$4,CONSOLIDADO!$K:$K,"&lt;&gt;NOVO")</f>
        <v>0</v>
      </c>
      <c r="C12" s="64">
        <f>SUMIFS(CONSOLIDADO!$F:$F,CONSOLIDADO!$E:$E,$A12,CONSOLIDADO!$I:$I,B$3,CONSOLIDADO!$I:$I,B$4,CONSOLIDADO!$K:$K,"&lt;&gt;NOVO")</f>
        <v>0</v>
      </c>
      <c r="D12" s="64">
        <f>SUMIFS(CONSOLIDADO!$F:$F,CONSOLIDADO!$E:$E,$A12,CONSOLIDADO!$I:$I,C$3,CONSOLIDADO!$I:$I,C$4,CONSOLIDADO!$K:$K,"&lt;&gt;NOVO")</f>
        <v>0</v>
      </c>
      <c r="E12" s="64">
        <f>SUMIFS(CONSOLIDADO!$F:$F,CONSOLIDADO!$E:$E,$A12,CONSOLIDADO!$I:$I,D$3,CONSOLIDADO!$I:$I,D$4,CONSOLIDADO!$K:$K,"&lt;&gt;NOVO")</f>
        <v>0</v>
      </c>
      <c r="F12" s="64">
        <f>SUMIFS(CONSOLIDADO!$F:$F,CONSOLIDADO!$E:$E,$A12,CONSOLIDADO!$I:$I,E$3,CONSOLIDADO!$I:$I,E$4,CONSOLIDADO!$K:$K,"&lt;&gt;NOVO")</f>
        <v>0</v>
      </c>
      <c r="G12" s="64">
        <f>SUMIFS(CONSOLIDADO!$F:$F,CONSOLIDADO!$E:$E,$A12,CONSOLIDADO!$I:$I,F$3,CONSOLIDADO!$I:$I,F$4,CONSOLIDADO!$K:$K,"&lt;&gt;NOVO")</f>
        <v>0</v>
      </c>
      <c r="H12" s="64">
        <f>SUMIFS(CONSOLIDADO!$F:$F,CONSOLIDADO!$E:$E,$A12,CONSOLIDADO!$I:$I,G$3,CONSOLIDADO!$I:$I,G$4,CONSOLIDADO!$K:$K,"&lt;&gt;NOVO")</f>
        <v>0</v>
      </c>
      <c r="I12" s="64">
        <f>SUMIFS(CONSOLIDADO!$F:$F,CONSOLIDADO!$E:$E,$A12,CONSOLIDADO!$I:$I,H$3,CONSOLIDADO!$I:$I,H$4,CONSOLIDADO!$K:$K,"&lt;&gt;NOVO")</f>
        <v>0</v>
      </c>
      <c r="J12" s="64">
        <f>SUMIFS(CONSOLIDADO!$F:$F,CONSOLIDADO!$E:$E,$A12,CONSOLIDADO!$I:$I,I$3,CONSOLIDADO!$I:$I,I$4,CONSOLIDADO!$K:$K,"&lt;&gt;NOVO")</f>
        <v>0</v>
      </c>
      <c r="K12" s="64">
        <f>SUMIFS(CONSOLIDADO!$F:$F,CONSOLIDADO!$E:$E,$A12,CONSOLIDADO!$I:$I,J$3,CONSOLIDADO!$I:$I,J$4,CONSOLIDADO!$K:$K,"&lt;&gt;NOVO")</f>
        <v>0</v>
      </c>
      <c r="L12" s="64">
        <f>SUMIFS(CONSOLIDADO!$F:$F,CONSOLIDADO!$E:$E,$A12,CONSOLIDADO!$I:$I,K$3,CONSOLIDADO!$I:$I,K$4,CONSOLIDADO!$K:$K,"&lt;&gt;NOVO")</f>
        <v>0</v>
      </c>
      <c r="M12" s="64">
        <f>SUMIFS(CONSOLIDADO!$F:$F,CONSOLIDADO!$E:$E,$A12,CONSOLIDADO!$I:$I,L$3,CONSOLIDADO!$I:$I,L$4,CONSOLIDADO!$K:$K,"&lt;&gt;NOVO")</f>
        <v>0</v>
      </c>
      <c r="N12" s="66">
        <v>1000</v>
      </c>
      <c r="O12" s="65">
        <v>0.8</v>
      </c>
      <c r="P12" s="66">
        <f t="shared" si="1"/>
        <v>0</v>
      </c>
      <c r="Q12" s="66">
        <f t="shared" si="0"/>
        <v>0</v>
      </c>
      <c r="R12" s="66">
        <f t="shared" si="0"/>
        <v>0</v>
      </c>
      <c r="S12" s="66">
        <f t="shared" si="0"/>
        <v>0</v>
      </c>
      <c r="T12" s="66">
        <f t="shared" si="0"/>
        <v>0</v>
      </c>
      <c r="U12" s="66">
        <f t="shared" si="0"/>
        <v>0</v>
      </c>
      <c r="V12" s="66">
        <f t="shared" si="0"/>
        <v>0</v>
      </c>
      <c r="W12" s="66">
        <f t="shared" si="0"/>
        <v>0</v>
      </c>
      <c r="X12" s="66">
        <f t="shared" si="0"/>
        <v>0</v>
      </c>
      <c r="Y12" s="66">
        <f t="shared" si="0"/>
        <v>0</v>
      </c>
      <c r="Z12" s="66">
        <f t="shared" si="0"/>
        <v>0</v>
      </c>
      <c r="AA12" s="66">
        <f t="shared" si="0"/>
        <v>0</v>
      </c>
      <c r="AB12" s="33"/>
    </row>
    <row r="13" spans="1:28" x14ac:dyDescent="0.25">
      <c r="A13" s="63" t="s">
        <v>110</v>
      </c>
      <c r="B13" s="64">
        <f>SUMIFS(CONSOLIDADO!$F:$F,CONSOLIDADO!$E:$E,$A13,CONSOLIDADO!$I:$I,A$3,CONSOLIDADO!$I:$I,A$4,CONSOLIDADO!$K:$K,"&lt;&gt;NOVO")</f>
        <v>2</v>
      </c>
      <c r="C13" s="64">
        <f>SUMIFS(CONSOLIDADO!$F:$F,CONSOLIDADO!$E:$E,$A13,CONSOLIDADO!$I:$I,B$3,CONSOLIDADO!$I:$I,B$4,CONSOLIDADO!$K:$K,"&lt;&gt;NOVO")</f>
        <v>0</v>
      </c>
      <c r="D13" s="64">
        <f>SUMIFS(CONSOLIDADO!$F:$F,CONSOLIDADO!$E:$E,$A13,CONSOLIDADO!$I:$I,C$3,CONSOLIDADO!$I:$I,C$4,CONSOLIDADO!$K:$K,"&lt;&gt;NOVO")</f>
        <v>2</v>
      </c>
      <c r="E13" s="64">
        <f>SUMIFS(CONSOLIDADO!$F:$F,CONSOLIDADO!$E:$E,$A13,CONSOLIDADO!$I:$I,D$3,CONSOLIDADO!$I:$I,D$4,CONSOLIDADO!$K:$K,"&lt;&gt;NOVO")</f>
        <v>1</v>
      </c>
      <c r="F13" s="64">
        <f>SUMIFS(CONSOLIDADO!$F:$F,CONSOLIDADO!$E:$E,$A13,CONSOLIDADO!$I:$I,E$3,CONSOLIDADO!$I:$I,E$4,CONSOLIDADO!$K:$K,"&lt;&gt;NOVO")</f>
        <v>0</v>
      </c>
      <c r="G13" s="64">
        <f>SUMIFS(CONSOLIDADO!$F:$F,CONSOLIDADO!$E:$E,$A13,CONSOLIDADO!$I:$I,F$3,CONSOLIDADO!$I:$I,F$4,CONSOLIDADO!$K:$K,"&lt;&gt;NOVO")</f>
        <v>0</v>
      </c>
      <c r="H13" s="64">
        <f>SUMIFS(CONSOLIDADO!$F:$F,CONSOLIDADO!$E:$E,$A13,CONSOLIDADO!$I:$I,G$3,CONSOLIDADO!$I:$I,G$4,CONSOLIDADO!$K:$K,"&lt;&gt;NOVO")</f>
        <v>0</v>
      </c>
      <c r="I13" s="64">
        <f>SUMIFS(CONSOLIDADO!$F:$F,CONSOLIDADO!$E:$E,$A13,CONSOLIDADO!$I:$I,H$3,CONSOLIDADO!$I:$I,H$4,CONSOLIDADO!$K:$K,"&lt;&gt;NOVO")</f>
        <v>0</v>
      </c>
      <c r="J13" s="64">
        <f>SUMIFS(CONSOLIDADO!$F:$F,CONSOLIDADO!$E:$E,$A13,CONSOLIDADO!$I:$I,I$3,CONSOLIDADO!$I:$I,I$4,CONSOLIDADO!$K:$K,"&lt;&gt;NOVO")</f>
        <v>0</v>
      </c>
      <c r="K13" s="64">
        <f>SUMIFS(CONSOLIDADO!$F:$F,CONSOLIDADO!$E:$E,$A13,CONSOLIDADO!$I:$I,J$3,CONSOLIDADO!$I:$I,J$4,CONSOLIDADO!$K:$K,"&lt;&gt;NOVO")</f>
        <v>0</v>
      </c>
      <c r="L13" s="64">
        <f>SUMIFS(CONSOLIDADO!$F:$F,CONSOLIDADO!$E:$E,$A13,CONSOLIDADO!$I:$I,K$3,CONSOLIDADO!$I:$I,K$4,CONSOLIDADO!$K:$K,"&lt;&gt;NOVO")</f>
        <v>0</v>
      </c>
      <c r="M13" s="64">
        <f>SUMIFS(CONSOLIDADO!$F:$F,CONSOLIDADO!$E:$E,$A13,CONSOLIDADO!$I:$I,L$3,CONSOLIDADO!$I:$I,L$4,CONSOLIDADO!$K:$K,"&lt;&gt;NOVO")</f>
        <v>0</v>
      </c>
      <c r="N13" s="66">
        <v>932.53</v>
      </c>
      <c r="O13" s="65">
        <v>0.8</v>
      </c>
      <c r="P13" s="66">
        <f t="shared" si="1"/>
        <v>373.01199999999989</v>
      </c>
      <c r="Q13" s="66">
        <f t="shared" si="0"/>
        <v>0</v>
      </c>
      <c r="R13" s="66">
        <f t="shared" si="0"/>
        <v>373.01199999999989</v>
      </c>
      <c r="S13" s="66">
        <f t="shared" si="0"/>
        <v>186.50599999999994</v>
      </c>
      <c r="T13" s="66">
        <f t="shared" si="0"/>
        <v>0</v>
      </c>
      <c r="U13" s="66">
        <f t="shared" si="0"/>
        <v>0</v>
      </c>
      <c r="V13" s="66">
        <f t="shared" si="0"/>
        <v>0</v>
      </c>
      <c r="W13" s="66">
        <f t="shared" si="0"/>
        <v>0</v>
      </c>
      <c r="X13" s="66">
        <f t="shared" si="0"/>
        <v>0</v>
      </c>
      <c r="Y13" s="66">
        <f t="shared" si="0"/>
        <v>0</v>
      </c>
      <c r="Z13" s="66">
        <f t="shared" si="0"/>
        <v>0</v>
      </c>
      <c r="AA13" s="66">
        <f t="shared" si="0"/>
        <v>0</v>
      </c>
      <c r="AB13" s="33"/>
    </row>
    <row r="14" spans="1:28" x14ac:dyDescent="0.25">
      <c r="A14" t="s">
        <v>628</v>
      </c>
      <c r="B14" s="64">
        <f>SUMIFS(CONSOLIDADO!$F:$F,CONSOLIDADO!$E:$E,$A14,CONSOLIDADO!$I:$I,A$3,CONSOLIDADO!$I:$I,A$4,CONSOLIDADO!$K:$K,"&lt;&gt;NOVO")</f>
        <v>0</v>
      </c>
      <c r="C14" s="64">
        <f>SUMIFS(CONSOLIDADO!$F:$F,CONSOLIDADO!$E:$E,$A14,CONSOLIDADO!$I:$I,B$3,CONSOLIDADO!$I:$I,B$4,CONSOLIDADO!$K:$K,"&lt;&gt;NOVO")</f>
        <v>0</v>
      </c>
      <c r="D14" s="64">
        <f>SUMIFS(CONSOLIDADO!$F:$F,CONSOLIDADO!$E:$E,$A14,CONSOLIDADO!$I:$I,C$3,CONSOLIDADO!$I:$I,C$4,CONSOLIDADO!$K:$K,"&lt;&gt;NOVO")</f>
        <v>0</v>
      </c>
      <c r="E14" s="64">
        <f>SUMIFS(CONSOLIDADO!$F:$F,CONSOLIDADO!$E:$E,$A14,CONSOLIDADO!$I:$I,D$3,CONSOLIDADO!$I:$I,D$4,CONSOLIDADO!$K:$K,"&lt;&gt;NOVO")</f>
        <v>0</v>
      </c>
      <c r="F14" s="64">
        <f>SUMIFS(CONSOLIDADO!$F:$F,CONSOLIDADO!$E:$E,$A14,CONSOLIDADO!$I:$I,E$3,CONSOLIDADO!$I:$I,E$4,CONSOLIDADO!$K:$K,"&lt;&gt;NOVO")</f>
        <v>0</v>
      </c>
      <c r="G14" s="64">
        <f>SUMIFS(CONSOLIDADO!$F:$F,CONSOLIDADO!$E:$E,$A14,CONSOLIDADO!$I:$I,F$3,CONSOLIDADO!$I:$I,F$4,CONSOLIDADO!$K:$K,"&lt;&gt;NOVO")</f>
        <v>0</v>
      </c>
      <c r="H14" s="64">
        <f>SUMIFS(CONSOLIDADO!$F:$F,CONSOLIDADO!$E:$E,$A14,CONSOLIDADO!$I:$I,G$3,CONSOLIDADO!$I:$I,G$4,CONSOLIDADO!$K:$K,"&lt;&gt;NOVO")</f>
        <v>0</v>
      </c>
      <c r="I14" s="64">
        <f>SUMIFS(CONSOLIDADO!$F:$F,CONSOLIDADO!$E:$E,$A14,CONSOLIDADO!$I:$I,H$3,CONSOLIDADO!$I:$I,H$4,CONSOLIDADO!$K:$K,"&lt;&gt;NOVO")</f>
        <v>0</v>
      </c>
      <c r="J14" s="64">
        <f>SUMIFS(CONSOLIDADO!$F:$F,CONSOLIDADO!$E:$E,$A14,CONSOLIDADO!$I:$I,I$3,CONSOLIDADO!$I:$I,I$4,CONSOLIDADO!$K:$K,"&lt;&gt;NOVO")</f>
        <v>0</v>
      </c>
      <c r="K14" s="64">
        <f>SUMIFS(CONSOLIDADO!$F:$F,CONSOLIDADO!$E:$E,$A14,CONSOLIDADO!$I:$I,J$3,CONSOLIDADO!$I:$I,J$4,CONSOLIDADO!$K:$K,"&lt;&gt;NOVO")</f>
        <v>0</v>
      </c>
      <c r="L14" s="64">
        <f>SUMIFS(CONSOLIDADO!$F:$F,CONSOLIDADO!$E:$E,$A14,CONSOLIDADO!$I:$I,K$3,CONSOLIDADO!$I:$I,K$4,CONSOLIDADO!$K:$K,"&lt;&gt;NOVO")</f>
        <v>0</v>
      </c>
      <c r="M14" s="64">
        <f>SUMIFS(CONSOLIDADO!$F:$F,CONSOLIDADO!$E:$E,$A14,CONSOLIDADO!$I:$I,L$3,CONSOLIDADO!$I:$I,L$4,CONSOLIDADO!$K:$K,"&lt;&gt;NOVO")</f>
        <v>0</v>
      </c>
      <c r="N14" s="66">
        <v>1000</v>
      </c>
      <c r="O14" s="65">
        <v>0.8</v>
      </c>
      <c r="P14" s="66">
        <f t="shared" si="1"/>
        <v>0</v>
      </c>
      <c r="Q14" s="66">
        <f t="shared" si="0"/>
        <v>0</v>
      </c>
      <c r="R14" s="66">
        <f t="shared" si="0"/>
        <v>0</v>
      </c>
      <c r="S14" s="66">
        <f t="shared" si="0"/>
        <v>0</v>
      </c>
      <c r="T14" s="66">
        <f t="shared" si="0"/>
        <v>0</v>
      </c>
      <c r="U14" s="66">
        <f t="shared" si="0"/>
        <v>0</v>
      </c>
      <c r="V14" s="66">
        <f t="shared" si="0"/>
        <v>0</v>
      </c>
      <c r="W14" s="66">
        <f t="shared" si="0"/>
        <v>0</v>
      </c>
      <c r="X14" s="66">
        <f t="shared" si="0"/>
        <v>0</v>
      </c>
      <c r="Y14" s="66">
        <f t="shared" si="0"/>
        <v>0</v>
      </c>
      <c r="Z14" s="66">
        <f t="shared" si="0"/>
        <v>0</v>
      </c>
      <c r="AA14" s="66">
        <f t="shared" si="0"/>
        <v>0</v>
      </c>
      <c r="AB14" s="33"/>
    </row>
    <row r="15" spans="1:28" x14ac:dyDescent="0.25">
      <c r="A15" s="63" t="s">
        <v>102</v>
      </c>
      <c r="B15" s="64">
        <f>SUMIFS(CONSOLIDADO!$F:$F,CONSOLIDADO!$E:$E,$A15,CONSOLIDADO!$I:$I,A$3,CONSOLIDADO!$I:$I,A$4,CONSOLIDADO!$K:$K,"&lt;&gt;NOVO")</f>
        <v>1</v>
      </c>
      <c r="C15" s="64">
        <f>SUMIFS(CONSOLIDADO!$F:$F,CONSOLIDADO!$E:$E,$A15,CONSOLIDADO!$I:$I,B$3,CONSOLIDADO!$I:$I,B$4,CONSOLIDADO!$K:$K,"&lt;&gt;NOVO")</f>
        <v>5</v>
      </c>
      <c r="D15" s="64">
        <f>SUMIFS(CONSOLIDADO!$F:$F,CONSOLIDADO!$E:$E,$A15,CONSOLIDADO!$I:$I,C$3,CONSOLIDADO!$I:$I,C$4,CONSOLIDADO!$K:$K,"&lt;&gt;NOVO")</f>
        <v>1</v>
      </c>
      <c r="E15" s="64">
        <f>SUMIFS(CONSOLIDADO!$F:$F,CONSOLIDADO!$E:$E,$A15,CONSOLIDADO!$I:$I,D$3,CONSOLIDADO!$I:$I,D$4,CONSOLIDADO!$K:$K,"&lt;&gt;NOVO")</f>
        <v>10</v>
      </c>
      <c r="F15" s="64">
        <f>SUMIFS(CONSOLIDADO!$F:$F,CONSOLIDADO!$E:$E,$A15,CONSOLIDADO!$I:$I,E$3,CONSOLIDADO!$I:$I,E$4,CONSOLIDADO!$K:$K,"&lt;&gt;NOVO")</f>
        <v>0</v>
      </c>
      <c r="G15" s="64">
        <f>SUMIFS(CONSOLIDADO!$F:$F,CONSOLIDADO!$E:$E,$A15,CONSOLIDADO!$I:$I,F$3,CONSOLIDADO!$I:$I,F$4,CONSOLIDADO!$K:$K,"&lt;&gt;NOVO")</f>
        <v>0</v>
      </c>
      <c r="H15" s="64">
        <f>SUMIFS(CONSOLIDADO!$F:$F,CONSOLIDADO!$E:$E,$A15,CONSOLIDADO!$I:$I,G$3,CONSOLIDADO!$I:$I,G$4,CONSOLIDADO!$K:$K,"&lt;&gt;NOVO")</f>
        <v>0</v>
      </c>
      <c r="I15" s="64">
        <f>SUMIFS(CONSOLIDADO!$F:$F,CONSOLIDADO!$E:$E,$A15,CONSOLIDADO!$I:$I,H$3,CONSOLIDADO!$I:$I,H$4,CONSOLIDADO!$K:$K,"&lt;&gt;NOVO")</f>
        <v>0</v>
      </c>
      <c r="J15" s="64">
        <f>SUMIFS(CONSOLIDADO!$F:$F,CONSOLIDADO!$E:$E,$A15,CONSOLIDADO!$I:$I,I$3,CONSOLIDADO!$I:$I,I$4,CONSOLIDADO!$K:$K,"&lt;&gt;NOVO")</f>
        <v>0</v>
      </c>
      <c r="K15" s="64">
        <f>SUMIFS(CONSOLIDADO!$F:$F,CONSOLIDADO!$E:$E,$A15,CONSOLIDADO!$I:$I,J$3,CONSOLIDADO!$I:$I,J$4,CONSOLIDADO!$K:$K,"&lt;&gt;NOVO")</f>
        <v>0</v>
      </c>
      <c r="L15" s="64">
        <f>SUMIFS(CONSOLIDADO!$F:$F,CONSOLIDADO!$E:$E,$A15,CONSOLIDADO!$I:$I,K$3,CONSOLIDADO!$I:$I,K$4,CONSOLIDADO!$K:$K,"&lt;&gt;NOVO")</f>
        <v>0</v>
      </c>
      <c r="M15" s="64">
        <f>SUMIFS(CONSOLIDADO!$F:$F,CONSOLIDADO!$E:$E,$A15,CONSOLIDADO!$I:$I,L$3,CONSOLIDADO!$I:$I,L$4,CONSOLIDADO!$K:$K,"&lt;&gt;NOVO")</f>
        <v>0</v>
      </c>
      <c r="N15" s="66">
        <v>1075.51</v>
      </c>
      <c r="O15" s="65">
        <v>0.8</v>
      </c>
      <c r="P15" s="66">
        <f t="shared" si="1"/>
        <v>215.10199999999995</v>
      </c>
      <c r="Q15" s="66">
        <f t="shared" si="0"/>
        <v>1075.5099999999998</v>
      </c>
      <c r="R15" s="66">
        <f t="shared" si="0"/>
        <v>215.10199999999995</v>
      </c>
      <c r="S15" s="66">
        <f t="shared" si="0"/>
        <v>2151.0199999999995</v>
      </c>
      <c r="T15" s="66">
        <f t="shared" si="0"/>
        <v>0</v>
      </c>
      <c r="U15" s="66">
        <f t="shared" si="0"/>
        <v>0</v>
      </c>
      <c r="V15" s="66">
        <f t="shared" si="0"/>
        <v>0</v>
      </c>
      <c r="W15" s="66">
        <f t="shared" si="0"/>
        <v>0</v>
      </c>
      <c r="X15" s="66">
        <f t="shared" si="0"/>
        <v>0</v>
      </c>
      <c r="Y15" s="66">
        <f t="shared" si="0"/>
        <v>0</v>
      </c>
      <c r="Z15" s="66">
        <f t="shared" si="0"/>
        <v>0</v>
      </c>
      <c r="AA15" s="66">
        <f t="shared" si="0"/>
        <v>0</v>
      </c>
      <c r="AB15" s="33"/>
    </row>
    <row r="16" spans="1:28" x14ac:dyDescent="0.25">
      <c r="A16" s="63" t="s">
        <v>41</v>
      </c>
      <c r="B16" s="64">
        <f>SUMIFS(CONSOLIDADO!$F:$F,CONSOLIDADO!$E:$E,$A16,CONSOLIDADO!$I:$I,A$3,CONSOLIDADO!$I:$I,A$4,CONSOLIDADO!$K:$K,"&lt;&gt;NOVO")</f>
        <v>6</v>
      </c>
      <c r="C16" s="64">
        <f>SUMIFS(CONSOLIDADO!$F:$F,CONSOLIDADO!$E:$E,$A16,CONSOLIDADO!$I:$I,B$3,CONSOLIDADO!$I:$I,B$4,CONSOLIDADO!$K:$K,"&lt;&gt;NOVO")</f>
        <v>2</v>
      </c>
      <c r="D16" s="64">
        <f>SUMIFS(CONSOLIDADO!$F:$F,CONSOLIDADO!$E:$E,$A16,CONSOLIDADO!$I:$I,C$3,CONSOLIDADO!$I:$I,C$4,CONSOLIDADO!$K:$K,"&lt;&gt;NOVO")</f>
        <v>3</v>
      </c>
      <c r="E16" s="64">
        <f>SUMIFS(CONSOLIDADO!$F:$F,CONSOLIDADO!$E:$E,$A16,CONSOLIDADO!$I:$I,D$3,CONSOLIDADO!$I:$I,D$4,CONSOLIDADO!$K:$K,"&lt;&gt;NOVO")</f>
        <v>12</v>
      </c>
      <c r="F16" s="64">
        <f>SUMIFS(CONSOLIDADO!$F:$F,CONSOLIDADO!$E:$E,$A16,CONSOLIDADO!$I:$I,E$3,CONSOLIDADO!$I:$I,E$4,CONSOLIDADO!$K:$K,"&lt;&gt;NOVO")</f>
        <v>0</v>
      </c>
      <c r="G16" s="64">
        <f>SUMIFS(CONSOLIDADO!$F:$F,CONSOLIDADO!$E:$E,$A16,CONSOLIDADO!$I:$I,F$3,CONSOLIDADO!$I:$I,F$4,CONSOLIDADO!$K:$K,"&lt;&gt;NOVO")</f>
        <v>0</v>
      </c>
      <c r="H16" s="64">
        <f>SUMIFS(CONSOLIDADO!$F:$F,CONSOLIDADO!$E:$E,$A16,CONSOLIDADO!$I:$I,G$3,CONSOLIDADO!$I:$I,G$4,CONSOLIDADO!$K:$K,"&lt;&gt;NOVO")</f>
        <v>0</v>
      </c>
      <c r="I16" s="64">
        <f>SUMIFS(CONSOLIDADO!$F:$F,CONSOLIDADO!$E:$E,$A16,CONSOLIDADO!$I:$I,H$3,CONSOLIDADO!$I:$I,H$4,CONSOLIDADO!$K:$K,"&lt;&gt;NOVO")</f>
        <v>0</v>
      </c>
      <c r="J16" s="64">
        <f>SUMIFS(CONSOLIDADO!$F:$F,CONSOLIDADO!$E:$E,$A16,CONSOLIDADO!$I:$I,I$3,CONSOLIDADO!$I:$I,I$4,CONSOLIDADO!$K:$K,"&lt;&gt;NOVO")</f>
        <v>0</v>
      </c>
      <c r="K16" s="64">
        <f>SUMIFS(CONSOLIDADO!$F:$F,CONSOLIDADO!$E:$E,$A16,CONSOLIDADO!$I:$I,J$3,CONSOLIDADO!$I:$I,J$4,CONSOLIDADO!$K:$K,"&lt;&gt;NOVO")</f>
        <v>0</v>
      </c>
      <c r="L16" s="64">
        <f>SUMIFS(CONSOLIDADO!$F:$F,CONSOLIDADO!$E:$E,$A16,CONSOLIDADO!$I:$I,K$3,CONSOLIDADO!$I:$I,K$4,CONSOLIDADO!$K:$K,"&lt;&gt;NOVO")</f>
        <v>0</v>
      </c>
      <c r="M16" s="64">
        <f>SUMIFS(CONSOLIDADO!$F:$F,CONSOLIDADO!$E:$E,$A16,CONSOLIDADO!$I:$I,L$3,CONSOLIDADO!$I:$I,L$4,CONSOLIDADO!$K:$K,"&lt;&gt;NOVO")</f>
        <v>0</v>
      </c>
      <c r="N16" s="66">
        <v>675.51</v>
      </c>
      <c r="O16" s="65">
        <v>0.8</v>
      </c>
      <c r="P16" s="66">
        <f t="shared" si="1"/>
        <v>810.61199999999985</v>
      </c>
      <c r="Q16" s="66">
        <f t="shared" si="0"/>
        <v>270.20399999999995</v>
      </c>
      <c r="R16" s="66">
        <f t="shared" si="0"/>
        <v>405.30599999999993</v>
      </c>
      <c r="S16" s="66">
        <f t="shared" si="0"/>
        <v>1621.2239999999997</v>
      </c>
      <c r="T16" s="66">
        <f t="shared" si="0"/>
        <v>0</v>
      </c>
      <c r="U16" s="66">
        <f t="shared" si="0"/>
        <v>0</v>
      </c>
      <c r="V16" s="66">
        <f t="shared" si="0"/>
        <v>0</v>
      </c>
      <c r="W16" s="66">
        <f t="shared" si="0"/>
        <v>0</v>
      </c>
      <c r="X16" s="66">
        <f t="shared" si="0"/>
        <v>0</v>
      </c>
      <c r="Y16" s="66">
        <f t="shared" si="0"/>
        <v>0</v>
      </c>
      <c r="Z16" s="66">
        <f t="shared" si="0"/>
        <v>0</v>
      </c>
      <c r="AA16" s="66">
        <f t="shared" si="0"/>
        <v>0</v>
      </c>
      <c r="AB16" s="33"/>
    </row>
    <row r="17" spans="1:28" x14ac:dyDescent="0.25">
      <c r="A17" s="63" t="s">
        <v>111</v>
      </c>
      <c r="B17" s="64">
        <f>SUMIFS(CONSOLIDADO!$F:$F,CONSOLIDADO!$E:$E,$A17,CONSOLIDADO!$I:$I,A$3,CONSOLIDADO!$I:$I,A$4,CONSOLIDADO!$K:$K,"&lt;&gt;NOVO")</f>
        <v>1</v>
      </c>
      <c r="C17" s="64">
        <f>SUMIFS(CONSOLIDADO!$F:$F,CONSOLIDADO!$E:$E,$A17,CONSOLIDADO!$I:$I,B$3,CONSOLIDADO!$I:$I,B$4,CONSOLIDADO!$K:$K,"&lt;&gt;NOVO")</f>
        <v>0</v>
      </c>
      <c r="D17" s="64">
        <f>SUMIFS(CONSOLIDADO!$F:$F,CONSOLIDADO!$E:$E,$A17,CONSOLIDADO!$I:$I,C$3,CONSOLIDADO!$I:$I,C$4,CONSOLIDADO!$K:$K,"&lt;&gt;NOVO")</f>
        <v>4</v>
      </c>
      <c r="E17" s="64">
        <f>SUMIFS(CONSOLIDADO!$F:$F,CONSOLIDADO!$E:$E,$A17,CONSOLIDADO!$I:$I,D$3,CONSOLIDADO!$I:$I,D$4,CONSOLIDADO!$K:$K,"&lt;&gt;NOVO")</f>
        <v>1</v>
      </c>
      <c r="F17" s="64">
        <f>SUMIFS(CONSOLIDADO!$F:$F,CONSOLIDADO!$E:$E,$A17,CONSOLIDADO!$I:$I,E$3,CONSOLIDADO!$I:$I,E$4,CONSOLIDADO!$K:$K,"&lt;&gt;NOVO")</f>
        <v>0</v>
      </c>
      <c r="G17" s="64">
        <f>SUMIFS(CONSOLIDADO!$F:$F,CONSOLIDADO!$E:$E,$A17,CONSOLIDADO!$I:$I,F$3,CONSOLIDADO!$I:$I,F$4,CONSOLIDADO!$K:$K,"&lt;&gt;NOVO")</f>
        <v>0</v>
      </c>
      <c r="H17" s="64">
        <f>SUMIFS(CONSOLIDADO!$F:$F,CONSOLIDADO!$E:$E,$A17,CONSOLIDADO!$I:$I,G$3,CONSOLIDADO!$I:$I,G$4,CONSOLIDADO!$K:$K,"&lt;&gt;NOVO")</f>
        <v>0</v>
      </c>
      <c r="I17" s="64">
        <f>SUMIFS(CONSOLIDADO!$F:$F,CONSOLIDADO!$E:$E,$A17,CONSOLIDADO!$I:$I,H$3,CONSOLIDADO!$I:$I,H$4,CONSOLIDADO!$K:$K,"&lt;&gt;NOVO")</f>
        <v>0</v>
      </c>
      <c r="J17" s="64">
        <f>SUMIFS(CONSOLIDADO!$F:$F,CONSOLIDADO!$E:$E,$A17,CONSOLIDADO!$I:$I,I$3,CONSOLIDADO!$I:$I,I$4,CONSOLIDADO!$K:$K,"&lt;&gt;NOVO")</f>
        <v>0</v>
      </c>
      <c r="K17" s="64">
        <f>SUMIFS(CONSOLIDADO!$F:$F,CONSOLIDADO!$E:$E,$A17,CONSOLIDADO!$I:$I,J$3,CONSOLIDADO!$I:$I,J$4,CONSOLIDADO!$K:$K,"&lt;&gt;NOVO")</f>
        <v>0</v>
      </c>
      <c r="L17" s="64">
        <f>SUMIFS(CONSOLIDADO!$F:$F,CONSOLIDADO!$E:$E,$A17,CONSOLIDADO!$I:$I,K$3,CONSOLIDADO!$I:$I,K$4,CONSOLIDADO!$K:$K,"&lt;&gt;NOVO")</f>
        <v>0</v>
      </c>
      <c r="M17" s="64">
        <f>SUMIFS(CONSOLIDADO!$F:$F,CONSOLIDADO!$E:$E,$A17,CONSOLIDADO!$I:$I,L$3,CONSOLIDADO!$I:$I,L$4,CONSOLIDADO!$K:$K,"&lt;&gt;NOVO")</f>
        <v>1</v>
      </c>
      <c r="N17" s="66">
        <v>1075.51</v>
      </c>
      <c r="O17" s="65">
        <v>0.8</v>
      </c>
      <c r="P17" s="66">
        <f t="shared" si="1"/>
        <v>215.10199999999995</v>
      </c>
      <c r="Q17" s="66">
        <f t="shared" si="0"/>
        <v>0</v>
      </c>
      <c r="R17" s="66">
        <f t="shared" si="0"/>
        <v>860.40799999999979</v>
      </c>
      <c r="S17" s="66">
        <f t="shared" si="0"/>
        <v>215.10199999999995</v>
      </c>
      <c r="T17" s="66">
        <f t="shared" si="0"/>
        <v>0</v>
      </c>
      <c r="U17" s="66">
        <f t="shared" si="0"/>
        <v>0</v>
      </c>
      <c r="V17" s="66">
        <f t="shared" si="0"/>
        <v>0</v>
      </c>
      <c r="W17" s="66">
        <f t="shared" si="0"/>
        <v>0</v>
      </c>
      <c r="X17" s="66">
        <f t="shared" si="0"/>
        <v>0</v>
      </c>
      <c r="Y17" s="66">
        <f t="shared" si="0"/>
        <v>0</v>
      </c>
      <c r="Z17" s="66">
        <f t="shared" si="0"/>
        <v>0</v>
      </c>
      <c r="AA17" s="66">
        <f t="shared" si="0"/>
        <v>215.10199999999995</v>
      </c>
      <c r="AB17" s="33"/>
    </row>
    <row r="18" spans="1:28" x14ac:dyDescent="0.25">
      <c r="A18" t="s">
        <v>632</v>
      </c>
      <c r="B18" s="64">
        <f>SUMIFS(CONSOLIDADO!$F:$F,CONSOLIDADO!$E:$E,$A18,CONSOLIDADO!$I:$I,A$3,CONSOLIDADO!$I:$I,A$4,CONSOLIDADO!$K:$K,"&lt;&gt;NOVO")</f>
        <v>0</v>
      </c>
      <c r="C18" s="64">
        <f>SUMIFS(CONSOLIDADO!$F:$F,CONSOLIDADO!$E:$E,$A18,CONSOLIDADO!$I:$I,B$3,CONSOLIDADO!$I:$I,B$4,CONSOLIDADO!$K:$K,"&lt;&gt;NOVO")</f>
        <v>0</v>
      </c>
      <c r="D18" s="64">
        <f>SUMIFS(CONSOLIDADO!$F:$F,CONSOLIDADO!$E:$E,$A18,CONSOLIDADO!$I:$I,C$3,CONSOLIDADO!$I:$I,C$4,CONSOLIDADO!$K:$K,"&lt;&gt;NOVO")</f>
        <v>0</v>
      </c>
      <c r="E18" s="64">
        <f>SUMIFS(CONSOLIDADO!$F:$F,CONSOLIDADO!$E:$E,$A18,CONSOLIDADO!$I:$I,D$3,CONSOLIDADO!$I:$I,D$4,CONSOLIDADO!$K:$K,"&lt;&gt;NOVO")</f>
        <v>0</v>
      </c>
      <c r="F18" s="64">
        <f>SUMIFS(CONSOLIDADO!$F:$F,CONSOLIDADO!$E:$E,$A18,CONSOLIDADO!$I:$I,E$3,CONSOLIDADO!$I:$I,E$4,CONSOLIDADO!$K:$K,"&lt;&gt;NOVO")</f>
        <v>0</v>
      </c>
      <c r="G18" s="64">
        <f>SUMIFS(CONSOLIDADO!$F:$F,CONSOLIDADO!$E:$E,$A18,CONSOLIDADO!$I:$I,F$3,CONSOLIDADO!$I:$I,F$4,CONSOLIDADO!$K:$K,"&lt;&gt;NOVO")</f>
        <v>0</v>
      </c>
      <c r="H18" s="64">
        <f>SUMIFS(CONSOLIDADO!$F:$F,CONSOLIDADO!$E:$E,$A18,CONSOLIDADO!$I:$I,G$3,CONSOLIDADO!$I:$I,G$4,CONSOLIDADO!$K:$K,"&lt;&gt;NOVO")</f>
        <v>0</v>
      </c>
      <c r="I18" s="64">
        <f>SUMIFS(CONSOLIDADO!$F:$F,CONSOLIDADO!$E:$E,$A18,CONSOLIDADO!$I:$I,H$3,CONSOLIDADO!$I:$I,H$4,CONSOLIDADO!$K:$K,"&lt;&gt;NOVO")</f>
        <v>0</v>
      </c>
      <c r="J18" s="64">
        <f>SUMIFS(CONSOLIDADO!$F:$F,CONSOLIDADO!$E:$E,$A18,CONSOLIDADO!$I:$I,I$3,CONSOLIDADO!$I:$I,I$4,CONSOLIDADO!$K:$K,"&lt;&gt;NOVO")</f>
        <v>0</v>
      </c>
      <c r="K18" s="64">
        <f>SUMIFS(CONSOLIDADO!$F:$F,CONSOLIDADO!$E:$E,$A18,CONSOLIDADO!$I:$I,J$3,CONSOLIDADO!$I:$I,J$4,CONSOLIDADO!$K:$K,"&lt;&gt;NOVO")</f>
        <v>0</v>
      </c>
      <c r="L18" s="64">
        <f>SUMIFS(CONSOLIDADO!$F:$F,CONSOLIDADO!$E:$E,$A18,CONSOLIDADO!$I:$I,K$3,CONSOLIDADO!$I:$I,K$4,CONSOLIDADO!$K:$K,"&lt;&gt;NOVO")</f>
        <v>0</v>
      </c>
      <c r="M18" s="64">
        <f>SUMIFS(CONSOLIDADO!$F:$F,CONSOLIDADO!$E:$E,$A18,CONSOLIDADO!$I:$I,L$3,CONSOLIDADO!$I:$I,L$4,CONSOLIDADO!$K:$K,"&lt;&gt;NOVO")</f>
        <v>0</v>
      </c>
      <c r="N18" s="66">
        <v>1075.51</v>
      </c>
      <c r="O18" s="65">
        <v>0.8</v>
      </c>
      <c r="P18" s="66">
        <f t="shared" si="1"/>
        <v>0</v>
      </c>
      <c r="Q18" s="66">
        <f t="shared" si="0"/>
        <v>0</v>
      </c>
      <c r="R18" s="66">
        <f t="shared" si="0"/>
        <v>0</v>
      </c>
      <c r="S18" s="66">
        <f t="shared" si="0"/>
        <v>0</v>
      </c>
      <c r="T18" s="66">
        <f t="shared" si="0"/>
        <v>0</v>
      </c>
      <c r="U18" s="66">
        <f t="shared" si="0"/>
        <v>0</v>
      </c>
      <c r="V18" s="66">
        <f t="shared" si="0"/>
        <v>0</v>
      </c>
      <c r="W18" s="66">
        <f t="shared" si="0"/>
        <v>0</v>
      </c>
      <c r="X18" s="66">
        <f t="shared" si="0"/>
        <v>0</v>
      </c>
      <c r="Y18" s="66">
        <f t="shared" si="0"/>
        <v>0</v>
      </c>
      <c r="Z18" s="66">
        <f t="shared" si="0"/>
        <v>0</v>
      </c>
      <c r="AA18" s="66">
        <f t="shared" si="0"/>
        <v>0</v>
      </c>
      <c r="AB18" s="33"/>
    </row>
    <row r="19" spans="1:28" x14ac:dyDescent="0.25">
      <c r="A19" s="63" t="s">
        <v>634</v>
      </c>
      <c r="B19" s="64">
        <f>SUMIFS(CONSOLIDADO!$F:$F,CONSOLIDADO!$E:$E,$A19,CONSOLIDADO!$I:$I,A$3,CONSOLIDADO!$I:$I,A$4,CONSOLIDADO!$K:$K,"&lt;&gt;NOVO")</f>
        <v>0</v>
      </c>
      <c r="C19" s="64">
        <f>SUMIFS(CONSOLIDADO!$F:$F,CONSOLIDADO!$E:$E,$A19,CONSOLIDADO!$I:$I,B$3,CONSOLIDADO!$I:$I,B$4,CONSOLIDADO!$K:$K,"&lt;&gt;NOVO")</f>
        <v>0</v>
      </c>
      <c r="D19" s="64">
        <f>SUMIFS(CONSOLIDADO!$F:$F,CONSOLIDADO!$E:$E,$A19,CONSOLIDADO!$I:$I,C$3,CONSOLIDADO!$I:$I,C$4,CONSOLIDADO!$K:$K,"&lt;&gt;NOVO")</f>
        <v>0</v>
      </c>
      <c r="E19" s="64">
        <f>SUMIFS(CONSOLIDADO!$F:$F,CONSOLIDADO!$E:$E,$A19,CONSOLIDADO!$I:$I,D$3,CONSOLIDADO!$I:$I,D$4,CONSOLIDADO!$K:$K,"&lt;&gt;NOVO")</f>
        <v>0</v>
      </c>
      <c r="F19" s="64">
        <f>SUMIFS(CONSOLIDADO!$F:$F,CONSOLIDADO!$E:$E,$A19,CONSOLIDADO!$I:$I,E$3,CONSOLIDADO!$I:$I,E$4,CONSOLIDADO!$K:$K,"&lt;&gt;NOVO")</f>
        <v>0</v>
      </c>
      <c r="G19" s="64">
        <f>SUMIFS(CONSOLIDADO!$F:$F,CONSOLIDADO!$E:$E,$A19,CONSOLIDADO!$I:$I,F$3,CONSOLIDADO!$I:$I,F$4,CONSOLIDADO!$K:$K,"&lt;&gt;NOVO")</f>
        <v>0</v>
      </c>
      <c r="H19" s="64">
        <f>SUMIFS(CONSOLIDADO!$F:$F,CONSOLIDADO!$E:$E,$A19,CONSOLIDADO!$I:$I,G$3,CONSOLIDADO!$I:$I,G$4,CONSOLIDADO!$K:$K,"&lt;&gt;NOVO")</f>
        <v>0</v>
      </c>
      <c r="I19" s="64">
        <f>SUMIFS(CONSOLIDADO!$F:$F,CONSOLIDADO!$E:$E,$A19,CONSOLIDADO!$I:$I,H$3,CONSOLIDADO!$I:$I,H$4,CONSOLIDADO!$K:$K,"&lt;&gt;NOVO")</f>
        <v>0</v>
      </c>
      <c r="J19" s="64">
        <f>SUMIFS(CONSOLIDADO!$F:$F,CONSOLIDADO!$E:$E,$A19,CONSOLIDADO!$I:$I,I$3,CONSOLIDADO!$I:$I,I$4,CONSOLIDADO!$K:$K,"&lt;&gt;NOVO")</f>
        <v>0</v>
      </c>
      <c r="K19" s="64">
        <f>SUMIFS(CONSOLIDADO!$F:$F,CONSOLIDADO!$E:$E,$A19,CONSOLIDADO!$I:$I,J$3,CONSOLIDADO!$I:$I,J$4,CONSOLIDADO!$K:$K,"&lt;&gt;NOVO")</f>
        <v>0</v>
      </c>
      <c r="L19" s="64">
        <f>SUMIFS(CONSOLIDADO!$F:$F,CONSOLIDADO!$E:$E,$A19,CONSOLIDADO!$I:$I,K$3,CONSOLIDADO!$I:$I,K$4,CONSOLIDADO!$K:$K,"&lt;&gt;NOVO")</f>
        <v>0</v>
      </c>
      <c r="M19" s="64">
        <f>SUMIFS(CONSOLIDADO!$F:$F,CONSOLIDADO!$E:$E,$A19,CONSOLIDADO!$I:$I,L$3,CONSOLIDADO!$I:$I,L$4,CONSOLIDADO!$K:$K,"&lt;&gt;NOVO")</f>
        <v>0</v>
      </c>
      <c r="N19" s="66">
        <v>653.75</v>
      </c>
      <c r="O19" s="65">
        <v>0.8</v>
      </c>
      <c r="P19" s="66">
        <f t="shared" si="1"/>
        <v>0</v>
      </c>
      <c r="Q19" s="66">
        <f t="shared" si="0"/>
        <v>0</v>
      </c>
      <c r="R19" s="66">
        <f t="shared" si="0"/>
        <v>0</v>
      </c>
      <c r="S19" s="66">
        <f t="shared" si="0"/>
        <v>0</v>
      </c>
      <c r="T19" s="66">
        <f t="shared" si="0"/>
        <v>0</v>
      </c>
      <c r="U19" s="66">
        <f t="shared" si="0"/>
        <v>0</v>
      </c>
      <c r="V19" s="66">
        <f t="shared" si="0"/>
        <v>0</v>
      </c>
      <c r="W19" s="66">
        <f t="shared" si="0"/>
        <v>0</v>
      </c>
      <c r="X19" s="66">
        <f t="shared" si="0"/>
        <v>0</v>
      </c>
      <c r="Y19" s="66">
        <f t="shared" si="0"/>
        <v>0</v>
      </c>
      <c r="Z19" s="66">
        <f t="shared" si="0"/>
        <v>0</v>
      </c>
      <c r="AA19" s="66">
        <f t="shared" si="0"/>
        <v>0</v>
      </c>
      <c r="AB19" s="33"/>
    </row>
    <row r="20" spans="1:28" x14ac:dyDescent="0.25">
      <c r="A20" t="s">
        <v>195</v>
      </c>
      <c r="B20" s="64">
        <f>SUMIFS(CONSOLIDADO!$F:$F,CONSOLIDADO!$E:$E,$A20,CONSOLIDADO!$I:$I,A$3,CONSOLIDADO!$I:$I,A$4,CONSOLIDADO!$K:$K,"&lt;&gt;NOVO")</f>
        <v>1</v>
      </c>
      <c r="C20" s="64">
        <f>SUMIFS(CONSOLIDADO!$F:$F,CONSOLIDADO!$E:$E,$A20,CONSOLIDADO!$I:$I,B$3,CONSOLIDADO!$I:$I,B$4,CONSOLIDADO!$K:$K,"&lt;&gt;NOVO")</f>
        <v>0</v>
      </c>
      <c r="D20" s="64">
        <f>SUMIFS(CONSOLIDADO!$F:$F,CONSOLIDADO!$E:$E,$A20,CONSOLIDADO!$I:$I,C$3,CONSOLIDADO!$I:$I,C$4,CONSOLIDADO!$K:$K,"&lt;&gt;NOVO")</f>
        <v>0</v>
      </c>
      <c r="E20" s="64">
        <f>SUMIFS(CONSOLIDADO!$F:$F,CONSOLIDADO!$E:$E,$A20,CONSOLIDADO!$I:$I,D$3,CONSOLIDADO!$I:$I,D$4,CONSOLIDADO!$K:$K,"&lt;&gt;NOVO")</f>
        <v>0</v>
      </c>
      <c r="F20" s="64">
        <f>SUMIFS(CONSOLIDADO!$F:$F,CONSOLIDADO!$E:$E,$A20,CONSOLIDADO!$I:$I,E$3,CONSOLIDADO!$I:$I,E$4,CONSOLIDADO!$K:$K,"&lt;&gt;NOVO")</f>
        <v>0</v>
      </c>
      <c r="G20" s="64">
        <f>SUMIFS(CONSOLIDADO!$F:$F,CONSOLIDADO!$E:$E,$A20,CONSOLIDADO!$I:$I,F$3,CONSOLIDADO!$I:$I,F$4,CONSOLIDADO!$K:$K,"&lt;&gt;NOVO")</f>
        <v>0</v>
      </c>
      <c r="H20" s="64">
        <f>SUMIFS(CONSOLIDADO!$F:$F,CONSOLIDADO!$E:$E,$A20,CONSOLIDADO!$I:$I,G$3,CONSOLIDADO!$I:$I,G$4,CONSOLIDADO!$K:$K,"&lt;&gt;NOVO")</f>
        <v>0</v>
      </c>
      <c r="I20" s="64">
        <f>SUMIFS(CONSOLIDADO!$F:$F,CONSOLIDADO!$E:$E,$A20,CONSOLIDADO!$I:$I,H$3,CONSOLIDADO!$I:$I,H$4,CONSOLIDADO!$K:$K,"&lt;&gt;NOVO")</f>
        <v>0</v>
      </c>
      <c r="J20" s="64">
        <f>SUMIFS(CONSOLIDADO!$F:$F,CONSOLIDADO!$E:$E,$A20,CONSOLIDADO!$I:$I,I$3,CONSOLIDADO!$I:$I,I$4,CONSOLIDADO!$K:$K,"&lt;&gt;NOVO")</f>
        <v>0</v>
      </c>
      <c r="K20" s="64">
        <f>SUMIFS(CONSOLIDADO!$F:$F,CONSOLIDADO!$E:$E,$A20,CONSOLIDADO!$I:$I,J$3,CONSOLIDADO!$I:$I,J$4,CONSOLIDADO!$K:$K,"&lt;&gt;NOVO")</f>
        <v>0</v>
      </c>
      <c r="L20" s="64">
        <f>SUMIFS(CONSOLIDADO!$F:$F,CONSOLIDADO!$E:$E,$A20,CONSOLIDADO!$I:$I,K$3,CONSOLIDADO!$I:$I,K$4,CONSOLIDADO!$K:$K,"&lt;&gt;NOVO")</f>
        <v>0</v>
      </c>
      <c r="M20" s="64">
        <f>SUMIFS(CONSOLIDADO!$F:$F,CONSOLIDADO!$E:$E,$A20,CONSOLIDADO!$I:$I,L$3,CONSOLIDADO!$I:$I,L$4,CONSOLIDADO!$K:$K,"&lt;&gt;NOVO")</f>
        <v>0</v>
      </c>
      <c r="N20" s="66">
        <v>2340.21</v>
      </c>
      <c r="O20" s="65">
        <v>0.8</v>
      </c>
      <c r="P20" s="66">
        <f t="shared" si="1"/>
        <v>468.04199999999992</v>
      </c>
      <c r="Q20" s="66">
        <f t="shared" si="0"/>
        <v>0</v>
      </c>
      <c r="R20" s="66">
        <f t="shared" si="0"/>
        <v>0</v>
      </c>
      <c r="S20" s="66">
        <f t="shared" si="0"/>
        <v>0</v>
      </c>
      <c r="T20" s="66">
        <f t="shared" si="0"/>
        <v>0</v>
      </c>
      <c r="U20" s="66">
        <f t="shared" si="0"/>
        <v>0</v>
      </c>
      <c r="V20" s="66">
        <f t="shared" si="0"/>
        <v>0</v>
      </c>
      <c r="W20" s="66">
        <f t="shared" si="0"/>
        <v>0</v>
      </c>
      <c r="X20" s="66">
        <f t="shared" si="0"/>
        <v>0</v>
      </c>
      <c r="Y20" s="66">
        <f t="shared" si="0"/>
        <v>0</v>
      </c>
      <c r="Z20" s="66">
        <f t="shared" si="0"/>
        <v>0</v>
      </c>
      <c r="AA20" s="66">
        <f t="shared" si="0"/>
        <v>0</v>
      </c>
      <c r="AB20" s="33"/>
    </row>
    <row r="21" spans="1:28" x14ac:dyDescent="0.25">
      <c r="A21" s="63" t="s">
        <v>456</v>
      </c>
      <c r="B21" s="64">
        <f>SUMIFS(CONSOLIDADO!$F:$F,CONSOLIDADO!$E:$E,$A21,CONSOLIDADO!$I:$I,A$3,CONSOLIDADO!$I:$I,A$4,CONSOLIDADO!$K:$K,"&lt;&gt;NOVO")</f>
        <v>0</v>
      </c>
      <c r="C21" s="64">
        <f>SUMIFS(CONSOLIDADO!$F:$F,CONSOLIDADO!$E:$E,$A21,CONSOLIDADO!$I:$I,B$3,CONSOLIDADO!$I:$I,B$4,CONSOLIDADO!$K:$K,"&lt;&gt;NOVO")</f>
        <v>0</v>
      </c>
      <c r="D21" s="64">
        <f>SUMIFS(CONSOLIDADO!$F:$F,CONSOLIDADO!$E:$E,$A21,CONSOLIDADO!$I:$I,C$3,CONSOLIDADO!$I:$I,C$4,CONSOLIDADO!$K:$K,"&lt;&gt;NOVO")</f>
        <v>2</v>
      </c>
      <c r="E21" s="64">
        <f>SUMIFS(CONSOLIDADO!$F:$F,CONSOLIDADO!$E:$E,$A21,CONSOLIDADO!$I:$I,D$3,CONSOLIDADO!$I:$I,D$4,CONSOLIDADO!$K:$K,"&lt;&gt;NOVO")</f>
        <v>0</v>
      </c>
      <c r="F21" s="64">
        <f>SUMIFS(CONSOLIDADO!$F:$F,CONSOLIDADO!$E:$E,$A21,CONSOLIDADO!$I:$I,E$3,CONSOLIDADO!$I:$I,E$4,CONSOLIDADO!$K:$K,"&lt;&gt;NOVO")</f>
        <v>0</v>
      </c>
      <c r="G21" s="64">
        <f>SUMIFS(CONSOLIDADO!$F:$F,CONSOLIDADO!$E:$E,$A21,CONSOLIDADO!$I:$I,F$3,CONSOLIDADO!$I:$I,F$4,CONSOLIDADO!$K:$K,"&lt;&gt;NOVO")</f>
        <v>0</v>
      </c>
      <c r="H21" s="64">
        <f>SUMIFS(CONSOLIDADO!$F:$F,CONSOLIDADO!$E:$E,$A21,CONSOLIDADO!$I:$I,G$3,CONSOLIDADO!$I:$I,G$4,CONSOLIDADO!$K:$K,"&lt;&gt;NOVO")</f>
        <v>0</v>
      </c>
      <c r="I21" s="64">
        <f>SUMIFS(CONSOLIDADO!$F:$F,CONSOLIDADO!$E:$E,$A21,CONSOLIDADO!$I:$I,H$3,CONSOLIDADO!$I:$I,H$4,CONSOLIDADO!$K:$K,"&lt;&gt;NOVO")</f>
        <v>0</v>
      </c>
      <c r="J21" s="64">
        <f>SUMIFS(CONSOLIDADO!$F:$F,CONSOLIDADO!$E:$E,$A21,CONSOLIDADO!$I:$I,I$3,CONSOLIDADO!$I:$I,I$4,CONSOLIDADO!$K:$K,"&lt;&gt;NOVO")</f>
        <v>0</v>
      </c>
      <c r="K21" s="64">
        <f>SUMIFS(CONSOLIDADO!$F:$F,CONSOLIDADO!$E:$E,$A21,CONSOLIDADO!$I:$I,J$3,CONSOLIDADO!$I:$I,J$4,CONSOLIDADO!$K:$K,"&lt;&gt;NOVO")</f>
        <v>0</v>
      </c>
      <c r="L21" s="64">
        <f>SUMIFS(CONSOLIDADO!$F:$F,CONSOLIDADO!$E:$E,$A21,CONSOLIDADO!$I:$I,K$3,CONSOLIDADO!$I:$I,K$4,CONSOLIDADO!$K:$K,"&lt;&gt;NOVO")</f>
        <v>0</v>
      </c>
      <c r="M21" s="64">
        <f>SUMIFS(CONSOLIDADO!$F:$F,CONSOLIDADO!$E:$E,$A21,CONSOLIDADO!$I:$I,L$3,CONSOLIDADO!$I:$I,L$4,CONSOLIDADO!$K:$K,"&lt;&gt;NOVO")</f>
        <v>0</v>
      </c>
      <c r="N21" s="66">
        <v>653.75</v>
      </c>
      <c r="O21" s="65">
        <v>0.8</v>
      </c>
      <c r="P21" s="66">
        <f t="shared" si="1"/>
        <v>0</v>
      </c>
      <c r="Q21" s="66">
        <f t="shared" si="0"/>
        <v>0</v>
      </c>
      <c r="R21" s="66">
        <f t="shared" si="0"/>
        <v>261.49999999999994</v>
      </c>
      <c r="S21" s="66">
        <f t="shared" si="0"/>
        <v>0</v>
      </c>
      <c r="T21" s="66">
        <f t="shared" si="0"/>
        <v>0</v>
      </c>
      <c r="U21" s="66">
        <f t="shared" si="0"/>
        <v>0</v>
      </c>
      <c r="V21" s="66">
        <f t="shared" si="0"/>
        <v>0</v>
      </c>
      <c r="W21" s="66">
        <f t="shared" si="0"/>
        <v>0</v>
      </c>
      <c r="X21" s="66">
        <f t="shared" si="0"/>
        <v>0</v>
      </c>
      <c r="Y21" s="66">
        <f t="shared" si="0"/>
        <v>0</v>
      </c>
      <c r="Z21" s="66">
        <f t="shared" si="0"/>
        <v>0</v>
      </c>
      <c r="AA21" s="66">
        <f t="shared" si="0"/>
        <v>0</v>
      </c>
      <c r="AB21" s="33"/>
    </row>
    <row r="22" spans="1:28" x14ac:dyDescent="0.25">
      <c r="A22" s="63" t="s">
        <v>59</v>
      </c>
      <c r="B22" s="64">
        <f>SUMIFS(CONSOLIDADO!$F:$F,CONSOLIDADO!$E:$E,$A22,CONSOLIDADO!$I:$I,A$3,CONSOLIDADO!$I:$I,A$4,CONSOLIDADO!$K:$K,"&lt;&gt;NOVO")</f>
        <v>2</v>
      </c>
      <c r="C22" s="64">
        <f>SUMIFS(CONSOLIDADO!$F:$F,CONSOLIDADO!$E:$E,$A22,CONSOLIDADO!$I:$I,B$3,CONSOLIDADO!$I:$I,B$4,CONSOLIDADO!$K:$K,"&lt;&gt;NOVO")</f>
        <v>0</v>
      </c>
      <c r="D22" s="64">
        <f>SUMIFS(CONSOLIDADO!$F:$F,CONSOLIDADO!$E:$E,$A22,CONSOLIDADO!$I:$I,C$3,CONSOLIDADO!$I:$I,C$4,CONSOLIDADO!$K:$K,"&lt;&gt;NOVO")</f>
        <v>1</v>
      </c>
      <c r="E22" s="64">
        <f>SUMIFS(CONSOLIDADO!$F:$F,CONSOLIDADO!$E:$E,$A22,CONSOLIDADO!$I:$I,D$3,CONSOLIDADO!$I:$I,D$4,CONSOLIDADO!$K:$K,"&lt;&gt;NOVO")</f>
        <v>10</v>
      </c>
      <c r="F22" s="64">
        <f>SUMIFS(CONSOLIDADO!$F:$F,CONSOLIDADO!$E:$E,$A22,CONSOLIDADO!$I:$I,E$3,CONSOLIDADO!$I:$I,E$4,CONSOLIDADO!$K:$K,"&lt;&gt;NOVO")</f>
        <v>0</v>
      </c>
      <c r="G22" s="64">
        <f>SUMIFS(CONSOLIDADO!$F:$F,CONSOLIDADO!$E:$E,$A22,CONSOLIDADO!$I:$I,F$3,CONSOLIDADO!$I:$I,F$4,CONSOLIDADO!$K:$K,"&lt;&gt;NOVO")</f>
        <v>0</v>
      </c>
      <c r="H22" s="64">
        <f>SUMIFS(CONSOLIDADO!$F:$F,CONSOLIDADO!$E:$E,$A22,CONSOLIDADO!$I:$I,G$3,CONSOLIDADO!$I:$I,G$4,CONSOLIDADO!$K:$K,"&lt;&gt;NOVO")</f>
        <v>0</v>
      </c>
      <c r="I22" s="64">
        <f>SUMIFS(CONSOLIDADO!$F:$F,CONSOLIDADO!$E:$E,$A22,CONSOLIDADO!$I:$I,H$3,CONSOLIDADO!$I:$I,H$4,CONSOLIDADO!$K:$K,"&lt;&gt;NOVO")</f>
        <v>0</v>
      </c>
      <c r="J22" s="64">
        <f>SUMIFS(CONSOLIDADO!$F:$F,CONSOLIDADO!$E:$E,$A22,CONSOLIDADO!$I:$I,I$3,CONSOLIDADO!$I:$I,I$4,CONSOLIDADO!$K:$K,"&lt;&gt;NOVO")</f>
        <v>0</v>
      </c>
      <c r="K22" s="64">
        <f>SUMIFS(CONSOLIDADO!$F:$F,CONSOLIDADO!$E:$E,$A22,CONSOLIDADO!$I:$I,J$3,CONSOLIDADO!$I:$I,J$4,CONSOLIDADO!$K:$K,"&lt;&gt;NOVO")</f>
        <v>0</v>
      </c>
      <c r="L22" s="64">
        <f>SUMIFS(CONSOLIDADO!$F:$F,CONSOLIDADO!$E:$E,$A22,CONSOLIDADO!$I:$I,K$3,CONSOLIDADO!$I:$I,K$4,CONSOLIDADO!$K:$K,"&lt;&gt;NOVO")</f>
        <v>0</v>
      </c>
      <c r="M22" s="64">
        <f>SUMIFS(CONSOLIDADO!$F:$F,CONSOLIDADO!$E:$E,$A22,CONSOLIDADO!$I:$I,L$3,CONSOLIDADO!$I:$I,L$4,CONSOLIDADO!$K:$K,"&lt;&gt;NOVO")</f>
        <v>0</v>
      </c>
      <c r="N22" s="66">
        <v>2340.21</v>
      </c>
      <c r="O22" s="65">
        <v>0.8</v>
      </c>
      <c r="P22" s="66">
        <f t="shared" si="1"/>
        <v>936.08399999999983</v>
      </c>
      <c r="Q22" s="66">
        <f t="shared" si="0"/>
        <v>0</v>
      </c>
      <c r="R22" s="66">
        <f t="shared" si="0"/>
        <v>468.04199999999992</v>
      </c>
      <c r="S22" s="66">
        <f t="shared" si="0"/>
        <v>4680.4199999999992</v>
      </c>
      <c r="T22" s="66">
        <f t="shared" si="0"/>
        <v>0</v>
      </c>
      <c r="U22" s="66">
        <f t="shared" si="0"/>
        <v>0</v>
      </c>
      <c r="V22" s="66">
        <f t="shared" si="0"/>
        <v>0</v>
      </c>
      <c r="W22" s="66">
        <f t="shared" si="0"/>
        <v>0</v>
      </c>
      <c r="X22" s="66">
        <f t="shared" si="0"/>
        <v>0</v>
      </c>
      <c r="Y22" s="66">
        <f t="shared" si="0"/>
        <v>0</v>
      </c>
      <c r="Z22" s="66">
        <f t="shared" si="0"/>
        <v>0</v>
      </c>
      <c r="AA22" s="66">
        <f t="shared" si="0"/>
        <v>0</v>
      </c>
      <c r="AB22" s="33"/>
    </row>
    <row r="23" spans="1:28" x14ac:dyDescent="0.25">
      <c r="A23" s="63" t="s">
        <v>637</v>
      </c>
      <c r="B23" s="64">
        <f>SUMIFS(CONSOLIDADO!$F:$F,CONSOLIDADO!$E:$E,$A23,CONSOLIDADO!$I:$I,A$3,CONSOLIDADO!$I:$I,A$4,CONSOLIDADO!$K:$K,"&lt;&gt;NOVO")</f>
        <v>0</v>
      </c>
      <c r="C23" s="64">
        <f>SUMIFS(CONSOLIDADO!$F:$F,CONSOLIDADO!$E:$E,$A23,CONSOLIDADO!$I:$I,B$3,CONSOLIDADO!$I:$I,B$4,CONSOLIDADO!$K:$K,"&lt;&gt;NOVO")</f>
        <v>0</v>
      </c>
      <c r="D23" s="64">
        <f>SUMIFS(CONSOLIDADO!$F:$F,CONSOLIDADO!$E:$E,$A23,CONSOLIDADO!$I:$I,C$3,CONSOLIDADO!$I:$I,C$4,CONSOLIDADO!$K:$K,"&lt;&gt;NOVO")</f>
        <v>0</v>
      </c>
      <c r="E23" s="64">
        <f>SUMIFS(CONSOLIDADO!$F:$F,CONSOLIDADO!$E:$E,$A23,CONSOLIDADO!$I:$I,D$3,CONSOLIDADO!$I:$I,D$4,CONSOLIDADO!$K:$K,"&lt;&gt;NOVO")</f>
        <v>0</v>
      </c>
      <c r="F23" s="64">
        <f>SUMIFS(CONSOLIDADO!$F:$F,CONSOLIDADO!$E:$E,$A23,CONSOLIDADO!$I:$I,E$3,CONSOLIDADO!$I:$I,E$4,CONSOLIDADO!$K:$K,"&lt;&gt;NOVO")</f>
        <v>0</v>
      </c>
      <c r="G23" s="64">
        <f>SUMIFS(CONSOLIDADO!$F:$F,CONSOLIDADO!$E:$E,$A23,CONSOLIDADO!$I:$I,F$3,CONSOLIDADO!$I:$I,F$4,CONSOLIDADO!$K:$K,"&lt;&gt;NOVO")</f>
        <v>0</v>
      </c>
      <c r="H23" s="64">
        <f>SUMIFS(CONSOLIDADO!$F:$F,CONSOLIDADO!$E:$E,$A23,CONSOLIDADO!$I:$I,G$3,CONSOLIDADO!$I:$I,G$4,CONSOLIDADO!$K:$K,"&lt;&gt;NOVO")</f>
        <v>0</v>
      </c>
      <c r="I23" s="64">
        <f>SUMIFS(CONSOLIDADO!$F:$F,CONSOLIDADO!$E:$E,$A23,CONSOLIDADO!$I:$I,H$3,CONSOLIDADO!$I:$I,H$4,CONSOLIDADO!$K:$K,"&lt;&gt;NOVO")</f>
        <v>0</v>
      </c>
      <c r="J23" s="64">
        <f>SUMIFS(CONSOLIDADO!$F:$F,CONSOLIDADO!$E:$E,$A23,CONSOLIDADO!$I:$I,I$3,CONSOLIDADO!$I:$I,I$4,CONSOLIDADO!$K:$K,"&lt;&gt;NOVO")</f>
        <v>0</v>
      </c>
      <c r="K23" s="64">
        <f>SUMIFS(CONSOLIDADO!$F:$F,CONSOLIDADO!$E:$E,$A23,CONSOLIDADO!$I:$I,J$3,CONSOLIDADO!$I:$I,J$4,CONSOLIDADO!$K:$K,"&lt;&gt;NOVO")</f>
        <v>0</v>
      </c>
      <c r="L23" s="64">
        <f>SUMIFS(CONSOLIDADO!$F:$F,CONSOLIDADO!$E:$E,$A23,CONSOLIDADO!$I:$I,K$3,CONSOLIDADO!$I:$I,K$4,CONSOLIDADO!$K:$K,"&lt;&gt;NOVO")</f>
        <v>0</v>
      </c>
      <c r="M23" s="64">
        <f>SUMIFS(CONSOLIDADO!$F:$F,CONSOLIDADO!$E:$E,$A23,CONSOLIDADO!$I:$I,L$3,CONSOLIDADO!$I:$I,L$4,CONSOLIDADO!$K:$K,"&lt;&gt;NOVO")</f>
        <v>0</v>
      </c>
      <c r="N23" s="66">
        <v>465.63</v>
      </c>
      <c r="O23" s="65">
        <v>0.8</v>
      </c>
      <c r="P23" s="66">
        <f t="shared" si="1"/>
        <v>0</v>
      </c>
      <c r="Q23" s="66">
        <f t="shared" si="0"/>
        <v>0</v>
      </c>
      <c r="R23" s="66">
        <f t="shared" si="0"/>
        <v>0</v>
      </c>
      <c r="S23" s="66">
        <f t="shared" si="0"/>
        <v>0</v>
      </c>
      <c r="T23" s="66">
        <f t="shared" si="0"/>
        <v>0</v>
      </c>
      <c r="U23" s="66">
        <f t="shared" si="0"/>
        <v>0</v>
      </c>
      <c r="V23" s="66">
        <f t="shared" si="0"/>
        <v>0</v>
      </c>
      <c r="W23" s="66">
        <f t="shared" si="0"/>
        <v>0</v>
      </c>
      <c r="X23" s="66">
        <f t="shared" si="0"/>
        <v>0</v>
      </c>
      <c r="Y23" s="66">
        <f t="shared" si="0"/>
        <v>0</v>
      </c>
      <c r="Z23" s="66">
        <f t="shared" si="0"/>
        <v>0</v>
      </c>
      <c r="AA23" s="66">
        <f t="shared" si="0"/>
        <v>0</v>
      </c>
      <c r="AB23" s="33"/>
    </row>
    <row r="24" spans="1:28" x14ac:dyDescent="0.25">
      <c r="A24" s="63" t="s">
        <v>219</v>
      </c>
      <c r="B24" s="64">
        <f>SUMIFS(CONSOLIDADO!$F:$F,CONSOLIDADO!$E:$E,$A24,CONSOLIDADO!$I:$I,A$3,CONSOLIDADO!$I:$I,A$4,CONSOLIDADO!$K:$K,"&lt;&gt;NOVO")</f>
        <v>0</v>
      </c>
      <c r="C24" s="64">
        <f>SUMIFS(CONSOLIDADO!$F:$F,CONSOLIDADO!$E:$E,$A24,CONSOLIDADO!$I:$I,B$3,CONSOLIDADO!$I:$I,B$4,CONSOLIDADO!$K:$K,"&lt;&gt;NOVO")</f>
        <v>1</v>
      </c>
      <c r="D24" s="64">
        <f>SUMIFS(CONSOLIDADO!$F:$F,CONSOLIDADO!$E:$E,$A24,CONSOLIDADO!$I:$I,C$3,CONSOLIDADO!$I:$I,C$4,CONSOLIDADO!$K:$K,"&lt;&gt;NOVO")</f>
        <v>2</v>
      </c>
      <c r="E24" s="64">
        <f>SUMIFS(CONSOLIDADO!$F:$F,CONSOLIDADO!$E:$E,$A24,CONSOLIDADO!$I:$I,D$3,CONSOLIDADO!$I:$I,D$4,CONSOLIDADO!$K:$K,"&lt;&gt;NOVO")</f>
        <v>0</v>
      </c>
      <c r="F24" s="64">
        <f>SUMIFS(CONSOLIDADO!$F:$F,CONSOLIDADO!$E:$E,$A24,CONSOLIDADO!$I:$I,E$3,CONSOLIDADO!$I:$I,E$4,CONSOLIDADO!$K:$K,"&lt;&gt;NOVO")</f>
        <v>0</v>
      </c>
      <c r="G24" s="64">
        <f>SUMIFS(CONSOLIDADO!$F:$F,CONSOLIDADO!$E:$E,$A24,CONSOLIDADO!$I:$I,F$3,CONSOLIDADO!$I:$I,F$4,CONSOLIDADO!$K:$K,"&lt;&gt;NOVO")</f>
        <v>0</v>
      </c>
      <c r="H24" s="64">
        <f>SUMIFS(CONSOLIDADO!$F:$F,CONSOLIDADO!$E:$E,$A24,CONSOLIDADO!$I:$I,G$3,CONSOLIDADO!$I:$I,G$4,CONSOLIDADO!$K:$K,"&lt;&gt;NOVO")</f>
        <v>0</v>
      </c>
      <c r="I24" s="64">
        <f>SUMIFS(CONSOLIDADO!$F:$F,CONSOLIDADO!$E:$E,$A24,CONSOLIDADO!$I:$I,H$3,CONSOLIDADO!$I:$I,H$4,CONSOLIDADO!$K:$K,"&lt;&gt;NOVO")</f>
        <v>0</v>
      </c>
      <c r="J24" s="64">
        <f>SUMIFS(CONSOLIDADO!$F:$F,CONSOLIDADO!$E:$E,$A24,CONSOLIDADO!$I:$I,I$3,CONSOLIDADO!$I:$I,I$4,CONSOLIDADO!$K:$K,"&lt;&gt;NOVO")</f>
        <v>0</v>
      </c>
      <c r="K24" s="64">
        <f>SUMIFS(CONSOLIDADO!$F:$F,CONSOLIDADO!$E:$E,$A24,CONSOLIDADO!$I:$I,J$3,CONSOLIDADO!$I:$I,J$4,CONSOLIDADO!$K:$K,"&lt;&gt;NOVO")</f>
        <v>0</v>
      </c>
      <c r="L24" s="64">
        <f>SUMIFS(CONSOLIDADO!$F:$F,CONSOLIDADO!$E:$E,$A24,CONSOLIDADO!$I:$I,K$3,CONSOLIDADO!$I:$I,K$4,CONSOLIDADO!$K:$K,"&lt;&gt;NOVO")</f>
        <v>0</v>
      </c>
      <c r="M24" s="64">
        <f>SUMIFS(CONSOLIDADO!$F:$F,CONSOLIDADO!$E:$E,$A24,CONSOLIDADO!$I:$I,L$3,CONSOLIDADO!$I:$I,L$4,CONSOLIDADO!$K:$K,"&lt;&gt;NOVO")</f>
        <v>0</v>
      </c>
      <c r="N24" s="66">
        <v>653.75</v>
      </c>
      <c r="O24" s="65">
        <v>0.8</v>
      </c>
      <c r="P24" s="66">
        <f t="shared" si="1"/>
        <v>0</v>
      </c>
      <c r="Q24" s="66">
        <f t="shared" si="0"/>
        <v>130.74999999999997</v>
      </c>
      <c r="R24" s="66">
        <f t="shared" si="0"/>
        <v>261.49999999999994</v>
      </c>
      <c r="S24" s="66">
        <f t="shared" si="0"/>
        <v>0</v>
      </c>
      <c r="T24" s="66">
        <f t="shared" si="0"/>
        <v>0</v>
      </c>
      <c r="U24" s="66">
        <f t="shared" si="0"/>
        <v>0</v>
      </c>
      <c r="V24" s="66">
        <f t="shared" si="0"/>
        <v>0</v>
      </c>
      <c r="W24" s="66">
        <f t="shared" si="0"/>
        <v>0</v>
      </c>
      <c r="X24" s="66">
        <f t="shared" si="0"/>
        <v>0</v>
      </c>
      <c r="Y24" s="66">
        <f t="shared" si="0"/>
        <v>0</v>
      </c>
      <c r="Z24" s="66">
        <f t="shared" si="0"/>
        <v>0</v>
      </c>
      <c r="AA24" s="66">
        <f t="shared" si="0"/>
        <v>0</v>
      </c>
      <c r="AB24" s="33"/>
    </row>
    <row r="25" spans="1:28" x14ac:dyDescent="0.25">
      <c r="A25" s="63" t="s">
        <v>116</v>
      </c>
      <c r="B25" s="64">
        <f>SUMIFS(CONSOLIDADO!$F:$F,CONSOLIDADO!$E:$E,$A25,CONSOLIDADO!$I:$I,A$3,CONSOLIDADO!$I:$I,A$4,CONSOLIDADO!$K:$K,"&lt;&gt;NOVO")</f>
        <v>1</v>
      </c>
      <c r="C25" s="64">
        <f>SUMIFS(CONSOLIDADO!$F:$F,CONSOLIDADO!$E:$E,$A25,CONSOLIDADO!$I:$I,B$3,CONSOLIDADO!$I:$I,B$4,CONSOLIDADO!$K:$K,"&lt;&gt;NOVO")</f>
        <v>1</v>
      </c>
      <c r="D25" s="64">
        <f>SUMIFS(CONSOLIDADO!$F:$F,CONSOLIDADO!$E:$E,$A25,CONSOLIDADO!$I:$I,C$3,CONSOLIDADO!$I:$I,C$4,CONSOLIDADO!$K:$K,"&lt;&gt;NOVO")</f>
        <v>1</v>
      </c>
      <c r="E25" s="64">
        <f>SUMIFS(CONSOLIDADO!$F:$F,CONSOLIDADO!$E:$E,$A25,CONSOLIDADO!$I:$I,D$3,CONSOLIDADO!$I:$I,D$4,CONSOLIDADO!$K:$K,"&lt;&gt;NOVO")</f>
        <v>4</v>
      </c>
      <c r="F25" s="64">
        <f>SUMIFS(CONSOLIDADO!$F:$F,CONSOLIDADO!$E:$E,$A25,CONSOLIDADO!$I:$I,E$3,CONSOLIDADO!$I:$I,E$4,CONSOLIDADO!$K:$K,"&lt;&gt;NOVO")</f>
        <v>1</v>
      </c>
      <c r="G25" s="64">
        <f>SUMIFS(CONSOLIDADO!$F:$F,CONSOLIDADO!$E:$E,$A25,CONSOLIDADO!$I:$I,F$3,CONSOLIDADO!$I:$I,F$4,CONSOLIDADO!$K:$K,"&lt;&gt;NOVO")</f>
        <v>0</v>
      </c>
      <c r="H25" s="64">
        <f>SUMIFS(CONSOLIDADO!$F:$F,CONSOLIDADO!$E:$E,$A25,CONSOLIDADO!$I:$I,G$3,CONSOLIDADO!$I:$I,G$4,CONSOLIDADO!$K:$K,"&lt;&gt;NOVO")</f>
        <v>0</v>
      </c>
      <c r="I25" s="64">
        <f>SUMIFS(CONSOLIDADO!$F:$F,CONSOLIDADO!$E:$E,$A25,CONSOLIDADO!$I:$I,H$3,CONSOLIDADO!$I:$I,H$4,CONSOLIDADO!$K:$K,"&lt;&gt;NOVO")</f>
        <v>0</v>
      </c>
      <c r="J25" s="64">
        <f>SUMIFS(CONSOLIDADO!$F:$F,CONSOLIDADO!$E:$E,$A25,CONSOLIDADO!$I:$I,I$3,CONSOLIDADO!$I:$I,I$4,CONSOLIDADO!$K:$K,"&lt;&gt;NOVO")</f>
        <v>0</v>
      </c>
      <c r="K25" s="64">
        <f>SUMIFS(CONSOLIDADO!$F:$F,CONSOLIDADO!$E:$E,$A25,CONSOLIDADO!$I:$I,J$3,CONSOLIDADO!$I:$I,J$4,CONSOLIDADO!$K:$K,"&lt;&gt;NOVO")</f>
        <v>0</v>
      </c>
      <c r="L25" s="64">
        <f>SUMIFS(CONSOLIDADO!$F:$F,CONSOLIDADO!$E:$E,$A25,CONSOLIDADO!$I:$I,K$3,CONSOLIDADO!$I:$I,K$4,CONSOLIDADO!$K:$K,"&lt;&gt;NOVO")</f>
        <v>0</v>
      </c>
      <c r="M25" s="64">
        <f>SUMIFS(CONSOLIDADO!$F:$F,CONSOLIDADO!$E:$E,$A25,CONSOLIDADO!$I:$I,L$3,CONSOLIDADO!$I:$I,L$4,CONSOLIDADO!$K:$K,"&lt;&gt;NOVO")</f>
        <v>0</v>
      </c>
      <c r="N25" s="66">
        <v>373.89</v>
      </c>
      <c r="O25" s="65">
        <v>0.8</v>
      </c>
      <c r="P25" s="66">
        <f t="shared" si="1"/>
        <v>74.777999999999977</v>
      </c>
      <c r="Q25" s="66">
        <f t="shared" si="1"/>
        <v>74.777999999999977</v>
      </c>
      <c r="R25" s="66">
        <f t="shared" si="1"/>
        <v>74.777999999999977</v>
      </c>
      <c r="S25" s="66">
        <f t="shared" si="1"/>
        <v>299.11199999999991</v>
      </c>
      <c r="T25" s="66">
        <f t="shared" si="1"/>
        <v>74.777999999999977</v>
      </c>
      <c r="U25" s="66">
        <f t="shared" si="1"/>
        <v>0</v>
      </c>
      <c r="V25" s="66">
        <f t="shared" si="1"/>
        <v>0</v>
      </c>
      <c r="W25" s="66">
        <f t="shared" si="1"/>
        <v>0</v>
      </c>
      <c r="X25" s="66">
        <f t="shared" si="1"/>
        <v>0</v>
      </c>
      <c r="Y25" s="66">
        <f t="shared" si="1"/>
        <v>0</v>
      </c>
      <c r="Z25" s="66">
        <f t="shared" si="1"/>
        <v>0</v>
      </c>
      <c r="AA25" s="66">
        <f t="shared" si="1"/>
        <v>0</v>
      </c>
      <c r="AB25" s="33"/>
    </row>
    <row r="26" spans="1:28" x14ac:dyDescent="0.25">
      <c r="A26" s="63" t="s">
        <v>134</v>
      </c>
      <c r="B26" s="64">
        <f>SUMIFS(CONSOLIDADO!$F:$F,CONSOLIDADO!$E:$E,$A26,CONSOLIDADO!$I:$I,A$3,CONSOLIDADO!$I:$I,A$4,CONSOLIDADO!$K:$K,"&lt;&gt;NOVO")</f>
        <v>0</v>
      </c>
      <c r="C26" s="64">
        <f>SUMIFS(CONSOLIDADO!$F:$F,CONSOLIDADO!$E:$E,$A26,CONSOLIDADO!$I:$I,B$3,CONSOLIDADO!$I:$I,B$4,CONSOLIDADO!$K:$K,"&lt;&gt;NOVO")</f>
        <v>16</v>
      </c>
      <c r="D26" s="64">
        <f>SUMIFS(CONSOLIDADO!$F:$F,CONSOLIDADO!$E:$E,$A26,CONSOLIDADO!$I:$I,C$3,CONSOLIDADO!$I:$I,C$4,CONSOLIDADO!$K:$K,"&lt;&gt;NOVO")</f>
        <v>1</v>
      </c>
      <c r="E26" s="64">
        <f>SUMIFS(CONSOLIDADO!$F:$F,CONSOLIDADO!$E:$E,$A26,CONSOLIDADO!$I:$I,D$3,CONSOLIDADO!$I:$I,D$4,CONSOLIDADO!$K:$K,"&lt;&gt;NOVO")</f>
        <v>0</v>
      </c>
      <c r="F26" s="64">
        <f>SUMIFS(CONSOLIDADO!$F:$F,CONSOLIDADO!$E:$E,$A26,CONSOLIDADO!$I:$I,E$3,CONSOLIDADO!$I:$I,E$4,CONSOLIDADO!$K:$K,"&lt;&gt;NOVO")</f>
        <v>0</v>
      </c>
      <c r="G26" s="64">
        <f>SUMIFS(CONSOLIDADO!$F:$F,CONSOLIDADO!$E:$E,$A26,CONSOLIDADO!$I:$I,F$3,CONSOLIDADO!$I:$I,F$4,CONSOLIDADO!$K:$K,"&lt;&gt;NOVO")</f>
        <v>0</v>
      </c>
      <c r="H26" s="64">
        <f>SUMIFS(CONSOLIDADO!$F:$F,CONSOLIDADO!$E:$E,$A26,CONSOLIDADO!$I:$I,G$3,CONSOLIDADO!$I:$I,G$4,CONSOLIDADO!$K:$K,"&lt;&gt;NOVO")</f>
        <v>0</v>
      </c>
      <c r="I26" s="64">
        <f>SUMIFS(CONSOLIDADO!$F:$F,CONSOLIDADO!$E:$E,$A26,CONSOLIDADO!$I:$I,H$3,CONSOLIDADO!$I:$I,H$4,CONSOLIDADO!$K:$K,"&lt;&gt;NOVO")</f>
        <v>0</v>
      </c>
      <c r="J26" s="64">
        <f>SUMIFS(CONSOLIDADO!$F:$F,CONSOLIDADO!$E:$E,$A26,CONSOLIDADO!$I:$I,I$3,CONSOLIDADO!$I:$I,I$4,CONSOLIDADO!$K:$K,"&lt;&gt;NOVO")</f>
        <v>0</v>
      </c>
      <c r="K26" s="64">
        <f>SUMIFS(CONSOLIDADO!$F:$F,CONSOLIDADO!$E:$E,$A26,CONSOLIDADO!$I:$I,J$3,CONSOLIDADO!$I:$I,J$4,CONSOLIDADO!$K:$K,"&lt;&gt;NOVO")</f>
        <v>0</v>
      </c>
      <c r="L26" s="64">
        <f>SUMIFS(CONSOLIDADO!$F:$F,CONSOLIDADO!$E:$E,$A26,CONSOLIDADO!$I:$I,K$3,CONSOLIDADO!$I:$I,K$4,CONSOLIDADO!$K:$K,"&lt;&gt;NOVO")</f>
        <v>0</v>
      </c>
      <c r="M26" s="64">
        <f>SUMIFS(CONSOLIDADO!$F:$F,CONSOLIDADO!$E:$E,$A26,CONSOLIDADO!$I:$I,L$3,CONSOLIDADO!$I:$I,L$4,CONSOLIDADO!$K:$K,"&lt;&gt;NOVO")</f>
        <v>0</v>
      </c>
      <c r="N26" s="66">
        <v>259.27</v>
      </c>
      <c r="O26" s="65">
        <v>0.8</v>
      </c>
      <c r="P26" s="66">
        <f t="shared" si="1"/>
        <v>0</v>
      </c>
      <c r="Q26" s="66">
        <f t="shared" si="1"/>
        <v>829.66399999999976</v>
      </c>
      <c r="R26" s="66">
        <f t="shared" si="1"/>
        <v>51.853999999999985</v>
      </c>
      <c r="S26" s="66">
        <f t="shared" si="1"/>
        <v>0</v>
      </c>
      <c r="T26" s="66">
        <f t="shared" si="1"/>
        <v>0</v>
      </c>
      <c r="U26" s="66">
        <f t="shared" si="1"/>
        <v>0</v>
      </c>
      <c r="V26" s="66">
        <f t="shared" si="1"/>
        <v>0</v>
      </c>
      <c r="W26" s="66">
        <f t="shared" si="1"/>
        <v>0</v>
      </c>
      <c r="X26" s="66">
        <f t="shared" si="1"/>
        <v>0</v>
      </c>
      <c r="Y26" s="66">
        <f t="shared" si="1"/>
        <v>0</v>
      </c>
      <c r="Z26" s="66">
        <f t="shared" si="1"/>
        <v>0</v>
      </c>
      <c r="AA26" s="66">
        <f t="shared" si="1"/>
        <v>0</v>
      </c>
      <c r="AB26" s="33"/>
    </row>
    <row r="27" spans="1:28" x14ac:dyDescent="0.25">
      <c r="A27" s="63" t="s">
        <v>69</v>
      </c>
      <c r="B27" s="64">
        <f>SUMIFS(CONSOLIDADO!$F:$F,CONSOLIDADO!$E:$E,$A27,CONSOLIDADO!$I:$I,A$3,CONSOLIDADO!$I:$I,A$4,CONSOLIDADO!$K:$K,"&lt;&gt;NOVO")</f>
        <v>2</v>
      </c>
      <c r="C27" s="64">
        <f>SUMIFS(CONSOLIDADO!$F:$F,CONSOLIDADO!$E:$E,$A27,CONSOLIDADO!$I:$I,B$3,CONSOLIDADO!$I:$I,B$4,CONSOLIDADO!$K:$K,"&lt;&gt;NOVO")</f>
        <v>7</v>
      </c>
      <c r="D27" s="64">
        <f>SUMIFS(CONSOLIDADO!$F:$F,CONSOLIDADO!$E:$E,$A27,CONSOLIDADO!$I:$I,C$3,CONSOLIDADO!$I:$I,C$4,CONSOLIDADO!$K:$K,"&lt;&gt;NOVO")</f>
        <v>4</v>
      </c>
      <c r="E27" s="64">
        <f>SUMIFS(CONSOLIDADO!$F:$F,CONSOLIDADO!$E:$E,$A27,CONSOLIDADO!$I:$I,D$3,CONSOLIDADO!$I:$I,D$4,CONSOLIDADO!$K:$K,"&lt;&gt;NOVO")</f>
        <v>17</v>
      </c>
      <c r="F27" s="64">
        <f>SUMIFS(CONSOLIDADO!$F:$F,CONSOLIDADO!$E:$E,$A27,CONSOLIDADO!$I:$I,E$3,CONSOLIDADO!$I:$I,E$4,CONSOLIDADO!$K:$K,"&lt;&gt;NOVO")</f>
        <v>0</v>
      </c>
      <c r="G27" s="64">
        <f>SUMIFS(CONSOLIDADO!$F:$F,CONSOLIDADO!$E:$E,$A27,CONSOLIDADO!$I:$I,F$3,CONSOLIDADO!$I:$I,F$4,CONSOLIDADO!$K:$K,"&lt;&gt;NOVO")</f>
        <v>0</v>
      </c>
      <c r="H27" s="64">
        <f>SUMIFS(CONSOLIDADO!$F:$F,CONSOLIDADO!$E:$E,$A27,CONSOLIDADO!$I:$I,G$3,CONSOLIDADO!$I:$I,G$4,CONSOLIDADO!$K:$K,"&lt;&gt;NOVO")</f>
        <v>0</v>
      </c>
      <c r="I27" s="64">
        <f>SUMIFS(CONSOLIDADO!$F:$F,CONSOLIDADO!$E:$E,$A27,CONSOLIDADO!$I:$I,H$3,CONSOLIDADO!$I:$I,H$4,CONSOLIDADO!$K:$K,"&lt;&gt;NOVO")</f>
        <v>0</v>
      </c>
      <c r="J27" s="64">
        <f>SUMIFS(CONSOLIDADO!$F:$F,CONSOLIDADO!$E:$E,$A27,CONSOLIDADO!$I:$I,I$3,CONSOLIDADO!$I:$I,I$4,CONSOLIDADO!$K:$K,"&lt;&gt;NOVO")</f>
        <v>0</v>
      </c>
      <c r="K27" s="64">
        <f>SUMIFS(CONSOLIDADO!$F:$F,CONSOLIDADO!$E:$E,$A27,CONSOLIDADO!$I:$I,J$3,CONSOLIDADO!$I:$I,J$4,CONSOLIDADO!$K:$K,"&lt;&gt;NOVO")</f>
        <v>0</v>
      </c>
      <c r="L27" s="64">
        <f>SUMIFS(CONSOLIDADO!$F:$F,CONSOLIDADO!$E:$E,$A27,CONSOLIDADO!$I:$I,K$3,CONSOLIDADO!$I:$I,K$4,CONSOLIDADO!$K:$K,"&lt;&gt;NOVO")</f>
        <v>0</v>
      </c>
      <c r="M27" s="64">
        <f>SUMIFS(CONSOLIDADO!$F:$F,CONSOLIDADO!$E:$E,$A27,CONSOLIDADO!$I:$I,L$3,CONSOLIDADO!$I:$I,L$4,CONSOLIDADO!$K:$K,"&lt;&gt;NOVO")</f>
        <v>0</v>
      </c>
      <c r="N27" s="66">
        <v>3260.49</v>
      </c>
      <c r="O27" s="65">
        <v>0.8</v>
      </c>
      <c r="P27" s="66">
        <f t="shared" si="1"/>
        <v>1304.1959999999997</v>
      </c>
      <c r="Q27" s="66">
        <f t="shared" si="1"/>
        <v>4564.6859999999988</v>
      </c>
      <c r="R27" s="66">
        <f t="shared" si="1"/>
        <v>2608.3919999999994</v>
      </c>
      <c r="S27" s="66">
        <f t="shared" si="1"/>
        <v>11085.665999999997</v>
      </c>
      <c r="T27" s="66">
        <f t="shared" si="1"/>
        <v>0</v>
      </c>
      <c r="U27" s="66">
        <f t="shared" si="1"/>
        <v>0</v>
      </c>
      <c r="V27" s="66">
        <f t="shared" si="1"/>
        <v>0</v>
      </c>
      <c r="W27" s="66">
        <f t="shared" si="1"/>
        <v>0</v>
      </c>
      <c r="X27" s="66">
        <f t="shared" si="1"/>
        <v>0</v>
      </c>
      <c r="Y27" s="66">
        <f t="shared" si="1"/>
        <v>0</v>
      </c>
      <c r="Z27" s="66">
        <f t="shared" si="1"/>
        <v>0</v>
      </c>
      <c r="AA27" s="66">
        <f t="shared" si="1"/>
        <v>0</v>
      </c>
      <c r="AB27" s="33"/>
    </row>
    <row r="28" spans="1:28" x14ac:dyDescent="0.25">
      <c r="A28" t="s">
        <v>86</v>
      </c>
      <c r="B28" s="64">
        <f>SUMIFS(CONSOLIDADO!$F:$F,CONSOLIDADO!$E:$E,$A28,CONSOLIDADO!$I:$I,A$3,CONSOLIDADO!$I:$I,A$4,CONSOLIDADO!$K:$K,"&lt;&gt;NOVO")</f>
        <v>0</v>
      </c>
      <c r="C28" s="64">
        <f>SUMIFS(CONSOLIDADO!$F:$F,CONSOLIDADO!$E:$E,$A28,CONSOLIDADO!$I:$I,B$3,CONSOLIDADO!$I:$I,B$4,CONSOLIDADO!$K:$K,"&lt;&gt;NOVO")</f>
        <v>0</v>
      </c>
      <c r="D28" s="64">
        <f>SUMIFS(CONSOLIDADO!$F:$F,CONSOLIDADO!$E:$E,$A28,CONSOLIDADO!$I:$I,C$3,CONSOLIDADO!$I:$I,C$4,CONSOLIDADO!$K:$K,"&lt;&gt;NOVO")</f>
        <v>5</v>
      </c>
      <c r="E28" s="64">
        <f>SUMIFS(CONSOLIDADO!$F:$F,CONSOLIDADO!$E:$E,$A28,CONSOLIDADO!$I:$I,D$3,CONSOLIDADO!$I:$I,D$4,CONSOLIDADO!$K:$K,"&lt;&gt;NOVO")</f>
        <v>0</v>
      </c>
      <c r="F28" s="64">
        <f>SUMIFS(CONSOLIDADO!$F:$F,CONSOLIDADO!$E:$E,$A28,CONSOLIDADO!$I:$I,E$3,CONSOLIDADO!$I:$I,E$4,CONSOLIDADO!$K:$K,"&lt;&gt;NOVO")</f>
        <v>0</v>
      </c>
      <c r="G28" s="64">
        <f>SUMIFS(CONSOLIDADO!$F:$F,CONSOLIDADO!$E:$E,$A28,CONSOLIDADO!$I:$I,F$3,CONSOLIDADO!$I:$I,F$4,CONSOLIDADO!$K:$K,"&lt;&gt;NOVO")</f>
        <v>0</v>
      </c>
      <c r="H28" s="64">
        <f>SUMIFS(CONSOLIDADO!$F:$F,CONSOLIDADO!$E:$E,$A28,CONSOLIDADO!$I:$I,G$3,CONSOLIDADO!$I:$I,G$4,CONSOLIDADO!$K:$K,"&lt;&gt;NOVO")</f>
        <v>0</v>
      </c>
      <c r="I28" s="64">
        <f>SUMIFS(CONSOLIDADO!$F:$F,CONSOLIDADO!$E:$E,$A28,CONSOLIDADO!$I:$I,H$3,CONSOLIDADO!$I:$I,H$4,CONSOLIDADO!$K:$K,"&lt;&gt;NOVO")</f>
        <v>0</v>
      </c>
      <c r="J28" s="64">
        <f>SUMIFS(CONSOLIDADO!$F:$F,CONSOLIDADO!$E:$E,$A28,CONSOLIDADO!$I:$I,I$3,CONSOLIDADO!$I:$I,I$4,CONSOLIDADO!$K:$K,"&lt;&gt;NOVO")</f>
        <v>0</v>
      </c>
      <c r="K28" s="64">
        <f>SUMIFS(CONSOLIDADO!$F:$F,CONSOLIDADO!$E:$E,$A28,CONSOLIDADO!$I:$I,J$3,CONSOLIDADO!$I:$I,J$4,CONSOLIDADO!$K:$K,"&lt;&gt;NOVO")</f>
        <v>0</v>
      </c>
      <c r="L28" s="64">
        <f>SUMIFS(CONSOLIDADO!$F:$F,CONSOLIDADO!$E:$E,$A28,CONSOLIDADO!$I:$I,K$3,CONSOLIDADO!$I:$I,K$4,CONSOLIDADO!$K:$K,"&lt;&gt;NOVO")</f>
        <v>0</v>
      </c>
      <c r="M28" s="64">
        <f>SUMIFS(CONSOLIDADO!$F:$F,CONSOLIDADO!$E:$E,$A28,CONSOLIDADO!$I:$I,L$3,CONSOLIDADO!$I:$I,L$4,CONSOLIDADO!$K:$K,"&lt;&gt;NOVO")</f>
        <v>0</v>
      </c>
      <c r="N28" s="66">
        <v>671</v>
      </c>
      <c r="O28" s="65">
        <v>0.8</v>
      </c>
      <c r="P28" s="66">
        <f t="shared" si="1"/>
        <v>0</v>
      </c>
      <c r="Q28" s="66">
        <f t="shared" si="1"/>
        <v>0</v>
      </c>
      <c r="R28" s="66">
        <f t="shared" si="1"/>
        <v>670.99999999999977</v>
      </c>
      <c r="S28" s="66">
        <f t="shared" si="1"/>
        <v>0</v>
      </c>
      <c r="T28" s="66">
        <f t="shared" si="1"/>
        <v>0</v>
      </c>
      <c r="U28" s="66">
        <f t="shared" si="1"/>
        <v>0</v>
      </c>
      <c r="V28" s="66">
        <f t="shared" si="1"/>
        <v>0</v>
      </c>
      <c r="W28" s="66">
        <f t="shared" si="1"/>
        <v>0</v>
      </c>
      <c r="X28" s="66">
        <f t="shared" si="1"/>
        <v>0</v>
      </c>
      <c r="Y28" s="66">
        <f t="shared" si="1"/>
        <v>0</v>
      </c>
      <c r="Z28" s="66">
        <f t="shared" si="1"/>
        <v>0</v>
      </c>
      <c r="AA28" s="66">
        <f t="shared" si="1"/>
        <v>0</v>
      </c>
      <c r="AB28" s="33"/>
    </row>
    <row r="29" spans="1:28" x14ac:dyDescent="0.25">
      <c r="A29" s="63" t="s">
        <v>480</v>
      </c>
      <c r="B29" s="64">
        <f>SUMIFS(CONSOLIDADO!$F:$F,CONSOLIDADO!$E:$E,$A29,CONSOLIDADO!$I:$I,A$3,CONSOLIDADO!$I:$I,A$4,CONSOLIDADO!$K:$K,"&lt;&gt;NOVO")</f>
        <v>0</v>
      </c>
      <c r="C29" s="64">
        <f>SUMIFS(CONSOLIDADO!$F:$F,CONSOLIDADO!$E:$E,$A29,CONSOLIDADO!$I:$I,B$3,CONSOLIDADO!$I:$I,B$4,CONSOLIDADO!$K:$K,"&lt;&gt;NOVO")</f>
        <v>0</v>
      </c>
      <c r="D29" s="64">
        <f>SUMIFS(CONSOLIDADO!$F:$F,CONSOLIDADO!$E:$E,$A29,CONSOLIDADO!$I:$I,C$3,CONSOLIDADO!$I:$I,C$4,CONSOLIDADO!$K:$K,"&lt;&gt;NOVO")</f>
        <v>0</v>
      </c>
      <c r="E29" s="64">
        <f>SUMIFS(CONSOLIDADO!$F:$F,CONSOLIDADO!$E:$E,$A29,CONSOLIDADO!$I:$I,D$3,CONSOLIDADO!$I:$I,D$4,CONSOLIDADO!$K:$K,"&lt;&gt;NOVO")</f>
        <v>1</v>
      </c>
      <c r="F29" s="64">
        <f>SUMIFS(CONSOLIDADO!$F:$F,CONSOLIDADO!$E:$E,$A29,CONSOLIDADO!$I:$I,E$3,CONSOLIDADO!$I:$I,E$4,CONSOLIDADO!$K:$K,"&lt;&gt;NOVO")</f>
        <v>0</v>
      </c>
      <c r="G29" s="64">
        <f>SUMIFS(CONSOLIDADO!$F:$F,CONSOLIDADO!$E:$E,$A29,CONSOLIDADO!$I:$I,F$3,CONSOLIDADO!$I:$I,F$4,CONSOLIDADO!$K:$K,"&lt;&gt;NOVO")</f>
        <v>0</v>
      </c>
      <c r="H29" s="64">
        <f>SUMIFS(CONSOLIDADO!$F:$F,CONSOLIDADO!$E:$E,$A29,CONSOLIDADO!$I:$I,G$3,CONSOLIDADO!$I:$I,G$4,CONSOLIDADO!$K:$K,"&lt;&gt;NOVO")</f>
        <v>0</v>
      </c>
      <c r="I29" s="64">
        <f>SUMIFS(CONSOLIDADO!$F:$F,CONSOLIDADO!$E:$E,$A29,CONSOLIDADO!$I:$I,H$3,CONSOLIDADO!$I:$I,H$4,CONSOLIDADO!$K:$K,"&lt;&gt;NOVO")</f>
        <v>0</v>
      </c>
      <c r="J29" s="64">
        <f>SUMIFS(CONSOLIDADO!$F:$F,CONSOLIDADO!$E:$E,$A29,CONSOLIDADO!$I:$I,I$3,CONSOLIDADO!$I:$I,I$4,CONSOLIDADO!$K:$K,"&lt;&gt;NOVO")</f>
        <v>0</v>
      </c>
      <c r="K29" s="64">
        <f>SUMIFS(CONSOLIDADO!$F:$F,CONSOLIDADO!$E:$E,$A29,CONSOLIDADO!$I:$I,J$3,CONSOLIDADO!$I:$I,J$4,CONSOLIDADO!$K:$K,"&lt;&gt;NOVO")</f>
        <v>0</v>
      </c>
      <c r="L29" s="64">
        <f>SUMIFS(CONSOLIDADO!$F:$F,CONSOLIDADO!$E:$E,$A29,CONSOLIDADO!$I:$I,K$3,CONSOLIDADO!$I:$I,K$4,CONSOLIDADO!$K:$K,"&lt;&gt;NOVO")</f>
        <v>0</v>
      </c>
      <c r="M29" s="64">
        <f>SUMIFS(CONSOLIDADO!$F:$F,CONSOLIDADO!$E:$E,$A29,CONSOLIDADO!$I:$I,L$3,CONSOLIDADO!$I:$I,L$4,CONSOLIDADO!$K:$K,"&lt;&gt;NOVO")</f>
        <v>0</v>
      </c>
      <c r="N29" s="66">
        <v>671</v>
      </c>
      <c r="O29" s="65">
        <v>0.8</v>
      </c>
      <c r="P29" s="66">
        <f t="shared" si="1"/>
        <v>0</v>
      </c>
      <c r="Q29" s="66">
        <f t="shared" si="1"/>
        <v>0</v>
      </c>
      <c r="R29" s="66">
        <f t="shared" si="1"/>
        <v>0</v>
      </c>
      <c r="S29" s="66">
        <f t="shared" si="1"/>
        <v>134.19999999999996</v>
      </c>
      <c r="T29" s="66">
        <f t="shared" si="1"/>
        <v>0</v>
      </c>
      <c r="U29" s="66">
        <f t="shared" si="1"/>
        <v>0</v>
      </c>
      <c r="V29" s="66">
        <f t="shared" si="1"/>
        <v>0</v>
      </c>
      <c r="W29" s="66">
        <f t="shared" si="1"/>
        <v>0</v>
      </c>
      <c r="X29" s="66">
        <f t="shared" si="1"/>
        <v>0</v>
      </c>
      <c r="Y29" s="66">
        <f t="shared" si="1"/>
        <v>0</v>
      </c>
      <c r="Z29" s="66">
        <f t="shared" si="1"/>
        <v>0</v>
      </c>
      <c r="AA29" s="66">
        <f t="shared" si="1"/>
        <v>0</v>
      </c>
      <c r="AB29" s="33"/>
    </row>
    <row r="30" spans="1:28" x14ac:dyDescent="0.25">
      <c r="A30" t="s">
        <v>269</v>
      </c>
      <c r="B30" s="64">
        <f>SUMIFS(CONSOLIDADO!$F:$F,CONSOLIDADO!$E:$E,$A30,CONSOLIDADO!$I:$I,A$3,CONSOLIDADO!$I:$I,A$4,CONSOLIDADO!$K:$K,"&lt;&gt;NOVO")</f>
        <v>0</v>
      </c>
      <c r="C30" s="64">
        <f>SUMIFS(CONSOLIDADO!$F:$F,CONSOLIDADO!$E:$E,$A30,CONSOLIDADO!$I:$I,B$3,CONSOLIDADO!$I:$I,B$4,CONSOLIDADO!$K:$K,"&lt;&gt;NOVO")</f>
        <v>2</v>
      </c>
      <c r="D30" s="64">
        <f>SUMIFS(CONSOLIDADO!$F:$F,CONSOLIDADO!$E:$E,$A30,CONSOLIDADO!$I:$I,C$3,CONSOLIDADO!$I:$I,C$4,CONSOLIDADO!$K:$K,"&lt;&gt;NOVO")</f>
        <v>0</v>
      </c>
      <c r="E30" s="64">
        <f>SUMIFS(CONSOLIDADO!$F:$F,CONSOLIDADO!$E:$E,$A30,CONSOLIDADO!$I:$I,D$3,CONSOLIDADO!$I:$I,D$4,CONSOLIDADO!$K:$K,"&lt;&gt;NOVO")</f>
        <v>0</v>
      </c>
      <c r="F30" s="64">
        <f>SUMIFS(CONSOLIDADO!$F:$F,CONSOLIDADO!$E:$E,$A30,CONSOLIDADO!$I:$I,E$3,CONSOLIDADO!$I:$I,E$4,CONSOLIDADO!$K:$K,"&lt;&gt;NOVO")</f>
        <v>0</v>
      </c>
      <c r="G30" s="64">
        <f>SUMIFS(CONSOLIDADO!$F:$F,CONSOLIDADO!$E:$E,$A30,CONSOLIDADO!$I:$I,F$3,CONSOLIDADO!$I:$I,F$4,CONSOLIDADO!$K:$K,"&lt;&gt;NOVO")</f>
        <v>0</v>
      </c>
      <c r="H30" s="64">
        <f>SUMIFS(CONSOLIDADO!$F:$F,CONSOLIDADO!$E:$E,$A30,CONSOLIDADO!$I:$I,G$3,CONSOLIDADO!$I:$I,G$4,CONSOLIDADO!$K:$K,"&lt;&gt;NOVO")</f>
        <v>0</v>
      </c>
      <c r="I30" s="64">
        <f>SUMIFS(CONSOLIDADO!$F:$F,CONSOLIDADO!$E:$E,$A30,CONSOLIDADO!$I:$I,H$3,CONSOLIDADO!$I:$I,H$4,CONSOLIDADO!$K:$K,"&lt;&gt;NOVO")</f>
        <v>0</v>
      </c>
      <c r="J30" s="64">
        <f>SUMIFS(CONSOLIDADO!$F:$F,CONSOLIDADO!$E:$E,$A30,CONSOLIDADO!$I:$I,I$3,CONSOLIDADO!$I:$I,I$4,CONSOLIDADO!$K:$K,"&lt;&gt;NOVO")</f>
        <v>0</v>
      </c>
      <c r="K30" s="64">
        <f>SUMIFS(CONSOLIDADO!$F:$F,CONSOLIDADO!$E:$E,$A30,CONSOLIDADO!$I:$I,J$3,CONSOLIDADO!$I:$I,J$4,CONSOLIDADO!$K:$K,"&lt;&gt;NOVO")</f>
        <v>0</v>
      </c>
      <c r="L30" s="64">
        <f>SUMIFS(CONSOLIDADO!$F:$F,CONSOLIDADO!$E:$E,$A30,CONSOLIDADO!$I:$I,K$3,CONSOLIDADO!$I:$I,K$4,CONSOLIDADO!$K:$K,"&lt;&gt;NOVO")</f>
        <v>0</v>
      </c>
      <c r="M30" s="64">
        <f>SUMIFS(CONSOLIDADO!$F:$F,CONSOLIDADO!$E:$E,$A30,CONSOLIDADO!$I:$I,L$3,CONSOLIDADO!$I:$I,L$4,CONSOLIDADO!$K:$K,"&lt;&gt;NOVO")</f>
        <v>0</v>
      </c>
      <c r="N30" s="66">
        <v>653.75</v>
      </c>
      <c r="O30" s="65">
        <v>0.8</v>
      </c>
      <c r="P30" s="66">
        <f t="shared" si="1"/>
        <v>0</v>
      </c>
      <c r="Q30" s="66">
        <f t="shared" si="1"/>
        <v>261.49999999999994</v>
      </c>
      <c r="R30" s="66">
        <f t="shared" si="1"/>
        <v>0</v>
      </c>
      <c r="S30" s="66">
        <f t="shared" si="1"/>
        <v>0</v>
      </c>
      <c r="T30" s="66">
        <f t="shared" si="1"/>
        <v>0</v>
      </c>
      <c r="U30" s="66">
        <f t="shared" si="1"/>
        <v>0</v>
      </c>
      <c r="V30" s="66">
        <f t="shared" si="1"/>
        <v>0</v>
      </c>
      <c r="W30" s="66">
        <f t="shared" si="1"/>
        <v>0</v>
      </c>
      <c r="X30" s="66">
        <f t="shared" si="1"/>
        <v>0</v>
      </c>
      <c r="Y30" s="66">
        <f t="shared" si="1"/>
        <v>0</v>
      </c>
      <c r="Z30" s="66">
        <f t="shared" si="1"/>
        <v>0</v>
      </c>
      <c r="AA30" s="66">
        <f t="shared" si="1"/>
        <v>0</v>
      </c>
      <c r="AB30" s="33"/>
    </row>
    <row r="31" spans="1:28" x14ac:dyDescent="0.25">
      <c r="A31" s="63" t="s">
        <v>33</v>
      </c>
      <c r="B31" s="64">
        <f>SUMIFS(CONSOLIDADO!$F:$F,CONSOLIDADO!$E:$E,$A31,CONSOLIDADO!$I:$I,A$3,CONSOLIDADO!$I:$I,A$4,CONSOLIDADO!$K:$K,"&lt;&gt;NOVO")</f>
        <v>10</v>
      </c>
      <c r="C31" s="64">
        <f>SUMIFS(CONSOLIDADO!$F:$F,CONSOLIDADO!$E:$E,$A31,CONSOLIDADO!$I:$I,B$3,CONSOLIDADO!$I:$I,B$4,CONSOLIDADO!$K:$K,"&lt;&gt;NOVO")</f>
        <v>1</v>
      </c>
      <c r="D31" s="64">
        <f>SUMIFS(CONSOLIDADO!$F:$F,CONSOLIDADO!$E:$E,$A31,CONSOLIDADO!$I:$I,C$3,CONSOLIDADO!$I:$I,C$4,CONSOLIDADO!$K:$K,"&lt;&gt;NOVO")</f>
        <v>3</v>
      </c>
      <c r="E31" s="64">
        <f>SUMIFS(CONSOLIDADO!$F:$F,CONSOLIDADO!$E:$E,$A31,CONSOLIDADO!$I:$I,D$3,CONSOLIDADO!$I:$I,D$4,CONSOLIDADO!$K:$K,"&lt;&gt;NOVO")</f>
        <v>0</v>
      </c>
      <c r="F31" s="64">
        <f>SUMIFS(CONSOLIDADO!$F:$F,CONSOLIDADO!$E:$E,$A31,CONSOLIDADO!$I:$I,E$3,CONSOLIDADO!$I:$I,E$4,CONSOLIDADO!$K:$K,"&lt;&gt;NOVO")</f>
        <v>0</v>
      </c>
      <c r="G31" s="64">
        <f>SUMIFS(CONSOLIDADO!$F:$F,CONSOLIDADO!$E:$E,$A31,CONSOLIDADO!$I:$I,F$3,CONSOLIDADO!$I:$I,F$4,CONSOLIDADO!$K:$K,"&lt;&gt;NOVO")</f>
        <v>0</v>
      </c>
      <c r="H31" s="64">
        <f>SUMIFS(CONSOLIDADO!$F:$F,CONSOLIDADO!$E:$E,$A31,CONSOLIDADO!$I:$I,G$3,CONSOLIDADO!$I:$I,G$4,CONSOLIDADO!$K:$K,"&lt;&gt;NOVO")</f>
        <v>0</v>
      </c>
      <c r="I31" s="64">
        <f>SUMIFS(CONSOLIDADO!$F:$F,CONSOLIDADO!$E:$E,$A31,CONSOLIDADO!$I:$I,H$3,CONSOLIDADO!$I:$I,H$4,CONSOLIDADO!$K:$K,"&lt;&gt;NOVO")</f>
        <v>0</v>
      </c>
      <c r="J31" s="64">
        <f>SUMIFS(CONSOLIDADO!$F:$F,CONSOLIDADO!$E:$E,$A31,CONSOLIDADO!$I:$I,I$3,CONSOLIDADO!$I:$I,I$4,CONSOLIDADO!$K:$K,"&lt;&gt;NOVO")</f>
        <v>0</v>
      </c>
      <c r="K31" s="64">
        <f>SUMIFS(CONSOLIDADO!$F:$F,CONSOLIDADO!$E:$E,$A31,CONSOLIDADO!$I:$I,J$3,CONSOLIDADO!$I:$I,J$4,CONSOLIDADO!$K:$K,"&lt;&gt;NOVO")</f>
        <v>0</v>
      </c>
      <c r="L31" s="64">
        <f>SUMIFS(CONSOLIDADO!$F:$F,CONSOLIDADO!$E:$E,$A31,CONSOLIDADO!$I:$I,K$3,CONSOLIDADO!$I:$I,K$4,CONSOLIDADO!$K:$K,"&lt;&gt;NOVO")</f>
        <v>0</v>
      </c>
      <c r="M31" s="64">
        <f>SUMIFS(CONSOLIDADO!$F:$F,CONSOLIDADO!$E:$E,$A31,CONSOLIDADO!$I:$I,L$3,CONSOLIDADO!$I:$I,L$4,CONSOLIDADO!$K:$K,"&lt;&gt;NOVO")</f>
        <v>0</v>
      </c>
      <c r="N31" s="66">
        <v>5590.69</v>
      </c>
      <c r="O31" s="65">
        <v>0.8</v>
      </c>
      <c r="P31" s="66">
        <f t="shared" si="1"/>
        <v>11181.379999999997</v>
      </c>
      <c r="Q31" s="66">
        <f t="shared" si="1"/>
        <v>1118.1379999999997</v>
      </c>
      <c r="R31" s="66">
        <f t="shared" si="1"/>
        <v>3354.4139999999989</v>
      </c>
      <c r="S31" s="66">
        <f t="shared" si="1"/>
        <v>0</v>
      </c>
      <c r="T31" s="66">
        <f t="shared" si="1"/>
        <v>0</v>
      </c>
      <c r="U31" s="66">
        <f t="shared" si="1"/>
        <v>0</v>
      </c>
      <c r="V31" s="66">
        <f t="shared" si="1"/>
        <v>0</v>
      </c>
      <c r="W31" s="66">
        <f t="shared" si="1"/>
        <v>0</v>
      </c>
      <c r="X31" s="66">
        <f t="shared" si="1"/>
        <v>0</v>
      </c>
      <c r="Y31" s="66">
        <f t="shared" si="1"/>
        <v>0</v>
      </c>
      <c r="Z31" s="66">
        <f t="shared" si="1"/>
        <v>0</v>
      </c>
      <c r="AA31" s="66">
        <f t="shared" si="1"/>
        <v>0</v>
      </c>
      <c r="AB31" s="33"/>
    </row>
    <row r="32" spans="1:28" x14ac:dyDescent="0.25">
      <c r="A32" s="63" t="s">
        <v>67</v>
      </c>
      <c r="B32" s="64">
        <f>SUMIFS(CONSOLIDADO!$F:$F,CONSOLIDADO!$E:$E,$A32,CONSOLIDADO!$I:$I,A$3,CONSOLIDADO!$I:$I,A$4,CONSOLIDADO!$K:$K,"&lt;&gt;NOVO")</f>
        <v>2</v>
      </c>
      <c r="C32" s="64">
        <f>SUMIFS(CONSOLIDADO!$F:$F,CONSOLIDADO!$E:$E,$A32,CONSOLIDADO!$I:$I,B$3,CONSOLIDADO!$I:$I,B$4,CONSOLIDADO!$K:$K,"&lt;&gt;NOVO")</f>
        <v>1</v>
      </c>
      <c r="D32" s="64">
        <f>SUMIFS(CONSOLIDADO!$F:$F,CONSOLIDADO!$E:$E,$A32,CONSOLIDADO!$I:$I,C$3,CONSOLIDADO!$I:$I,C$4,CONSOLIDADO!$K:$K,"&lt;&gt;NOVO")</f>
        <v>0</v>
      </c>
      <c r="E32" s="64">
        <f>SUMIFS(CONSOLIDADO!$F:$F,CONSOLIDADO!$E:$E,$A32,CONSOLIDADO!$I:$I,D$3,CONSOLIDADO!$I:$I,D$4,CONSOLIDADO!$K:$K,"&lt;&gt;NOVO")</f>
        <v>0</v>
      </c>
      <c r="F32" s="64">
        <f>SUMIFS(CONSOLIDADO!$F:$F,CONSOLIDADO!$E:$E,$A32,CONSOLIDADO!$I:$I,E$3,CONSOLIDADO!$I:$I,E$4,CONSOLIDADO!$K:$K,"&lt;&gt;NOVO")</f>
        <v>0</v>
      </c>
      <c r="G32" s="64">
        <f>SUMIFS(CONSOLIDADO!$F:$F,CONSOLIDADO!$E:$E,$A32,CONSOLIDADO!$I:$I,F$3,CONSOLIDADO!$I:$I,F$4,CONSOLIDADO!$K:$K,"&lt;&gt;NOVO")</f>
        <v>0</v>
      </c>
      <c r="H32" s="64">
        <f>SUMIFS(CONSOLIDADO!$F:$F,CONSOLIDADO!$E:$E,$A32,CONSOLIDADO!$I:$I,G$3,CONSOLIDADO!$I:$I,G$4,CONSOLIDADO!$K:$K,"&lt;&gt;NOVO")</f>
        <v>0</v>
      </c>
      <c r="I32" s="64">
        <f>SUMIFS(CONSOLIDADO!$F:$F,CONSOLIDADO!$E:$E,$A32,CONSOLIDADO!$I:$I,H$3,CONSOLIDADO!$I:$I,H$4,CONSOLIDADO!$K:$K,"&lt;&gt;NOVO")</f>
        <v>0</v>
      </c>
      <c r="J32" s="64">
        <f>SUMIFS(CONSOLIDADO!$F:$F,CONSOLIDADO!$E:$E,$A32,CONSOLIDADO!$I:$I,I$3,CONSOLIDADO!$I:$I,I$4,CONSOLIDADO!$K:$K,"&lt;&gt;NOVO")</f>
        <v>0</v>
      </c>
      <c r="K32" s="64">
        <f>SUMIFS(CONSOLIDADO!$F:$F,CONSOLIDADO!$E:$E,$A32,CONSOLIDADO!$I:$I,J$3,CONSOLIDADO!$I:$I,J$4,CONSOLIDADO!$K:$K,"&lt;&gt;NOVO")</f>
        <v>0</v>
      </c>
      <c r="L32" s="64">
        <f>SUMIFS(CONSOLIDADO!$F:$F,CONSOLIDADO!$E:$E,$A32,CONSOLIDADO!$I:$I,K$3,CONSOLIDADO!$I:$I,K$4,CONSOLIDADO!$K:$K,"&lt;&gt;NOVO")</f>
        <v>0</v>
      </c>
      <c r="M32" s="64">
        <f>SUMIFS(CONSOLIDADO!$F:$F,CONSOLIDADO!$E:$E,$A32,CONSOLIDADO!$I:$I,L$3,CONSOLIDADO!$I:$I,L$4,CONSOLIDADO!$K:$K,"&lt;&gt;NOVO")</f>
        <v>0</v>
      </c>
      <c r="N32" s="66">
        <v>557.51</v>
      </c>
      <c r="O32" s="65">
        <v>0.8</v>
      </c>
      <c r="P32" s="66">
        <f t="shared" si="1"/>
        <v>223.00399999999993</v>
      </c>
      <c r="Q32" s="66">
        <f t="shared" si="1"/>
        <v>111.50199999999997</v>
      </c>
      <c r="R32" s="66">
        <f t="shared" si="1"/>
        <v>0</v>
      </c>
      <c r="S32" s="66">
        <f t="shared" si="1"/>
        <v>0</v>
      </c>
      <c r="T32" s="66">
        <f t="shared" si="1"/>
        <v>0</v>
      </c>
      <c r="U32" s="66">
        <f t="shared" si="1"/>
        <v>0</v>
      </c>
      <c r="V32" s="66">
        <f t="shared" si="1"/>
        <v>0</v>
      </c>
      <c r="W32" s="66">
        <f t="shared" si="1"/>
        <v>0</v>
      </c>
      <c r="X32" s="66">
        <f t="shared" si="1"/>
        <v>0</v>
      </c>
      <c r="Y32" s="66">
        <f t="shared" si="1"/>
        <v>0</v>
      </c>
      <c r="Z32" s="66">
        <f t="shared" si="1"/>
        <v>0</v>
      </c>
      <c r="AA32" s="66">
        <f t="shared" si="1"/>
        <v>0</v>
      </c>
      <c r="AB32" s="33"/>
    </row>
    <row r="33" spans="1:28" x14ac:dyDescent="0.25">
      <c r="A33" s="63" t="s">
        <v>170</v>
      </c>
      <c r="B33" s="64">
        <f>SUMIFS(CONSOLIDADO!$F:$F,CONSOLIDADO!$E:$E,$A33,CONSOLIDADO!$I:$I,A$3,CONSOLIDADO!$I:$I,A$4,CONSOLIDADO!$K:$K,"&lt;&gt;NOVO")</f>
        <v>0</v>
      </c>
      <c r="C33" s="64">
        <f>SUMIFS(CONSOLIDADO!$F:$F,CONSOLIDADO!$E:$E,$A33,CONSOLIDADO!$I:$I,B$3,CONSOLIDADO!$I:$I,B$4,CONSOLIDADO!$K:$K,"&lt;&gt;NOVO")</f>
        <v>3</v>
      </c>
      <c r="D33" s="64">
        <f>SUMIFS(CONSOLIDADO!$F:$F,CONSOLIDADO!$E:$E,$A33,CONSOLIDADO!$I:$I,C$3,CONSOLIDADO!$I:$I,C$4,CONSOLIDADO!$K:$K,"&lt;&gt;NOVO")</f>
        <v>0</v>
      </c>
      <c r="E33" s="64">
        <f>SUMIFS(CONSOLIDADO!$F:$F,CONSOLIDADO!$E:$E,$A33,CONSOLIDADO!$I:$I,D$3,CONSOLIDADO!$I:$I,D$4,CONSOLIDADO!$K:$K,"&lt;&gt;NOVO")</f>
        <v>0</v>
      </c>
      <c r="F33" s="64">
        <f>SUMIFS(CONSOLIDADO!$F:$F,CONSOLIDADO!$E:$E,$A33,CONSOLIDADO!$I:$I,E$3,CONSOLIDADO!$I:$I,E$4,CONSOLIDADO!$K:$K,"&lt;&gt;NOVO")</f>
        <v>0</v>
      </c>
      <c r="G33" s="64">
        <f>SUMIFS(CONSOLIDADO!$F:$F,CONSOLIDADO!$E:$E,$A33,CONSOLIDADO!$I:$I,F$3,CONSOLIDADO!$I:$I,F$4,CONSOLIDADO!$K:$K,"&lt;&gt;NOVO")</f>
        <v>0</v>
      </c>
      <c r="H33" s="64">
        <f>SUMIFS(CONSOLIDADO!$F:$F,CONSOLIDADO!$E:$E,$A33,CONSOLIDADO!$I:$I,G$3,CONSOLIDADO!$I:$I,G$4,CONSOLIDADO!$K:$K,"&lt;&gt;NOVO")</f>
        <v>0</v>
      </c>
      <c r="I33" s="64">
        <f>SUMIFS(CONSOLIDADO!$F:$F,CONSOLIDADO!$E:$E,$A33,CONSOLIDADO!$I:$I,H$3,CONSOLIDADO!$I:$I,H$4,CONSOLIDADO!$K:$K,"&lt;&gt;NOVO")</f>
        <v>0</v>
      </c>
      <c r="J33" s="64">
        <f>SUMIFS(CONSOLIDADO!$F:$F,CONSOLIDADO!$E:$E,$A33,CONSOLIDADO!$I:$I,I$3,CONSOLIDADO!$I:$I,I$4,CONSOLIDADO!$K:$K,"&lt;&gt;NOVO")</f>
        <v>0</v>
      </c>
      <c r="K33" s="64">
        <f>SUMIFS(CONSOLIDADO!$F:$F,CONSOLIDADO!$E:$E,$A33,CONSOLIDADO!$I:$I,J$3,CONSOLIDADO!$I:$I,J$4,CONSOLIDADO!$K:$K,"&lt;&gt;NOVO")</f>
        <v>0</v>
      </c>
      <c r="L33" s="64">
        <f>SUMIFS(CONSOLIDADO!$F:$F,CONSOLIDADO!$E:$E,$A33,CONSOLIDADO!$I:$I,K$3,CONSOLIDADO!$I:$I,K$4,CONSOLIDADO!$K:$K,"&lt;&gt;NOVO")</f>
        <v>0</v>
      </c>
      <c r="M33" s="64">
        <f>SUMIFS(CONSOLIDADO!$F:$F,CONSOLIDADO!$E:$E,$A33,CONSOLIDADO!$I:$I,L$3,CONSOLIDADO!$I:$I,L$4,CONSOLIDADO!$K:$K,"&lt;&gt;NOVO")</f>
        <v>0</v>
      </c>
      <c r="N33" s="66">
        <v>1115.02</v>
      </c>
      <c r="O33" s="65">
        <v>0.8</v>
      </c>
      <c r="P33" s="66">
        <f t="shared" si="1"/>
        <v>0</v>
      </c>
      <c r="Q33" s="66">
        <f t="shared" si="1"/>
        <v>669.01199999999983</v>
      </c>
      <c r="R33" s="66">
        <f t="shared" si="1"/>
        <v>0</v>
      </c>
      <c r="S33" s="66">
        <f t="shared" si="1"/>
        <v>0</v>
      </c>
      <c r="T33" s="66">
        <f t="shared" si="1"/>
        <v>0</v>
      </c>
      <c r="U33" s="66">
        <f t="shared" si="1"/>
        <v>0</v>
      </c>
      <c r="V33" s="66">
        <f t="shared" si="1"/>
        <v>0</v>
      </c>
      <c r="W33" s="66">
        <f t="shared" si="1"/>
        <v>0</v>
      </c>
      <c r="X33" s="66">
        <f t="shared" si="1"/>
        <v>0</v>
      </c>
      <c r="Y33" s="66">
        <f t="shared" si="1"/>
        <v>0</v>
      </c>
      <c r="Z33" s="66">
        <f t="shared" si="1"/>
        <v>0</v>
      </c>
      <c r="AA33" s="66">
        <f t="shared" si="1"/>
        <v>0</v>
      </c>
      <c r="AB33" s="33"/>
    </row>
    <row r="34" spans="1:28" x14ac:dyDescent="0.25">
      <c r="A34" s="63" t="s">
        <v>345</v>
      </c>
      <c r="B34" s="64">
        <f>SUMIFS(CONSOLIDADO!$F:$F,CONSOLIDADO!$E:$E,$A34,CONSOLIDADO!$I:$I,A$3,CONSOLIDADO!$I:$I,A$4,CONSOLIDADO!$K:$K,"&lt;&gt;NOVO")</f>
        <v>0</v>
      </c>
      <c r="C34" s="64">
        <f>SUMIFS(CONSOLIDADO!$F:$F,CONSOLIDADO!$E:$E,$A34,CONSOLIDADO!$I:$I,B$3,CONSOLIDADO!$I:$I,B$4,CONSOLIDADO!$K:$K,"&lt;&gt;NOVO")</f>
        <v>0</v>
      </c>
      <c r="D34" s="64">
        <f>SUMIFS(CONSOLIDADO!$F:$F,CONSOLIDADO!$E:$E,$A34,CONSOLIDADO!$I:$I,C$3,CONSOLIDADO!$I:$I,C$4,CONSOLIDADO!$K:$K,"&lt;&gt;NOVO")</f>
        <v>0</v>
      </c>
      <c r="E34" s="64">
        <f>SUMIFS(CONSOLIDADO!$F:$F,CONSOLIDADO!$E:$E,$A34,CONSOLIDADO!$I:$I,D$3,CONSOLIDADO!$I:$I,D$4,CONSOLIDADO!$K:$K,"&lt;&gt;NOVO")</f>
        <v>0</v>
      </c>
      <c r="F34" s="64">
        <f>SUMIFS(CONSOLIDADO!$F:$F,CONSOLIDADO!$E:$E,$A34,CONSOLIDADO!$I:$I,E$3,CONSOLIDADO!$I:$I,E$4,CONSOLIDADO!$K:$K,"&lt;&gt;NOVO")</f>
        <v>0</v>
      </c>
      <c r="G34" s="64">
        <f>SUMIFS(CONSOLIDADO!$F:$F,CONSOLIDADO!$E:$E,$A34,CONSOLIDADO!$I:$I,F$3,CONSOLIDADO!$I:$I,F$4,CONSOLIDADO!$K:$K,"&lt;&gt;NOVO")</f>
        <v>0</v>
      </c>
      <c r="H34" s="64">
        <f>SUMIFS(CONSOLIDADO!$F:$F,CONSOLIDADO!$E:$E,$A34,CONSOLIDADO!$I:$I,G$3,CONSOLIDADO!$I:$I,G$4,CONSOLIDADO!$K:$K,"&lt;&gt;NOVO")</f>
        <v>0</v>
      </c>
      <c r="I34" s="64">
        <f>SUMIFS(CONSOLIDADO!$F:$F,CONSOLIDADO!$E:$E,$A34,CONSOLIDADO!$I:$I,H$3,CONSOLIDADO!$I:$I,H$4,CONSOLIDADO!$K:$K,"&lt;&gt;NOVO")</f>
        <v>0</v>
      </c>
      <c r="J34" s="64">
        <f>SUMIFS(CONSOLIDADO!$F:$F,CONSOLIDADO!$E:$E,$A34,CONSOLIDADO!$I:$I,I$3,CONSOLIDADO!$I:$I,I$4,CONSOLIDADO!$K:$K,"&lt;&gt;NOVO")</f>
        <v>0</v>
      </c>
      <c r="K34" s="64">
        <f>SUMIFS(CONSOLIDADO!$F:$F,CONSOLIDADO!$E:$E,$A34,CONSOLIDADO!$I:$I,J$3,CONSOLIDADO!$I:$I,J$4,CONSOLIDADO!$K:$K,"&lt;&gt;NOVO")</f>
        <v>0</v>
      </c>
      <c r="L34" s="64">
        <f>SUMIFS(CONSOLIDADO!$F:$F,CONSOLIDADO!$E:$E,$A34,CONSOLIDADO!$I:$I,K$3,CONSOLIDADO!$I:$I,K$4,CONSOLIDADO!$K:$K,"&lt;&gt;NOVO")</f>
        <v>0</v>
      </c>
      <c r="M34" s="64">
        <f>SUMIFS(CONSOLIDADO!$F:$F,CONSOLIDADO!$E:$E,$A34,CONSOLIDADO!$I:$I,L$3,CONSOLIDADO!$I:$I,L$4,CONSOLIDADO!$K:$K,"&lt;&gt;NOVO")</f>
        <v>0</v>
      </c>
      <c r="N34" s="66">
        <v>373.89</v>
      </c>
      <c r="O34" s="65">
        <v>0.8</v>
      </c>
      <c r="P34" s="66">
        <f t="shared" si="1"/>
        <v>0</v>
      </c>
      <c r="Q34" s="66">
        <f t="shared" si="1"/>
        <v>0</v>
      </c>
      <c r="R34" s="66">
        <f t="shared" si="1"/>
        <v>0</v>
      </c>
      <c r="S34" s="66">
        <f t="shared" si="1"/>
        <v>0</v>
      </c>
      <c r="T34" s="66">
        <f t="shared" si="1"/>
        <v>0</v>
      </c>
      <c r="U34" s="66">
        <f t="shared" si="1"/>
        <v>0</v>
      </c>
      <c r="V34" s="66">
        <f t="shared" si="1"/>
        <v>0</v>
      </c>
      <c r="W34" s="66">
        <f t="shared" si="1"/>
        <v>0</v>
      </c>
      <c r="X34" s="66">
        <f t="shared" si="1"/>
        <v>0</v>
      </c>
      <c r="Y34" s="66">
        <f t="shared" si="1"/>
        <v>0</v>
      </c>
      <c r="Z34" s="66">
        <f t="shared" si="1"/>
        <v>0</v>
      </c>
      <c r="AA34" s="66">
        <f t="shared" si="1"/>
        <v>0</v>
      </c>
      <c r="AB34" s="33"/>
    </row>
    <row r="35" spans="1:28" x14ac:dyDescent="0.25">
      <c r="A35" s="63" t="s">
        <v>278</v>
      </c>
      <c r="B35" s="64">
        <f>SUMIFS(CONSOLIDADO!$F:$F,CONSOLIDADO!$E:$E,$A35,CONSOLIDADO!$I:$I,A$3,CONSOLIDADO!$I:$I,A$4,CONSOLIDADO!$K:$K,"&lt;&gt;NOVO")</f>
        <v>0</v>
      </c>
      <c r="C35" s="64">
        <f>SUMIFS(CONSOLIDADO!$F:$F,CONSOLIDADO!$E:$E,$A35,CONSOLIDADO!$I:$I,B$3,CONSOLIDADO!$I:$I,B$4,CONSOLIDADO!$K:$K,"&lt;&gt;NOVO")</f>
        <v>0</v>
      </c>
      <c r="D35" s="64">
        <f>SUMIFS(CONSOLIDADO!$F:$F,CONSOLIDADO!$E:$E,$A35,CONSOLIDADO!$I:$I,C$3,CONSOLIDADO!$I:$I,C$4,CONSOLIDADO!$K:$K,"&lt;&gt;NOVO")</f>
        <v>0</v>
      </c>
      <c r="E35" s="64">
        <f>SUMIFS(CONSOLIDADO!$F:$F,CONSOLIDADO!$E:$E,$A35,CONSOLIDADO!$I:$I,D$3,CONSOLIDADO!$I:$I,D$4,CONSOLIDADO!$K:$K,"&lt;&gt;NOVO")</f>
        <v>0</v>
      </c>
      <c r="F35" s="64">
        <f>SUMIFS(CONSOLIDADO!$F:$F,CONSOLIDADO!$E:$E,$A35,CONSOLIDADO!$I:$I,E$3,CONSOLIDADO!$I:$I,E$4,CONSOLIDADO!$K:$K,"&lt;&gt;NOVO")</f>
        <v>0</v>
      </c>
      <c r="G35" s="64">
        <f>SUMIFS(CONSOLIDADO!$F:$F,CONSOLIDADO!$E:$E,$A35,CONSOLIDADO!$I:$I,F$3,CONSOLIDADO!$I:$I,F$4,CONSOLIDADO!$K:$K,"&lt;&gt;NOVO")</f>
        <v>0</v>
      </c>
      <c r="H35" s="64">
        <f>SUMIFS(CONSOLIDADO!$F:$F,CONSOLIDADO!$E:$E,$A35,CONSOLIDADO!$I:$I,G$3,CONSOLIDADO!$I:$I,G$4,CONSOLIDADO!$K:$K,"&lt;&gt;NOVO")</f>
        <v>0</v>
      </c>
      <c r="I35" s="64">
        <f>SUMIFS(CONSOLIDADO!$F:$F,CONSOLIDADO!$E:$E,$A35,CONSOLIDADO!$I:$I,H$3,CONSOLIDADO!$I:$I,H$4,CONSOLIDADO!$K:$K,"&lt;&gt;NOVO")</f>
        <v>0</v>
      </c>
      <c r="J35" s="64">
        <f>SUMIFS(CONSOLIDADO!$F:$F,CONSOLIDADO!$E:$E,$A35,CONSOLIDADO!$I:$I,I$3,CONSOLIDADO!$I:$I,I$4,CONSOLIDADO!$K:$K,"&lt;&gt;NOVO")</f>
        <v>0</v>
      </c>
      <c r="K35" s="64">
        <f>SUMIFS(CONSOLIDADO!$F:$F,CONSOLIDADO!$E:$E,$A35,CONSOLIDADO!$I:$I,J$3,CONSOLIDADO!$I:$I,J$4,CONSOLIDADO!$K:$K,"&lt;&gt;NOVO")</f>
        <v>0</v>
      </c>
      <c r="L35" s="64">
        <f>SUMIFS(CONSOLIDADO!$F:$F,CONSOLIDADO!$E:$E,$A35,CONSOLIDADO!$I:$I,K$3,CONSOLIDADO!$I:$I,K$4,CONSOLIDADO!$K:$K,"&lt;&gt;NOVO")</f>
        <v>0</v>
      </c>
      <c r="M35" s="64">
        <f>SUMIFS(CONSOLIDADO!$F:$F,CONSOLIDADO!$E:$E,$A35,CONSOLIDADO!$I:$I,L$3,CONSOLIDADO!$I:$I,L$4,CONSOLIDADO!$K:$K,"&lt;&gt;NOVO")</f>
        <v>0</v>
      </c>
      <c r="N35" s="66">
        <v>373.89</v>
      </c>
      <c r="O35" s="65">
        <v>0.8</v>
      </c>
      <c r="P35" s="66">
        <f t="shared" si="1"/>
        <v>0</v>
      </c>
      <c r="Q35" s="66">
        <f t="shared" si="1"/>
        <v>0</v>
      </c>
      <c r="R35" s="66">
        <f t="shared" si="1"/>
        <v>0</v>
      </c>
      <c r="S35" s="66">
        <f t="shared" si="1"/>
        <v>0</v>
      </c>
      <c r="T35" s="66">
        <f t="shared" si="1"/>
        <v>0</v>
      </c>
      <c r="U35" s="66">
        <f t="shared" si="1"/>
        <v>0</v>
      </c>
      <c r="V35" s="66">
        <f t="shared" si="1"/>
        <v>0</v>
      </c>
      <c r="W35" s="66">
        <f t="shared" si="1"/>
        <v>0</v>
      </c>
      <c r="X35" s="66">
        <f t="shared" si="1"/>
        <v>0</v>
      </c>
      <c r="Y35" s="66">
        <f t="shared" si="1"/>
        <v>0</v>
      </c>
      <c r="Z35" s="66">
        <f t="shared" si="1"/>
        <v>0</v>
      </c>
      <c r="AA35" s="66">
        <f t="shared" si="1"/>
        <v>0</v>
      </c>
      <c r="AB35" s="33"/>
    </row>
    <row r="36" spans="1:28" x14ac:dyDescent="0.25">
      <c r="A36" s="63" t="s">
        <v>718</v>
      </c>
      <c r="B36" s="64">
        <f>SUMIFS(CONSOLIDADO!$F:$F,CONSOLIDADO!$E:$E,$A36,CONSOLIDADO!$I:$I,A$3,CONSOLIDADO!$I:$I,A$4,CONSOLIDADO!$K:$K,"&lt;&gt;NOVO")</f>
        <v>0</v>
      </c>
      <c r="C36" s="64">
        <f>SUMIFS(CONSOLIDADO!$F:$F,CONSOLIDADO!$E:$E,$A36,CONSOLIDADO!$I:$I,B$3,CONSOLIDADO!$I:$I,B$4,CONSOLIDADO!$K:$K,"&lt;&gt;NOVO")</f>
        <v>0</v>
      </c>
      <c r="D36" s="64">
        <f>SUMIFS(CONSOLIDADO!$F:$F,CONSOLIDADO!$E:$E,$A36,CONSOLIDADO!$I:$I,C$3,CONSOLIDADO!$I:$I,C$4,CONSOLIDADO!$K:$K,"&lt;&gt;NOVO")</f>
        <v>0</v>
      </c>
      <c r="E36" s="64">
        <f>SUMIFS(CONSOLIDADO!$F:$F,CONSOLIDADO!$E:$E,$A36,CONSOLIDADO!$I:$I,D$3,CONSOLIDADO!$I:$I,D$4,CONSOLIDADO!$K:$K,"&lt;&gt;NOVO")</f>
        <v>0</v>
      </c>
      <c r="F36" s="64">
        <f>SUMIFS(CONSOLIDADO!$F:$F,CONSOLIDADO!$E:$E,$A36,CONSOLIDADO!$I:$I,E$3,CONSOLIDADO!$I:$I,E$4,CONSOLIDADO!$K:$K,"&lt;&gt;NOVO")</f>
        <v>0</v>
      </c>
      <c r="G36" s="64">
        <f>SUMIFS(CONSOLIDADO!$F:$F,CONSOLIDADO!$E:$E,$A36,CONSOLIDADO!$I:$I,F$3,CONSOLIDADO!$I:$I,F$4,CONSOLIDADO!$K:$K,"&lt;&gt;NOVO")</f>
        <v>0</v>
      </c>
      <c r="H36" s="64">
        <f>SUMIFS(CONSOLIDADO!$F:$F,CONSOLIDADO!$E:$E,$A36,CONSOLIDADO!$I:$I,G$3,CONSOLIDADO!$I:$I,G$4,CONSOLIDADO!$K:$K,"&lt;&gt;NOVO")</f>
        <v>0</v>
      </c>
      <c r="I36" s="64">
        <f>SUMIFS(CONSOLIDADO!$F:$F,CONSOLIDADO!$E:$E,$A36,CONSOLIDADO!$I:$I,H$3,CONSOLIDADO!$I:$I,H$4,CONSOLIDADO!$K:$K,"&lt;&gt;NOVO")</f>
        <v>0</v>
      </c>
      <c r="J36" s="64">
        <f>SUMIFS(CONSOLIDADO!$F:$F,CONSOLIDADO!$E:$E,$A36,CONSOLIDADO!$I:$I,I$3,CONSOLIDADO!$I:$I,I$4,CONSOLIDADO!$K:$K,"&lt;&gt;NOVO")</f>
        <v>0</v>
      </c>
      <c r="K36" s="64">
        <f>SUMIFS(CONSOLIDADO!$F:$F,CONSOLIDADO!$E:$E,$A36,CONSOLIDADO!$I:$I,J$3,CONSOLIDADO!$I:$I,J$4,CONSOLIDADO!$K:$K,"&lt;&gt;NOVO")</f>
        <v>0</v>
      </c>
      <c r="L36" s="64">
        <f>SUMIFS(CONSOLIDADO!$F:$F,CONSOLIDADO!$E:$E,$A36,CONSOLIDADO!$I:$I,K$3,CONSOLIDADO!$I:$I,K$4,CONSOLIDADO!$K:$K,"&lt;&gt;NOVO")</f>
        <v>0</v>
      </c>
      <c r="M36" s="64">
        <f>SUMIFS(CONSOLIDADO!$F:$F,CONSOLIDADO!$E:$E,$A36,CONSOLIDADO!$I:$I,L$3,CONSOLIDADO!$I:$I,L$4,CONSOLIDADO!$K:$K,"&lt;&gt;NOVO")</f>
        <v>0</v>
      </c>
      <c r="N36" s="66">
        <v>2888.26</v>
      </c>
      <c r="O36" s="65">
        <v>0.8</v>
      </c>
      <c r="P36" s="66">
        <f t="shared" si="1"/>
        <v>0</v>
      </c>
      <c r="Q36" s="66">
        <f t="shared" si="1"/>
        <v>0</v>
      </c>
      <c r="R36" s="66">
        <f t="shared" si="1"/>
        <v>0</v>
      </c>
      <c r="S36" s="66">
        <f t="shared" si="1"/>
        <v>0</v>
      </c>
      <c r="T36" s="66">
        <f t="shared" si="1"/>
        <v>0</v>
      </c>
      <c r="U36" s="66">
        <f t="shared" si="1"/>
        <v>0</v>
      </c>
      <c r="V36" s="66">
        <f t="shared" si="1"/>
        <v>0</v>
      </c>
      <c r="W36" s="66">
        <f t="shared" si="1"/>
        <v>0</v>
      </c>
      <c r="X36" s="66">
        <f t="shared" si="1"/>
        <v>0</v>
      </c>
      <c r="Y36" s="66">
        <f t="shared" si="1"/>
        <v>0</v>
      </c>
      <c r="Z36" s="66">
        <f t="shared" si="1"/>
        <v>0</v>
      </c>
      <c r="AA36" s="66">
        <f t="shared" si="1"/>
        <v>0</v>
      </c>
      <c r="AB36" s="33"/>
    </row>
    <row r="37" spans="1:28" x14ac:dyDescent="0.25">
      <c r="A37" s="63" t="s">
        <v>719</v>
      </c>
      <c r="B37" s="64">
        <f>SUMIFS(CONSOLIDADO!$F:$F,CONSOLIDADO!$E:$E,$A37,CONSOLIDADO!$I:$I,A$3,CONSOLIDADO!$I:$I,A$4,CONSOLIDADO!$K:$K,"&lt;&gt;NOVO")</f>
        <v>0</v>
      </c>
      <c r="C37" s="64">
        <f>SUMIFS(CONSOLIDADO!$F:$F,CONSOLIDADO!$E:$E,$A37,CONSOLIDADO!$I:$I,B$3,CONSOLIDADO!$I:$I,B$4,CONSOLIDADO!$K:$K,"&lt;&gt;NOVO")</f>
        <v>0</v>
      </c>
      <c r="D37" s="64">
        <f>SUMIFS(CONSOLIDADO!$F:$F,CONSOLIDADO!$E:$E,$A37,CONSOLIDADO!$I:$I,C$3,CONSOLIDADO!$I:$I,C$4,CONSOLIDADO!$K:$K,"&lt;&gt;NOVO")</f>
        <v>0</v>
      </c>
      <c r="E37" s="64">
        <f>SUMIFS(CONSOLIDADO!$F:$F,CONSOLIDADO!$E:$E,$A37,CONSOLIDADO!$I:$I,D$3,CONSOLIDADO!$I:$I,D$4,CONSOLIDADO!$K:$K,"&lt;&gt;NOVO")</f>
        <v>0</v>
      </c>
      <c r="F37" s="64">
        <f>SUMIFS(CONSOLIDADO!$F:$F,CONSOLIDADO!$E:$E,$A37,CONSOLIDADO!$I:$I,E$3,CONSOLIDADO!$I:$I,E$4,CONSOLIDADO!$K:$K,"&lt;&gt;NOVO")</f>
        <v>0</v>
      </c>
      <c r="G37" s="64">
        <f>SUMIFS(CONSOLIDADO!$F:$F,CONSOLIDADO!$E:$E,$A37,CONSOLIDADO!$I:$I,F$3,CONSOLIDADO!$I:$I,F$4,CONSOLIDADO!$K:$K,"&lt;&gt;NOVO")</f>
        <v>0</v>
      </c>
      <c r="H37" s="64">
        <f>SUMIFS(CONSOLIDADO!$F:$F,CONSOLIDADO!$E:$E,$A37,CONSOLIDADO!$I:$I,G$3,CONSOLIDADO!$I:$I,G$4,CONSOLIDADO!$K:$K,"&lt;&gt;NOVO")</f>
        <v>0</v>
      </c>
      <c r="I37" s="64">
        <f>SUMIFS(CONSOLIDADO!$F:$F,CONSOLIDADO!$E:$E,$A37,CONSOLIDADO!$I:$I,H$3,CONSOLIDADO!$I:$I,H$4,CONSOLIDADO!$K:$K,"&lt;&gt;NOVO")</f>
        <v>0</v>
      </c>
      <c r="J37" s="64">
        <f>SUMIFS(CONSOLIDADO!$F:$F,CONSOLIDADO!$E:$E,$A37,CONSOLIDADO!$I:$I,I$3,CONSOLIDADO!$I:$I,I$4,CONSOLIDADO!$K:$K,"&lt;&gt;NOVO")</f>
        <v>0</v>
      </c>
      <c r="K37" s="64">
        <f>SUMIFS(CONSOLIDADO!$F:$F,CONSOLIDADO!$E:$E,$A37,CONSOLIDADO!$I:$I,J$3,CONSOLIDADO!$I:$I,J$4,CONSOLIDADO!$K:$K,"&lt;&gt;NOVO")</f>
        <v>0</v>
      </c>
      <c r="L37" s="64">
        <f>SUMIFS(CONSOLIDADO!$F:$F,CONSOLIDADO!$E:$E,$A37,CONSOLIDADO!$I:$I,K$3,CONSOLIDADO!$I:$I,K$4,CONSOLIDADO!$K:$K,"&lt;&gt;NOVO")</f>
        <v>0</v>
      </c>
      <c r="M37" s="64">
        <f>SUMIFS(CONSOLIDADO!$F:$F,CONSOLIDADO!$E:$E,$A37,CONSOLIDADO!$I:$I,L$3,CONSOLIDADO!$I:$I,L$4,CONSOLIDADO!$K:$K,"&lt;&gt;NOVO")</f>
        <v>0</v>
      </c>
      <c r="N37" s="66">
        <v>2888.26</v>
      </c>
      <c r="O37" s="65">
        <v>0.8</v>
      </c>
      <c r="P37" s="66">
        <f t="shared" si="1"/>
        <v>0</v>
      </c>
      <c r="Q37" s="66">
        <f t="shared" si="1"/>
        <v>0</v>
      </c>
      <c r="R37" s="66">
        <f t="shared" si="1"/>
        <v>0</v>
      </c>
      <c r="S37" s="66">
        <f t="shared" si="1"/>
        <v>0</v>
      </c>
      <c r="T37" s="66">
        <f t="shared" si="1"/>
        <v>0</v>
      </c>
      <c r="U37" s="66">
        <f t="shared" si="1"/>
        <v>0</v>
      </c>
      <c r="V37" s="66">
        <f t="shared" si="1"/>
        <v>0</v>
      </c>
      <c r="W37" s="66">
        <f t="shared" si="1"/>
        <v>0</v>
      </c>
      <c r="X37" s="66">
        <f t="shared" si="1"/>
        <v>0</v>
      </c>
      <c r="Y37" s="66">
        <f t="shared" si="1"/>
        <v>0</v>
      </c>
      <c r="Z37" s="66">
        <f t="shared" si="1"/>
        <v>0</v>
      </c>
      <c r="AA37" s="66">
        <f t="shared" si="1"/>
        <v>0</v>
      </c>
      <c r="AB37" s="33"/>
    </row>
    <row r="38" spans="1:28" x14ac:dyDescent="0.25">
      <c r="A38" s="63" t="s">
        <v>22</v>
      </c>
      <c r="B38" s="64">
        <f>SUMIFS(CONSOLIDADO!$F:$F,CONSOLIDADO!$E:$E,$A38,CONSOLIDADO!$I:$I,A$3,CONSOLIDADO!$I:$I,A$4,CONSOLIDADO!$K:$K,"&lt;&gt;NOVO")</f>
        <v>39</v>
      </c>
      <c r="C38" s="64">
        <f>SUMIFS(CONSOLIDADO!$F:$F,CONSOLIDADO!$E:$E,$A38,CONSOLIDADO!$I:$I,B$3,CONSOLIDADO!$I:$I,B$4,CONSOLIDADO!$K:$K,"&lt;&gt;NOVO")</f>
        <v>41</v>
      </c>
      <c r="D38" s="64">
        <f>SUMIFS(CONSOLIDADO!$F:$F,CONSOLIDADO!$E:$E,$A38,CONSOLIDADO!$I:$I,C$3,CONSOLIDADO!$I:$I,C$4,CONSOLIDADO!$K:$K,"&lt;&gt;NOVO")</f>
        <v>26</v>
      </c>
      <c r="E38" s="64">
        <f>SUMIFS(CONSOLIDADO!$F:$F,CONSOLIDADO!$E:$E,$A38,CONSOLIDADO!$I:$I,D$3,CONSOLIDADO!$I:$I,D$4,CONSOLIDADO!$K:$K,"&lt;&gt;NOVO")</f>
        <v>30</v>
      </c>
      <c r="F38" s="64">
        <f>SUMIFS(CONSOLIDADO!$F:$F,CONSOLIDADO!$E:$E,$A38,CONSOLIDADO!$I:$I,E$3,CONSOLIDADO!$I:$I,E$4,CONSOLIDADO!$K:$K,"&lt;&gt;NOVO")</f>
        <v>5</v>
      </c>
      <c r="G38" s="64">
        <f>SUMIFS(CONSOLIDADO!$F:$F,CONSOLIDADO!$E:$E,$A38,CONSOLIDADO!$I:$I,F$3,CONSOLIDADO!$I:$I,F$4,CONSOLIDADO!$K:$K,"&lt;&gt;NOVO")</f>
        <v>0</v>
      </c>
      <c r="H38" s="64">
        <f>SUMIFS(CONSOLIDADO!$F:$F,CONSOLIDADO!$E:$E,$A38,CONSOLIDADO!$I:$I,G$3,CONSOLIDADO!$I:$I,G$4,CONSOLIDADO!$K:$K,"&lt;&gt;NOVO")</f>
        <v>2</v>
      </c>
      <c r="I38" s="64">
        <f>SUMIFS(CONSOLIDADO!$F:$F,CONSOLIDADO!$E:$E,$A38,CONSOLIDADO!$I:$I,H$3,CONSOLIDADO!$I:$I,H$4,CONSOLIDADO!$K:$K,"&lt;&gt;NOVO")</f>
        <v>0</v>
      </c>
      <c r="J38" s="64">
        <f>SUMIFS(CONSOLIDADO!$F:$F,CONSOLIDADO!$E:$E,$A38,CONSOLIDADO!$I:$I,I$3,CONSOLIDADO!$I:$I,I$4,CONSOLIDADO!$K:$K,"&lt;&gt;NOVO")</f>
        <v>0</v>
      </c>
      <c r="K38" s="64">
        <f>SUMIFS(CONSOLIDADO!$F:$F,CONSOLIDADO!$E:$E,$A38,CONSOLIDADO!$I:$I,J$3,CONSOLIDADO!$I:$I,J$4,CONSOLIDADO!$K:$K,"&lt;&gt;NOVO")</f>
        <v>0</v>
      </c>
      <c r="L38" s="64">
        <f>SUMIFS(CONSOLIDADO!$F:$F,CONSOLIDADO!$E:$E,$A38,CONSOLIDADO!$I:$I,K$3,CONSOLIDADO!$I:$I,K$4,CONSOLIDADO!$K:$K,"&lt;&gt;NOVO")</f>
        <v>0</v>
      </c>
      <c r="M38" s="64">
        <f>SUMIFS(CONSOLIDADO!$F:$F,CONSOLIDADO!$E:$E,$A38,CONSOLIDADO!$I:$I,L$3,CONSOLIDADO!$I:$I,L$4,CONSOLIDADO!$K:$K,"&lt;&gt;NOVO")</f>
        <v>1</v>
      </c>
      <c r="N38" s="66">
        <v>2000</v>
      </c>
      <c r="O38" s="65">
        <v>0.8</v>
      </c>
      <c r="P38" s="66">
        <f t="shared" si="1"/>
        <v>15599.999999999996</v>
      </c>
      <c r="Q38" s="66">
        <f t="shared" si="1"/>
        <v>16399.999999999996</v>
      </c>
      <c r="R38" s="66">
        <f t="shared" si="1"/>
        <v>10399.999999999996</v>
      </c>
      <c r="S38" s="66">
        <f t="shared" si="1"/>
        <v>11999.999999999996</v>
      </c>
      <c r="T38" s="66">
        <f t="shared" si="1"/>
        <v>1999.9999999999995</v>
      </c>
      <c r="U38" s="66">
        <f t="shared" si="1"/>
        <v>0</v>
      </c>
      <c r="V38" s="66">
        <f t="shared" si="1"/>
        <v>799.99999999999977</v>
      </c>
      <c r="W38" s="66">
        <f t="shared" si="1"/>
        <v>0</v>
      </c>
      <c r="X38" s="66">
        <f t="shared" si="1"/>
        <v>0</v>
      </c>
      <c r="Y38" s="66">
        <f t="shared" si="1"/>
        <v>0</v>
      </c>
      <c r="Z38" s="66">
        <f t="shared" si="1"/>
        <v>0</v>
      </c>
      <c r="AA38" s="66">
        <f t="shared" si="1"/>
        <v>399.99999999999989</v>
      </c>
      <c r="AB38" s="33"/>
    </row>
    <row r="39" spans="1:28" x14ac:dyDescent="0.25">
      <c r="A39" s="63" t="s">
        <v>142</v>
      </c>
      <c r="B39" s="64">
        <f>SUMIFS(CONSOLIDADO!$F:$F,CONSOLIDADO!$E:$E,$A39,CONSOLIDADO!$I:$I,A$3,CONSOLIDADO!$I:$I,A$4,CONSOLIDADO!$K:$K,"&lt;&gt;NOVO")</f>
        <v>0</v>
      </c>
      <c r="C39" s="64">
        <f>SUMIFS(CONSOLIDADO!$F:$F,CONSOLIDADO!$E:$E,$A39,CONSOLIDADO!$I:$I,B$3,CONSOLIDADO!$I:$I,B$4,CONSOLIDADO!$K:$K,"&lt;&gt;NOVO")</f>
        <v>6</v>
      </c>
      <c r="D39" s="64">
        <f>SUMIFS(CONSOLIDADO!$F:$F,CONSOLIDADO!$E:$E,$A39,CONSOLIDADO!$I:$I,C$3,CONSOLIDADO!$I:$I,C$4,CONSOLIDADO!$K:$K,"&lt;&gt;NOVO")</f>
        <v>3</v>
      </c>
      <c r="E39" s="64">
        <f>SUMIFS(CONSOLIDADO!$F:$F,CONSOLIDADO!$E:$E,$A39,CONSOLIDADO!$I:$I,D$3,CONSOLIDADO!$I:$I,D$4,CONSOLIDADO!$K:$K,"&lt;&gt;NOVO")</f>
        <v>0</v>
      </c>
      <c r="F39" s="64">
        <f>SUMIFS(CONSOLIDADO!$F:$F,CONSOLIDADO!$E:$E,$A39,CONSOLIDADO!$I:$I,E$3,CONSOLIDADO!$I:$I,E$4,CONSOLIDADO!$K:$K,"&lt;&gt;NOVO")</f>
        <v>0</v>
      </c>
      <c r="G39" s="64">
        <f>SUMIFS(CONSOLIDADO!$F:$F,CONSOLIDADO!$E:$E,$A39,CONSOLIDADO!$I:$I,F$3,CONSOLIDADO!$I:$I,F$4,CONSOLIDADO!$K:$K,"&lt;&gt;NOVO")</f>
        <v>0</v>
      </c>
      <c r="H39" s="64">
        <f>SUMIFS(CONSOLIDADO!$F:$F,CONSOLIDADO!$E:$E,$A39,CONSOLIDADO!$I:$I,G$3,CONSOLIDADO!$I:$I,G$4,CONSOLIDADO!$K:$K,"&lt;&gt;NOVO")</f>
        <v>0</v>
      </c>
      <c r="I39" s="64">
        <f>SUMIFS(CONSOLIDADO!$F:$F,CONSOLIDADO!$E:$E,$A39,CONSOLIDADO!$I:$I,H$3,CONSOLIDADO!$I:$I,H$4,CONSOLIDADO!$K:$K,"&lt;&gt;NOVO")</f>
        <v>0</v>
      </c>
      <c r="J39" s="64">
        <f>SUMIFS(CONSOLIDADO!$F:$F,CONSOLIDADO!$E:$E,$A39,CONSOLIDADO!$I:$I,I$3,CONSOLIDADO!$I:$I,I$4,CONSOLIDADO!$K:$K,"&lt;&gt;NOVO")</f>
        <v>0</v>
      </c>
      <c r="K39" s="64">
        <f>SUMIFS(CONSOLIDADO!$F:$F,CONSOLIDADO!$E:$E,$A39,CONSOLIDADO!$I:$I,J$3,CONSOLIDADO!$I:$I,J$4,CONSOLIDADO!$K:$K,"&lt;&gt;NOVO")</f>
        <v>0</v>
      </c>
      <c r="L39" s="64">
        <f>SUMIFS(CONSOLIDADO!$F:$F,CONSOLIDADO!$E:$E,$A39,CONSOLIDADO!$I:$I,K$3,CONSOLIDADO!$I:$I,K$4,CONSOLIDADO!$K:$K,"&lt;&gt;NOVO")</f>
        <v>0</v>
      </c>
      <c r="M39" s="64">
        <f>SUMIFS(CONSOLIDADO!$F:$F,CONSOLIDADO!$E:$E,$A39,CONSOLIDADO!$I:$I,L$3,CONSOLIDADO!$I:$I,L$4,CONSOLIDADO!$K:$K,"&lt;&gt;NOVO")</f>
        <v>0</v>
      </c>
      <c r="N39" s="66">
        <v>465.15</v>
      </c>
      <c r="O39" s="65">
        <v>0.8</v>
      </c>
      <c r="P39" s="66">
        <f t="shared" si="1"/>
        <v>0</v>
      </c>
      <c r="Q39" s="66">
        <f t="shared" si="1"/>
        <v>558.17999999999984</v>
      </c>
      <c r="R39" s="66">
        <f t="shared" si="1"/>
        <v>279.08999999999992</v>
      </c>
      <c r="S39" s="66">
        <f t="shared" si="1"/>
        <v>0</v>
      </c>
      <c r="T39" s="66">
        <f t="shared" si="1"/>
        <v>0</v>
      </c>
      <c r="U39" s="66">
        <f t="shared" si="1"/>
        <v>0</v>
      </c>
      <c r="V39" s="66">
        <f t="shared" si="1"/>
        <v>0</v>
      </c>
      <c r="W39" s="66">
        <f t="shared" si="1"/>
        <v>0</v>
      </c>
      <c r="X39" s="66">
        <f t="shared" si="1"/>
        <v>0</v>
      </c>
      <c r="Y39" s="66">
        <f t="shared" si="1"/>
        <v>0</v>
      </c>
      <c r="Z39" s="66">
        <f t="shared" si="1"/>
        <v>0</v>
      </c>
      <c r="AA39" s="66">
        <f t="shared" si="1"/>
        <v>0</v>
      </c>
      <c r="AB39" s="33"/>
    </row>
    <row r="40" spans="1:28" x14ac:dyDescent="0.25">
      <c r="A40" t="s">
        <v>638</v>
      </c>
      <c r="B40" s="64">
        <f>SUMIFS(CONSOLIDADO!$F:$F,CONSOLIDADO!$E:$E,$A40,CONSOLIDADO!$I:$I,A$3,CONSOLIDADO!$I:$I,A$4,CONSOLIDADO!$K:$K,"&lt;&gt;NOVO")</f>
        <v>0</v>
      </c>
      <c r="C40" s="64">
        <f>SUMIFS(CONSOLIDADO!$F:$F,CONSOLIDADO!$E:$E,$A40,CONSOLIDADO!$I:$I,B$3,CONSOLIDADO!$I:$I,B$4,CONSOLIDADO!$K:$K,"&lt;&gt;NOVO")</f>
        <v>0</v>
      </c>
      <c r="D40" s="64">
        <f>SUMIFS(CONSOLIDADO!$F:$F,CONSOLIDADO!$E:$E,$A40,CONSOLIDADO!$I:$I,C$3,CONSOLIDADO!$I:$I,C$4,CONSOLIDADO!$K:$K,"&lt;&gt;NOVO")</f>
        <v>0</v>
      </c>
      <c r="E40" s="64">
        <f>SUMIFS(CONSOLIDADO!$F:$F,CONSOLIDADO!$E:$E,$A40,CONSOLIDADO!$I:$I,D$3,CONSOLIDADO!$I:$I,D$4,CONSOLIDADO!$K:$K,"&lt;&gt;NOVO")</f>
        <v>0</v>
      </c>
      <c r="F40" s="64">
        <f>SUMIFS(CONSOLIDADO!$F:$F,CONSOLIDADO!$E:$E,$A40,CONSOLIDADO!$I:$I,E$3,CONSOLIDADO!$I:$I,E$4,CONSOLIDADO!$K:$K,"&lt;&gt;NOVO")</f>
        <v>0</v>
      </c>
      <c r="G40" s="64">
        <f>SUMIFS(CONSOLIDADO!$F:$F,CONSOLIDADO!$E:$E,$A40,CONSOLIDADO!$I:$I,F$3,CONSOLIDADO!$I:$I,F$4,CONSOLIDADO!$K:$K,"&lt;&gt;NOVO")</f>
        <v>0</v>
      </c>
      <c r="H40" s="64">
        <f>SUMIFS(CONSOLIDADO!$F:$F,CONSOLIDADO!$E:$E,$A40,CONSOLIDADO!$I:$I,G$3,CONSOLIDADO!$I:$I,G$4,CONSOLIDADO!$K:$K,"&lt;&gt;NOVO")</f>
        <v>0</v>
      </c>
      <c r="I40" s="64">
        <f>SUMIFS(CONSOLIDADO!$F:$F,CONSOLIDADO!$E:$E,$A40,CONSOLIDADO!$I:$I,H$3,CONSOLIDADO!$I:$I,H$4,CONSOLIDADO!$K:$K,"&lt;&gt;NOVO")</f>
        <v>0</v>
      </c>
      <c r="J40" s="64">
        <f>SUMIFS(CONSOLIDADO!$F:$F,CONSOLIDADO!$E:$E,$A40,CONSOLIDADO!$I:$I,I$3,CONSOLIDADO!$I:$I,I$4,CONSOLIDADO!$K:$K,"&lt;&gt;NOVO")</f>
        <v>0</v>
      </c>
      <c r="K40" s="64">
        <f>SUMIFS(CONSOLIDADO!$F:$F,CONSOLIDADO!$E:$E,$A40,CONSOLIDADO!$I:$I,J$3,CONSOLIDADO!$I:$I,J$4,CONSOLIDADO!$K:$K,"&lt;&gt;NOVO")</f>
        <v>0</v>
      </c>
      <c r="L40" s="64">
        <f>SUMIFS(CONSOLIDADO!$F:$F,CONSOLIDADO!$E:$E,$A40,CONSOLIDADO!$I:$I,K$3,CONSOLIDADO!$I:$I,K$4,CONSOLIDADO!$K:$K,"&lt;&gt;NOVO")</f>
        <v>0</v>
      </c>
      <c r="M40" s="64">
        <f>SUMIFS(CONSOLIDADO!$F:$F,CONSOLIDADO!$E:$E,$A40,CONSOLIDADO!$I:$I,L$3,CONSOLIDADO!$I:$I,L$4,CONSOLIDADO!$K:$K,"&lt;&gt;NOVO")</f>
        <v>0</v>
      </c>
      <c r="N40" s="66">
        <v>1115.02</v>
      </c>
      <c r="O40" s="65">
        <v>0.8</v>
      </c>
      <c r="P40" s="66">
        <f t="shared" si="1"/>
        <v>0</v>
      </c>
      <c r="Q40" s="66">
        <f t="shared" si="1"/>
        <v>0</v>
      </c>
      <c r="R40" s="66">
        <f t="shared" si="1"/>
        <v>0</v>
      </c>
      <c r="S40" s="66">
        <f t="shared" si="1"/>
        <v>0</v>
      </c>
      <c r="T40" s="66">
        <f t="shared" si="1"/>
        <v>0</v>
      </c>
      <c r="U40" s="66">
        <f t="shared" si="1"/>
        <v>0</v>
      </c>
      <c r="V40" s="66">
        <f t="shared" si="1"/>
        <v>0</v>
      </c>
      <c r="W40" s="66">
        <f t="shared" si="1"/>
        <v>0</v>
      </c>
      <c r="X40" s="66">
        <f t="shared" si="1"/>
        <v>0</v>
      </c>
      <c r="Y40" s="66">
        <f t="shared" si="1"/>
        <v>0</v>
      </c>
      <c r="Z40" s="66">
        <f t="shared" si="1"/>
        <v>0</v>
      </c>
      <c r="AA40" s="66">
        <f t="shared" si="1"/>
        <v>0</v>
      </c>
      <c r="AB40" s="33"/>
    </row>
    <row r="41" spans="1:28" x14ac:dyDescent="0.25">
      <c r="A41" s="63" t="s">
        <v>51</v>
      </c>
      <c r="B41" s="64">
        <f>SUMIFS(CONSOLIDADO!$F:$F,CONSOLIDADO!$E:$E,$A41,CONSOLIDADO!$I:$I,A$3,CONSOLIDADO!$I:$I,A$4,CONSOLIDADO!$K:$K,"&lt;&gt;NOVO")</f>
        <v>1</v>
      </c>
      <c r="C41" s="64">
        <f>SUMIFS(CONSOLIDADO!$F:$F,CONSOLIDADO!$E:$E,$A41,CONSOLIDADO!$I:$I,B$3,CONSOLIDADO!$I:$I,B$4,CONSOLIDADO!$K:$K,"&lt;&gt;NOVO")</f>
        <v>0</v>
      </c>
      <c r="D41" s="64">
        <f>SUMIFS(CONSOLIDADO!$F:$F,CONSOLIDADO!$E:$E,$A41,CONSOLIDADO!$I:$I,C$3,CONSOLIDADO!$I:$I,C$4,CONSOLIDADO!$K:$K,"&lt;&gt;NOVO")</f>
        <v>0</v>
      </c>
      <c r="E41" s="64">
        <f>SUMIFS(CONSOLIDADO!$F:$F,CONSOLIDADO!$E:$E,$A41,CONSOLIDADO!$I:$I,D$3,CONSOLIDADO!$I:$I,D$4,CONSOLIDADO!$K:$K,"&lt;&gt;NOVO")</f>
        <v>0</v>
      </c>
      <c r="F41" s="64">
        <f>SUMIFS(CONSOLIDADO!$F:$F,CONSOLIDADO!$E:$E,$A41,CONSOLIDADO!$I:$I,E$3,CONSOLIDADO!$I:$I,E$4,CONSOLIDADO!$K:$K,"&lt;&gt;NOVO")</f>
        <v>0</v>
      </c>
      <c r="G41" s="64">
        <f>SUMIFS(CONSOLIDADO!$F:$F,CONSOLIDADO!$E:$E,$A41,CONSOLIDADO!$I:$I,F$3,CONSOLIDADO!$I:$I,F$4,CONSOLIDADO!$K:$K,"&lt;&gt;NOVO")</f>
        <v>0</v>
      </c>
      <c r="H41" s="64">
        <f>SUMIFS(CONSOLIDADO!$F:$F,CONSOLIDADO!$E:$E,$A41,CONSOLIDADO!$I:$I,G$3,CONSOLIDADO!$I:$I,G$4,CONSOLIDADO!$K:$K,"&lt;&gt;NOVO")</f>
        <v>0</v>
      </c>
      <c r="I41" s="64">
        <f>SUMIFS(CONSOLIDADO!$F:$F,CONSOLIDADO!$E:$E,$A41,CONSOLIDADO!$I:$I,H$3,CONSOLIDADO!$I:$I,H$4,CONSOLIDADO!$K:$K,"&lt;&gt;NOVO")</f>
        <v>0</v>
      </c>
      <c r="J41" s="64">
        <f>SUMIFS(CONSOLIDADO!$F:$F,CONSOLIDADO!$E:$E,$A41,CONSOLIDADO!$I:$I,I$3,CONSOLIDADO!$I:$I,I$4,CONSOLIDADO!$K:$K,"&lt;&gt;NOVO")</f>
        <v>0</v>
      </c>
      <c r="K41" s="64">
        <f>SUMIFS(CONSOLIDADO!$F:$F,CONSOLIDADO!$E:$E,$A41,CONSOLIDADO!$I:$I,J$3,CONSOLIDADO!$I:$I,J$4,CONSOLIDADO!$K:$K,"&lt;&gt;NOVO")</f>
        <v>0</v>
      </c>
      <c r="L41" s="64">
        <f>SUMIFS(CONSOLIDADO!$F:$F,CONSOLIDADO!$E:$E,$A41,CONSOLIDADO!$I:$I,K$3,CONSOLIDADO!$I:$I,K$4,CONSOLIDADO!$K:$K,"&lt;&gt;NOVO")</f>
        <v>0</v>
      </c>
      <c r="M41" s="64">
        <f>SUMIFS(CONSOLIDADO!$F:$F,CONSOLIDADO!$E:$E,$A41,CONSOLIDADO!$I:$I,L$3,CONSOLIDADO!$I:$I,L$4,CONSOLIDADO!$K:$K,"&lt;&gt;NOVO")</f>
        <v>0</v>
      </c>
      <c r="N41" s="66">
        <v>746.68</v>
      </c>
      <c r="O41" s="65">
        <v>0.8</v>
      </c>
      <c r="P41" s="66">
        <f t="shared" si="1"/>
        <v>149.33599999999996</v>
      </c>
      <c r="Q41" s="66">
        <f t="shared" si="1"/>
        <v>0</v>
      </c>
      <c r="R41" s="66">
        <f t="shared" si="1"/>
        <v>0</v>
      </c>
      <c r="S41" s="66">
        <f t="shared" si="1"/>
        <v>0</v>
      </c>
      <c r="T41" s="66">
        <f t="shared" si="1"/>
        <v>0</v>
      </c>
      <c r="U41" s="66">
        <f t="shared" si="1"/>
        <v>0</v>
      </c>
      <c r="V41" s="66">
        <f t="shared" si="1"/>
        <v>0</v>
      </c>
      <c r="W41" s="66">
        <f t="shared" si="1"/>
        <v>0</v>
      </c>
      <c r="X41" s="66">
        <f t="shared" si="1"/>
        <v>0</v>
      </c>
      <c r="Y41" s="66">
        <f t="shared" si="1"/>
        <v>0</v>
      </c>
      <c r="Z41" s="66">
        <f t="shared" si="1"/>
        <v>0</v>
      </c>
      <c r="AA41" s="66">
        <f t="shared" si="1"/>
        <v>0</v>
      </c>
      <c r="AB41" s="33"/>
    </row>
    <row r="42" spans="1:28" x14ac:dyDescent="0.25">
      <c r="A42" s="63" t="s">
        <v>561</v>
      </c>
      <c r="B42" s="64">
        <f>SUMIFS(CONSOLIDADO!$F:$F,CONSOLIDADO!$E:$E,$A42,CONSOLIDADO!$I:$I,A$3,CONSOLIDADO!$I:$I,A$4,CONSOLIDADO!$K:$K,"&lt;&gt;NOVO")</f>
        <v>0</v>
      </c>
      <c r="C42" s="64">
        <f>SUMIFS(CONSOLIDADO!$F:$F,CONSOLIDADO!$E:$E,$A42,CONSOLIDADO!$I:$I,B$3,CONSOLIDADO!$I:$I,B$4,CONSOLIDADO!$K:$K,"&lt;&gt;NOVO")</f>
        <v>0</v>
      </c>
      <c r="D42" s="64">
        <f>SUMIFS(CONSOLIDADO!$F:$F,CONSOLIDADO!$E:$E,$A42,CONSOLIDADO!$I:$I,C$3,CONSOLIDADO!$I:$I,C$4,CONSOLIDADO!$K:$K,"&lt;&gt;NOVO")</f>
        <v>0</v>
      </c>
      <c r="E42" s="64">
        <f>SUMIFS(CONSOLIDADO!$F:$F,CONSOLIDADO!$E:$E,$A42,CONSOLIDADO!$I:$I,D$3,CONSOLIDADO!$I:$I,D$4,CONSOLIDADO!$K:$K,"&lt;&gt;NOVO")</f>
        <v>0</v>
      </c>
      <c r="F42" s="64">
        <f>SUMIFS(CONSOLIDADO!$F:$F,CONSOLIDADO!$E:$E,$A42,CONSOLIDADO!$I:$I,E$3,CONSOLIDADO!$I:$I,E$4,CONSOLIDADO!$K:$K,"&lt;&gt;NOVO")</f>
        <v>0</v>
      </c>
      <c r="G42" s="64">
        <f>SUMIFS(CONSOLIDADO!$F:$F,CONSOLIDADO!$E:$E,$A42,CONSOLIDADO!$I:$I,F$3,CONSOLIDADO!$I:$I,F$4,CONSOLIDADO!$K:$K,"&lt;&gt;NOVO")</f>
        <v>0</v>
      </c>
      <c r="H42" s="64">
        <f>SUMIFS(CONSOLIDADO!$F:$F,CONSOLIDADO!$E:$E,$A42,CONSOLIDADO!$I:$I,G$3,CONSOLIDADO!$I:$I,G$4,CONSOLIDADO!$K:$K,"&lt;&gt;NOVO")</f>
        <v>0</v>
      </c>
      <c r="I42" s="64">
        <f>SUMIFS(CONSOLIDADO!$F:$F,CONSOLIDADO!$E:$E,$A42,CONSOLIDADO!$I:$I,H$3,CONSOLIDADO!$I:$I,H$4,CONSOLIDADO!$K:$K,"&lt;&gt;NOVO")</f>
        <v>0</v>
      </c>
      <c r="J42" s="64">
        <f>SUMIFS(CONSOLIDADO!$F:$F,CONSOLIDADO!$E:$E,$A42,CONSOLIDADO!$I:$I,I$3,CONSOLIDADO!$I:$I,I$4,CONSOLIDADO!$K:$K,"&lt;&gt;NOVO")</f>
        <v>0</v>
      </c>
      <c r="K42" s="64">
        <f>SUMIFS(CONSOLIDADO!$F:$F,CONSOLIDADO!$E:$E,$A42,CONSOLIDADO!$I:$I,J$3,CONSOLIDADO!$I:$I,J$4,CONSOLIDADO!$K:$K,"&lt;&gt;NOVO")</f>
        <v>0</v>
      </c>
      <c r="L42" s="64">
        <f>SUMIFS(CONSOLIDADO!$F:$F,CONSOLIDADO!$E:$E,$A42,CONSOLIDADO!$I:$I,K$3,CONSOLIDADO!$I:$I,K$4,CONSOLIDADO!$K:$K,"&lt;&gt;NOVO")</f>
        <v>0</v>
      </c>
      <c r="M42" s="64">
        <f>SUMIFS(CONSOLIDADO!$F:$F,CONSOLIDADO!$E:$E,$A42,CONSOLIDADO!$I:$I,L$3,CONSOLIDADO!$I:$I,L$4,CONSOLIDADO!$K:$K,"&lt;&gt;NOVO")</f>
        <v>0</v>
      </c>
      <c r="N42" s="66">
        <v>653.20000000000005</v>
      </c>
      <c r="O42" s="65">
        <v>0.8</v>
      </c>
      <c r="P42" s="66">
        <f t="shared" si="1"/>
        <v>0</v>
      </c>
      <c r="Q42" s="66">
        <f t="shared" si="1"/>
        <v>0</v>
      </c>
      <c r="R42" s="66">
        <f t="shared" si="1"/>
        <v>0</v>
      </c>
      <c r="S42" s="66">
        <f t="shared" si="1"/>
        <v>0</v>
      </c>
      <c r="T42" s="66">
        <f t="shared" si="1"/>
        <v>0</v>
      </c>
      <c r="U42" s="66">
        <f t="shared" si="1"/>
        <v>0</v>
      </c>
      <c r="V42" s="66">
        <f t="shared" si="1"/>
        <v>0</v>
      </c>
      <c r="W42" s="66">
        <f t="shared" si="1"/>
        <v>0</v>
      </c>
      <c r="X42" s="66">
        <f t="shared" si="1"/>
        <v>0</v>
      </c>
      <c r="Y42" s="66">
        <f t="shared" si="1"/>
        <v>0</v>
      </c>
      <c r="Z42" s="66">
        <f t="shared" si="1"/>
        <v>0</v>
      </c>
      <c r="AA42" s="66">
        <f t="shared" si="1"/>
        <v>0</v>
      </c>
      <c r="AB42" s="33"/>
    </row>
    <row r="43" spans="1:28" x14ac:dyDescent="0.25">
      <c r="A43" s="63" t="s">
        <v>199</v>
      </c>
      <c r="B43" s="64">
        <f>SUMIFS(CONSOLIDADO!$F:$F,CONSOLIDADO!$E:$E,$A43,CONSOLIDADO!$I:$I,A$3,CONSOLIDADO!$I:$I,A$4,CONSOLIDADO!$K:$K,"&lt;&gt;NOVO")</f>
        <v>2</v>
      </c>
      <c r="C43" s="64">
        <f>SUMIFS(CONSOLIDADO!$F:$F,CONSOLIDADO!$E:$E,$A43,CONSOLIDADO!$I:$I,B$3,CONSOLIDADO!$I:$I,B$4,CONSOLIDADO!$K:$K,"&lt;&gt;NOVO")</f>
        <v>0</v>
      </c>
      <c r="D43" s="64">
        <f>SUMIFS(CONSOLIDADO!$F:$F,CONSOLIDADO!$E:$E,$A43,CONSOLIDADO!$I:$I,C$3,CONSOLIDADO!$I:$I,C$4,CONSOLIDADO!$K:$K,"&lt;&gt;NOVO")</f>
        <v>0</v>
      </c>
      <c r="E43" s="64">
        <f>SUMIFS(CONSOLIDADO!$F:$F,CONSOLIDADO!$E:$E,$A43,CONSOLIDADO!$I:$I,D$3,CONSOLIDADO!$I:$I,D$4,CONSOLIDADO!$K:$K,"&lt;&gt;NOVO")</f>
        <v>0</v>
      </c>
      <c r="F43" s="64">
        <f>SUMIFS(CONSOLIDADO!$F:$F,CONSOLIDADO!$E:$E,$A43,CONSOLIDADO!$I:$I,E$3,CONSOLIDADO!$I:$I,E$4,CONSOLIDADO!$K:$K,"&lt;&gt;NOVO")</f>
        <v>0</v>
      </c>
      <c r="G43" s="64">
        <f>SUMIFS(CONSOLIDADO!$F:$F,CONSOLIDADO!$E:$E,$A43,CONSOLIDADO!$I:$I,F$3,CONSOLIDADO!$I:$I,F$4,CONSOLIDADO!$K:$K,"&lt;&gt;NOVO")</f>
        <v>0</v>
      </c>
      <c r="H43" s="64">
        <f>SUMIFS(CONSOLIDADO!$F:$F,CONSOLIDADO!$E:$E,$A43,CONSOLIDADO!$I:$I,G$3,CONSOLIDADO!$I:$I,G$4,CONSOLIDADO!$K:$K,"&lt;&gt;NOVO")</f>
        <v>0</v>
      </c>
      <c r="I43" s="64">
        <f>SUMIFS(CONSOLIDADO!$F:$F,CONSOLIDADO!$E:$E,$A43,CONSOLIDADO!$I:$I,H$3,CONSOLIDADO!$I:$I,H$4,CONSOLIDADO!$K:$K,"&lt;&gt;NOVO")</f>
        <v>0</v>
      </c>
      <c r="J43" s="64">
        <f>SUMIFS(CONSOLIDADO!$F:$F,CONSOLIDADO!$E:$E,$A43,CONSOLIDADO!$I:$I,I$3,CONSOLIDADO!$I:$I,I$4,CONSOLIDADO!$K:$K,"&lt;&gt;NOVO")</f>
        <v>0</v>
      </c>
      <c r="K43" s="64">
        <f>SUMIFS(CONSOLIDADO!$F:$F,CONSOLIDADO!$E:$E,$A43,CONSOLIDADO!$I:$I,J$3,CONSOLIDADO!$I:$I,J$4,CONSOLIDADO!$K:$K,"&lt;&gt;NOVO")</f>
        <v>0</v>
      </c>
      <c r="L43" s="64">
        <f>SUMIFS(CONSOLIDADO!$F:$F,CONSOLIDADO!$E:$E,$A43,CONSOLIDADO!$I:$I,K$3,CONSOLIDADO!$I:$I,K$4,CONSOLIDADO!$K:$K,"&lt;&gt;NOVO")</f>
        <v>0</v>
      </c>
      <c r="M43" s="64">
        <f>SUMIFS(CONSOLIDADO!$F:$F,CONSOLIDADO!$E:$E,$A43,CONSOLIDADO!$I:$I,L$3,CONSOLIDADO!$I:$I,L$4,CONSOLIDADO!$K:$K,"&lt;&gt;NOVO")</f>
        <v>0</v>
      </c>
      <c r="N43" s="66">
        <v>1791.6</v>
      </c>
      <c r="O43" s="65">
        <v>0.8</v>
      </c>
      <c r="P43" s="66">
        <f t="shared" si="1"/>
        <v>716.63999999999976</v>
      </c>
      <c r="Q43" s="66">
        <f t="shared" si="1"/>
        <v>0</v>
      </c>
      <c r="R43" s="66">
        <f t="shared" si="1"/>
        <v>0</v>
      </c>
      <c r="S43" s="66">
        <f t="shared" si="1"/>
        <v>0</v>
      </c>
      <c r="T43" s="66">
        <f t="shared" si="1"/>
        <v>0</v>
      </c>
      <c r="U43" s="66">
        <f t="shared" si="1"/>
        <v>0</v>
      </c>
      <c r="V43" s="66">
        <f t="shared" si="1"/>
        <v>0</v>
      </c>
      <c r="W43" s="66">
        <f t="shared" si="1"/>
        <v>0</v>
      </c>
      <c r="X43" s="66">
        <f t="shared" si="1"/>
        <v>0</v>
      </c>
      <c r="Y43" s="66">
        <f t="shared" si="1"/>
        <v>0</v>
      </c>
      <c r="Z43" s="66">
        <f t="shared" si="1"/>
        <v>0</v>
      </c>
      <c r="AA43" s="66">
        <f t="shared" si="1"/>
        <v>0</v>
      </c>
      <c r="AB43" s="33"/>
    </row>
    <row r="44" spans="1:28" x14ac:dyDescent="0.25">
      <c r="A44" s="63" t="s">
        <v>98</v>
      </c>
      <c r="B44" s="64">
        <f>SUMIFS(CONSOLIDADO!$F:$F,CONSOLIDADO!$E:$E,$A44,CONSOLIDADO!$I:$I,A$3,CONSOLIDADO!$I:$I,A$4,CONSOLIDADO!$K:$K,"&lt;&gt;NOVO")</f>
        <v>1</v>
      </c>
      <c r="C44" s="64">
        <f>SUMIFS(CONSOLIDADO!$F:$F,CONSOLIDADO!$E:$E,$A44,CONSOLIDADO!$I:$I,B$3,CONSOLIDADO!$I:$I,B$4,CONSOLIDADO!$K:$K,"&lt;&gt;NOVO")</f>
        <v>0</v>
      </c>
      <c r="D44" s="64">
        <f>SUMIFS(CONSOLIDADO!$F:$F,CONSOLIDADO!$E:$E,$A44,CONSOLIDADO!$I:$I,C$3,CONSOLIDADO!$I:$I,C$4,CONSOLIDADO!$K:$K,"&lt;&gt;NOVO")</f>
        <v>0</v>
      </c>
      <c r="E44" s="64">
        <f>SUMIFS(CONSOLIDADO!$F:$F,CONSOLIDADO!$E:$E,$A44,CONSOLIDADO!$I:$I,D$3,CONSOLIDADO!$I:$I,D$4,CONSOLIDADO!$K:$K,"&lt;&gt;NOVO")</f>
        <v>1</v>
      </c>
      <c r="F44" s="64">
        <f>SUMIFS(CONSOLIDADO!$F:$F,CONSOLIDADO!$E:$E,$A44,CONSOLIDADO!$I:$I,E$3,CONSOLIDADO!$I:$I,E$4,CONSOLIDADO!$K:$K,"&lt;&gt;NOVO")</f>
        <v>18</v>
      </c>
      <c r="G44" s="64">
        <f>SUMIFS(CONSOLIDADO!$F:$F,CONSOLIDADO!$E:$E,$A44,CONSOLIDADO!$I:$I,F$3,CONSOLIDADO!$I:$I,F$4,CONSOLIDADO!$K:$K,"&lt;&gt;NOVO")</f>
        <v>0</v>
      </c>
      <c r="H44" s="64">
        <f>SUMIFS(CONSOLIDADO!$F:$F,CONSOLIDADO!$E:$E,$A44,CONSOLIDADO!$I:$I,G$3,CONSOLIDADO!$I:$I,G$4,CONSOLIDADO!$K:$K,"&lt;&gt;NOVO")</f>
        <v>0</v>
      </c>
      <c r="I44" s="64">
        <f>SUMIFS(CONSOLIDADO!$F:$F,CONSOLIDADO!$E:$E,$A44,CONSOLIDADO!$I:$I,H$3,CONSOLIDADO!$I:$I,H$4,CONSOLIDADO!$K:$K,"&lt;&gt;NOVO")</f>
        <v>0</v>
      </c>
      <c r="J44" s="64">
        <f>SUMIFS(CONSOLIDADO!$F:$F,CONSOLIDADO!$E:$E,$A44,CONSOLIDADO!$I:$I,I$3,CONSOLIDADO!$I:$I,I$4,CONSOLIDADO!$K:$K,"&lt;&gt;NOVO")</f>
        <v>0</v>
      </c>
      <c r="K44" s="64">
        <f>SUMIFS(CONSOLIDADO!$F:$F,CONSOLIDADO!$E:$E,$A44,CONSOLIDADO!$I:$I,J$3,CONSOLIDADO!$I:$I,J$4,CONSOLIDADO!$K:$K,"&lt;&gt;NOVO")</f>
        <v>0</v>
      </c>
      <c r="L44" s="64">
        <f>SUMIFS(CONSOLIDADO!$F:$F,CONSOLIDADO!$E:$E,$A44,CONSOLIDADO!$I:$I,K$3,CONSOLIDADO!$I:$I,K$4,CONSOLIDADO!$K:$K,"&lt;&gt;NOVO")</f>
        <v>0</v>
      </c>
      <c r="M44" s="64">
        <f>SUMIFS(CONSOLIDADO!$F:$F,CONSOLIDADO!$E:$E,$A44,CONSOLIDADO!$I:$I,L$3,CONSOLIDADO!$I:$I,L$4,CONSOLIDADO!$K:$K,"&lt;&gt;NOVO")</f>
        <v>0</v>
      </c>
      <c r="N44" s="66">
        <v>200</v>
      </c>
      <c r="O44" s="65">
        <v>0.8</v>
      </c>
      <c r="P44" s="66">
        <f t="shared" si="1"/>
        <v>39.999999999999993</v>
      </c>
      <c r="Q44" s="66">
        <f t="shared" si="1"/>
        <v>0</v>
      </c>
      <c r="R44" s="66">
        <f t="shared" si="1"/>
        <v>0</v>
      </c>
      <c r="S44" s="66">
        <f t="shared" si="1"/>
        <v>39.999999999999993</v>
      </c>
      <c r="T44" s="66">
        <f t="shared" si="1"/>
        <v>719.99999999999989</v>
      </c>
      <c r="U44" s="66">
        <f t="shared" si="1"/>
        <v>0</v>
      </c>
      <c r="V44" s="66">
        <f t="shared" si="1"/>
        <v>0</v>
      </c>
      <c r="W44" s="66">
        <f t="shared" si="1"/>
        <v>0</v>
      </c>
      <c r="X44" s="66">
        <f t="shared" si="1"/>
        <v>0</v>
      </c>
      <c r="Y44" s="66">
        <f t="shared" si="1"/>
        <v>0</v>
      </c>
      <c r="Z44" s="66">
        <f t="shared" si="1"/>
        <v>0</v>
      </c>
      <c r="AA44" s="66">
        <f t="shared" si="1"/>
        <v>0</v>
      </c>
      <c r="AB44" s="33"/>
    </row>
    <row r="45" spans="1:28" x14ac:dyDescent="0.25">
      <c r="A45" s="63" t="s">
        <v>639</v>
      </c>
      <c r="B45" s="64">
        <f>SUMIFS(CONSOLIDADO!$F:$F,CONSOLIDADO!$E:$E,$A45,CONSOLIDADO!$I:$I,A$3,CONSOLIDADO!$I:$I,A$4,CONSOLIDADO!$K:$K,"&lt;&gt;NOVO")</f>
        <v>0</v>
      </c>
      <c r="C45" s="64">
        <f>SUMIFS(CONSOLIDADO!$F:$F,CONSOLIDADO!$E:$E,$A45,CONSOLIDADO!$I:$I,B$3,CONSOLIDADO!$I:$I,B$4,CONSOLIDADO!$K:$K,"&lt;&gt;NOVO")</f>
        <v>0</v>
      </c>
      <c r="D45" s="64">
        <f>SUMIFS(CONSOLIDADO!$F:$F,CONSOLIDADO!$E:$E,$A45,CONSOLIDADO!$I:$I,C$3,CONSOLIDADO!$I:$I,C$4,CONSOLIDADO!$K:$K,"&lt;&gt;NOVO")</f>
        <v>0</v>
      </c>
      <c r="E45" s="64">
        <f>SUMIFS(CONSOLIDADO!$F:$F,CONSOLIDADO!$E:$E,$A45,CONSOLIDADO!$I:$I,D$3,CONSOLIDADO!$I:$I,D$4,CONSOLIDADO!$K:$K,"&lt;&gt;NOVO")</f>
        <v>0</v>
      </c>
      <c r="F45" s="64">
        <f>SUMIFS(CONSOLIDADO!$F:$F,CONSOLIDADO!$E:$E,$A45,CONSOLIDADO!$I:$I,E$3,CONSOLIDADO!$I:$I,E$4,CONSOLIDADO!$K:$K,"&lt;&gt;NOVO")</f>
        <v>0</v>
      </c>
      <c r="G45" s="64">
        <f>SUMIFS(CONSOLIDADO!$F:$F,CONSOLIDADO!$E:$E,$A45,CONSOLIDADO!$I:$I,F$3,CONSOLIDADO!$I:$I,F$4,CONSOLIDADO!$K:$K,"&lt;&gt;NOVO")</f>
        <v>0</v>
      </c>
      <c r="H45" s="64">
        <f>SUMIFS(CONSOLIDADO!$F:$F,CONSOLIDADO!$E:$E,$A45,CONSOLIDADO!$I:$I,G$3,CONSOLIDADO!$I:$I,G$4,CONSOLIDADO!$K:$K,"&lt;&gt;NOVO")</f>
        <v>0</v>
      </c>
      <c r="I45" s="64">
        <f>SUMIFS(CONSOLIDADO!$F:$F,CONSOLIDADO!$E:$E,$A45,CONSOLIDADO!$I:$I,H$3,CONSOLIDADO!$I:$I,H$4,CONSOLIDADO!$K:$K,"&lt;&gt;NOVO")</f>
        <v>0</v>
      </c>
      <c r="J45" s="64">
        <f>SUMIFS(CONSOLIDADO!$F:$F,CONSOLIDADO!$E:$E,$A45,CONSOLIDADO!$I:$I,I$3,CONSOLIDADO!$I:$I,I$4,CONSOLIDADO!$K:$K,"&lt;&gt;NOVO")</f>
        <v>0</v>
      </c>
      <c r="K45" s="64">
        <f>SUMIFS(CONSOLIDADO!$F:$F,CONSOLIDADO!$E:$E,$A45,CONSOLIDADO!$I:$I,J$3,CONSOLIDADO!$I:$I,J$4,CONSOLIDADO!$K:$K,"&lt;&gt;NOVO")</f>
        <v>0</v>
      </c>
      <c r="L45" s="64">
        <f>SUMIFS(CONSOLIDADO!$F:$F,CONSOLIDADO!$E:$E,$A45,CONSOLIDADO!$I:$I,K$3,CONSOLIDADO!$I:$I,K$4,CONSOLIDADO!$K:$K,"&lt;&gt;NOVO")</f>
        <v>0</v>
      </c>
      <c r="M45" s="64">
        <f>SUMIFS(CONSOLIDADO!$F:$F,CONSOLIDADO!$E:$E,$A45,CONSOLIDADO!$I:$I,L$3,CONSOLIDADO!$I:$I,L$4,CONSOLIDADO!$K:$K,"&lt;&gt;NOVO")</f>
        <v>0</v>
      </c>
      <c r="N45" s="66">
        <v>653.20000000000005</v>
      </c>
      <c r="O45" s="65">
        <v>0.8</v>
      </c>
      <c r="P45" s="66">
        <f t="shared" ref="P45:AA66" si="2">B45*($N45*(1-$O45))</f>
        <v>0</v>
      </c>
      <c r="Q45" s="66">
        <f t="shared" si="2"/>
        <v>0</v>
      </c>
      <c r="R45" s="66">
        <f t="shared" si="2"/>
        <v>0</v>
      </c>
      <c r="S45" s="66">
        <f t="shared" si="2"/>
        <v>0</v>
      </c>
      <c r="T45" s="66">
        <f t="shared" si="2"/>
        <v>0</v>
      </c>
      <c r="U45" s="66">
        <f t="shared" si="2"/>
        <v>0</v>
      </c>
      <c r="V45" s="66">
        <f t="shared" si="2"/>
        <v>0</v>
      </c>
      <c r="W45" s="66">
        <f t="shared" si="2"/>
        <v>0</v>
      </c>
      <c r="X45" s="66">
        <f t="shared" si="2"/>
        <v>0</v>
      </c>
      <c r="Y45" s="66">
        <f t="shared" si="2"/>
        <v>0</v>
      </c>
      <c r="Z45" s="66">
        <f t="shared" si="2"/>
        <v>0</v>
      </c>
      <c r="AA45" s="66">
        <f t="shared" si="2"/>
        <v>0</v>
      </c>
      <c r="AB45" s="33"/>
    </row>
    <row r="46" spans="1:28" x14ac:dyDescent="0.25">
      <c r="A46" t="s">
        <v>114</v>
      </c>
      <c r="B46" s="64">
        <f>SUMIFS(CONSOLIDADO!$F:$F,CONSOLIDADO!$E:$E,$A46,CONSOLIDADO!$I:$I,A$3,CONSOLIDADO!$I:$I,A$4,CONSOLIDADO!$K:$K,"&lt;&gt;NOVO")</f>
        <v>1</v>
      </c>
      <c r="C46" s="64">
        <f>SUMIFS(CONSOLIDADO!$F:$F,CONSOLIDADO!$E:$E,$A46,CONSOLIDADO!$I:$I,B$3,CONSOLIDADO!$I:$I,B$4,CONSOLIDADO!$K:$K,"&lt;&gt;NOVO")</f>
        <v>0</v>
      </c>
      <c r="D46" s="64">
        <f>SUMIFS(CONSOLIDADO!$F:$F,CONSOLIDADO!$E:$E,$A46,CONSOLIDADO!$I:$I,C$3,CONSOLIDADO!$I:$I,C$4,CONSOLIDADO!$K:$K,"&lt;&gt;NOVO")</f>
        <v>0</v>
      </c>
      <c r="E46" s="64">
        <f>SUMIFS(CONSOLIDADO!$F:$F,CONSOLIDADO!$E:$E,$A46,CONSOLIDADO!$I:$I,D$3,CONSOLIDADO!$I:$I,D$4,CONSOLIDADO!$K:$K,"&lt;&gt;NOVO")</f>
        <v>0</v>
      </c>
      <c r="F46" s="64">
        <f>SUMIFS(CONSOLIDADO!$F:$F,CONSOLIDADO!$E:$E,$A46,CONSOLIDADO!$I:$I,E$3,CONSOLIDADO!$I:$I,E$4,CONSOLIDADO!$K:$K,"&lt;&gt;NOVO")</f>
        <v>0</v>
      </c>
      <c r="G46" s="64">
        <f>SUMIFS(CONSOLIDADO!$F:$F,CONSOLIDADO!$E:$E,$A46,CONSOLIDADO!$I:$I,F$3,CONSOLIDADO!$I:$I,F$4,CONSOLIDADO!$K:$K,"&lt;&gt;NOVO")</f>
        <v>0</v>
      </c>
      <c r="H46" s="64">
        <f>SUMIFS(CONSOLIDADO!$F:$F,CONSOLIDADO!$E:$E,$A46,CONSOLIDADO!$I:$I,G$3,CONSOLIDADO!$I:$I,G$4,CONSOLIDADO!$K:$K,"&lt;&gt;NOVO")</f>
        <v>0</v>
      </c>
      <c r="I46" s="64">
        <f>SUMIFS(CONSOLIDADO!$F:$F,CONSOLIDADO!$E:$E,$A46,CONSOLIDADO!$I:$I,H$3,CONSOLIDADO!$I:$I,H$4,CONSOLIDADO!$K:$K,"&lt;&gt;NOVO")</f>
        <v>0</v>
      </c>
      <c r="J46" s="64">
        <f>SUMIFS(CONSOLIDADO!$F:$F,CONSOLIDADO!$E:$E,$A46,CONSOLIDADO!$I:$I,I$3,CONSOLIDADO!$I:$I,I$4,CONSOLIDADO!$K:$K,"&lt;&gt;NOVO")</f>
        <v>0</v>
      </c>
      <c r="K46" s="64">
        <f>SUMIFS(CONSOLIDADO!$F:$F,CONSOLIDADO!$E:$E,$A46,CONSOLIDADO!$I:$I,J$3,CONSOLIDADO!$I:$I,J$4,CONSOLIDADO!$K:$K,"&lt;&gt;NOVO")</f>
        <v>0</v>
      </c>
      <c r="L46" s="64">
        <f>SUMIFS(CONSOLIDADO!$F:$F,CONSOLIDADO!$E:$E,$A46,CONSOLIDADO!$I:$I,K$3,CONSOLIDADO!$I:$I,K$4,CONSOLIDADO!$K:$K,"&lt;&gt;NOVO")</f>
        <v>0</v>
      </c>
      <c r="M46" s="64">
        <f>SUMIFS(CONSOLIDADO!$F:$F,CONSOLIDADO!$E:$E,$A46,CONSOLIDADO!$I:$I,L$3,CONSOLIDADO!$I:$I,L$4,CONSOLIDADO!$K:$K,"&lt;&gt;NOVO")</f>
        <v>0</v>
      </c>
      <c r="N46" s="66">
        <v>2600</v>
      </c>
      <c r="O46" s="65">
        <v>0.8</v>
      </c>
      <c r="P46" s="66">
        <f t="shared" si="2"/>
        <v>519.99999999999989</v>
      </c>
      <c r="Q46" s="66">
        <f t="shared" si="2"/>
        <v>0</v>
      </c>
      <c r="R46" s="66">
        <f t="shared" si="2"/>
        <v>0</v>
      </c>
      <c r="S46" s="66">
        <f t="shared" si="2"/>
        <v>0</v>
      </c>
      <c r="T46" s="66">
        <f t="shared" si="2"/>
        <v>0</v>
      </c>
      <c r="U46" s="66">
        <f t="shared" si="2"/>
        <v>0</v>
      </c>
      <c r="V46" s="66">
        <f t="shared" si="2"/>
        <v>0</v>
      </c>
      <c r="W46" s="66">
        <f t="shared" si="2"/>
        <v>0</v>
      </c>
      <c r="X46" s="66">
        <f t="shared" si="2"/>
        <v>0</v>
      </c>
      <c r="Y46" s="66">
        <f t="shared" si="2"/>
        <v>0</v>
      </c>
      <c r="Z46" s="66">
        <f t="shared" si="2"/>
        <v>0</v>
      </c>
      <c r="AA46" s="66">
        <f t="shared" si="2"/>
        <v>0</v>
      </c>
      <c r="AB46" s="33"/>
    </row>
    <row r="47" spans="1:28" x14ac:dyDescent="0.25">
      <c r="A47" t="s">
        <v>188</v>
      </c>
      <c r="B47" s="64">
        <f>SUMIFS(CONSOLIDADO!$F:$F,CONSOLIDADO!$E:$E,$A47,CONSOLIDADO!$I:$I,A$3,CONSOLIDADO!$I:$I,A$4,CONSOLIDADO!$K:$K,"&lt;&gt;NOVO")</f>
        <v>1</v>
      </c>
      <c r="C47" s="64">
        <f>SUMIFS(CONSOLIDADO!$F:$F,CONSOLIDADO!$E:$E,$A47,CONSOLIDADO!$I:$I,B$3,CONSOLIDADO!$I:$I,B$4,CONSOLIDADO!$K:$K,"&lt;&gt;NOVO")</f>
        <v>0</v>
      </c>
      <c r="D47" s="64">
        <f>SUMIFS(CONSOLIDADO!$F:$F,CONSOLIDADO!$E:$E,$A47,CONSOLIDADO!$I:$I,C$3,CONSOLIDADO!$I:$I,C$4,CONSOLIDADO!$K:$K,"&lt;&gt;NOVO")</f>
        <v>0</v>
      </c>
      <c r="E47" s="64">
        <f>SUMIFS(CONSOLIDADO!$F:$F,CONSOLIDADO!$E:$E,$A47,CONSOLIDADO!$I:$I,D$3,CONSOLIDADO!$I:$I,D$4,CONSOLIDADO!$K:$K,"&lt;&gt;NOVO")</f>
        <v>0</v>
      </c>
      <c r="F47" s="64">
        <f>SUMIFS(CONSOLIDADO!$F:$F,CONSOLIDADO!$E:$E,$A47,CONSOLIDADO!$I:$I,E$3,CONSOLIDADO!$I:$I,E$4,CONSOLIDADO!$K:$K,"&lt;&gt;NOVO")</f>
        <v>0</v>
      </c>
      <c r="G47" s="64">
        <f>SUMIFS(CONSOLIDADO!$F:$F,CONSOLIDADO!$E:$E,$A47,CONSOLIDADO!$I:$I,F$3,CONSOLIDADO!$I:$I,F$4,CONSOLIDADO!$K:$K,"&lt;&gt;NOVO")</f>
        <v>0</v>
      </c>
      <c r="H47" s="64">
        <f>SUMIFS(CONSOLIDADO!$F:$F,CONSOLIDADO!$E:$E,$A47,CONSOLIDADO!$I:$I,G$3,CONSOLIDADO!$I:$I,G$4,CONSOLIDADO!$K:$K,"&lt;&gt;NOVO")</f>
        <v>0</v>
      </c>
      <c r="I47" s="64">
        <f>SUMIFS(CONSOLIDADO!$F:$F,CONSOLIDADO!$E:$E,$A47,CONSOLIDADO!$I:$I,H$3,CONSOLIDADO!$I:$I,H$4,CONSOLIDADO!$K:$K,"&lt;&gt;NOVO")</f>
        <v>0</v>
      </c>
      <c r="J47" s="64">
        <f>SUMIFS(CONSOLIDADO!$F:$F,CONSOLIDADO!$E:$E,$A47,CONSOLIDADO!$I:$I,I$3,CONSOLIDADO!$I:$I,I$4,CONSOLIDADO!$K:$K,"&lt;&gt;NOVO")</f>
        <v>0</v>
      </c>
      <c r="K47" s="64">
        <f>SUMIFS(CONSOLIDADO!$F:$F,CONSOLIDADO!$E:$E,$A47,CONSOLIDADO!$I:$I,J$3,CONSOLIDADO!$I:$I,J$4,CONSOLIDADO!$K:$K,"&lt;&gt;NOVO")</f>
        <v>0</v>
      </c>
      <c r="L47" s="64">
        <f>SUMIFS(CONSOLIDADO!$F:$F,CONSOLIDADO!$E:$E,$A47,CONSOLIDADO!$I:$I,K$3,CONSOLIDADO!$I:$I,K$4,CONSOLIDADO!$K:$K,"&lt;&gt;NOVO")</f>
        <v>0</v>
      </c>
      <c r="M47" s="64">
        <f>SUMIFS(CONSOLIDADO!$F:$F,CONSOLIDADO!$E:$E,$A47,CONSOLIDADO!$I:$I,L$3,CONSOLIDADO!$I:$I,L$4,CONSOLIDADO!$K:$K,"&lt;&gt;NOVO")</f>
        <v>0</v>
      </c>
      <c r="N47" s="66">
        <v>2000</v>
      </c>
      <c r="O47" s="65">
        <v>0.8</v>
      </c>
      <c r="P47" s="66">
        <f t="shared" si="2"/>
        <v>399.99999999999989</v>
      </c>
      <c r="Q47" s="66">
        <f t="shared" si="2"/>
        <v>0</v>
      </c>
      <c r="R47" s="66">
        <f t="shared" si="2"/>
        <v>0</v>
      </c>
      <c r="S47" s="66">
        <f t="shared" si="2"/>
        <v>0</v>
      </c>
      <c r="T47" s="66">
        <f t="shared" si="2"/>
        <v>0</v>
      </c>
      <c r="U47" s="66">
        <f t="shared" si="2"/>
        <v>0</v>
      </c>
      <c r="V47" s="66">
        <f t="shared" si="2"/>
        <v>0</v>
      </c>
      <c r="W47" s="66">
        <f t="shared" si="2"/>
        <v>0</v>
      </c>
      <c r="X47" s="66">
        <f t="shared" si="2"/>
        <v>0</v>
      </c>
      <c r="Y47" s="66">
        <f t="shared" si="2"/>
        <v>0</v>
      </c>
      <c r="Z47" s="66">
        <f t="shared" si="2"/>
        <v>0</v>
      </c>
      <c r="AA47" s="66">
        <f t="shared" si="2"/>
        <v>0</v>
      </c>
      <c r="AB47" s="33"/>
    </row>
    <row r="48" spans="1:28" x14ac:dyDescent="0.25">
      <c r="A48" s="63" t="s">
        <v>720</v>
      </c>
      <c r="B48" s="64">
        <f>SUMIFS(CONSOLIDADO!$F:$F,CONSOLIDADO!$E:$E,$A48,CONSOLIDADO!$I:$I,A$3,CONSOLIDADO!$I:$I,A$4,CONSOLIDADO!$K:$K,"&lt;&gt;NOVO")</f>
        <v>0</v>
      </c>
      <c r="C48" s="64">
        <f>SUMIFS(CONSOLIDADO!$F:$F,CONSOLIDADO!$E:$E,$A48,CONSOLIDADO!$I:$I,B$3,CONSOLIDADO!$I:$I,B$4,CONSOLIDADO!$K:$K,"&lt;&gt;NOVO")</f>
        <v>0</v>
      </c>
      <c r="D48" s="64">
        <f>SUMIFS(CONSOLIDADO!$F:$F,CONSOLIDADO!$E:$E,$A48,CONSOLIDADO!$I:$I,C$3,CONSOLIDADO!$I:$I,C$4,CONSOLIDADO!$K:$K,"&lt;&gt;NOVO")</f>
        <v>0</v>
      </c>
      <c r="E48" s="64">
        <f>SUMIFS(CONSOLIDADO!$F:$F,CONSOLIDADO!$E:$E,$A48,CONSOLIDADO!$I:$I,D$3,CONSOLIDADO!$I:$I,D$4,CONSOLIDADO!$K:$K,"&lt;&gt;NOVO")</f>
        <v>0</v>
      </c>
      <c r="F48" s="64">
        <f>SUMIFS(CONSOLIDADO!$F:$F,CONSOLIDADO!$E:$E,$A48,CONSOLIDADO!$I:$I,E$3,CONSOLIDADO!$I:$I,E$4,CONSOLIDADO!$K:$K,"&lt;&gt;NOVO")</f>
        <v>0</v>
      </c>
      <c r="G48" s="64">
        <f>SUMIFS(CONSOLIDADO!$F:$F,CONSOLIDADO!$E:$E,$A48,CONSOLIDADO!$I:$I,F$3,CONSOLIDADO!$I:$I,F$4,CONSOLIDADO!$K:$K,"&lt;&gt;NOVO")</f>
        <v>0</v>
      </c>
      <c r="H48" s="64">
        <f>SUMIFS(CONSOLIDADO!$F:$F,CONSOLIDADO!$E:$E,$A48,CONSOLIDADO!$I:$I,G$3,CONSOLIDADO!$I:$I,G$4,CONSOLIDADO!$K:$K,"&lt;&gt;NOVO")</f>
        <v>0</v>
      </c>
      <c r="I48" s="64">
        <f>SUMIFS(CONSOLIDADO!$F:$F,CONSOLIDADO!$E:$E,$A48,CONSOLIDADO!$I:$I,H$3,CONSOLIDADO!$I:$I,H$4,CONSOLIDADO!$K:$K,"&lt;&gt;NOVO")</f>
        <v>0</v>
      </c>
      <c r="J48" s="64">
        <f>SUMIFS(CONSOLIDADO!$F:$F,CONSOLIDADO!$E:$E,$A48,CONSOLIDADO!$I:$I,I$3,CONSOLIDADO!$I:$I,I$4,CONSOLIDADO!$K:$K,"&lt;&gt;NOVO")</f>
        <v>0</v>
      </c>
      <c r="K48" s="64">
        <f>SUMIFS(CONSOLIDADO!$F:$F,CONSOLIDADO!$E:$E,$A48,CONSOLIDADO!$I:$I,J$3,CONSOLIDADO!$I:$I,J$4,CONSOLIDADO!$K:$K,"&lt;&gt;NOVO")</f>
        <v>0</v>
      </c>
      <c r="L48" s="64">
        <f>SUMIFS(CONSOLIDADO!$F:$F,CONSOLIDADO!$E:$E,$A48,CONSOLIDADO!$I:$I,K$3,CONSOLIDADO!$I:$I,K$4,CONSOLIDADO!$K:$K,"&lt;&gt;NOVO")</f>
        <v>0</v>
      </c>
      <c r="M48" s="64">
        <f>SUMIFS(CONSOLIDADO!$F:$F,CONSOLIDADO!$E:$E,$A48,CONSOLIDADO!$I:$I,L$3,CONSOLIDADO!$I:$I,L$4,CONSOLIDADO!$K:$K,"&lt;&gt;NOVO")</f>
        <v>0</v>
      </c>
      <c r="N48" s="66">
        <v>188.6</v>
      </c>
      <c r="O48" s="65">
        <v>0.8</v>
      </c>
      <c r="P48" s="66">
        <f t="shared" si="2"/>
        <v>0</v>
      </c>
      <c r="Q48" s="66">
        <f t="shared" si="2"/>
        <v>0</v>
      </c>
      <c r="R48" s="66">
        <f t="shared" si="2"/>
        <v>0</v>
      </c>
      <c r="S48" s="66">
        <f t="shared" si="2"/>
        <v>0</v>
      </c>
      <c r="T48" s="66">
        <f t="shared" si="2"/>
        <v>0</v>
      </c>
      <c r="U48" s="66">
        <f t="shared" si="2"/>
        <v>0</v>
      </c>
      <c r="V48" s="66">
        <f t="shared" si="2"/>
        <v>0</v>
      </c>
      <c r="W48" s="66">
        <f t="shared" si="2"/>
        <v>0</v>
      </c>
      <c r="X48" s="66">
        <f t="shared" si="2"/>
        <v>0</v>
      </c>
      <c r="Y48" s="66">
        <f t="shared" si="2"/>
        <v>0</v>
      </c>
      <c r="Z48" s="66">
        <f t="shared" si="2"/>
        <v>0</v>
      </c>
      <c r="AA48" s="66">
        <f t="shared" si="2"/>
        <v>0</v>
      </c>
      <c r="AB48" s="33"/>
    </row>
    <row r="49" spans="1:28" x14ac:dyDescent="0.25">
      <c r="A49" s="63" t="s">
        <v>55</v>
      </c>
      <c r="B49" s="64">
        <f>SUMIFS(CONSOLIDADO!$F:$F,CONSOLIDADO!$E:$E,$A49,CONSOLIDADO!$I:$I,A$3,CONSOLIDADO!$I:$I,A$4,CONSOLIDADO!$K:$K,"&lt;&gt;NOVO")</f>
        <v>14</v>
      </c>
      <c r="C49" s="64">
        <f>SUMIFS(CONSOLIDADO!$F:$F,CONSOLIDADO!$E:$E,$A49,CONSOLIDADO!$I:$I,B$3,CONSOLIDADO!$I:$I,B$4,CONSOLIDADO!$K:$K,"&lt;&gt;NOVO")</f>
        <v>0</v>
      </c>
      <c r="D49" s="64">
        <f>SUMIFS(CONSOLIDADO!$F:$F,CONSOLIDADO!$E:$E,$A49,CONSOLIDADO!$I:$I,C$3,CONSOLIDADO!$I:$I,C$4,CONSOLIDADO!$K:$K,"&lt;&gt;NOVO")</f>
        <v>1</v>
      </c>
      <c r="E49" s="64">
        <f>SUMIFS(CONSOLIDADO!$F:$F,CONSOLIDADO!$E:$E,$A49,CONSOLIDADO!$I:$I,D$3,CONSOLIDADO!$I:$I,D$4,CONSOLIDADO!$K:$K,"&lt;&gt;NOVO")</f>
        <v>0</v>
      </c>
      <c r="F49" s="64">
        <f>SUMIFS(CONSOLIDADO!$F:$F,CONSOLIDADO!$E:$E,$A49,CONSOLIDADO!$I:$I,E$3,CONSOLIDADO!$I:$I,E$4,CONSOLIDADO!$K:$K,"&lt;&gt;NOVO")</f>
        <v>0</v>
      </c>
      <c r="G49" s="64">
        <f>SUMIFS(CONSOLIDADO!$F:$F,CONSOLIDADO!$E:$E,$A49,CONSOLIDADO!$I:$I,F$3,CONSOLIDADO!$I:$I,F$4,CONSOLIDADO!$K:$K,"&lt;&gt;NOVO")</f>
        <v>0</v>
      </c>
      <c r="H49" s="64">
        <f>SUMIFS(CONSOLIDADO!$F:$F,CONSOLIDADO!$E:$E,$A49,CONSOLIDADO!$I:$I,G$3,CONSOLIDADO!$I:$I,G$4,CONSOLIDADO!$K:$K,"&lt;&gt;NOVO")</f>
        <v>0</v>
      </c>
      <c r="I49" s="64">
        <f>SUMIFS(CONSOLIDADO!$F:$F,CONSOLIDADO!$E:$E,$A49,CONSOLIDADO!$I:$I,H$3,CONSOLIDADO!$I:$I,H$4,CONSOLIDADO!$K:$K,"&lt;&gt;NOVO")</f>
        <v>0</v>
      </c>
      <c r="J49" s="64">
        <f>SUMIFS(CONSOLIDADO!$F:$F,CONSOLIDADO!$E:$E,$A49,CONSOLIDADO!$I:$I,I$3,CONSOLIDADO!$I:$I,I$4,CONSOLIDADO!$K:$K,"&lt;&gt;NOVO")</f>
        <v>0</v>
      </c>
      <c r="K49" s="64">
        <f>SUMIFS(CONSOLIDADO!$F:$F,CONSOLIDADO!$E:$E,$A49,CONSOLIDADO!$I:$I,J$3,CONSOLIDADO!$I:$I,J$4,CONSOLIDADO!$K:$K,"&lt;&gt;NOVO")</f>
        <v>0</v>
      </c>
      <c r="L49" s="64">
        <f>SUMIFS(CONSOLIDADO!$F:$F,CONSOLIDADO!$E:$E,$A49,CONSOLIDADO!$I:$I,K$3,CONSOLIDADO!$I:$I,K$4,CONSOLIDADO!$K:$K,"&lt;&gt;NOVO")</f>
        <v>0</v>
      </c>
      <c r="M49" s="64">
        <f>SUMIFS(CONSOLIDADO!$F:$F,CONSOLIDADO!$E:$E,$A49,CONSOLIDADO!$I:$I,L$3,CONSOLIDADO!$I:$I,L$4,CONSOLIDADO!$K:$K,"&lt;&gt;NOVO")</f>
        <v>0</v>
      </c>
      <c r="N49" s="66">
        <v>653.20000000000005</v>
      </c>
      <c r="O49" s="65">
        <v>0.8</v>
      </c>
      <c r="P49" s="66">
        <f t="shared" si="2"/>
        <v>1828.9599999999998</v>
      </c>
      <c r="Q49" s="66">
        <f t="shared" si="2"/>
        <v>0</v>
      </c>
      <c r="R49" s="66">
        <f t="shared" si="2"/>
        <v>130.63999999999999</v>
      </c>
      <c r="S49" s="66">
        <f t="shared" si="2"/>
        <v>0</v>
      </c>
      <c r="T49" s="66">
        <f t="shared" si="2"/>
        <v>0</v>
      </c>
      <c r="U49" s="66">
        <f t="shared" si="2"/>
        <v>0</v>
      </c>
      <c r="V49" s="66">
        <f t="shared" si="2"/>
        <v>0</v>
      </c>
      <c r="W49" s="66">
        <f t="shared" si="2"/>
        <v>0</v>
      </c>
      <c r="X49" s="66">
        <f t="shared" si="2"/>
        <v>0</v>
      </c>
      <c r="Y49" s="66">
        <f t="shared" si="2"/>
        <v>0</v>
      </c>
      <c r="Z49" s="66">
        <f t="shared" si="2"/>
        <v>0</v>
      </c>
      <c r="AA49" s="66">
        <f t="shared" si="2"/>
        <v>0</v>
      </c>
      <c r="AB49" s="33"/>
    </row>
    <row r="50" spans="1:28" x14ac:dyDescent="0.25">
      <c r="A50" s="63" t="s">
        <v>177</v>
      </c>
      <c r="B50" s="64">
        <f>SUMIFS(CONSOLIDADO!$F:$F,CONSOLIDADO!$E:$E,$A50,CONSOLIDADO!$I:$I,A$3,CONSOLIDADO!$I:$I,A$4,CONSOLIDADO!$K:$K,"&lt;&gt;NOVO")</f>
        <v>0</v>
      </c>
      <c r="C50" s="64">
        <f>SUMIFS(CONSOLIDADO!$F:$F,CONSOLIDADO!$E:$E,$A50,CONSOLIDADO!$I:$I,B$3,CONSOLIDADO!$I:$I,B$4,CONSOLIDADO!$K:$K,"&lt;&gt;NOVO")</f>
        <v>4</v>
      </c>
      <c r="D50" s="64">
        <f>SUMIFS(CONSOLIDADO!$F:$F,CONSOLIDADO!$E:$E,$A50,CONSOLIDADO!$I:$I,C$3,CONSOLIDADO!$I:$I,C$4,CONSOLIDADO!$K:$K,"&lt;&gt;NOVO")</f>
        <v>9</v>
      </c>
      <c r="E50" s="64">
        <f>SUMIFS(CONSOLIDADO!$F:$F,CONSOLIDADO!$E:$E,$A50,CONSOLIDADO!$I:$I,D$3,CONSOLIDADO!$I:$I,D$4,CONSOLIDADO!$K:$K,"&lt;&gt;NOVO")</f>
        <v>3</v>
      </c>
      <c r="F50" s="64">
        <f>SUMIFS(CONSOLIDADO!$F:$F,CONSOLIDADO!$E:$E,$A50,CONSOLIDADO!$I:$I,E$3,CONSOLIDADO!$I:$I,E$4,CONSOLIDADO!$K:$K,"&lt;&gt;NOVO")</f>
        <v>0</v>
      </c>
      <c r="G50" s="64">
        <f>SUMIFS(CONSOLIDADO!$F:$F,CONSOLIDADO!$E:$E,$A50,CONSOLIDADO!$I:$I,F$3,CONSOLIDADO!$I:$I,F$4,CONSOLIDADO!$K:$K,"&lt;&gt;NOVO")</f>
        <v>0</v>
      </c>
      <c r="H50" s="64">
        <f>SUMIFS(CONSOLIDADO!$F:$F,CONSOLIDADO!$E:$E,$A50,CONSOLIDADO!$I:$I,G$3,CONSOLIDADO!$I:$I,G$4,CONSOLIDADO!$K:$K,"&lt;&gt;NOVO")</f>
        <v>0</v>
      </c>
      <c r="I50" s="64">
        <f>SUMIFS(CONSOLIDADO!$F:$F,CONSOLIDADO!$E:$E,$A50,CONSOLIDADO!$I:$I,H$3,CONSOLIDADO!$I:$I,H$4,CONSOLIDADO!$K:$K,"&lt;&gt;NOVO")</f>
        <v>0</v>
      </c>
      <c r="J50" s="64">
        <f>SUMIFS(CONSOLIDADO!$F:$F,CONSOLIDADO!$E:$E,$A50,CONSOLIDADO!$I:$I,I$3,CONSOLIDADO!$I:$I,I$4,CONSOLIDADO!$K:$K,"&lt;&gt;NOVO")</f>
        <v>0</v>
      </c>
      <c r="K50" s="64">
        <f>SUMIFS(CONSOLIDADO!$F:$F,CONSOLIDADO!$E:$E,$A50,CONSOLIDADO!$I:$I,J$3,CONSOLIDADO!$I:$I,J$4,CONSOLIDADO!$K:$K,"&lt;&gt;NOVO")</f>
        <v>0</v>
      </c>
      <c r="L50" s="64">
        <f>SUMIFS(CONSOLIDADO!$F:$F,CONSOLIDADO!$E:$E,$A50,CONSOLIDADO!$I:$I,K$3,CONSOLIDADO!$I:$I,K$4,CONSOLIDADO!$K:$K,"&lt;&gt;NOVO")</f>
        <v>0</v>
      </c>
      <c r="M50" s="64">
        <f>SUMIFS(CONSOLIDADO!$F:$F,CONSOLIDADO!$E:$E,$A50,CONSOLIDADO!$I:$I,L$3,CONSOLIDADO!$I:$I,L$4,CONSOLIDADO!$K:$K,"&lt;&gt;NOVO")</f>
        <v>0</v>
      </c>
      <c r="N50" s="66">
        <v>250</v>
      </c>
      <c r="O50" s="65">
        <v>0.8</v>
      </c>
      <c r="P50" s="66">
        <f t="shared" si="2"/>
        <v>0</v>
      </c>
      <c r="Q50" s="66">
        <f t="shared" si="2"/>
        <v>199.99999999999994</v>
      </c>
      <c r="R50" s="66">
        <f t="shared" si="2"/>
        <v>449.99999999999989</v>
      </c>
      <c r="S50" s="66">
        <f t="shared" si="2"/>
        <v>149.99999999999994</v>
      </c>
      <c r="T50" s="66">
        <f t="shared" si="2"/>
        <v>0</v>
      </c>
      <c r="U50" s="66">
        <f t="shared" si="2"/>
        <v>0</v>
      </c>
      <c r="V50" s="66">
        <f t="shared" si="2"/>
        <v>0</v>
      </c>
      <c r="W50" s="66">
        <f t="shared" si="2"/>
        <v>0</v>
      </c>
      <c r="X50" s="66">
        <f t="shared" si="2"/>
        <v>0</v>
      </c>
      <c r="Y50" s="66">
        <f t="shared" si="2"/>
        <v>0</v>
      </c>
      <c r="Z50" s="66">
        <f t="shared" si="2"/>
        <v>0</v>
      </c>
      <c r="AA50" s="66">
        <f t="shared" si="2"/>
        <v>0</v>
      </c>
      <c r="AB50" s="33"/>
    </row>
    <row r="51" spans="1:28" x14ac:dyDescent="0.25">
      <c r="A51" s="63" t="s">
        <v>236</v>
      </c>
      <c r="B51" s="64">
        <f>SUMIFS(CONSOLIDADO!$F:$F,CONSOLIDADO!$E:$E,$A51,CONSOLIDADO!$I:$I,A$3,CONSOLIDADO!$I:$I,A$4,CONSOLIDADO!$K:$K,"&lt;&gt;NOVO")</f>
        <v>0</v>
      </c>
      <c r="C51" s="64">
        <f>SUMIFS(CONSOLIDADO!$F:$F,CONSOLIDADO!$E:$E,$A51,CONSOLIDADO!$I:$I,B$3,CONSOLIDADO!$I:$I,B$4,CONSOLIDADO!$K:$K,"&lt;&gt;NOVO")</f>
        <v>12</v>
      </c>
      <c r="D51" s="64">
        <f>SUMIFS(CONSOLIDADO!$F:$F,CONSOLIDADO!$E:$E,$A51,CONSOLIDADO!$I:$I,C$3,CONSOLIDADO!$I:$I,C$4,CONSOLIDADO!$K:$K,"&lt;&gt;NOVO")</f>
        <v>0</v>
      </c>
      <c r="E51" s="64">
        <f>SUMIFS(CONSOLIDADO!$F:$F,CONSOLIDADO!$E:$E,$A51,CONSOLIDADO!$I:$I,D$3,CONSOLIDADO!$I:$I,D$4,CONSOLIDADO!$K:$K,"&lt;&gt;NOVO")</f>
        <v>0</v>
      </c>
      <c r="F51" s="64">
        <f>SUMIFS(CONSOLIDADO!$F:$F,CONSOLIDADO!$E:$E,$A51,CONSOLIDADO!$I:$I,E$3,CONSOLIDADO!$I:$I,E$4,CONSOLIDADO!$K:$K,"&lt;&gt;NOVO")</f>
        <v>0</v>
      </c>
      <c r="G51" s="64">
        <f>SUMIFS(CONSOLIDADO!$F:$F,CONSOLIDADO!$E:$E,$A51,CONSOLIDADO!$I:$I,F$3,CONSOLIDADO!$I:$I,F$4,CONSOLIDADO!$K:$K,"&lt;&gt;NOVO")</f>
        <v>0</v>
      </c>
      <c r="H51" s="64">
        <f>SUMIFS(CONSOLIDADO!$F:$F,CONSOLIDADO!$E:$E,$A51,CONSOLIDADO!$I:$I,G$3,CONSOLIDADO!$I:$I,G$4,CONSOLIDADO!$K:$K,"&lt;&gt;NOVO")</f>
        <v>0</v>
      </c>
      <c r="I51" s="64">
        <f>SUMIFS(CONSOLIDADO!$F:$F,CONSOLIDADO!$E:$E,$A51,CONSOLIDADO!$I:$I,H$3,CONSOLIDADO!$I:$I,H$4,CONSOLIDADO!$K:$K,"&lt;&gt;NOVO")</f>
        <v>0</v>
      </c>
      <c r="J51" s="64">
        <f>SUMIFS(CONSOLIDADO!$F:$F,CONSOLIDADO!$E:$E,$A51,CONSOLIDADO!$I:$I,I$3,CONSOLIDADO!$I:$I,I$4,CONSOLIDADO!$K:$K,"&lt;&gt;NOVO")</f>
        <v>0</v>
      </c>
      <c r="K51" s="64">
        <f>SUMIFS(CONSOLIDADO!$F:$F,CONSOLIDADO!$E:$E,$A51,CONSOLIDADO!$I:$I,J$3,CONSOLIDADO!$I:$I,J$4,CONSOLIDADO!$K:$K,"&lt;&gt;NOVO")</f>
        <v>0</v>
      </c>
      <c r="L51" s="64">
        <f>SUMIFS(CONSOLIDADO!$F:$F,CONSOLIDADO!$E:$E,$A51,CONSOLIDADO!$I:$I,K$3,CONSOLIDADO!$I:$I,K$4,CONSOLIDADO!$K:$K,"&lt;&gt;NOVO")</f>
        <v>0</v>
      </c>
      <c r="M51" s="64">
        <f>SUMIFS(CONSOLIDADO!$F:$F,CONSOLIDADO!$E:$E,$A51,CONSOLIDADO!$I:$I,L$3,CONSOLIDADO!$I:$I,L$4,CONSOLIDADO!$K:$K,"&lt;&gt;NOVO")</f>
        <v>0</v>
      </c>
      <c r="N51" s="66">
        <v>4655.38</v>
      </c>
      <c r="O51" s="65">
        <v>0.8</v>
      </c>
      <c r="P51" s="66">
        <f t="shared" si="2"/>
        <v>0</v>
      </c>
      <c r="Q51" s="66">
        <f t="shared" si="2"/>
        <v>11172.911999999997</v>
      </c>
      <c r="R51" s="66">
        <f t="shared" si="2"/>
        <v>0</v>
      </c>
      <c r="S51" s="66">
        <f t="shared" si="2"/>
        <v>0</v>
      </c>
      <c r="T51" s="66">
        <f t="shared" si="2"/>
        <v>0</v>
      </c>
      <c r="U51" s="66">
        <f t="shared" si="2"/>
        <v>0</v>
      </c>
      <c r="V51" s="66">
        <f t="shared" si="2"/>
        <v>0</v>
      </c>
      <c r="W51" s="66">
        <f t="shared" si="2"/>
        <v>0</v>
      </c>
      <c r="X51" s="66">
        <f t="shared" si="2"/>
        <v>0</v>
      </c>
      <c r="Y51" s="66">
        <f t="shared" si="2"/>
        <v>0</v>
      </c>
      <c r="Z51" s="66">
        <f t="shared" si="2"/>
        <v>0</v>
      </c>
      <c r="AA51" s="66">
        <f t="shared" si="2"/>
        <v>0</v>
      </c>
      <c r="AB51" s="33"/>
    </row>
    <row r="52" spans="1:28" x14ac:dyDescent="0.25">
      <c r="A52" s="63" t="s">
        <v>129</v>
      </c>
      <c r="B52" s="64">
        <f>SUMIFS(CONSOLIDADO!$F:$F,CONSOLIDADO!$E:$E,$A52,CONSOLIDADO!$I:$I,A$3,CONSOLIDADO!$I:$I,A$4,CONSOLIDADO!$K:$K,"&lt;&gt;NOVO")</f>
        <v>1</v>
      </c>
      <c r="C52" s="64">
        <f>SUMIFS(CONSOLIDADO!$F:$F,CONSOLIDADO!$E:$E,$A52,CONSOLIDADO!$I:$I,B$3,CONSOLIDADO!$I:$I,B$4,CONSOLIDADO!$K:$K,"&lt;&gt;NOVO")</f>
        <v>0</v>
      </c>
      <c r="D52" s="64">
        <f>SUMIFS(CONSOLIDADO!$F:$F,CONSOLIDADO!$E:$E,$A52,CONSOLIDADO!$I:$I,C$3,CONSOLIDADO!$I:$I,C$4,CONSOLIDADO!$K:$K,"&lt;&gt;NOVO")</f>
        <v>0</v>
      </c>
      <c r="E52" s="64">
        <f>SUMIFS(CONSOLIDADO!$F:$F,CONSOLIDADO!$E:$E,$A52,CONSOLIDADO!$I:$I,D$3,CONSOLIDADO!$I:$I,D$4,CONSOLIDADO!$K:$K,"&lt;&gt;NOVO")</f>
        <v>0</v>
      </c>
      <c r="F52" s="64">
        <f>SUMIFS(CONSOLIDADO!$F:$F,CONSOLIDADO!$E:$E,$A52,CONSOLIDADO!$I:$I,E$3,CONSOLIDADO!$I:$I,E$4,CONSOLIDADO!$K:$K,"&lt;&gt;NOVO")</f>
        <v>0</v>
      </c>
      <c r="G52" s="64">
        <f>SUMIFS(CONSOLIDADO!$F:$F,CONSOLIDADO!$E:$E,$A52,CONSOLIDADO!$I:$I,F$3,CONSOLIDADO!$I:$I,F$4,CONSOLIDADO!$K:$K,"&lt;&gt;NOVO")</f>
        <v>0</v>
      </c>
      <c r="H52" s="64">
        <f>SUMIFS(CONSOLIDADO!$F:$F,CONSOLIDADO!$E:$E,$A52,CONSOLIDADO!$I:$I,G$3,CONSOLIDADO!$I:$I,G$4,CONSOLIDADO!$K:$K,"&lt;&gt;NOVO")</f>
        <v>0</v>
      </c>
      <c r="I52" s="64">
        <f>SUMIFS(CONSOLIDADO!$F:$F,CONSOLIDADO!$E:$E,$A52,CONSOLIDADO!$I:$I,H$3,CONSOLIDADO!$I:$I,H$4,CONSOLIDADO!$K:$K,"&lt;&gt;NOVO")</f>
        <v>0</v>
      </c>
      <c r="J52" s="64">
        <f>SUMIFS(CONSOLIDADO!$F:$F,CONSOLIDADO!$E:$E,$A52,CONSOLIDADO!$I:$I,I$3,CONSOLIDADO!$I:$I,I$4,CONSOLIDADO!$K:$K,"&lt;&gt;NOVO")</f>
        <v>0</v>
      </c>
      <c r="K52" s="64">
        <f>SUMIFS(CONSOLIDADO!$F:$F,CONSOLIDADO!$E:$E,$A52,CONSOLIDADO!$I:$I,J$3,CONSOLIDADO!$I:$I,J$4,CONSOLIDADO!$K:$K,"&lt;&gt;NOVO")</f>
        <v>0</v>
      </c>
      <c r="L52" s="64">
        <f>SUMIFS(CONSOLIDADO!$F:$F,CONSOLIDADO!$E:$E,$A52,CONSOLIDADO!$I:$I,K$3,CONSOLIDADO!$I:$I,K$4,CONSOLIDADO!$K:$K,"&lt;&gt;NOVO")</f>
        <v>0</v>
      </c>
      <c r="M52" s="64">
        <f>SUMIFS(CONSOLIDADO!$F:$F,CONSOLIDADO!$E:$E,$A52,CONSOLIDADO!$I:$I,L$3,CONSOLIDADO!$I:$I,L$4,CONSOLIDADO!$K:$K,"&lt;&gt;NOVO")</f>
        <v>0</v>
      </c>
      <c r="N52" s="66">
        <v>1075.51</v>
      </c>
      <c r="O52" s="65">
        <v>0.8</v>
      </c>
      <c r="P52" s="66">
        <f t="shared" si="2"/>
        <v>215.10199999999995</v>
      </c>
      <c r="Q52" s="66">
        <f t="shared" si="2"/>
        <v>0</v>
      </c>
      <c r="R52" s="66">
        <f t="shared" si="2"/>
        <v>0</v>
      </c>
      <c r="S52" s="66">
        <f t="shared" si="2"/>
        <v>0</v>
      </c>
      <c r="T52" s="66">
        <f t="shared" si="2"/>
        <v>0</v>
      </c>
      <c r="U52" s="66">
        <f t="shared" si="2"/>
        <v>0</v>
      </c>
      <c r="V52" s="66">
        <f t="shared" si="2"/>
        <v>0</v>
      </c>
      <c r="W52" s="66">
        <f t="shared" si="2"/>
        <v>0</v>
      </c>
      <c r="X52" s="66">
        <f t="shared" si="2"/>
        <v>0</v>
      </c>
      <c r="Y52" s="66">
        <f t="shared" si="2"/>
        <v>0</v>
      </c>
      <c r="Z52" s="66">
        <f t="shared" si="2"/>
        <v>0</v>
      </c>
      <c r="AA52" s="66">
        <f t="shared" si="2"/>
        <v>0</v>
      </c>
      <c r="AB52" s="33"/>
    </row>
    <row r="53" spans="1:28" x14ac:dyDescent="0.25">
      <c r="A53" s="63" t="s">
        <v>641</v>
      </c>
      <c r="B53" s="64">
        <f>SUMIFS(CONSOLIDADO!$F:$F,CONSOLIDADO!$E:$E,$A53,CONSOLIDADO!$I:$I,A$3,CONSOLIDADO!$I:$I,A$4,CONSOLIDADO!$K:$K,"&lt;&gt;NOVO")</f>
        <v>0</v>
      </c>
      <c r="C53" s="64">
        <f>SUMIFS(CONSOLIDADO!$F:$F,CONSOLIDADO!$E:$E,$A53,CONSOLIDADO!$I:$I,B$3,CONSOLIDADO!$I:$I,B$4,CONSOLIDADO!$K:$K,"&lt;&gt;NOVO")</f>
        <v>0</v>
      </c>
      <c r="D53" s="64">
        <f>SUMIFS(CONSOLIDADO!$F:$F,CONSOLIDADO!$E:$E,$A53,CONSOLIDADO!$I:$I,C$3,CONSOLIDADO!$I:$I,C$4,CONSOLIDADO!$K:$K,"&lt;&gt;NOVO")</f>
        <v>0</v>
      </c>
      <c r="E53" s="64">
        <f>SUMIFS(CONSOLIDADO!$F:$F,CONSOLIDADO!$E:$E,$A53,CONSOLIDADO!$I:$I,D$3,CONSOLIDADO!$I:$I,D$4,CONSOLIDADO!$K:$K,"&lt;&gt;NOVO")</f>
        <v>0</v>
      </c>
      <c r="F53" s="64">
        <f>SUMIFS(CONSOLIDADO!$F:$F,CONSOLIDADO!$E:$E,$A53,CONSOLIDADO!$I:$I,E$3,CONSOLIDADO!$I:$I,E$4,CONSOLIDADO!$K:$K,"&lt;&gt;NOVO")</f>
        <v>0</v>
      </c>
      <c r="G53" s="64">
        <f>SUMIFS(CONSOLIDADO!$F:$F,CONSOLIDADO!$E:$E,$A53,CONSOLIDADO!$I:$I,F$3,CONSOLIDADO!$I:$I,F$4,CONSOLIDADO!$K:$K,"&lt;&gt;NOVO")</f>
        <v>0</v>
      </c>
      <c r="H53" s="64">
        <f>SUMIFS(CONSOLIDADO!$F:$F,CONSOLIDADO!$E:$E,$A53,CONSOLIDADO!$I:$I,G$3,CONSOLIDADO!$I:$I,G$4,CONSOLIDADO!$K:$K,"&lt;&gt;NOVO")</f>
        <v>0</v>
      </c>
      <c r="I53" s="64">
        <f>SUMIFS(CONSOLIDADO!$F:$F,CONSOLIDADO!$E:$E,$A53,CONSOLIDADO!$I:$I,H$3,CONSOLIDADO!$I:$I,H$4,CONSOLIDADO!$K:$K,"&lt;&gt;NOVO")</f>
        <v>0</v>
      </c>
      <c r="J53" s="64">
        <f>SUMIFS(CONSOLIDADO!$F:$F,CONSOLIDADO!$E:$E,$A53,CONSOLIDADO!$I:$I,I$3,CONSOLIDADO!$I:$I,I$4,CONSOLIDADO!$K:$K,"&lt;&gt;NOVO")</f>
        <v>0</v>
      </c>
      <c r="K53" s="64">
        <f>SUMIFS(CONSOLIDADO!$F:$F,CONSOLIDADO!$E:$E,$A53,CONSOLIDADO!$I:$I,J$3,CONSOLIDADO!$I:$I,J$4,CONSOLIDADO!$K:$K,"&lt;&gt;NOVO")</f>
        <v>0</v>
      </c>
      <c r="L53" s="64">
        <f>SUMIFS(CONSOLIDADO!$F:$F,CONSOLIDADO!$E:$E,$A53,CONSOLIDADO!$I:$I,K$3,CONSOLIDADO!$I:$I,K$4,CONSOLIDADO!$K:$K,"&lt;&gt;NOVO")</f>
        <v>0</v>
      </c>
      <c r="M53" s="64">
        <f>SUMIFS(CONSOLIDADO!$F:$F,CONSOLIDADO!$E:$E,$A53,CONSOLIDADO!$I:$I,L$3,CONSOLIDADO!$I:$I,L$4,CONSOLIDADO!$K:$K,"&lt;&gt;NOVO")</f>
        <v>0</v>
      </c>
      <c r="N53" s="66">
        <v>606.47</v>
      </c>
      <c r="O53" s="65">
        <v>0.8</v>
      </c>
      <c r="P53" s="66">
        <f t="shared" si="2"/>
        <v>0</v>
      </c>
      <c r="Q53" s="66">
        <f t="shared" si="2"/>
        <v>0</v>
      </c>
      <c r="R53" s="66">
        <f t="shared" si="2"/>
        <v>0</v>
      </c>
      <c r="S53" s="66">
        <f t="shared" si="2"/>
        <v>0</v>
      </c>
      <c r="T53" s="66">
        <f t="shared" si="2"/>
        <v>0</v>
      </c>
      <c r="U53" s="66">
        <f t="shared" si="2"/>
        <v>0</v>
      </c>
      <c r="V53" s="66">
        <f t="shared" si="2"/>
        <v>0</v>
      </c>
      <c r="W53" s="66">
        <f t="shared" si="2"/>
        <v>0</v>
      </c>
      <c r="X53" s="66">
        <f t="shared" si="2"/>
        <v>0</v>
      </c>
      <c r="Y53" s="66">
        <f t="shared" si="2"/>
        <v>0</v>
      </c>
      <c r="Z53" s="66">
        <f t="shared" si="2"/>
        <v>0</v>
      </c>
      <c r="AA53" s="66">
        <f t="shared" si="2"/>
        <v>0</v>
      </c>
      <c r="AB53" s="33"/>
    </row>
    <row r="54" spans="1:28" x14ac:dyDescent="0.25">
      <c r="A54" s="63" t="s">
        <v>642</v>
      </c>
      <c r="B54" s="64">
        <f>SUMIFS(CONSOLIDADO!$F:$F,CONSOLIDADO!$E:$E,$A54,CONSOLIDADO!$I:$I,A$3,CONSOLIDADO!$I:$I,A$4,CONSOLIDADO!$K:$K,"&lt;&gt;NOVO")</f>
        <v>0</v>
      </c>
      <c r="C54" s="64">
        <f>SUMIFS(CONSOLIDADO!$F:$F,CONSOLIDADO!$E:$E,$A54,CONSOLIDADO!$I:$I,B$3,CONSOLIDADO!$I:$I,B$4,CONSOLIDADO!$K:$K,"&lt;&gt;NOVO")</f>
        <v>0</v>
      </c>
      <c r="D54" s="64">
        <f>SUMIFS(CONSOLIDADO!$F:$F,CONSOLIDADO!$E:$E,$A54,CONSOLIDADO!$I:$I,C$3,CONSOLIDADO!$I:$I,C$4,CONSOLIDADO!$K:$K,"&lt;&gt;NOVO")</f>
        <v>0</v>
      </c>
      <c r="E54" s="64">
        <f>SUMIFS(CONSOLIDADO!$F:$F,CONSOLIDADO!$E:$E,$A54,CONSOLIDADO!$I:$I,D$3,CONSOLIDADO!$I:$I,D$4,CONSOLIDADO!$K:$K,"&lt;&gt;NOVO")</f>
        <v>0</v>
      </c>
      <c r="F54" s="64">
        <f>SUMIFS(CONSOLIDADO!$F:$F,CONSOLIDADO!$E:$E,$A54,CONSOLIDADO!$I:$I,E$3,CONSOLIDADO!$I:$I,E$4,CONSOLIDADO!$K:$K,"&lt;&gt;NOVO")</f>
        <v>0</v>
      </c>
      <c r="G54" s="64">
        <f>SUMIFS(CONSOLIDADO!$F:$F,CONSOLIDADO!$E:$E,$A54,CONSOLIDADO!$I:$I,F$3,CONSOLIDADO!$I:$I,F$4,CONSOLIDADO!$K:$K,"&lt;&gt;NOVO")</f>
        <v>0</v>
      </c>
      <c r="H54" s="64">
        <f>SUMIFS(CONSOLIDADO!$F:$F,CONSOLIDADO!$E:$E,$A54,CONSOLIDADO!$I:$I,G$3,CONSOLIDADO!$I:$I,G$4,CONSOLIDADO!$K:$K,"&lt;&gt;NOVO")</f>
        <v>0</v>
      </c>
      <c r="I54" s="64">
        <f>SUMIFS(CONSOLIDADO!$F:$F,CONSOLIDADO!$E:$E,$A54,CONSOLIDADO!$I:$I,H$3,CONSOLIDADO!$I:$I,H$4,CONSOLIDADO!$K:$K,"&lt;&gt;NOVO")</f>
        <v>0</v>
      </c>
      <c r="J54" s="64">
        <f>SUMIFS(CONSOLIDADO!$F:$F,CONSOLIDADO!$E:$E,$A54,CONSOLIDADO!$I:$I,I$3,CONSOLIDADO!$I:$I,I$4,CONSOLIDADO!$K:$K,"&lt;&gt;NOVO")</f>
        <v>0</v>
      </c>
      <c r="K54" s="64">
        <f>SUMIFS(CONSOLIDADO!$F:$F,CONSOLIDADO!$E:$E,$A54,CONSOLIDADO!$I:$I,J$3,CONSOLIDADO!$I:$I,J$4,CONSOLIDADO!$K:$K,"&lt;&gt;NOVO")</f>
        <v>0</v>
      </c>
      <c r="L54" s="64">
        <f>SUMIFS(CONSOLIDADO!$F:$F,CONSOLIDADO!$E:$E,$A54,CONSOLIDADO!$I:$I,K$3,CONSOLIDADO!$I:$I,K$4,CONSOLIDADO!$K:$K,"&lt;&gt;NOVO")</f>
        <v>0</v>
      </c>
      <c r="M54" s="64">
        <f>SUMIFS(CONSOLIDADO!$F:$F,CONSOLIDADO!$E:$E,$A54,CONSOLIDADO!$I:$I,L$3,CONSOLIDADO!$I:$I,L$4,CONSOLIDADO!$K:$K,"&lt;&gt;NOVO")</f>
        <v>0</v>
      </c>
      <c r="N54" s="66">
        <v>283.75</v>
      </c>
      <c r="O54" s="65">
        <v>0.8</v>
      </c>
      <c r="P54" s="66">
        <f t="shared" si="2"/>
        <v>0</v>
      </c>
      <c r="Q54" s="66">
        <f t="shared" si="2"/>
        <v>0</v>
      </c>
      <c r="R54" s="66">
        <f t="shared" si="2"/>
        <v>0</v>
      </c>
      <c r="S54" s="66">
        <f t="shared" si="2"/>
        <v>0</v>
      </c>
      <c r="T54" s="66">
        <f t="shared" si="2"/>
        <v>0</v>
      </c>
      <c r="U54" s="66">
        <f t="shared" si="2"/>
        <v>0</v>
      </c>
      <c r="V54" s="66">
        <f t="shared" si="2"/>
        <v>0</v>
      </c>
      <c r="W54" s="66">
        <f t="shared" si="2"/>
        <v>0</v>
      </c>
      <c r="X54" s="66">
        <f t="shared" si="2"/>
        <v>0</v>
      </c>
      <c r="Y54" s="66">
        <f t="shared" si="2"/>
        <v>0</v>
      </c>
      <c r="Z54" s="66">
        <f t="shared" si="2"/>
        <v>0</v>
      </c>
      <c r="AA54" s="66">
        <f t="shared" si="2"/>
        <v>0</v>
      </c>
      <c r="AB54" s="33"/>
    </row>
    <row r="55" spans="1:28" x14ac:dyDescent="0.25">
      <c r="A55" s="63" t="s">
        <v>643</v>
      </c>
      <c r="B55" s="64">
        <f>SUMIFS(CONSOLIDADO!$F:$F,CONSOLIDADO!$E:$E,$A55,CONSOLIDADO!$I:$I,A$3,CONSOLIDADO!$I:$I,A$4,CONSOLIDADO!$K:$K,"&lt;&gt;NOVO")</f>
        <v>0</v>
      </c>
      <c r="C55" s="64">
        <f>SUMIFS(CONSOLIDADO!$F:$F,CONSOLIDADO!$E:$E,$A55,CONSOLIDADO!$I:$I,B$3,CONSOLIDADO!$I:$I,B$4,CONSOLIDADO!$K:$K,"&lt;&gt;NOVO")</f>
        <v>0</v>
      </c>
      <c r="D55" s="64">
        <f>SUMIFS(CONSOLIDADO!$F:$F,CONSOLIDADO!$E:$E,$A55,CONSOLIDADO!$I:$I,C$3,CONSOLIDADO!$I:$I,C$4,CONSOLIDADO!$K:$K,"&lt;&gt;NOVO")</f>
        <v>0</v>
      </c>
      <c r="E55" s="64">
        <f>SUMIFS(CONSOLIDADO!$F:$F,CONSOLIDADO!$E:$E,$A55,CONSOLIDADO!$I:$I,D$3,CONSOLIDADO!$I:$I,D$4,CONSOLIDADO!$K:$K,"&lt;&gt;NOVO")</f>
        <v>0</v>
      </c>
      <c r="F55" s="64">
        <f>SUMIFS(CONSOLIDADO!$F:$F,CONSOLIDADO!$E:$E,$A55,CONSOLIDADO!$I:$I,E$3,CONSOLIDADO!$I:$I,E$4,CONSOLIDADO!$K:$K,"&lt;&gt;NOVO")</f>
        <v>0</v>
      </c>
      <c r="G55" s="64">
        <f>SUMIFS(CONSOLIDADO!$F:$F,CONSOLIDADO!$E:$E,$A55,CONSOLIDADO!$I:$I,F$3,CONSOLIDADO!$I:$I,F$4,CONSOLIDADO!$K:$K,"&lt;&gt;NOVO")</f>
        <v>0</v>
      </c>
      <c r="H55" s="64">
        <f>SUMIFS(CONSOLIDADO!$F:$F,CONSOLIDADO!$E:$E,$A55,CONSOLIDADO!$I:$I,G$3,CONSOLIDADO!$I:$I,G$4,CONSOLIDADO!$K:$K,"&lt;&gt;NOVO")</f>
        <v>0</v>
      </c>
      <c r="I55" s="64">
        <f>SUMIFS(CONSOLIDADO!$F:$F,CONSOLIDADO!$E:$E,$A55,CONSOLIDADO!$I:$I,H$3,CONSOLIDADO!$I:$I,H$4,CONSOLIDADO!$K:$K,"&lt;&gt;NOVO")</f>
        <v>0</v>
      </c>
      <c r="J55" s="64">
        <f>SUMIFS(CONSOLIDADO!$F:$F,CONSOLIDADO!$E:$E,$A55,CONSOLIDADO!$I:$I,I$3,CONSOLIDADO!$I:$I,I$4,CONSOLIDADO!$K:$K,"&lt;&gt;NOVO")</f>
        <v>0</v>
      </c>
      <c r="K55" s="64">
        <f>SUMIFS(CONSOLIDADO!$F:$F,CONSOLIDADO!$E:$E,$A55,CONSOLIDADO!$I:$I,J$3,CONSOLIDADO!$I:$I,J$4,CONSOLIDADO!$K:$K,"&lt;&gt;NOVO")</f>
        <v>0</v>
      </c>
      <c r="L55" s="64">
        <f>SUMIFS(CONSOLIDADO!$F:$F,CONSOLIDADO!$E:$E,$A55,CONSOLIDADO!$I:$I,K$3,CONSOLIDADO!$I:$I,K$4,CONSOLIDADO!$K:$K,"&lt;&gt;NOVO")</f>
        <v>0</v>
      </c>
      <c r="M55" s="64">
        <f>SUMIFS(CONSOLIDADO!$F:$F,CONSOLIDADO!$E:$E,$A55,CONSOLIDADO!$I:$I,L$3,CONSOLIDADO!$I:$I,L$4,CONSOLIDADO!$K:$K,"&lt;&gt;NOVO")</f>
        <v>0</v>
      </c>
      <c r="N55" s="66">
        <v>1116.1300000000001</v>
      </c>
      <c r="O55" s="65">
        <v>0.8</v>
      </c>
      <c r="P55" s="66">
        <f t="shared" si="2"/>
        <v>0</v>
      </c>
      <c r="Q55" s="66">
        <f t="shared" si="2"/>
        <v>0</v>
      </c>
      <c r="R55" s="66">
        <f t="shared" si="2"/>
        <v>0</v>
      </c>
      <c r="S55" s="66">
        <f t="shared" si="2"/>
        <v>0</v>
      </c>
      <c r="T55" s="66">
        <f t="shared" si="2"/>
        <v>0</v>
      </c>
      <c r="U55" s="66">
        <f t="shared" si="2"/>
        <v>0</v>
      </c>
      <c r="V55" s="66">
        <f t="shared" si="2"/>
        <v>0</v>
      </c>
      <c r="W55" s="66">
        <f t="shared" si="2"/>
        <v>0</v>
      </c>
      <c r="X55" s="66">
        <f t="shared" si="2"/>
        <v>0</v>
      </c>
      <c r="Y55" s="66">
        <f t="shared" si="2"/>
        <v>0</v>
      </c>
      <c r="Z55" s="66">
        <f t="shared" si="2"/>
        <v>0</v>
      </c>
      <c r="AA55" s="66">
        <f t="shared" si="2"/>
        <v>0</v>
      </c>
      <c r="AB55" s="33"/>
    </row>
    <row r="56" spans="1:28" x14ac:dyDescent="0.25">
      <c r="A56" s="63" t="s">
        <v>644</v>
      </c>
      <c r="B56" s="64">
        <f>SUMIFS(CONSOLIDADO!$F:$F,CONSOLIDADO!$E:$E,$A56,CONSOLIDADO!$I:$I,A$3,CONSOLIDADO!$I:$I,A$4,CONSOLIDADO!$K:$K,"&lt;&gt;NOVO")</f>
        <v>0</v>
      </c>
      <c r="C56" s="64">
        <f>SUMIFS(CONSOLIDADO!$F:$F,CONSOLIDADO!$E:$E,$A56,CONSOLIDADO!$I:$I,B$3,CONSOLIDADO!$I:$I,B$4,CONSOLIDADO!$K:$K,"&lt;&gt;NOVO")</f>
        <v>0</v>
      </c>
      <c r="D56" s="64">
        <f>SUMIFS(CONSOLIDADO!$F:$F,CONSOLIDADO!$E:$E,$A56,CONSOLIDADO!$I:$I,C$3,CONSOLIDADO!$I:$I,C$4,CONSOLIDADO!$K:$K,"&lt;&gt;NOVO")</f>
        <v>0</v>
      </c>
      <c r="E56" s="64">
        <f>SUMIFS(CONSOLIDADO!$F:$F,CONSOLIDADO!$E:$E,$A56,CONSOLIDADO!$I:$I,D$3,CONSOLIDADO!$I:$I,D$4,CONSOLIDADO!$K:$K,"&lt;&gt;NOVO")</f>
        <v>0</v>
      </c>
      <c r="F56" s="64">
        <f>SUMIFS(CONSOLIDADO!$F:$F,CONSOLIDADO!$E:$E,$A56,CONSOLIDADO!$I:$I,E$3,CONSOLIDADO!$I:$I,E$4,CONSOLIDADO!$K:$K,"&lt;&gt;NOVO")</f>
        <v>0</v>
      </c>
      <c r="G56" s="64">
        <f>SUMIFS(CONSOLIDADO!$F:$F,CONSOLIDADO!$E:$E,$A56,CONSOLIDADO!$I:$I,F$3,CONSOLIDADO!$I:$I,F$4,CONSOLIDADO!$K:$K,"&lt;&gt;NOVO")</f>
        <v>0</v>
      </c>
      <c r="H56" s="64">
        <f>SUMIFS(CONSOLIDADO!$F:$F,CONSOLIDADO!$E:$E,$A56,CONSOLIDADO!$I:$I,G$3,CONSOLIDADO!$I:$I,G$4,CONSOLIDADO!$K:$K,"&lt;&gt;NOVO")</f>
        <v>0</v>
      </c>
      <c r="I56" s="64">
        <f>SUMIFS(CONSOLIDADO!$F:$F,CONSOLIDADO!$E:$E,$A56,CONSOLIDADO!$I:$I,H$3,CONSOLIDADO!$I:$I,H$4,CONSOLIDADO!$K:$K,"&lt;&gt;NOVO")</f>
        <v>0</v>
      </c>
      <c r="J56" s="64">
        <f>SUMIFS(CONSOLIDADO!$F:$F,CONSOLIDADO!$E:$E,$A56,CONSOLIDADO!$I:$I,I$3,CONSOLIDADO!$I:$I,I$4,CONSOLIDADO!$K:$K,"&lt;&gt;NOVO")</f>
        <v>0</v>
      </c>
      <c r="K56" s="64">
        <f>SUMIFS(CONSOLIDADO!$F:$F,CONSOLIDADO!$E:$E,$A56,CONSOLIDADO!$I:$I,J$3,CONSOLIDADO!$I:$I,J$4,CONSOLIDADO!$K:$K,"&lt;&gt;NOVO")</f>
        <v>0</v>
      </c>
      <c r="L56" s="64">
        <f>SUMIFS(CONSOLIDADO!$F:$F,CONSOLIDADO!$E:$E,$A56,CONSOLIDADO!$I:$I,K$3,CONSOLIDADO!$I:$I,K$4,CONSOLIDADO!$K:$K,"&lt;&gt;NOVO")</f>
        <v>0</v>
      </c>
      <c r="M56" s="64">
        <f>SUMIFS(CONSOLIDADO!$F:$F,CONSOLIDADO!$E:$E,$A56,CONSOLIDADO!$I:$I,L$3,CONSOLIDADO!$I:$I,L$4,CONSOLIDADO!$K:$K,"&lt;&gt;NOVO")</f>
        <v>0</v>
      </c>
      <c r="N56" s="66">
        <v>1116.1300000000001</v>
      </c>
      <c r="O56" s="65">
        <v>0.8</v>
      </c>
      <c r="P56" s="66">
        <f t="shared" si="2"/>
        <v>0</v>
      </c>
      <c r="Q56" s="66">
        <f t="shared" si="2"/>
        <v>0</v>
      </c>
      <c r="R56" s="66">
        <f t="shared" si="2"/>
        <v>0</v>
      </c>
      <c r="S56" s="66">
        <f t="shared" si="2"/>
        <v>0</v>
      </c>
      <c r="T56" s="66">
        <f t="shared" si="2"/>
        <v>0</v>
      </c>
      <c r="U56" s="66">
        <f t="shared" si="2"/>
        <v>0</v>
      </c>
      <c r="V56" s="66">
        <f t="shared" si="2"/>
        <v>0</v>
      </c>
      <c r="W56" s="66">
        <f t="shared" si="2"/>
        <v>0</v>
      </c>
      <c r="X56" s="66">
        <f t="shared" si="2"/>
        <v>0</v>
      </c>
      <c r="Y56" s="66">
        <f t="shared" si="2"/>
        <v>0</v>
      </c>
      <c r="Z56" s="66">
        <f t="shared" si="2"/>
        <v>0</v>
      </c>
      <c r="AA56" s="66">
        <f t="shared" si="2"/>
        <v>0</v>
      </c>
      <c r="AB56" s="33"/>
    </row>
    <row r="57" spans="1:28" x14ac:dyDescent="0.25">
      <c r="A57" s="63" t="s">
        <v>115</v>
      </c>
      <c r="B57" s="64">
        <f>SUMIFS(CONSOLIDADO!$F:$F,CONSOLIDADO!$E:$E,$A57,CONSOLIDADO!$I:$I,A$3,CONSOLIDADO!$I:$I,A$4,CONSOLIDADO!$K:$K,"&lt;&gt;NOVO")</f>
        <v>4</v>
      </c>
      <c r="C57" s="64">
        <f>SUMIFS(CONSOLIDADO!$F:$F,CONSOLIDADO!$E:$E,$A57,CONSOLIDADO!$I:$I,B$3,CONSOLIDADO!$I:$I,B$4,CONSOLIDADO!$K:$K,"&lt;&gt;NOVO")</f>
        <v>1</v>
      </c>
      <c r="D57" s="64">
        <f>SUMIFS(CONSOLIDADO!$F:$F,CONSOLIDADO!$E:$E,$A57,CONSOLIDADO!$I:$I,C$3,CONSOLIDADO!$I:$I,C$4,CONSOLIDADO!$K:$K,"&lt;&gt;NOVO")</f>
        <v>38</v>
      </c>
      <c r="E57" s="64">
        <f>SUMIFS(CONSOLIDADO!$F:$F,CONSOLIDADO!$E:$E,$A57,CONSOLIDADO!$I:$I,D$3,CONSOLIDADO!$I:$I,D$4,CONSOLIDADO!$K:$K,"&lt;&gt;NOVO")</f>
        <v>3</v>
      </c>
      <c r="F57" s="64">
        <f>SUMIFS(CONSOLIDADO!$F:$F,CONSOLIDADO!$E:$E,$A57,CONSOLIDADO!$I:$I,E$3,CONSOLIDADO!$I:$I,E$4,CONSOLIDADO!$K:$K,"&lt;&gt;NOVO")</f>
        <v>0</v>
      </c>
      <c r="G57" s="64">
        <f>SUMIFS(CONSOLIDADO!$F:$F,CONSOLIDADO!$E:$E,$A57,CONSOLIDADO!$I:$I,F$3,CONSOLIDADO!$I:$I,F$4,CONSOLIDADO!$K:$K,"&lt;&gt;NOVO")</f>
        <v>0</v>
      </c>
      <c r="H57" s="64">
        <f>SUMIFS(CONSOLIDADO!$F:$F,CONSOLIDADO!$E:$E,$A57,CONSOLIDADO!$I:$I,G$3,CONSOLIDADO!$I:$I,G$4,CONSOLIDADO!$K:$K,"&lt;&gt;NOVO")</f>
        <v>0</v>
      </c>
      <c r="I57" s="64">
        <f>SUMIFS(CONSOLIDADO!$F:$F,CONSOLIDADO!$E:$E,$A57,CONSOLIDADO!$I:$I,H$3,CONSOLIDADO!$I:$I,H$4,CONSOLIDADO!$K:$K,"&lt;&gt;NOVO")</f>
        <v>0</v>
      </c>
      <c r="J57" s="64">
        <f>SUMIFS(CONSOLIDADO!$F:$F,CONSOLIDADO!$E:$E,$A57,CONSOLIDADO!$I:$I,I$3,CONSOLIDADO!$I:$I,I$4,CONSOLIDADO!$K:$K,"&lt;&gt;NOVO")</f>
        <v>0</v>
      </c>
      <c r="K57" s="64">
        <f>SUMIFS(CONSOLIDADO!$F:$F,CONSOLIDADO!$E:$E,$A57,CONSOLIDADO!$I:$I,J$3,CONSOLIDADO!$I:$I,J$4,CONSOLIDADO!$K:$K,"&lt;&gt;NOVO")</f>
        <v>0</v>
      </c>
      <c r="L57" s="64">
        <f>SUMIFS(CONSOLIDADO!$F:$F,CONSOLIDADO!$E:$E,$A57,CONSOLIDADO!$I:$I,K$3,CONSOLIDADO!$I:$I,K$4,CONSOLIDADO!$K:$K,"&lt;&gt;NOVO")</f>
        <v>0</v>
      </c>
      <c r="M57" s="64">
        <f>SUMIFS(CONSOLIDADO!$F:$F,CONSOLIDADO!$E:$E,$A57,CONSOLIDADO!$I:$I,L$3,CONSOLIDADO!$I:$I,L$4,CONSOLIDADO!$K:$K,"&lt;&gt;NOVO")</f>
        <v>0</v>
      </c>
      <c r="N57" s="66">
        <v>982.59</v>
      </c>
      <c r="O57" s="65">
        <v>0.8</v>
      </c>
      <c r="P57" s="66">
        <f t="shared" si="2"/>
        <v>786.07199999999989</v>
      </c>
      <c r="Q57" s="66">
        <f t="shared" si="2"/>
        <v>196.51799999999997</v>
      </c>
      <c r="R57" s="66">
        <f t="shared" si="2"/>
        <v>7467.6839999999993</v>
      </c>
      <c r="S57" s="66">
        <f t="shared" si="2"/>
        <v>589.55399999999986</v>
      </c>
      <c r="T57" s="66">
        <f t="shared" si="2"/>
        <v>0</v>
      </c>
      <c r="U57" s="66">
        <f t="shared" si="2"/>
        <v>0</v>
      </c>
      <c r="V57" s="66">
        <f t="shared" si="2"/>
        <v>0</v>
      </c>
      <c r="W57" s="66">
        <f t="shared" si="2"/>
        <v>0</v>
      </c>
      <c r="X57" s="66">
        <f t="shared" si="2"/>
        <v>0</v>
      </c>
      <c r="Y57" s="66">
        <f t="shared" si="2"/>
        <v>0</v>
      </c>
      <c r="Z57" s="66">
        <f t="shared" si="2"/>
        <v>0</v>
      </c>
      <c r="AA57" s="66">
        <f t="shared" si="2"/>
        <v>0</v>
      </c>
      <c r="AB57" s="33"/>
    </row>
    <row r="58" spans="1:28" x14ac:dyDescent="0.25">
      <c r="A58" s="63" t="s">
        <v>645</v>
      </c>
      <c r="B58" s="64">
        <f>SUMIFS(CONSOLIDADO!$F:$F,CONSOLIDADO!$E:$E,$A58,CONSOLIDADO!$I:$I,A$3,CONSOLIDADO!$I:$I,A$4,CONSOLIDADO!$K:$K,"&lt;&gt;NOVO")</f>
        <v>0</v>
      </c>
      <c r="C58" s="64">
        <f>SUMIFS(CONSOLIDADO!$F:$F,CONSOLIDADO!$E:$E,$A58,CONSOLIDADO!$I:$I,B$3,CONSOLIDADO!$I:$I,B$4,CONSOLIDADO!$K:$K,"&lt;&gt;NOVO")</f>
        <v>0</v>
      </c>
      <c r="D58" s="64">
        <f>SUMIFS(CONSOLIDADO!$F:$F,CONSOLIDADO!$E:$E,$A58,CONSOLIDADO!$I:$I,C$3,CONSOLIDADO!$I:$I,C$4,CONSOLIDADO!$K:$K,"&lt;&gt;NOVO")</f>
        <v>0</v>
      </c>
      <c r="E58" s="64">
        <f>SUMIFS(CONSOLIDADO!$F:$F,CONSOLIDADO!$E:$E,$A58,CONSOLIDADO!$I:$I,D$3,CONSOLIDADO!$I:$I,D$4,CONSOLIDADO!$K:$K,"&lt;&gt;NOVO")</f>
        <v>0</v>
      </c>
      <c r="F58" s="64">
        <f>SUMIFS(CONSOLIDADO!$F:$F,CONSOLIDADO!$E:$E,$A58,CONSOLIDADO!$I:$I,E$3,CONSOLIDADO!$I:$I,E$4,CONSOLIDADO!$K:$K,"&lt;&gt;NOVO")</f>
        <v>0</v>
      </c>
      <c r="G58" s="64">
        <f>SUMIFS(CONSOLIDADO!$F:$F,CONSOLIDADO!$E:$E,$A58,CONSOLIDADO!$I:$I,F$3,CONSOLIDADO!$I:$I,F$4,CONSOLIDADO!$K:$K,"&lt;&gt;NOVO")</f>
        <v>0</v>
      </c>
      <c r="H58" s="64">
        <f>SUMIFS(CONSOLIDADO!$F:$F,CONSOLIDADO!$E:$E,$A58,CONSOLIDADO!$I:$I,G$3,CONSOLIDADO!$I:$I,G$4,CONSOLIDADO!$K:$K,"&lt;&gt;NOVO")</f>
        <v>0</v>
      </c>
      <c r="I58" s="64">
        <f>SUMIFS(CONSOLIDADO!$F:$F,CONSOLIDADO!$E:$E,$A58,CONSOLIDADO!$I:$I,H$3,CONSOLIDADO!$I:$I,H$4,CONSOLIDADO!$K:$K,"&lt;&gt;NOVO")</f>
        <v>0</v>
      </c>
      <c r="J58" s="64">
        <f>SUMIFS(CONSOLIDADO!$F:$F,CONSOLIDADO!$E:$E,$A58,CONSOLIDADO!$I:$I,I$3,CONSOLIDADO!$I:$I,I$4,CONSOLIDADO!$K:$K,"&lt;&gt;NOVO")</f>
        <v>0</v>
      </c>
      <c r="K58" s="64">
        <f>SUMIFS(CONSOLIDADO!$F:$F,CONSOLIDADO!$E:$E,$A58,CONSOLIDADO!$I:$I,J$3,CONSOLIDADO!$I:$I,J$4,CONSOLIDADO!$K:$K,"&lt;&gt;NOVO")</f>
        <v>0</v>
      </c>
      <c r="L58" s="64">
        <f>SUMIFS(CONSOLIDADO!$F:$F,CONSOLIDADO!$E:$E,$A58,CONSOLIDADO!$I:$I,K$3,CONSOLIDADO!$I:$I,K$4,CONSOLIDADO!$K:$K,"&lt;&gt;NOVO")</f>
        <v>0</v>
      </c>
      <c r="M58" s="64">
        <f>SUMIFS(CONSOLIDADO!$F:$F,CONSOLIDADO!$E:$E,$A58,CONSOLIDADO!$I:$I,L$3,CONSOLIDADO!$I:$I,L$4,CONSOLIDADO!$K:$K,"&lt;&gt;NOVO")</f>
        <v>0</v>
      </c>
      <c r="N58" s="66">
        <v>1116.1300000000001</v>
      </c>
      <c r="O58" s="65">
        <v>0.8</v>
      </c>
      <c r="P58" s="66">
        <f t="shared" si="2"/>
        <v>0</v>
      </c>
      <c r="Q58" s="66">
        <f t="shared" si="2"/>
        <v>0</v>
      </c>
      <c r="R58" s="66">
        <f t="shared" si="2"/>
        <v>0</v>
      </c>
      <c r="S58" s="66">
        <f t="shared" si="2"/>
        <v>0</v>
      </c>
      <c r="T58" s="66">
        <f t="shared" si="2"/>
        <v>0</v>
      </c>
      <c r="U58" s="66">
        <f t="shared" si="2"/>
        <v>0</v>
      </c>
      <c r="V58" s="66">
        <f t="shared" si="2"/>
        <v>0</v>
      </c>
      <c r="W58" s="66">
        <f t="shared" si="2"/>
        <v>0</v>
      </c>
      <c r="X58" s="66">
        <f t="shared" si="2"/>
        <v>0</v>
      </c>
      <c r="Y58" s="66">
        <f t="shared" si="2"/>
        <v>0</v>
      </c>
      <c r="Z58" s="66">
        <f t="shared" si="2"/>
        <v>0</v>
      </c>
      <c r="AA58" s="66">
        <f t="shared" si="2"/>
        <v>0</v>
      </c>
      <c r="AB58" s="33"/>
    </row>
    <row r="59" spans="1:28" x14ac:dyDescent="0.25">
      <c r="A59" s="63" t="s">
        <v>91</v>
      </c>
      <c r="B59" s="64">
        <f>SUMIFS(CONSOLIDADO!$F:$F,CONSOLIDADO!$E:$E,$A59,CONSOLIDADO!$I:$I,A$3,CONSOLIDADO!$I:$I,A$4,CONSOLIDADO!$K:$K,"&lt;&gt;NOVO")</f>
        <v>1</v>
      </c>
      <c r="C59" s="64">
        <f>SUMIFS(CONSOLIDADO!$F:$F,CONSOLIDADO!$E:$E,$A59,CONSOLIDADO!$I:$I,B$3,CONSOLIDADO!$I:$I,B$4,CONSOLIDADO!$K:$K,"&lt;&gt;NOVO")</f>
        <v>0</v>
      </c>
      <c r="D59" s="64">
        <f>SUMIFS(CONSOLIDADO!$F:$F,CONSOLIDADO!$E:$E,$A59,CONSOLIDADO!$I:$I,C$3,CONSOLIDADO!$I:$I,C$4,CONSOLIDADO!$K:$K,"&lt;&gt;NOVO")</f>
        <v>0</v>
      </c>
      <c r="E59" s="64">
        <f>SUMIFS(CONSOLIDADO!$F:$F,CONSOLIDADO!$E:$E,$A59,CONSOLIDADO!$I:$I,D$3,CONSOLIDADO!$I:$I,D$4,CONSOLIDADO!$K:$K,"&lt;&gt;NOVO")</f>
        <v>0</v>
      </c>
      <c r="F59" s="64">
        <f>SUMIFS(CONSOLIDADO!$F:$F,CONSOLIDADO!$E:$E,$A59,CONSOLIDADO!$I:$I,E$3,CONSOLIDADO!$I:$I,E$4,CONSOLIDADO!$K:$K,"&lt;&gt;NOVO")</f>
        <v>0</v>
      </c>
      <c r="G59" s="64">
        <f>SUMIFS(CONSOLIDADO!$F:$F,CONSOLIDADO!$E:$E,$A59,CONSOLIDADO!$I:$I,F$3,CONSOLIDADO!$I:$I,F$4,CONSOLIDADO!$K:$K,"&lt;&gt;NOVO")</f>
        <v>0</v>
      </c>
      <c r="H59" s="64">
        <f>SUMIFS(CONSOLIDADO!$F:$F,CONSOLIDADO!$E:$E,$A59,CONSOLIDADO!$I:$I,G$3,CONSOLIDADO!$I:$I,G$4,CONSOLIDADO!$K:$K,"&lt;&gt;NOVO")</f>
        <v>0</v>
      </c>
      <c r="I59" s="64">
        <f>SUMIFS(CONSOLIDADO!$F:$F,CONSOLIDADO!$E:$E,$A59,CONSOLIDADO!$I:$I,H$3,CONSOLIDADO!$I:$I,H$4,CONSOLIDADO!$K:$K,"&lt;&gt;NOVO")</f>
        <v>0</v>
      </c>
      <c r="J59" s="64">
        <f>SUMIFS(CONSOLIDADO!$F:$F,CONSOLIDADO!$E:$E,$A59,CONSOLIDADO!$I:$I,I$3,CONSOLIDADO!$I:$I,I$4,CONSOLIDADO!$K:$K,"&lt;&gt;NOVO")</f>
        <v>0</v>
      </c>
      <c r="K59" s="64">
        <f>SUMIFS(CONSOLIDADO!$F:$F,CONSOLIDADO!$E:$E,$A59,CONSOLIDADO!$I:$I,J$3,CONSOLIDADO!$I:$I,J$4,CONSOLIDADO!$K:$K,"&lt;&gt;NOVO")</f>
        <v>0</v>
      </c>
      <c r="L59" s="64">
        <f>SUMIFS(CONSOLIDADO!$F:$F,CONSOLIDADO!$E:$E,$A59,CONSOLIDADO!$I:$I,K$3,CONSOLIDADO!$I:$I,K$4,CONSOLIDADO!$K:$K,"&lt;&gt;NOVO")</f>
        <v>0</v>
      </c>
      <c r="M59" s="64">
        <f>SUMIFS(CONSOLIDADO!$F:$F,CONSOLIDADO!$E:$E,$A59,CONSOLIDADO!$I:$I,L$3,CONSOLIDADO!$I:$I,L$4,CONSOLIDADO!$K:$K,"&lt;&gt;NOVO")</f>
        <v>0</v>
      </c>
      <c r="N59" s="66">
        <v>2340.21</v>
      </c>
      <c r="O59" s="65">
        <v>0.8</v>
      </c>
      <c r="P59" s="66">
        <f t="shared" si="2"/>
        <v>468.04199999999992</v>
      </c>
      <c r="Q59" s="66">
        <f t="shared" si="2"/>
        <v>0</v>
      </c>
      <c r="R59" s="66">
        <f t="shared" si="2"/>
        <v>0</v>
      </c>
      <c r="S59" s="66">
        <f t="shared" si="2"/>
        <v>0</v>
      </c>
      <c r="T59" s="66">
        <f t="shared" si="2"/>
        <v>0</v>
      </c>
      <c r="U59" s="66">
        <f t="shared" si="2"/>
        <v>0</v>
      </c>
      <c r="V59" s="66">
        <f t="shared" si="2"/>
        <v>0</v>
      </c>
      <c r="W59" s="66">
        <f t="shared" si="2"/>
        <v>0</v>
      </c>
      <c r="X59" s="66">
        <f t="shared" si="2"/>
        <v>0</v>
      </c>
      <c r="Y59" s="66">
        <f t="shared" si="2"/>
        <v>0</v>
      </c>
      <c r="Z59" s="66">
        <f t="shared" si="2"/>
        <v>0</v>
      </c>
      <c r="AA59" s="66">
        <f t="shared" si="2"/>
        <v>0</v>
      </c>
      <c r="AB59" s="33"/>
    </row>
    <row r="60" spans="1:28" x14ac:dyDescent="0.25">
      <c r="A60" s="63" t="s">
        <v>48</v>
      </c>
      <c r="B60" s="64">
        <f>SUMIFS(CONSOLIDADO!$F:$F,CONSOLIDADO!$E:$E,$A60,CONSOLIDADO!$I:$I,A$3,CONSOLIDADO!$I:$I,A$4,CONSOLIDADO!$K:$K,"&lt;&gt;NOVO")</f>
        <v>3</v>
      </c>
      <c r="C60" s="64">
        <f>SUMIFS(CONSOLIDADO!$F:$F,CONSOLIDADO!$E:$E,$A60,CONSOLIDADO!$I:$I,B$3,CONSOLIDADO!$I:$I,B$4,CONSOLIDADO!$K:$K,"&lt;&gt;NOVO")</f>
        <v>0</v>
      </c>
      <c r="D60" s="64">
        <f>SUMIFS(CONSOLIDADO!$F:$F,CONSOLIDADO!$E:$E,$A60,CONSOLIDADO!$I:$I,C$3,CONSOLIDADO!$I:$I,C$4,CONSOLIDADO!$K:$K,"&lt;&gt;NOVO")</f>
        <v>1</v>
      </c>
      <c r="E60" s="64">
        <f>SUMIFS(CONSOLIDADO!$F:$F,CONSOLIDADO!$E:$E,$A60,CONSOLIDADO!$I:$I,D$3,CONSOLIDADO!$I:$I,D$4,CONSOLIDADO!$K:$K,"&lt;&gt;NOVO")</f>
        <v>4</v>
      </c>
      <c r="F60" s="64">
        <f>SUMIFS(CONSOLIDADO!$F:$F,CONSOLIDADO!$E:$E,$A60,CONSOLIDADO!$I:$I,E$3,CONSOLIDADO!$I:$I,E$4,CONSOLIDADO!$K:$K,"&lt;&gt;NOVO")</f>
        <v>0</v>
      </c>
      <c r="G60" s="64">
        <f>SUMIFS(CONSOLIDADO!$F:$F,CONSOLIDADO!$E:$E,$A60,CONSOLIDADO!$I:$I,F$3,CONSOLIDADO!$I:$I,F$4,CONSOLIDADO!$K:$K,"&lt;&gt;NOVO")</f>
        <v>0</v>
      </c>
      <c r="H60" s="64">
        <f>SUMIFS(CONSOLIDADO!$F:$F,CONSOLIDADO!$E:$E,$A60,CONSOLIDADO!$I:$I,G$3,CONSOLIDADO!$I:$I,G$4,CONSOLIDADO!$K:$K,"&lt;&gt;NOVO")</f>
        <v>0</v>
      </c>
      <c r="I60" s="64">
        <f>SUMIFS(CONSOLIDADO!$F:$F,CONSOLIDADO!$E:$E,$A60,CONSOLIDADO!$I:$I,H$3,CONSOLIDADO!$I:$I,H$4,CONSOLIDADO!$K:$K,"&lt;&gt;NOVO")</f>
        <v>0</v>
      </c>
      <c r="J60" s="64">
        <f>SUMIFS(CONSOLIDADO!$F:$F,CONSOLIDADO!$E:$E,$A60,CONSOLIDADO!$I:$I,I$3,CONSOLIDADO!$I:$I,I$4,CONSOLIDADO!$K:$K,"&lt;&gt;NOVO")</f>
        <v>10</v>
      </c>
      <c r="K60" s="64">
        <f>SUMIFS(CONSOLIDADO!$F:$F,CONSOLIDADO!$E:$E,$A60,CONSOLIDADO!$I:$I,J$3,CONSOLIDADO!$I:$I,J$4,CONSOLIDADO!$K:$K,"&lt;&gt;NOVO")</f>
        <v>0</v>
      </c>
      <c r="L60" s="64">
        <f>SUMIFS(CONSOLIDADO!$F:$F,CONSOLIDADO!$E:$E,$A60,CONSOLIDADO!$I:$I,K$3,CONSOLIDADO!$I:$I,K$4,CONSOLIDADO!$K:$K,"&lt;&gt;NOVO")</f>
        <v>0</v>
      </c>
      <c r="M60" s="64">
        <f>SUMIFS(CONSOLIDADO!$F:$F,CONSOLIDADO!$E:$E,$A60,CONSOLIDADO!$I:$I,L$3,CONSOLIDADO!$I:$I,L$4,CONSOLIDADO!$K:$K,"&lt;&gt;NOVO")</f>
        <v>0</v>
      </c>
      <c r="N60" s="66">
        <v>4114.01</v>
      </c>
      <c r="O60" s="65">
        <v>0.8</v>
      </c>
      <c r="P60" s="66">
        <f t="shared" si="2"/>
        <v>2468.4059999999999</v>
      </c>
      <c r="Q60" s="66">
        <f t="shared" si="2"/>
        <v>0</v>
      </c>
      <c r="R60" s="66">
        <f t="shared" si="2"/>
        <v>822.80199999999991</v>
      </c>
      <c r="S60" s="66">
        <f t="shared" si="2"/>
        <v>3291.2079999999996</v>
      </c>
      <c r="T60" s="66">
        <f t="shared" si="2"/>
        <v>0</v>
      </c>
      <c r="U60" s="66">
        <f t="shared" si="2"/>
        <v>0</v>
      </c>
      <c r="V60" s="66">
        <f t="shared" si="2"/>
        <v>0</v>
      </c>
      <c r="W60" s="66">
        <f t="shared" si="2"/>
        <v>0</v>
      </c>
      <c r="X60" s="66">
        <f t="shared" si="2"/>
        <v>8228.0199999999986</v>
      </c>
      <c r="Y60" s="66">
        <f t="shared" si="2"/>
        <v>0</v>
      </c>
      <c r="Z60" s="66">
        <f t="shared" si="2"/>
        <v>0</v>
      </c>
      <c r="AA60" s="66">
        <f t="shared" si="2"/>
        <v>0</v>
      </c>
      <c r="AB60" s="33"/>
    </row>
    <row r="61" spans="1:28" x14ac:dyDescent="0.25">
      <c r="A61" s="63" t="s">
        <v>646</v>
      </c>
      <c r="B61" s="64">
        <f>SUMIFS(CONSOLIDADO!$F:$F,CONSOLIDADO!$E:$E,$A61,CONSOLIDADO!$I:$I,A$3,CONSOLIDADO!$I:$I,A$4,CONSOLIDADO!$K:$K,"&lt;&gt;NOVO")</f>
        <v>0</v>
      </c>
      <c r="C61" s="64">
        <f>SUMIFS(CONSOLIDADO!$F:$F,CONSOLIDADO!$E:$E,$A61,CONSOLIDADO!$I:$I,B$3,CONSOLIDADO!$I:$I,B$4,CONSOLIDADO!$K:$K,"&lt;&gt;NOVO")</f>
        <v>0</v>
      </c>
      <c r="D61" s="64">
        <f>SUMIFS(CONSOLIDADO!$F:$F,CONSOLIDADO!$E:$E,$A61,CONSOLIDADO!$I:$I,C$3,CONSOLIDADO!$I:$I,C$4,CONSOLIDADO!$K:$K,"&lt;&gt;NOVO")</f>
        <v>0</v>
      </c>
      <c r="E61" s="64">
        <f>SUMIFS(CONSOLIDADO!$F:$F,CONSOLIDADO!$E:$E,$A61,CONSOLIDADO!$I:$I,D$3,CONSOLIDADO!$I:$I,D$4,CONSOLIDADO!$K:$K,"&lt;&gt;NOVO")</f>
        <v>0</v>
      </c>
      <c r="F61" s="64">
        <f>SUMIFS(CONSOLIDADO!$F:$F,CONSOLIDADO!$E:$E,$A61,CONSOLIDADO!$I:$I,E$3,CONSOLIDADO!$I:$I,E$4,CONSOLIDADO!$K:$K,"&lt;&gt;NOVO")</f>
        <v>0</v>
      </c>
      <c r="G61" s="64">
        <f>SUMIFS(CONSOLIDADO!$F:$F,CONSOLIDADO!$E:$E,$A61,CONSOLIDADO!$I:$I,F$3,CONSOLIDADO!$I:$I,F$4,CONSOLIDADO!$K:$K,"&lt;&gt;NOVO")</f>
        <v>0</v>
      </c>
      <c r="H61" s="64">
        <f>SUMIFS(CONSOLIDADO!$F:$F,CONSOLIDADO!$E:$E,$A61,CONSOLIDADO!$I:$I,G$3,CONSOLIDADO!$I:$I,G$4,CONSOLIDADO!$K:$K,"&lt;&gt;NOVO")</f>
        <v>0</v>
      </c>
      <c r="I61" s="64">
        <f>SUMIFS(CONSOLIDADO!$F:$F,CONSOLIDADO!$E:$E,$A61,CONSOLIDADO!$I:$I,H$3,CONSOLIDADO!$I:$I,H$4,CONSOLIDADO!$K:$K,"&lt;&gt;NOVO")</f>
        <v>0</v>
      </c>
      <c r="J61" s="64">
        <f>SUMIFS(CONSOLIDADO!$F:$F,CONSOLIDADO!$E:$E,$A61,CONSOLIDADO!$I:$I,I$3,CONSOLIDADO!$I:$I,I$4,CONSOLIDADO!$K:$K,"&lt;&gt;NOVO")</f>
        <v>0</v>
      </c>
      <c r="K61" s="64">
        <f>SUMIFS(CONSOLIDADO!$F:$F,CONSOLIDADO!$E:$E,$A61,CONSOLIDADO!$I:$I,J$3,CONSOLIDADO!$I:$I,J$4,CONSOLIDADO!$K:$K,"&lt;&gt;NOVO")</f>
        <v>0</v>
      </c>
      <c r="L61" s="64">
        <f>SUMIFS(CONSOLIDADO!$F:$F,CONSOLIDADO!$E:$E,$A61,CONSOLIDADO!$I:$I,K$3,CONSOLIDADO!$I:$I,K$4,CONSOLIDADO!$K:$K,"&lt;&gt;NOVO")</f>
        <v>0</v>
      </c>
      <c r="M61" s="64">
        <f>SUMIFS(CONSOLIDADO!$F:$F,CONSOLIDADO!$E:$E,$A61,CONSOLIDADO!$I:$I,L$3,CONSOLIDADO!$I:$I,L$4,CONSOLIDADO!$K:$K,"&lt;&gt;NOVO")</f>
        <v>0</v>
      </c>
      <c r="N61" s="66">
        <v>3167.57</v>
      </c>
      <c r="O61" s="65">
        <v>0.8</v>
      </c>
      <c r="P61" s="66">
        <f t="shared" si="2"/>
        <v>0</v>
      </c>
      <c r="Q61" s="66">
        <f t="shared" si="2"/>
        <v>0</v>
      </c>
      <c r="R61" s="66">
        <f t="shared" si="2"/>
        <v>0</v>
      </c>
      <c r="S61" s="66">
        <f t="shared" si="2"/>
        <v>0</v>
      </c>
      <c r="T61" s="66">
        <f t="shared" si="2"/>
        <v>0</v>
      </c>
      <c r="U61" s="66">
        <f t="shared" si="2"/>
        <v>0</v>
      </c>
      <c r="V61" s="66">
        <f t="shared" si="2"/>
        <v>0</v>
      </c>
      <c r="W61" s="66">
        <f t="shared" si="2"/>
        <v>0</v>
      </c>
      <c r="X61" s="66">
        <f t="shared" si="2"/>
        <v>0</v>
      </c>
      <c r="Y61" s="66">
        <f t="shared" si="2"/>
        <v>0</v>
      </c>
      <c r="Z61" s="66">
        <f t="shared" si="2"/>
        <v>0</v>
      </c>
      <c r="AA61" s="66">
        <f t="shared" si="2"/>
        <v>0</v>
      </c>
      <c r="AB61" s="33"/>
    </row>
    <row r="62" spans="1:28" x14ac:dyDescent="0.25">
      <c r="A62" s="63" t="s">
        <v>647</v>
      </c>
      <c r="B62" s="64">
        <f>SUMIFS(CONSOLIDADO!$F:$F,CONSOLIDADO!$E:$E,$A62,CONSOLIDADO!$I:$I,A$3,CONSOLIDADO!$I:$I,A$4,CONSOLIDADO!$K:$K,"&lt;&gt;NOVO")</f>
        <v>0</v>
      </c>
      <c r="C62" s="64">
        <f>SUMIFS(CONSOLIDADO!$F:$F,CONSOLIDADO!$E:$E,$A62,CONSOLIDADO!$I:$I,B$3,CONSOLIDADO!$I:$I,B$4,CONSOLIDADO!$K:$K,"&lt;&gt;NOVO")</f>
        <v>0</v>
      </c>
      <c r="D62" s="64">
        <f>SUMIFS(CONSOLIDADO!$F:$F,CONSOLIDADO!$E:$E,$A62,CONSOLIDADO!$I:$I,C$3,CONSOLIDADO!$I:$I,C$4,CONSOLIDADO!$K:$K,"&lt;&gt;NOVO")</f>
        <v>0</v>
      </c>
      <c r="E62" s="64">
        <f>SUMIFS(CONSOLIDADO!$F:$F,CONSOLIDADO!$E:$E,$A62,CONSOLIDADO!$I:$I,D$3,CONSOLIDADO!$I:$I,D$4,CONSOLIDADO!$K:$K,"&lt;&gt;NOVO")</f>
        <v>0</v>
      </c>
      <c r="F62" s="64">
        <f>SUMIFS(CONSOLIDADO!$F:$F,CONSOLIDADO!$E:$E,$A62,CONSOLIDADO!$I:$I,E$3,CONSOLIDADO!$I:$I,E$4,CONSOLIDADO!$K:$K,"&lt;&gt;NOVO")</f>
        <v>0</v>
      </c>
      <c r="G62" s="64">
        <f>SUMIFS(CONSOLIDADO!$F:$F,CONSOLIDADO!$E:$E,$A62,CONSOLIDADO!$I:$I,F$3,CONSOLIDADO!$I:$I,F$4,CONSOLIDADO!$K:$K,"&lt;&gt;NOVO")</f>
        <v>0</v>
      </c>
      <c r="H62" s="64">
        <f>SUMIFS(CONSOLIDADO!$F:$F,CONSOLIDADO!$E:$E,$A62,CONSOLIDADO!$I:$I,G$3,CONSOLIDADO!$I:$I,G$4,CONSOLIDADO!$K:$K,"&lt;&gt;NOVO")</f>
        <v>0</v>
      </c>
      <c r="I62" s="64">
        <f>SUMIFS(CONSOLIDADO!$F:$F,CONSOLIDADO!$E:$E,$A62,CONSOLIDADO!$I:$I,H$3,CONSOLIDADO!$I:$I,H$4,CONSOLIDADO!$K:$K,"&lt;&gt;NOVO")</f>
        <v>0</v>
      </c>
      <c r="J62" s="64">
        <f>SUMIFS(CONSOLIDADO!$F:$F,CONSOLIDADO!$E:$E,$A62,CONSOLIDADO!$I:$I,I$3,CONSOLIDADO!$I:$I,I$4,CONSOLIDADO!$K:$K,"&lt;&gt;NOVO")</f>
        <v>0</v>
      </c>
      <c r="K62" s="64">
        <f>SUMIFS(CONSOLIDADO!$F:$F,CONSOLIDADO!$E:$E,$A62,CONSOLIDADO!$I:$I,J$3,CONSOLIDADO!$I:$I,J$4,CONSOLIDADO!$K:$K,"&lt;&gt;NOVO")</f>
        <v>0</v>
      </c>
      <c r="L62" s="64">
        <f>SUMIFS(CONSOLIDADO!$F:$F,CONSOLIDADO!$E:$E,$A62,CONSOLIDADO!$I:$I,K$3,CONSOLIDADO!$I:$I,K$4,CONSOLIDADO!$K:$K,"&lt;&gt;NOVO")</f>
        <v>0</v>
      </c>
      <c r="M62" s="64">
        <f>SUMIFS(CONSOLIDADO!$F:$F,CONSOLIDADO!$E:$E,$A62,CONSOLIDADO!$I:$I,L$3,CONSOLIDADO!$I:$I,L$4,CONSOLIDADO!$K:$K,"&lt;&gt;NOVO")</f>
        <v>0</v>
      </c>
      <c r="N62" s="66">
        <v>842.38</v>
      </c>
      <c r="O62" s="65">
        <v>0.8</v>
      </c>
      <c r="P62" s="66">
        <f t="shared" si="2"/>
        <v>0</v>
      </c>
      <c r="Q62" s="66">
        <f t="shared" si="2"/>
        <v>0</v>
      </c>
      <c r="R62" s="66">
        <f t="shared" si="2"/>
        <v>0</v>
      </c>
      <c r="S62" s="66">
        <f t="shared" si="2"/>
        <v>0</v>
      </c>
      <c r="T62" s="66">
        <f t="shared" si="2"/>
        <v>0</v>
      </c>
      <c r="U62" s="66">
        <f t="shared" si="2"/>
        <v>0</v>
      </c>
      <c r="V62" s="66">
        <f t="shared" si="2"/>
        <v>0</v>
      </c>
      <c r="W62" s="66">
        <f t="shared" si="2"/>
        <v>0</v>
      </c>
      <c r="X62" s="66">
        <f t="shared" si="2"/>
        <v>0</v>
      </c>
      <c r="Y62" s="66">
        <f t="shared" si="2"/>
        <v>0</v>
      </c>
      <c r="Z62" s="66">
        <f t="shared" si="2"/>
        <v>0</v>
      </c>
      <c r="AA62" s="66">
        <f t="shared" si="2"/>
        <v>0</v>
      </c>
      <c r="AB62" s="33"/>
    </row>
    <row r="63" spans="1:28" x14ac:dyDescent="0.25">
      <c r="A63" s="63" t="s">
        <v>147</v>
      </c>
      <c r="B63" s="64">
        <f>SUMIFS(CONSOLIDADO!$F:$F,CONSOLIDADO!$E:$E,$A63,CONSOLIDADO!$I:$I,A$3,CONSOLIDADO!$I:$I,A$4,CONSOLIDADO!$K:$K,"&lt;&gt;NOVO")</f>
        <v>0</v>
      </c>
      <c r="C63" s="64">
        <f>SUMIFS(CONSOLIDADO!$F:$F,CONSOLIDADO!$E:$E,$A63,CONSOLIDADO!$I:$I,B$3,CONSOLIDADO!$I:$I,B$4,CONSOLIDADO!$K:$K,"&lt;&gt;NOVO")</f>
        <v>2</v>
      </c>
      <c r="D63" s="64">
        <f>SUMIFS(CONSOLIDADO!$F:$F,CONSOLIDADO!$E:$E,$A63,CONSOLIDADO!$I:$I,C$3,CONSOLIDADO!$I:$I,C$4,CONSOLIDADO!$K:$K,"&lt;&gt;NOVO")</f>
        <v>0</v>
      </c>
      <c r="E63" s="64">
        <f>SUMIFS(CONSOLIDADO!$F:$F,CONSOLIDADO!$E:$E,$A63,CONSOLIDADO!$I:$I,D$3,CONSOLIDADO!$I:$I,D$4,CONSOLIDADO!$K:$K,"&lt;&gt;NOVO")</f>
        <v>1</v>
      </c>
      <c r="F63" s="64">
        <f>SUMIFS(CONSOLIDADO!$F:$F,CONSOLIDADO!$E:$E,$A63,CONSOLIDADO!$I:$I,E$3,CONSOLIDADO!$I:$I,E$4,CONSOLIDADO!$K:$K,"&lt;&gt;NOVO")</f>
        <v>0</v>
      </c>
      <c r="G63" s="64">
        <f>SUMIFS(CONSOLIDADO!$F:$F,CONSOLIDADO!$E:$E,$A63,CONSOLIDADO!$I:$I,F$3,CONSOLIDADO!$I:$I,F$4,CONSOLIDADO!$K:$K,"&lt;&gt;NOVO")</f>
        <v>0</v>
      </c>
      <c r="H63" s="64">
        <f>SUMIFS(CONSOLIDADO!$F:$F,CONSOLIDADO!$E:$E,$A63,CONSOLIDADO!$I:$I,G$3,CONSOLIDADO!$I:$I,G$4,CONSOLIDADO!$K:$K,"&lt;&gt;NOVO")</f>
        <v>0</v>
      </c>
      <c r="I63" s="64">
        <f>SUMIFS(CONSOLIDADO!$F:$F,CONSOLIDADO!$E:$E,$A63,CONSOLIDADO!$I:$I,H$3,CONSOLIDADO!$I:$I,H$4,CONSOLIDADO!$K:$K,"&lt;&gt;NOVO")</f>
        <v>0</v>
      </c>
      <c r="J63" s="64">
        <f>SUMIFS(CONSOLIDADO!$F:$F,CONSOLIDADO!$E:$E,$A63,CONSOLIDADO!$I:$I,I$3,CONSOLIDADO!$I:$I,I$4,CONSOLIDADO!$K:$K,"&lt;&gt;NOVO")</f>
        <v>0</v>
      </c>
      <c r="K63" s="64">
        <f>SUMIFS(CONSOLIDADO!$F:$F,CONSOLIDADO!$E:$E,$A63,CONSOLIDADO!$I:$I,J$3,CONSOLIDADO!$I:$I,J$4,CONSOLIDADO!$K:$K,"&lt;&gt;NOVO")</f>
        <v>0</v>
      </c>
      <c r="L63" s="64">
        <f>SUMIFS(CONSOLIDADO!$F:$F,CONSOLIDADO!$E:$E,$A63,CONSOLIDADO!$I:$I,K$3,CONSOLIDADO!$I:$I,K$4,CONSOLIDADO!$K:$K,"&lt;&gt;NOVO")</f>
        <v>0</v>
      </c>
      <c r="M63" s="64">
        <f>SUMIFS(CONSOLIDADO!$F:$F,CONSOLIDADO!$E:$E,$A63,CONSOLIDADO!$I:$I,L$3,CONSOLIDADO!$I:$I,L$4,CONSOLIDADO!$K:$K,"&lt;&gt;NOVO")</f>
        <v>0</v>
      </c>
      <c r="N63" s="66">
        <v>842.38</v>
      </c>
      <c r="O63" s="65">
        <v>0.8</v>
      </c>
      <c r="P63" s="66">
        <f t="shared" si="2"/>
        <v>0</v>
      </c>
      <c r="Q63" s="66">
        <f t="shared" si="2"/>
        <v>336.95199999999994</v>
      </c>
      <c r="R63" s="66">
        <f t="shared" si="2"/>
        <v>0</v>
      </c>
      <c r="S63" s="66">
        <f t="shared" si="2"/>
        <v>168.47599999999997</v>
      </c>
      <c r="T63" s="66">
        <f t="shared" si="2"/>
        <v>0</v>
      </c>
      <c r="U63" s="66">
        <f t="shared" si="2"/>
        <v>0</v>
      </c>
      <c r="V63" s="66">
        <f t="shared" si="2"/>
        <v>0</v>
      </c>
      <c r="W63" s="66">
        <f t="shared" si="2"/>
        <v>0</v>
      </c>
      <c r="X63" s="66">
        <f t="shared" si="2"/>
        <v>0</v>
      </c>
      <c r="Y63" s="66">
        <f t="shared" si="2"/>
        <v>0</v>
      </c>
      <c r="Z63" s="66">
        <f t="shared" si="2"/>
        <v>0</v>
      </c>
      <c r="AA63" s="66">
        <f t="shared" si="2"/>
        <v>0</v>
      </c>
      <c r="AB63" s="33"/>
    </row>
    <row r="64" spans="1:28" x14ac:dyDescent="0.25">
      <c r="A64" s="63" t="s">
        <v>175</v>
      </c>
      <c r="B64" s="64">
        <f>SUMIFS(CONSOLIDADO!$F:$F,CONSOLIDADO!$E:$E,$A64,CONSOLIDADO!$I:$I,A$3,CONSOLIDADO!$I:$I,A$4,CONSOLIDADO!$K:$K,"&lt;&gt;NOVO")</f>
        <v>0</v>
      </c>
      <c r="C64" s="64">
        <f>SUMIFS(CONSOLIDADO!$F:$F,CONSOLIDADO!$E:$E,$A64,CONSOLIDADO!$I:$I,B$3,CONSOLIDADO!$I:$I,B$4,CONSOLIDADO!$K:$K,"&lt;&gt;NOVO")</f>
        <v>1</v>
      </c>
      <c r="D64" s="64">
        <f>SUMIFS(CONSOLIDADO!$F:$F,CONSOLIDADO!$E:$E,$A64,CONSOLIDADO!$I:$I,C$3,CONSOLIDADO!$I:$I,C$4,CONSOLIDADO!$K:$K,"&lt;&gt;NOVO")</f>
        <v>1</v>
      </c>
      <c r="E64" s="64">
        <f>SUMIFS(CONSOLIDADO!$F:$F,CONSOLIDADO!$E:$E,$A64,CONSOLIDADO!$I:$I,D$3,CONSOLIDADO!$I:$I,D$4,CONSOLIDADO!$K:$K,"&lt;&gt;NOVO")</f>
        <v>0</v>
      </c>
      <c r="F64" s="64">
        <f>SUMIFS(CONSOLIDADO!$F:$F,CONSOLIDADO!$E:$E,$A64,CONSOLIDADO!$I:$I,E$3,CONSOLIDADO!$I:$I,E$4,CONSOLIDADO!$K:$K,"&lt;&gt;NOVO")</f>
        <v>0</v>
      </c>
      <c r="G64" s="64">
        <f>SUMIFS(CONSOLIDADO!$F:$F,CONSOLIDADO!$E:$E,$A64,CONSOLIDADO!$I:$I,F$3,CONSOLIDADO!$I:$I,F$4,CONSOLIDADO!$K:$K,"&lt;&gt;NOVO")</f>
        <v>0</v>
      </c>
      <c r="H64" s="64">
        <f>SUMIFS(CONSOLIDADO!$F:$F,CONSOLIDADO!$E:$E,$A64,CONSOLIDADO!$I:$I,G$3,CONSOLIDADO!$I:$I,G$4,CONSOLIDADO!$K:$K,"&lt;&gt;NOVO")</f>
        <v>0</v>
      </c>
      <c r="I64" s="64">
        <f>SUMIFS(CONSOLIDADO!$F:$F,CONSOLIDADO!$E:$E,$A64,CONSOLIDADO!$I:$I,H$3,CONSOLIDADO!$I:$I,H$4,CONSOLIDADO!$K:$K,"&lt;&gt;NOVO")</f>
        <v>0</v>
      </c>
      <c r="J64" s="64">
        <f>SUMIFS(CONSOLIDADO!$F:$F,CONSOLIDADO!$E:$E,$A64,CONSOLIDADO!$I:$I,I$3,CONSOLIDADO!$I:$I,I$4,CONSOLIDADO!$K:$K,"&lt;&gt;NOVO")</f>
        <v>0</v>
      </c>
      <c r="K64" s="64">
        <f>SUMIFS(CONSOLIDADO!$F:$F,CONSOLIDADO!$E:$E,$A64,CONSOLIDADO!$I:$I,J$3,CONSOLIDADO!$I:$I,J$4,CONSOLIDADO!$K:$K,"&lt;&gt;NOVO")</f>
        <v>0</v>
      </c>
      <c r="L64" s="64">
        <f>SUMIFS(CONSOLIDADO!$F:$F,CONSOLIDADO!$E:$E,$A64,CONSOLIDADO!$I:$I,K$3,CONSOLIDADO!$I:$I,K$4,CONSOLIDADO!$K:$K,"&lt;&gt;NOVO")</f>
        <v>0</v>
      </c>
      <c r="M64" s="64">
        <f>SUMIFS(CONSOLIDADO!$F:$F,CONSOLIDADO!$E:$E,$A64,CONSOLIDADO!$I:$I,L$3,CONSOLIDADO!$I:$I,L$4,CONSOLIDADO!$K:$K,"&lt;&gt;NOVO")</f>
        <v>0</v>
      </c>
      <c r="N64" s="66">
        <v>209.75</v>
      </c>
      <c r="O64" s="65">
        <v>0.8</v>
      </c>
      <c r="P64" s="66">
        <f t="shared" si="2"/>
        <v>0</v>
      </c>
      <c r="Q64" s="66">
        <f t="shared" si="2"/>
        <v>41.949999999999989</v>
      </c>
      <c r="R64" s="66">
        <f t="shared" si="2"/>
        <v>41.949999999999989</v>
      </c>
      <c r="S64" s="66">
        <f t="shared" si="2"/>
        <v>0</v>
      </c>
      <c r="T64" s="66">
        <f t="shared" si="2"/>
        <v>0</v>
      </c>
      <c r="U64" s="66">
        <f t="shared" si="2"/>
        <v>0</v>
      </c>
      <c r="V64" s="66">
        <f t="shared" si="2"/>
        <v>0</v>
      </c>
      <c r="W64" s="66">
        <f t="shared" si="2"/>
        <v>0</v>
      </c>
      <c r="X64" s="66">
        <f t="shared" si="2"/>
        <v>0</v>
      </c>
      <c r="Y64" s="66">
        <f t="shared" si="2"/>
        <v>0</v>
      </c>
      <c r="Z64" s="66">
        <f t="shared" si="2"/>
        <v>0</v>
      </c>
      <c r="AA64" s="66">
        <f t="shared" si="2"/>
        <v>0</v>
      </c>
      <c r="AB64" s="33"/>
    </row>
    <row r="65" spans="1:28" x14ac:dyDescent="0.25">
      <c r="A65" s="63" t="s">
        <v>144</v>
      </c>
      <c r="B65" s="64">
        <f>SUMIFS(CONSOLIDADO!$F:$F,CONSOLIDADO!$E:$E,$A65,CONSOLIDADO!$I:$I,A$3,CONSOLIDADO!$I:$I,A$4,CONSOLIDADO!$K:$K,"&lt;&gt;NOVO")</f>
        <v>0</v>
      </c>
      <c r="C65" s="64">
        <f>SUMIFS(CONSOLIDADO!$F:$F,CONSOLIDADO!$E:$E,$A65,CONSOLIDADO!$I:$I,B$3,CONSOLIDADO!$I:$I,B$4,CONSOLIDADO!$K:$K,"&lt;&gt;NOVO")</f>
        <v>1</v>
      </c>
      <c r="D65" s="64">
        <f>SUMIFS(CONSOLIDADO!$F:$F,CONSOLIDADO!$E:$E,$A65,CONSOLIDADO!$I:$I,C$3,CONSOLIDADO!$I:$I,C$4,CONSOLIDADO!$K:$K,"&lt;&gt;NOVO")</f>
        <v>0</v>
      </c>
      <c r="E65" s="64">
        <f>SUMIFS(CONSOLIDADO!$F:$F,CONSOLIDADO!$E:$E,$A65,CONSOLIDADO!$I:$I,D$3,CONSOLIDADO!$I:$I,D$4,CONSOLIDADO!$K:$K,"&lt;&gt;NOVO")</f>
        <v>0</v>
      </c>
      <c r="F65" s="64">
        <f>SUMIFS(CONSOLIDADO!$F:$F,CONSOLIDADO!$E:$E,$A65,CONSOLIDADO!$I:$I,E$3,CONSOLIDADO!$I:$I,E$4,CONSOLIDADO!$K:$K,"&lt;&gt;NOVO")</f>
        <v>0</v>
      </c>
      <c r="G65" s="64">
        <f>SUMIFS(CONSOLIDADO!$F:$F,CONSOLIDADO!$E:$E,$A65,CONSOLIDADO!$I:$I,F$3,CONSOLIDADO!$I:$I,F$4,CONSOLIDADO!$K:$K,"&lt;&gt;NOVO")</f>
        <v>0</v>
      </c>
      <c r="H65" s="64">
        <f>SUMIFS(CONSOLIDADO!$F:$F,CONSOLIDADO!$E:$E,$A65,CONSOLIDADO!$I:$I,G$3,CONSOLIDADO!$I:$I,G$4,CONSOLIDADO!$K:$K,"&lt;&gt;NOVO")</f>
        <v>0</v>
      </c>
      <c r="I65" s="64">
        <f>SUMIFS(CONSOLIDADO!$F:$F,CONSOLIDADO!$E:$E,$A65,CONSOLIDADO!$I:$I,H$3,CONSOLIDADO!$I:$I,H$4,CONSOLIDADO!$K:$K,"&lt;&gt;NOVO")</f>
        <v>0</v>
      </c>
      <c r="J65" s="64">
        <f>SUMIFS(CONSOLIDADO!$F:$F,CONSOLIDADO!$E:$E,$A65,CONSOLIDADO!$I:$I,I$3,CONSOLIDADO!$I:$I,I$4,CONSOLIDADO!$K:$K,"&lt;&gt;NOVO")</f>
        <v>0</v>
      </c>
      <c r="K65" s="64">
        <f>SUMIFS(CONSOLIDADO!$F:$F,CONSOLIDADO!$E:$E,$A65,CONSOLIDADO!$I:$I,J$3,CONSOLIDADO!$I:$I,J$4,CONSOLIDADO!$K:$K,"&lt;&gt;NOVO")</f>
        <v>0</v>
      </c>
      <c r="L65" s="64">
        <f>SUMIFS(CONSOLIDADO!$F:$F,CONSOLIDADO!$E:$E,$A65,CONSOLIDADO!$I:$I,K$3,CONSOLIDADO!$I:$I,K$4,CONSOLIDADO!$K:$K,"&lt;&gt;NOVO")</f>
        <v>0</v>
      </c>
      <c r="M65" s="64">
        <f>SUMIFS(CONSOLIDADO!$F:$F,CONSOLIDADO!$E:$E,$A65,CONSOLIDADO!$I:$I,L$3,CONSOLIDADO!$I:$I,L$4,CONSOLIDADO!$K:$K,"&lt;&gt;NOVO")</f>
        <v>0</v>
      </c>
      <c r="N65" s="66">
        <v>627.61</v>
      </c>
      <c r="O65" s="65">
        <v>0.8</v>
      </c>
      <c r="P65" s="66">
        <f t="shared" si="2"/>
        <v>0</v>
      </c>
      <c r="Q65" s="66">
        <f t="shared" si="2"/>
        <v>125.52199999999998</v>
      </c>
      <c r="R65" s="66">
        <f t="shared" si="2"/>
        <v>0</v>
      </c>
      <c r="S65" s="66">
        <f t="shared" si="2"/>
        <v>0</v>
      </c>
      <c r="T65" s="66">
        <f t="shared" si="2"/>
        <v>0</v>
      </c>
      <c r="U65" s="66">
        <f t="shared" si="2"/>
        <v>0</v>
      </c>
      <c r="V65" s="66">
        <f t="shared" si="2"/>
        <v>0</v>
      </c>
      <c r="W65" s="66">
        <f t="shared" si="2"/>
        <v>0</v>
      </c>
      <c r="X65" s="66">
        <f t="shared" si="2"/>
        <v>0</v>
      </c>
      <c r="Y65" s="66">
        <f t="shared" si="2"/>
        <v>0</v>
      </c>
      <c r="Z65" s="66">
        <f t="shared" si="2"/>
        <v>0</v>
      </c>
      <c r="AA65" s="66">
        <f t="shared" si="2"/>
        <v>0</v>
      </c>
      <c r="AB65" s="33"/>
    </row>
    <row r="66" spans="1:28" x14ac:dyDescent="0.25">
      <c r="A66" t="s">
        <v>640</v>
      </c>
      <c r="B66" s="64">
        <f>SUMIFS(CONSOLIDADO!$F:$F,CONSOLIDADO!$E:$E,$A66,CONSOLIDADO!$I:$I,A$3,CONSOLIDADO!$I:$I,A$4,CONSOLIDADO!$K:$K,"&lt;&gt;NOVO")</f>
        <v>0</v>
      </c>
      <c r="C66" s="64">
        <f>SUMIFS(CONSOLIDADO!$F:$F,CONSOLIDADO!$E:$E,$A66,CONSOLIDADO!$I:$I,B$3,CONSOLIDADO!$I:$I,B$4,CONSOLIDADO!$K:$K,"&lt;&gt;NOVO")</f>
        <v>0</v>
      </c>
      <c r="D66" s="64">
        <f>SUMIFS(CONSOLIDADO!$F:$F,CONSOLIDADO!$E:$E,$A66,CONSOLIDADO!$I:$I,C$3,CONSOLIDADO!$I:$I,C$4,CONSOLIDADO!$K:$K,"&lt;&gt;NOVO")</f>
        <v>0</v>
      </c>
      <c r="E66" s="64">
        <f>SUMIFS(CONSOLIDADO!$F:$F,CONSOLIDADO!$E:$E,$A66,CONSOLIDADO!$I:$I,D$3,CONSOLIDADO!$I:$I,D$4,CONSOLIDADO!$K:$K,"&lt;&gt;NOVO")</f>
        <v>0</v>
      </c>
      <c r="F66" s="64">
        <f>SUMIFS(CONSOLIDADO!$F:$F,CONSOLIDADO!$E:$E,$A66,CONSOLIDADO!$I:$I,E$3,CONSOLIDADO!$I:$I,E$4,CONSOLIDADO!$K:$K,"&lt;&gt;NOVO")</f>
        <v>0</v>
      </c>
      <c r="G66" s="64">
        <f>SUMIFS(CONSOLIDADO!$F:$F,CONSOLIDADO!$E:$E,$A66,CONSOLIDADO!$I:$I,F$3,CONSOLIDADO!$I:$I,F$4,CONSOLIDADO!$K:$K,"&lt;&gt;NOVO")</f>
        <v>0</v>
      </c>
      <c r="H66" s="64">
        <f>SUMIFS(CONSOLIDADO!$F:$F,CONSOLIDADO!$E:$E,$A66,CONSOLIDADO!$I:$I,G$3,CONSOLIDADO!$I:$I,G$4,CONSOLIDADO!$K:$K,"&lt;&gt;NOVO")</f>
        <v>0</v>
      </c>
      <c r="I66" s="64">
        <f>SUMIFS(CONSOLIDADO!$F:$F,CONSOLIDADO!$E:$E,$A66,CONSOLIDADO!$I:$I,H$3,CONSOLIDADO!$I:$I,H$4,CONSOLIDADO!$K:$K,"&lt;&gt;NOVO")</f>
        <v>0</v>
      </c>
      <c r="J66" s="64">
        <f>SUMIFS(CONSOLIDADO!$F:$F,CONSOLIDADO!$E:$E,$A66,CONSOLIDADO!$I:$I,I$3,CONSOLIDADO!$I:$I,I$4,CONSOLIDADO!$K:$K,"&lt;&gt;NOVO")</f>
        <v>0</v>
      </c>
      <c r="K66" s="64">
        <f>SUMIFS(CONSOLIDADO!$F:$F,CONSOLIDADO!$E:$E,$A66,CONSOLIDADO!$I:$I,J$3,CONSOLIDADO!$I:$I,J$4,CONSOLIDADO!$K:$K,"&lt;&gt;NOVO")</f>
        <v>0</v>
      </c>
      <c r="L66" s="64">
        <f>SUMIFS(CONSOLIDADO!$F:$F,CONSOLIDADO!$E:$E,$A66,CONSOLIDADO!$I:$I,K$3,CONSOLIDADO!$I:$I,K$4,CONSOLIDADO!$K:$K,"&lt;&gt;NOVO")</f>
        <v>0</v>
      </c>
      <c r="M66" s="64">
        <f>SUMIFS(CONSOLIDADO!$F:$F,CONSOLIDADO!$E:$E,$A66,CONSOLIDADO!$I:$I,L$3,CONSOLIDADO!$I:$I,L$4,CONSOLIDADO!$K:$K,"&lt;&gt;NOVO")</f>
        <v>0</v>
      </c>
      <c r="N66" s="66">
        <v>653.75</v>
      </c>
      <c r="O66" s="65">
        <v>0.8</v>
      </c>
      <c r="P66" s="66">
        <f t="shared" si="2"/>
        <v>0</v>
      </c>
      <c r="Q66" s="66">
        <f t="shared" si="2"/>
        <v>0</v>
      </c>
      <c r="R66" s="66">
        <f t="shared" si="2"/>
        <v>0</v>
      </c>
      <c r="S66" s="66">
        <f t="shared" ref="S66:AA94" si="3">E66*($N66*(1-$O66))</f>
        <v>0</v>
      </c>
      <c r="T66" s="66">
        <f t="shared" si="3"/>
        <v>0</v>
      </c>
      <c r="U66" s="66">
        <f t="shared" si="3"/>
        <v>0</v>
      </c>
      <c r="V66" s="66">
        <f t="shared" si="3"/>
        <v>0</v>
      </c>
      <c r="W66" s="66">
        <f t="shared" si="3"/>
        <v>0</v>
      </c>
      <c r="X66" s="66">
        <f t="shared" si="3"/>
        <v>0</v>
      </c>
      <c r="Y66" s="66">
        <f t="shared" si="3"/>
        <v>0</v>
      </c>
      <c r="Z66" s="66">
        <f t="shared" si="3"/>
        <v>0</v>
      </c>
      <c r="AA66" s="66">
        <f t="shared" si="3"/>
        <v>0</v>
      </c>
      <c r="AB66" s="33"/>
    </row>
    <row r="67" spans="1:28" x14ac:dyDescent="0.25">
      <c r="A67" s="63" t="s">
        <v>84</v>
      </c>
      <c r="B67" s="64">
        <f>SUMIFS(CONSOLIDADO!$F:$F,CONSOLIDADO!$E:$E,$A67,CONSOLIDADO!$I:$I,A$3,CONSOLIDADO!$I:$I,A$4,CONSOLIDADO!$K:$K,"&lt;&gt;NOVO")</f>
        <v>5</v>
      </c>
      <c r="C67" s="64">
        <f>SUMIFS(CONSOLIDADO!$F:$F,CONSOLIDADO!$E:$E,$A67,CONSOLIDADO!$I:$I,B$3,CONSOLIDADO!$I:$I,B$4,CONSOLIDADO!$K:$K,"&lt;&gt;NOVO")</f>
        <v>5</v>
      </c>
      <c r="D67" s="64">
        <f>SUMIFS(CONSOLIDADO!$F:$F,CONSOLIDADO!$E:$E,$A67,CONSOLIDADO!$I:$I,C$3,CONSOLIDADO!$I:$I,C$4,CONSOLIDADO!$K:$K,"&lt;&gt;NOVO")</f>
        <v>0</v>
      </c>
      <c r="E67" s="64">
        <f>SUMIFS(CONSOLIDADO!$F:$F,CONSOLIDADO!$E:$E,$A67,CONSOLIDADO!$I:$I,D$3,CONSOLIDADO!$I:$I,D$4,CONSOLIDADO!$K:$K,"&lt;&gt;NOVO")</f>
        <v>0</v>
      </c>
      <c r="F67" s="64">
        <f>SUMIFS(CONSOLIDADO!$F:$F,CONSOLIDADO!$E:$E,$A67,CONSOLIDADO!$I:$I,E$3,CONSOLIDADO!$I:$I,E$4,CONSOLIDADO!$K:$K,"&lt;&gt;NOVO")</f>
        <v>0</v>
      </c>
      <c r="G67" s="64">
        <f>SUMIFS(CONSOLIDADO!$F:$F,CONSOLIDADO!$E:$E,$A67,CONSOLIDADO!$I:$I,F$3,CONSOLIDADO!$I:$I,F$4,CONSOLIDADO!$K:$K,"&lt;&gt;NOVO")</f>
        <v>0</v>
      </c>
      <c r="H67" s="64">
        <f>SUMIFS(CONSOLIDADO!$F:$F,CONSOLIDADO!$E:$E,$A67,CONSOLIDADO!$I:$I,G$3,CONSOLIDADO!$I:$I,G$4,CONSOLIDADO!$K:$K,"&lt;&gt;NOVO")</f>
        <v>0</v>
      </c>
      <c r="I67" s="64">
        <f>SUMIFS(CONSOLIDADO!$F:$F,CONSOLIDADO!$E:$E,$A67,CONSOLIDADO!$I:$I,H$3,CONSOLIDADO!$I:$I,H$4,CONSOLIDADO!$K:$K,"&lt;&gt;NOVO")</f>
        <v>0</v>
      </c>
      <c r="J67" s="64">
        <f>SUMIFS(CONSOLIDADO!$F:$F,CONSOLIDADO!$E:$E,$A67,CONSOLIDADO!$I:$I,I$3,CONSOLIDADO!$I:$I,I$4,CONSOLIDADO!$K:$K,"&lt;&gt;NOVO")</f>
        <v>0</v>
      </c>
      <c r="K67" s="64">
        <f>SUMIFS(CONSOLIDADO!$F:$F,CONSOLIDADO!$E:$E,$A67,CONSOLIDADO!$I:$I,J$3,CONSOLIDADO!$I:$I,J$4,CONSOLIDADO!$K:$K,"&lt;&gt;NOVO")</f>
        <v>0</v>
      </c>
      <c r="L67" s="64">
        <f>SUMIFS(CONSOLIDADO!$F:$F,CONSOLIDADO!$E:$E,$A67,CONSOLIDADO!$I:$I,K$3,CONSOLIDADO!$I:$I,K$4,CONSOLIDADO!$K:$K,"&lt;&gt;NOVO")</f>
        <v>0</v>
      </c>
      <c r="M67" s="64">
        <f>SUMIFS(CONSOLIDADO!$F:$F,CONSOLIDADO!$E:$E,$A67,CONSOLIDADO!$I:$I,L$3,CONSOLIDADO!$I:$I,L$4,CONSOLIDADO!$K:$K,"&lt;&gt;NOVO")</f>
        <v>0</v>
      </c>
      <c r="N67" s="66">
        <v>200</v>
      </c>
      <c r="O67" s="65">
        <v>0.8</v>
      </c>
      <c r="P67" s="66">
        <f t="shared" ref="P67:U99" si="4">B67*($N67*(1-$O67))</f>
        <v>199.99999999999997</v>
      </c>
      <c r="Q67" s="66">
        <f t="shared" si="4"/>
        <v>199.99999999999997</v>
      </c>
      <c r="R67" s="66">
        <f t="shared" si="4"/>
        <v>0</v>
      </c>
      <c r="S67" s="66">
        <f t="shared" si="3"/>
        <v>0</v>
      </c>
      <c r="T67" s="66">
        <f t="shared" si="3"/>
        <v>0</v>
      </c>
      <c r="U67" s="66">
        <f t="shared" si="3"/>
        <v>0</v>
      </c>
      <c r="V67" s="66">
        <f t="shared" si="3"/>
        <v>0</v>
      </c>
      <c r="W67" s="66">
        <f t="shared" si="3"/>
        <v>0</v>
      </c>
      <c r="X67" s="66">
        <f t="shared" si="3"/>
        <v>0</v>
      </c>
      <c r="Y67" s="66">
        <f t="shared" si="3"/>
        <v>0</v>
      </c>
      <c r="Z67" s="66">
        <f t="shared" si="3"/>
        <v>0</v>
      </c>
      <c r="AA67" s="66">
        <f t="shared" si="3"/>
        <v>0</v>
      </c>
      <c r="AB67" s="33"/>
    </row>
    <row r="68" spans="1:28" x14ac:dyDescent="0.25">
      <c r="A68" t="s">
        <v>43</v>
      </c>
      <c r="B68" s="64">
        <f>SUMIFS(CONSOLIDADO!$F:$F,CONSOLIDADO!$E:$E,$A68,CONSOLIDADO!$I:$I,A$3,CONSOLIDADO!$I:$I,A$4,CONSOLIDADO!$K:$K,"&lt;&gt;NOVO")</f>
        <v>1</v>
      </c>
      <c r="C68" s="64">
        <f>SUMIFS(CONSOLIDADO!$F:$F,CONSOLIDADO!$E:$E,$A68,CONSOLIDADO!$I:$I,B$3,CONSOLIDADO!$I:$I,B$4,CONSOLIDADO!$K:$K,"&lt;&gt;NOVO")</f>
        <v>0</v>
      </c>
      <c r="D68" s="64">
        <f>SUMIFS(CONSOLIDADO!$F:$F,CONSOLIDADO!$E:$E,$A68,CONSOLIDADO!$I:$I,C$3,CONSOLIDADO!$I:$I,C$4,CONSOLIDADO!$K:$K,"&lt;&gt;NOVO")</f>
        <v>0</v>
      </c>
      <c r="E68" s="64">
        <f>SUMIFS(CONSOLIDADO!$F:$F,CONSOLIDADO!$E:$E,$A68,CONSOLIDADO!$I:$I,D$3,CONSOLIDADO!$I:$I,D$4,CONSOLIDADO!$K:$K,"&lt;&gt;NOVO")</f>
        <v>0</v>
      </c>
      <c r="F68" s="64">
        <f>SUMIFS(CONSOLIDADO!$F:$F,CONSOLIDADO!$E:$E,$A68,CONSOLIDADO!$I:$I,E$3,CONSOLIDADO!$I:$I,E$4,CONSOLIDADO!$K:$K,"&lt;&gt;NOVO")</f>
        <v>0</v>
      </c>
      <c r="G68" s="64">
        <f>SUMIFS(CONSOLIDADO!$F:$F,CONSOLIDADO!$E:$E,$A68,CONSOLIDADO!$I:$I,F$3,CONSOLIDADO!$I:$I,F$4,CONSOLIDADO!$K:$K,"&lt;&gt;NOVO")</f>
        <v>0</v>
      </c>
      <c r="H68" s="64">
        <f>SUMIFS(CONSOLIDADO!$F:$F,CONSOLIDADO!$E:$E,$A68,CONSOLIDADO!$I:$I,G$3,CONSOLIDADO!$I:$I,G$4,CONSOLIDADO!$K:$K,"&lt;&gt;NOVO")</f>
        <v>0</v>
      </c>
      <c r="I68" s="64">
        <f>SUMIFS(CONSOLIDADO!$F:$F,CONSOLIDADO!$E:$E,$A68,CONSOLIDADO!$I:$I,H$3,CONSOLIDADO!$I:$I,H$4,CONSOLIDADO!$K:$K,"&lt;&gt;NOVO")</f>
        <v>0</v>
      </c>
      <c r="J68" s="64">
        <f>SUMIFS(CONSOLIDADO!$F:$F,CONSOLIDADO!$E:$E,$A68,CONSOLIDADO!$I:$I,I$3,CONSOLIDADO!$I:$I,I$4,CONSOLIDADO!$K:$K,"&lt;&gt;NOVO")</f>
        <v>0</v>
      </c>
      <c r="K68" s="64">
        <f>SUMIFS(CONSOLIDADO!$F:$F,CONSOLIDADO!$E:$E,$A68,CONSOLIDADO!$I:$I,J$3,CONSOLIDADO!$I:$I,J$4,CONSOLIDADO!$K:$K,"&lt;&gt;NOVO")</f>
        <v>0</v>
      </c>
      <c r="L68" s="64">
        <f>SUMIFS(CONSOLIDADO!$F:$F,CONSOLIDADO!$E:$E,$A68,CONSOLIDADO!$I:$I,K$3,CONSOLIDADO!$I:$I,K$4,CONSOLIDADO!$K:$K,"&lt;&gt;NOVO")</f>
        <v>0</v>
      </c>
      <c r="M68" s="64">
        <f>SUMIFS(CONSOLIDADO!$F:$F,CONSOLIDADO!$E:$E,$A68,CONSOLIDADO!$I:$I,L$3,CONSOLIDADO!$I:$I,L$4,CONSOLIDADO!$K:$K,"&lt;&gt;NOVO")</f>
        <v>0</v>
      </c>
      <c r="N68" s="66">
        <v>2000</v>
      </c>
      <c r="O68" s="65">
        <v>0.8</v>
      </c>
      <c r="P68" s="66">
        <f t="shared" si="4"/>
        <v>399.99999999999989</v>
      </c>
      <c r="Q68" s="66">
        <f t="shared" si="4"/>
        <v>0</v>
      </c>
      <c r="R68" s="66">
        <f t="shared" si="4"/>
        <v>0</v>
      </c>
      <c r="S68" s="66">
        <f t="shared" si="3"/>
        <v>0</v>
      </c>
      <c r="T68" s="66">
        <f t="shared" si="3"/>
        <v>0</v>
      </c>
      <c r="U68" s="66">
        <f t="shared" si="3"/>
        <v>0</v>
      </c>
      <c r="V68" s="66">
        <f t="shared" si="3"/>
        <v>0</v>
      </c>
      <c r="W68" s="66">
        <f t="shared" si="3"/>
        <v>0</v>
      </c>
      <c r="X68" s="66">
        <f t="shared" si="3"/>
        <v>0</v>
      </c>
      <c r="Y68" s="66">
        <f t="shared" si="3"/>
        <v>0</v>
      </c>
      <c r="Z68" s="66">
        <f t="shared" si="3"/>
        <v>0</v>
      </c>
      <c r="AA68" s="66">
        <f t="shared" si="3"/>
        <v>0</v>
      </c>
      <c r="AB68" s="33"/>
    </row>
    <row r="69" spans="1:28" x14ac:dyDescent="0.25">
      <c r="A69" s="63" t="s">
        <v>105</v>
      </c>
      <c r="B69" s="64">
        <f>SUMIFS(CONSOLIDADO!$F:$F,CONSOLIDADO!$E:$E,$A69,CONSOLIDADO!$I:$I,A$3,CONSOLIDADO!$I:$I,A$4,CONSOLIDADO!$K:$K,"&lt;&gt;NOVO")</f>
        <v>1</v>
      </c>
      <c r="C69" s="64">
        <f>SUMIFS(CONSOLIDADO!$F:$F,CONSOLIDADO!$E:$E,$A69,CONSOLIDADO!$I:$I,B$3,CONSOLIDADO!$I:$I,B$4,CONSOLIDADO!$K:$K,"&lt;&gt;NOVO")</f>
        <v>1</v>
      </c>
      <c r="D69" s="64">
        <f>SUMIFS(CONSOLIDADO!$F:$F,CONSOLIDADO!$E:$E,$A69,CONSOLIDADO!$I:$I,C$3,CONSOLIDADO!$I:$I,C$4,CONSOLIDADO!$K:$K,"&lt;&gt;NOVO")</f>
        <v>0</v>
      </c>
      <c r="E69" s="64">
        <f>SUMIFS(CONSOLIDADO!$F:$F,CONSOLIDADO!$E:$E,$A69,CONSOLIDADO!$I:$I,D$3,CONSOLIDADO!$I:$I,D$4,CONSOLIDADO!$K:$K,"&lt;&gt;NOVO")</f>
        <v>12</v>
      </c>
      <c r="F69" s="64">
        <f>SUMIFS(CONSOLIDADO!$F:$F,CONSOLIDADO!$E:$E,$A69,CONSOLIDADO!$I:$I,E$3,CONSOLIDADO!$I:$I,E$4,CONSOLIDADO!$K:$K,"&lt;&gt;NOVO")</f>
        <v>0</v>
      </c>
      <c r="G69" s="64">
        <f>SUMIFS(CONSOLIDADO!$F:$F,CONSOLIDADO!$E:$E,$A69,CONSOLIDADO!$I:$I,F$3,CONSOLIDADO!$I:$I,F$4,CONSOLIDADO!$K:$K,"&lt;&gt;NOVO")</f>
        <v>0</v>
      </c>
      <c r="H69" s="64">
        <f>SUMIFS(CONSOLIDADO!$F:$F,CONSOLIDADO!$E:$E,$A69,CONSOLIDADO!$I:$I,G$3,CONSOLIDADO!$I:$I,G$4,CONSOLIDADO!$K:$K,"&lt;&gt;NOVO")</f>
        <v>0</v>
      </c>
      <c r="I69" s="64">
        <f>SUMIFS(CONSOLIDADO!$F:$F,CONSOLIDADO!$E:$E,$A69,CONSOLIDADO!$I:$I,H$3,CONSOLIDADO!$I:$I,H$4,CONSOLIDADO!$K:$K,"&lt;&gt;NOVO")</f>
        <v>0</v>
      </c>
      <c r="J69" s="64">
        <f>SUMIFS(CONSOLIDADO!$F:$F,CONSOLIDADO!$E:$E,$A69,CONSOLIDADO!$I:$I,I$3,CONSOLIDADO!$I:$I,I$4,CONSOLIDADO!$K:$K,"&lt;&gt;NOVO")</f>
        <v>0</v>
      </c>
      <c r="K69" s="64">
        <f>SUMIFS(CONSOLIDADO!$F:$F,CONSOLIDADO!$E:$E,$A69,CONSOLIDADO!$I:$I,J$3,CONSOLIDADO!$I:$I,J$4,CONSOLIDADO!$K:$K,"&lt;&gt;NOVO")</f>
        <v>0</v>
      </c>
      <c r="L69" s="64">
        <f>SUMIFS(CONSOLIDADO!$F:$F,CONSOLIDADO!$E:$E,$A69,CONSOLIDADO!$I:$I,K$3,CONSOLIDADO!$I:$I,K$4,CONSOLIDADO!$K:$K,"&lt;&gt;NOVO")</f>
        <v>0</v>
      </c>
      <c r="M69" s="64">
        <f>SUMIFS(CONSOLIDADO!$F:$F,CONSOLIDADO!$E:$E,$A69,CONSOLIDADO!$I:$I,L$3,CONSOLIDADO!$I:$I,L$4,CONSOLIDADO!$K:$K,"&lt;&gt;NOVO")</f>
        <v>0</v>
      </c>
      <c r="N69" s="66">
        <v>982.59</v>
      </c>
      <c r="O69" s="65">
        <v>0.8</v>
      </c>
      <c r="P69" s="66">
        <f t="shared" si="4"/>
        <v>196.51799999999997</v>
      </c>
      <c r="Q69" s="66">
        <f t="shared" si="4"/>
        <v>196.51799999999997</v>
      </c>
      <c r="R69" s="66">
        <f t="shared" si="4"/>
        <v>0</v>
      </c>
      <c r="S69" s="66">
        <f t="shared" si="3"/>
        <v>2358.2159999999994</v>
      </c>
      <c r="T69" s="66">
        <f t="shared" si="3"/>
        <v>0</v>
      </c>
      <c r="U69" s="66">
        <f t="shared" si="3"/>
        <v>0</v>
      </c>
      <c r="V69" s="66">
        <f t="shared" si="3"/>
        <v>0</v>
      </c>
      <c r="W69" s="66">
        <f t="shared" si="3"/>
        <v>0</v>
      </c>
      <c r="X69" s="66">
        <f t="shared" si="3"/>
        <v>0</v>
      </c>
      <c r="Y69" s="66">
        <f t="shared" si="3"/>
        <v>0</v>
      </c>
      <c r="Z69" s="66">
        <f t="shared" si="3"/>
        <v>0</v>
      </c>
      <c r="AA69" s="66">
        <f t="shared" si="3"/>
        <v>0</v>
      </c>
      <c r="AB69" s="33"/>
    </row>
    <row r="70" spans="1:28" x14ac:dyDescent="0.25">
      <c r="A70" s="63" t="s">
        <v>648</v>
      </c>
      <c r="B70" s="64">
        <f>SUMIFS(CONSOLIDADO!$F:$F,CONSOLIDADO!$E:$E,$A70,CONSOLIDADO!$I:$I,A$3,CONSOLIDADO!$I:$I,A$4,CONSOLIDADO!$K:$K,"&lt;&gt;NOVO")</f>
        <v>0</v>
      </c>
      <c r="C70" s="64">
        <f>SUMIFS(CONSOLIDADO!$F:$F,CONSOLIDADO!$E:$E,$A70,CONSOLIDADO!$I:$I,B$3,CONSOLIDADO!$I:$I,B$4,CONSOLIDADO!$K:$K,"&lt;&gt;NOVO")</f>
        <v>0</v>
      </c>
      <c r="D70" s="64">
        <f>SUMIFS(CONSOLIDADO!$F:$F,CONSOLIDADO!$E:$E,$A70,CONSOLIDADO!$I:$I,C$3,CONSOLIDADO!$I:$I,C$4,CONSOLIDADO!$K:$K,"&lt;&gt;NOVO")</f>
        <v>0</v>
      </c>
      <c r="E70" s="64">
        <f>SUMIFS(CONSOLIDADO!$F:$F,CONSOLIDADO!$E:$E,$A70,CONSOLIDADO!$I:$I,D$3,CONSOLIDADO!$I:$I,D$4,CONSOLIDADO!$K:$K,"&lt;&gt;NOVO")</f>
        <v>0</v>
      </c>
      <c r="F70" s="64">
        <f>SUMIFS(CONSOLIDADO!$F:$F,CONSOLIDADO!$E:$E,$A70,CONSOLIDADO!$I:$I,E$3,CONSOLIDADO!$I:$I,E$4,CONSOLIDADO!$K:$K,"&lt;&gt;NOVO")</f>
        <v>0</v>
      </c>
      <c r="G70" s="64">
        <f>SUMIFS(CONSOLIDADO!$F:$F,CONSOLIDADO!$E:$E,$A70,CONSOLIDADO!$I:$I,F$3,CONSOLIDADO!$I:$I,F$4,CONSOLIDADO!$K:$K,"&lt;&gt;NOVO")</f>
        <v>0</v>
      </c>
      <c r="H70" s="64">
        <f>SUMIFS(CONSOLIDADO!$F:$F,CONSOLIDADO!$E:$E,$A70,CONSOLIDADO!$I:$I,G$3,CONSOLIDADO!$I:$I,G$4,CONSOLIDADO!$K:$K,"&lt;&gt;NOVO")</f>
        <v>0</v>
      </c>
      <c r="I70" s="64">
        <f>SUMIFS(CONSOLIDADO!$F:$F,CONSOLIDADO!$E:$E,$A70,CONSOLIDADO!$I:$I,H$3,CONSOLIDADO!$I:$I,H$4,CONSOLIDADO!$K:$K,"&lt;&gt;NOVO")</f>
        <v>0</v>
      </c>
      <c r="J70" s="64">
        <f>SUMIFS(CONSOLIDADO!$F:$F,CONSOLIDADO!$E:$E,$A70,CONSOLIDADO!$I:$I,I$3,CONSOLIDADO!$I:$I,I$4,CONSOLIDADO!$K:$K,"&lt;&gt;NOVO")</f>
        <v>0</v>
      </c>
      <c r="K70" s="64">
        <f>SUMIFS(CONSOLIDADO!$F:$F,CONSOLIDADO!$E:$E,$A70,CONSOLIDADO!$I:$I,J$3,CONSOLIDADO!$I:$I,J$4,CONSOLIDADO!$K:$K,"&lt;&gt;NOVO")</f>
        <v>0</v>
      </c>
      <c r="L70" s="64">
        <f>SUMIFS(CONSOLIDADO!$F:$F,CONSOLIDADO!$E:$E,$A70,CONSOLIDADO!$I:$I,K$3,CONSOLIDADO!$I:$I,K$4,CONSOLIDADO!$K:$K,"&lt;&gt;NOVO")</f>
        <v>0</v>
      </c>
      <c r="M70" s="64">
        <f>SUMIFS(CONSOLIDADO!$F:$F,CONSOLIDADO!$E:$E,$A70,CONSOLIDADO!$I:$I,L$3,CONSOLIDADO!$I:$I,L$4,CONSOLIDADO!$K:$K,"&lt;&gt;NOVO")</f>
        <v>0</v>
      </c>
      <c r="N70" s="66">
        <v>982.59</v>
      </c>
      <c r="O70" s="65">
        <v>0.8</v>
      </c>
      <c r="P70" s="66">
        <f t="shared" si="4"/>
        <v>0</v>
      </c>
      <c r="Q70" s="66">
        <f t="shared" si="4"/>
        <v>0</v>
      </c>
      <c r="R70" s="66">
        <f t="shared" si="4"/>
        <v>0</v>
      </c>
      <c r="S70" s="66">
        <f t="shared" si="3"/>
        <v>0</v>
      </c>
      <c r="T70" s="66">
        <f t="shared" si="3"/>
        <v>0</v>
      </c>
      <c r="U70" s="66">
        <f t="shared" si="3"/>
        <v>0</v>
      </c>
      <c r="V70" s="66">
        <f t="shared" si="3"/>
        <v>0</v>
      </c>
      <c r="W70" s="66">
        <f t="shared" si="3"/>
        <v>0</v>
      </c>
      <c r="X70" s="66">
        <f t="shared" si="3"/>
        <v>0</v>
      </c>
      <c r="Y70" s="66">
        <f t="shared" si="3"/>
        <v>0</v>
      </c>
      <c r="Z70" s="66">
        <f t="shared" si="3"/>
        <v>0</v>
      </c>
      <c r="AA70" s="66">
        <f t="shared" si="3"/>
        <v>0</v>
      </c>
      <c r="AB70" s="33"/>
    </row>
    <row r="71" spans="1:28" x14ac:dyDescent="0.25">
      <c r="A71" s="63" t="s">
        <v>649</v>
      </c>
      <c r="B71" s="64">
        <f>SUMIFS(CONSOLIDADO!$F:$F,CONSOLIDADO!$E:$E,$A71,CONSOLIDADO!$I:$I,A$3,CONSOLIDADO!$I:$I,A$4,CONSOLIDADO!$K:$K,"&lt;&gt;NOVO")</f>
        <v>0</v>
      </c>
      <c r="C71" s="64">
        <f>SUMIFS(CONSOLIDADO!$F:$F,CONSOLIDADO!$E:$E,$A71,CONSOLIDADO!$I:$I,B$3,CONSOLIDADO!$I:$I,B$4,CONSOLIDADO!$K:$K,"&lt;&gt;NOVO")</f>
        <v>0</v>
      </c>
      <c r="D71" s="64">
        <f>SUMIFS(CONSOLIDADO!$F:$F,CONSOLIDADO!$E:$E,$A71,CONSOLIDADO!$I:$I,C$3,CONSOLIDADO!$I:$I,C$4,CONSOLIDADO!$K:$K,"&lt;&gt;NOVO")</f>
        <v>0</v>
      </c>
      <c r="E71" s="64">
        <f>SUMIFS(CONSOLIDADO!$F:$F,CONSOLIDADO!$E:$E,$A71,CONSOLIDADO!$I:$I,D$3,CONSOLIDADO!$I:$I,D$4,CONSOLIDADO!$K:$K,"&lt;&gt;NOVO")</f>
        <v>0</v>
      </c>
      <c r="F71" s="64">
        <f>SUMIFS(CONSOLIDADO!$F:$F,CONSOLIDADO!$E:$E,$A71,CONSOLIDADO!$I:$I,E$3,CONSOLIDADO!$I:$I,E$4,CONSOLIDADO!$K:$K,"&lt;&gt;NOVO")</f>
        <v>0</v>
      </c>
      <c r="G71" s="64">
        <f>SUMIFS(CONSOLIDADO!$F:$F,CONSOLIDADO!$E:$E,$A71,CONSOLIDADO!$I:$I,F$3,CONSOLIDADO!$I:$I,F$4,CONSOLIDADO!$K:$K,"&lt;&gt;NOVO")</f>
        <v>0</v>
      </c>
      <c r="H71" s="64">
        <f>SUMIFS(CONSOLIDADO!$F:$F,CONSOLIDADO!$E:$E,$A71,CONSOLIDADO!$I:$I,G$3,CONSOLIDADO!$I:$I,G$4,CONSOLIDADO!$K:$K,"&lt;&gt;NOVO")</f>
        <v>0</v>
      </c>
      <c r="I71" s="64">
        <f>SUMIFS(CONSOLIDADO!$F:$F,CONSOLIDADO!$E:$E,$A71,CONSOLIDADO!$I:$I,H$3,CONSOLIDADO!$I:$I,H$4,CONSOLIDADO!$K:$K,"&lt;&gt;NOVO")</f>
        <v>0</v>
      </c>
      <c r="J71" s="64">
        <f>SUMIFS(CONSOLIDADO!$F:$F,CONSOLIDADO!$E:$E,$A71,CONSOLIDADO!$I:$I,I$3,CONSOLIDADO!$I:$I,I$4,CONSOLIDADO!$K:$K,"&lt;&gt;NOVO")</f>
        <v>0</v>
      </c>
      <c r="K71" s="64">
        <f>SUMIFS(CONSOLIDADO!$F:$F,CONSOLIDADO!$E:$E,$A71,CONSOLIDADO!$I:$I,J$3,CONSOLIDADO!$I:$I,J$4,CONSOLIDADO!$K:$K,"&lt;&gt;NOVO")</f>
        <v>0</v>
      </c>
      <c r="L71" s="64">
        <f>SUMIFS(CONSOLIDADO!$F:$F,CONSOLIDADO!$E:$E,$A71,CONSOLIDADO!$I:$I,K$3,CONSOLIDADO!$I:$I,K$4,CONSOLIDADO!$K:$K,"&lt;&gt;NOVO")</f>
        <v>0</v>
      </c>
      <c r="M71" s="64">
        <f>SUMIFS(CONSOLIDADO!$F:$F,CONSOLIDADO!$E:$E,$A71,CONSOLIDADO!$I:$I,L$3,CONSOLIDADO!$I:$I,L$4,CONSOLIDADO!$K:$K,"&lt;&gt;NOVO")</f>
        <v>0</v>
      </c>
      <c r="N71" s="66">
        <v>982.59</v>
      </c>
      <c r="O71" s="65">
        <v>0.8</v>
      </c>
      <c r="P71" s="66">
        <f t="shared" si="4"/>
        <v>0</v>
      </c>
      <c r="Q71" s="66">
        <f t="shared" si="4"/>
        <v>0</v>
      </c>
      <c r="R71" s="66">
        <f t="shared" si="4"/>
        <v>0</v>
      </c>
      <c r="S71" s="66">
        <f t="shared" si="3"/>
        <v>0</v>
      </c>
      <c r="T71" s="66">
        <f t="shared" si="3"/>
        <v>0</v>
      </c>
      <c r="U71" s="66">
        <f t="shared" si="3"/>
        <v>0</v>
      </c>
      <c r="V71" s="66">
        <f t="shared" si="3"/>
        <v>0</v>
      </c>
      <c r="W71" s="66">
        <f t="shared" si="3"/>
        <v>0</v>
      </c>
      <c r="X71" s="66">
        <f t="shared" si="3"/>
        <v>0</v>
      </c>
      <c r="Y71" s="66">
        <f t="shared" si="3"/>
        <v>0</v>
      </c>
      <c r="Z71" s="66">
        <f t="shared" si="3"/>
        <v>0</v>
      </c>
      <c r="AA71" s="66">
        <f t="shared" si="3"/>
        <v>0</v>
      </c>
      <c r="AB71" s="33"/>
    </row>
    <row r="72" spans="1:28" x14ac:dyDescent="0.25">
      <c r="A72" s="63" t="s">
        <v>68</v>
      </c>
      <c r="B72" s="64">
        <f>SUMIFS(CONSOLIDADO!$F:$F,CONSOLIDADO!$E:$E,$A72,CONSOLIDADO!$I:$I,A$3,CONSOLIDADO!$I:$I,A$4,CONSOLIDADO!$K:$K,"&lt;&gt;NOVO")</f>
        <v>16</v>
      </c>
      <c r="C72" s="64">
        <f>SUMIFS(CONSOLIDADO!$F:$F,CONSOLIDADO!$E:$E,$A72,CONSOLIDADO!$I:$I,B$3,CONSOLIDADO!$I:$I,B$4,CONSOLIDADO!$K:$K,"&lt;&gt;NOVO")</f>
        <v>9</v>
      </c>
      <c r="D72" s="64">
        <f>SUMIFS(CONSOLIDADO!$F:$F,CONSOLIDADO!$E:$E,$A72,CONSOLIDADO!$I:$I,C$3,CONSOLIDADO!$I:$I,C$4,CONSOLIDADO!$K:$K,"&lt;&gt;NOVO")</f>
        <v>3</v>
      </c>
      <c r="E72" s="64">
        <f>SUMIFS(CONSOLIDADO!$F:$F,CONSOLIDADO!$E:$E,$A72,CONSOLIDADO!$I:$I,D$3,CONSOLIDADO!$I:$I,D$4,CONSOLIDADO!$K:$K,"&lt;&gt;NOVO")</f>
        <v>36</v>
      </c>
      <c r="F72" s="64">
        <f>SUMIFS(CONSOLIDADO!$F:$F,CONSOLIDADO!$E:$E,$A72,CONSOLIDADO!$I:$I,E$3,CONSOLIDADO!$I:$I,E$4,CONSOLIDADO!$K:$K,"&lt;&gt;NOVO")</f>
        <v>11</v>
      </c>
      <c r="G72" s="64">
        <f>SUMIFS(CONSOLIDADO!$F:$F,CONSOLIDADO!$E:$E,$A72,CONSOLIDADO!$I:$I,F$3,CONSOLIDADO!$I:$I,F$4,CONSOLIDADO!$K:$K,"&lt;&gt;NOVO")</f>
        <v>0</v>
      </c>
      <c r="H72" s="64">
        <f>SUMIFS(CONSOLIDADO!$F:$F,CONSOLIDADO!$E:$E,$A72,CONSOLIDADO!$I:$I,G$3,CONSOLIDADO!$I:$I,G$4,CONSOLIDADO!$K:$K,"&lt;&gt;NOVO")</f>
        <v>0</v>
      </c>
      <c r="I72" s="64">
        <f>SUMIFS(CONSOLIDADO!$F:$F,CONSOLIDADO!$E:$E,$A72,CONSOLIDADO!$I:$I,H$3,CONSOLIDADO!$I:$I,H$4,CONSOLIDADO!$K:$K,"&lt;&gt;NOVO")</f>
        <v>0</v>
      </c>
      <c r="J72" s="64">
        <f>SUMIFS(CONSOLIDADO!$F:$F,CONSOLIDADO!$E:$E,$A72,CONSOLIDADO!$I:$I,I$3,CONSOLIDADO!$I:$I,I$4,CONSOLIDADO!$K:$K,"&lt;&gt;NOVO")</f>
        <v>0</v>
      </c>
      <c r="K72" s="64">
        <f>SUMIFS(CONSOLIDADO!$F:$F,CONSOLIDADO!$E:$E,$A72,CONSOLIDADO!$I:$I,J$3,CONSOLIDADO!$I:$I,J$4,CONSOLIDADO!$K:$K,"&lt;&gt;NOVO")</f>
        <v>0</v>
      </c>
      <c r="L72" s="64">
        <f>SUMIFS(CONSOLIDADO!$F:$F,CONSOLIDADO!$E:$E,$A72,CONSOLIDADO!$I:$I,K$3,CONSOLIDADO!$I:$I,K$4,CONSOLIDADO!$K:$K,"&lt;&gt;NOVO")</f>
        <v>0</v>
      </c>
      <c r="M72" s="64">
        <f>SUMIFS(CONSOLIDADO!$F:$F,CONSOLIDADO!$E:$E,$A72,CONSOLIDADO!$I:$I,L$3,CONSOLIDADO!$I:$I,L$4,CONSOLIDADO!$K:$K,"&lt;&gt;NOVO")</f>
        <v>0</v>
      </c>
      <c r="N72" s="66">
        <v>2381.4</v>
      </c>
      <c r="O72" s="65">
        <v>0.8</v>
      </c>
      <c r="P72" s="66">
        <f t="shared" si="4"/>
        <v>7620.4799999999987</v>
      </c>
      <c r="Q72" s="66">
        <f t="shared" si="4"/>
        <v>4286.5199999999995</v>
      </c>
      <c r="R72" s="66">
        <f t="shared" si="4"/>
        <v>1428.8399999999997</v>
      </c>
      <c r="S72" s="66">
        <f t="shared" si="3"/>
        <v>17146.079999999998</v>
      </c>
      <c r="T72" s="66">
        <f t="shared" si="3"/>
        <v>5239.079999999999</v>
      </c>
      <c r="U72" s="66">
        <f t="shared" si="3"/>
        <v>0</v>
      </c>
      <c r="V72" s="66">
        <f t="shared" si="3"/>
        <v>0</v>
      </c>
      <c r="W72" s="66">
        <f t="shared" si="3"/>
        <v>0</v>
      </c>
      <c r="X72" s="66">
        <f t="shared" si="3"/>
        <v>0</v>
      </c>
      <c r="Y72" s="66">
        <f t="shared" si="3"/>
        <v>0</v>
      </c>
      <c r="Z72" s="66">
        <f t="shared" si="3"/>
        <v>0</v>
      </c>
      <c r="AA72" s="66">
        <f t="shared" si="3"/>
        <v>0</v>
      </c>
      <c r="AB72" s="33"/>
    </row>
    <row r="73" spans="1:28" x14ac:dyDescent="0.25">
      <c r="A73" s="63" t="s">
        <v>107</v>
      </c>
      <c r="B73" s="64">
        <f>SUMIFS(CONSOLIDADO!$F:$F,CONSOLIDADO!$E:$E,$A73,CONSOLIDADO!$I:$I,A$3,CONSOLIDADO!$I:$I,A$4,CONSOLIDADO!$K:$K,"&lt;&gt;NOVO")</f>
        <v>23</v>
      </c>
      <c r="C73" s="64">
        <f>SUMIFS(CONSOLIDADO!$F:$F,CONSOLIDADO!$E:$E,$A73,CONSOLIDADO!$I:$I,B$3,CONSOLIDADO!$I:$I,B$4,CONSOLIDADO!$K:$K,"&lt;&gt;NOVO")</f>
        <v>15</v>
      </c>
      <c r="D73" s="64">
        <f>SUMIFS(CONSOLIDADO!$F:$F,CONSOLIDADO!$E:$E,$A73,CONSOLIDADO!$I:$I,C$3,CONSOLIDADO!$I:$I,C$4,CONSOLIDADO!$K:$K,"&lt;&gt;NOVO")</f>
        <v>19</v>
      </c>
      <c r="E73" s="64">
        <f>SUMIFS(CONSOLIDADO!$F:$F,CONSOLIDADO!$E:$E,$A73,CONSOLIDADO!$I:$I,D$3,CONSOLIDADO!$I:$I,D$4,CONSOLIDADO!$K:$K,"&lt;&gt;NOVO")</f>
        <v>24</v>
      </c>
      <c r="F73" s="64">
        <f>SUMIFS(CONSOLIDADO!$F:$F,CONSOLIDADO!$E:$E,$A73,CONSOLIDADO!$I:$I,E$3,CONSOLIDADO!$I:$I,E$4,CONSOLIDADO!$K:$K,"&lt;&gt;NOVO")</f>
        <v>0</v>
      </c>
      <c r="G73" s="64">
        <f>SUMIFS(CONSOLIDADO!$F:$F,CONSOLIDADO!$E:$E,$A73,CONSOLIDADO!$I:$I,F$3,CONSOLIDADO!$I:$I,F$4,CONSOLIDADO!$K:$K,"&lt;&gt;NOVO")</f>
        <v>0</v>
      </c>
      <c r="H73" s="64">
        <f>SUMIFS(CONSOLIDADO!$F:$F,CONSOLIDADO!$E:$E,$A73,CONSOLIDADO!$I:$I,G$3,CONSOLIDADO!$I:$I,G$4,CONSOLIDADO!$K:$K,"&lt;&gt;NOVO")</f>
        <v>0</v>
      </c>
      <c r="I73" s="64">
        <f>SUMIFS(CONSOLIDADO!$F:$F,CONSOLIDADO!$E:$E,$A73,CONSOLIDADO!$I:$I,H$3,CONSOLIDADO!$I:$I,H$4,CONSOLIDADO!$K:$K,"&lt;&gt;NOVO")</f>
        <v>0</v>
      </c>
      <c r="J73" s="64">
        <f>SUMIFS(CONSOLIDADO!$F:$F,CONSOLIDADO!$E:$E,$A73,CONSOLIDADO!$I:$I,I$3,CONSOLIDADO!$I:$I,I$4,CONSOLIDADO!$K:$K,"&lt;&gt;NOVO")</f>
        <v>0</v>
      </c>
      <c r="K73" s="64">
        <f>SUMIFS(CONSOLIDADO!$F:$F,CONSOLIDADO!$E:$E,$A73,CONSOLIDADO!$I:$I,J$3,CONSOLIDADO!$I:$I,J$4,CONSOLIDADO!$K:$K,"&lt;&gt;NOVO")</f>
        <v>0</v>
      </c>
      <c r="L73" s="64">
        <f>SUMIFS(CONSOLIDADO!$F:$F,CONSOLIDADO!$E:$E,$A73,CONSOLIDADO!$I:$I,K$3,CONSOLIDADO!$I:$I,K$4,CONSOLIDADO!$K:$K,"&lt;&gt;NOVO")</f>
        <v>0</v>
      </c>
      <c r="M73" s="64">
        <f>SUMIFS(CONSOLIDADO!$F:$F,CONSOLIDADO!$E:$E,$A73,CONSOLIDADO!$I:$I,L$3,CONSOLIDADO!$I:$I,L$4,CONSOLIDADO!$K:$K,"&lt;&gt;NOVO")</f>
        <v>0</v>
      </c>
      <c r="N73" s="66">
        <v>1861.15</v>
      </c>
      <c r="O73" s="65">
        <v>0.8</v>
      </c>
      <c r="P73" s="66">
        <f t="shared" si="4"/>
        <v>8561.2899999999991</v>
      </c>
      <c r="Q73" s="66">
        <f t="shared" si="4"/>
        <v>5583.45</v>
      </c>
      <c r="R73" s="66">
        <f t="shared" si="4"/>
        <v>7072.369999999999</v>
      </c>
      <c r="S73" s="66">
        <f t="shared" si="3"/>
        <v>8933.5199999999986</v>
      </c>
      <c r="T73" s="66">
        <f t="shared" si="3"/>
        <v>0</v>
      </c>
      <c r="U73" s="66">
        <f t="shared" si="3"/>
        <v>0</v>
      </c>
      <c r="V73" s="66">
        <f t="shared" si="3"/>
        <v>0</v>
      </c>
      <c r="W73" s="66">
        <f t="shared" si="3"/>
        <v>0</v>
      </c>
      <c r="X73" s="66">
        <f t="shared" si="3"/>
        <v>0</v>
      </c>
      <c r="Y73" s="66">
        <f t="shared" si="3"/>
        <v>0</v>
      </c>
      <c r="Z73" s="66">
        <f t="shared" si="3"/>
        <v>0</v>
      </c>
      <c r="AA73" s="66">
        <f t="shared" si="3"/>
        <v>0</v>
      </c>
      <c r="AB73" s="33"/>
    </row>
    <row r="74" spans="1:28" x14ac:dyDescent="0.25">
      <c r="A74" s="63" t="s">
        <v>82</v>
      </c>
      <c r="B74" s="64">
        <f>SUMIFS(CONSOLIDADO!$F:$F,CONSOLIDADO!$E:$E,$A74,CONSOLIDADO!$I:$I,A$3,CONSOLIDADO!$I:$I,A$4,CONSOLIDADO!$K:$K,"&lt;&gt;NOVO")</f>
        <v>4</v>
      </c>
      <c r="C74" s="64">
        <f>SUMIFS(CONSOLIDADO!$F:$F,CONSOLIDADO!$E:$E,$A74,CONSOLIDADO!$I:$I,B$3,CONSOLIDADO!$I:$I,B$4,CONSOLIDADO!$K:$K,"&lt;&gt;NOVO")</f>
        <v>1</v>
      </c>
      <c r="D74" s="64">
        <f>SUMIFS(CONSOLIDADO!$F:$F,CONSOLIDADO!$E:$E,$A74,CONSOLIDADO!$I:$I,C$3,CONSOLIDADO!$I:$I,C$4,CONSOLIDADO!$K:$K,"&lt;&gt;NOVO")</f>
        <v>1</v>
      </c>
      <c r="E74" s="64">
        <f>SUMIFS(CONSOLIDADO!$F:$F,CONSOLIDADO!$E:$E,$A74,CONSOLIDADO!$I:$I,D$3,CONSOLIDADO!$I:$I,D$4,CONSOLIDADO!$K:$K,"&lt;&gt;NOVO")</f>
        <v>11</v>
      </c>
      <c r="F74" s="64">
        <f>SUMIFS(CONSOLIDADO!$F:$F,CONSOLIDADO!$E:$E,$A74,CONSOLIDADO!$I:$I,E$3,CONSOLIDADO!$I:$I,E$4,CONSOLIDADO!$K:$K,"&lt;&gt;NOVO")</f>
        <v>0</v>
      </c>
      <c r="G74" s="64">
        <f>SUMIFS(CONSOLIDADO!$F:$F,CONSOLIDADO!$E:$E,$A74,CONSOLIDADO!$I:$I,F$3,CONSOLIDADO!$I:$I,F$4,CONSOLIDADO!$K:$K,"&lt;&gt;NOVO")</f>
        <v>0</v>
      </c>
      <c r="H74" s="64">
        <f>SUMIFS(CONSOLIDADO!$F:$F,CONSOLIDADO!$E:$E,$A74,CONSOLIDADO!$I:$I,G$3,CONSOLIDADO!$I:$I,G$4,CONSOLIDADO!$K:$K,"&lt;&gt;NOVO")</f>
        <v>0</v>
      </c>
      <c r="I74" s="64">
        <f>SUMIFS(CONSOLIDADO!$F:$F,CONSOLIDADO!$E:$E,$A74,CONSOLIDADO!$I:$I,H$3,CONSOLIDADO!$I:$I,H$4,CONSOLIDADO!$K:$K,"&lt;&gt;NOVO")</f>
        <v>0</v>
      </c>
      <c r="J74" s="64">
        <f>SUMIFS(CONSOLIDADO!$F:$F,CONSOLIDADO!$E:$E,$A74,CONSOLIDADO!$I:$I,I$3,CONSOLIDADO!$I:$I,I$4,CONSOLIDADO!$K:$K,"&lt;&gt;NOVO")</f>
        <v>0</v>
      </c>
      <c r="K74" s="64">
        <f>SUMIFS(CONSOLIDADO!$F:$F,CONSOLIDADO!$E:$E,$A74,CONSOLIDADO!$I:$I,J$3,CONSOLIDADO!$I:$I,J$4,CONSOLIDADO!$K:$K,"&lt;&gt;NOVO")</f>
        <v>0</v>
      </c>
      <c r="L74" s="64">
        <f>SUMIFS(CONSOLIDADO!$F:$F,CONSOLIDADO!$E:$E,$A74,CONSOLIDADO!$I:$I,K$3,CONSOLIDADO!$I:$I,K$4,CONSOLIDADO!$K:$K,"&lt;&gt;NOVO")</f>
        <v>0</v>
      </c>
      <c r="M74" s="64">
        <f>SUMIFS(CONSOLIDADO!$F:$F,CONSOLIDADO!$E:$E,$A74,CONSOLIDADO!$I:$I,L$3,CONSOLIDADO!$I:$I,L$4,CONSOLIDADO!$K:$K,"&lt;&gt;NOVO")</f>
        <v>0</v>
      </c>
      <c r="N74" s="66">
        <v>2600</v>
      </c>
      <c r="O74" s="65">
        <v>0.8</v>
      </c>
      <c r="P74" s="66">
        <f t="shared" si="4"/>
        <v>2079.9999999999995</v>
      </c>
      <c r="Q74" s="66">
        <f t="shared" si="4"/>
        <v>519.99999999999989</v>
      </c>
      <c r="R74" s="66">
        <f t="shared" si="4"/>
        <v>519.99999999999989</v>
      </c>
      <c r="S74" s="66">
        <f t="shared" si="3"/>
        <v>5719.9999999999991</v>
      </c>
      <c r="T74" s="66">
        <f t="shared" si="3"/>
        <v>0</v>
      </c>
      <c r="U74" s="66">
        <f t="shared" si="3"/>
        <v>0</v>
      </c>
      <c r="V74" s="66">
        <f t="shared" si="3"/>
        <v>0</v>
      </c>
      <c r="W74" s="66">
        <f t="shared" si="3"/>
        <v>0</v>
      </c>
      <c r="X74" s="66">
        <f t="shared" si="3"/>
        <v>0</v>
      </c>
      <c r="Y74" s="66">
        <f t="shared" si="3"/>
        <v>0</v>
      </c>
      <c r="Z74" s="66">
        <f t="shared" si="3"/>
        <v>0</v>
      </c>
      <c r="AA74" s="66">
        <f t="shared" si="3"/>
        <v>0</v>
      </c>
      <c r="AB74" s="33"/>
    </row>
    <row r="75" spans="1:28" x14ac:dyDescent="0.25">
      <c r="A75" s="63" t="s">
        <v>46</v>
      </c>
      <c r="B75" s="64">
        <f>SUMIFS(CONSOLIDADO!$F:$F,CONSOLIDADO!$E:$E,$A75,CONSOLIDADO!$I:$I,A$3,CONSOLIDADO!$I:$I,A$4,CONSOLIDADO!$K:$K,"&lt;&gt;NOVO")</f>
        <v>14</v>
      </c>
      <c r="C75" s="64">
        <f>SUMIFS(CONSOLIDADO!$F:$F,CONSOLIDADO!$E:$E,$A75,CONSOLIDADO!$I:$I,B$3,CONSOLIDADO!$I:$I,B$4,CONSOLIDADO!$K:$K,"&lt;&gt;NOVO")</f>
        <v>28</v>
      </c>
      <c r="D75" s="64">
        <f>SUMIFS(CONSOLIDADO!$F:$F,CONSOLIDADO!$E:$E,$A75,CONSOLIDADO!$I:$I,C$3,CONSOLIDADO!$I:$I,C$4,CONSOLIDADO!$K:$K,"&lt;&gt;NOVO")</f>
        <v>37</v>
      </c>
      <c r="E75" s="64">
        <f>SUMIFS(CONSOLIDADO!$F:$F,CONSOLIDADO!$E:$E,$A75,CONSOLIDADO!$I:$I,D$3,CONSOLIDADO!$I:$I,D$4,CONSOLIDADO!$K:$K,"&lt;&gt;NOVO")</f>
        <v>14</v>
      </c>
      <c r="F75" s="64">
        <f>SUMIFS(CONSOLIDADO!$F:$F,CONSOLIDADO!$E:$E,$A75,CONSOLIDADO!$I:$I,E$3,CONSOLIDADO!$I:$I,E$4,CONSOLIDADO!$K:$K,"&lt;&gt;NOVO")</f>
        <v>3</v>
      </c>
      <c r="G75" s="64">
        <f>SUMIFS(CONSOLIDADO!$F:$F,CONSOLIDADO!$E:$E,$A75,CONSOLIDADO!$I:$I,F$3,CONSOLIDADO!$I:$I,F$4,CONSOLIDADO!$K:$K,"&lt;&gt;NOVO")</f>
        <v>0</v>
      </c>
      <c r="H75" s="64">
        <f>SUMIFS(CONSOLIDADO!$F:$F,CONSOLIDADO!$E:$E,$A75,CONSOLIDADO!$I:$I,G$3,CONSOLIDADO!$I:$I,G$4,CONSOLIDADO!$K:$K,"&lt;&gt;NOVO")</f>
        <v>0</v>
      </c>
      <c r="I75" s="64">
        <f>SUMIFS(CONSOLIDADO!$F:$F,CONSOLIDADO!$E:$E,$A75,CONSOLIDADO!$I:$I,H$3,CONSOLIDADO!$I:$I,H$4,CONSOLIDADO!$K:$K,"&lt;&gt;NOVO")</f>
        <v>0</v>
      </c>
      <c r="J75" s="64">
        <f>SUMIFS(CONSOLIDADO!$F:$F,CONSOLIDADO!$E:$E,$A75,CONSOLIDADO!$I:$I,I$3,CONSOLIDADO!$I:$I,I$4,CONSOLIDADO!$K:$K,"&lt;&gt;NOVO")</f>
        <v>0</v>
      </c>
      <c r="K75" s="64">
        <f>SUMIFS(CONSOLIDADO!$F:$F,CONSOLIDADO!$E:$E,$A75,CONSOLIDADO!$I:$I,J$3,CONSOLIDADO!$I:$I,J$4,CONSOLIDADO!$K:$K,"&lt;&gt;NOVO")</f>
        <v>0</v>
      </c>
      <c r="L75" s="64">
        <f>SUMIFS(CONSOLIDADO!$F:$F,CONSOLIDADO!$E:$E,$A75,CONSOLIDADO!$I:$I,K$3,CONSOLIDADO!$I:$I,K$4,CONSOLIDADO!$K:$K,"&lt;&gt;NOVO")</f>
        <v>0</v>
      </c>
      <c r="M75" s="64">
        <f>SUMIFS(CONSOLIDADO!$F:$F,CONSOLIDADO!$E:$E,$A75,CONSOLIDADO!$I:$I,L$3,CONSOLIDADO!$I:$I,L$4,CONSOLIDADO!$K:$K,"&lt;&gt;NOVO")</f>
        <v>1</v>
      </c>
      <c r="N75" s="66">
        <v>1861.15</v>
      </c>
      <c r="O75" s="65">
        <v>0.8</v>
      </c>
      <c r="P75" s="66">
        <f t="shared" si="4"/>
        <v>5211.2199999999993</v>
      </c>
      <c r="Q75" s="66">
        <f t="shared" si="4"/>
        <v>10422.439999999999</v>
      </c>
      <c r="R75" s="66">
        <f t="shared" si="4"/>
        <v>13772.509999999998</v>
      </c>
      <c r="S75" s="66">
        <f t="shared" si="3"/>
        <v>5211.2199999999993</v>
      </c>
      <c r="T75" s="66">
        <f t="shared" si="3"/>
        <v>1116.6899999999998</v>
      </c>
      <c r="U75" s="66">
        <f t="shared" si="3"/>
        <v>0</v>
      </c>
      <c r="V75" s="66">
        <f t="shared" si="3"/>
        <v>0</v>
      </c>
      <c r="W75" s="66">
        <f t="shared" si="3"/>
        <v>0</v>
      </c>
      <c r="X75" s="66">
        <f t="shared" si="3"/>
        <v>0</v>
      </c>
      <c r="Y75" s="66">
        <f t="shared" si="3"/>
        <v>0</v>
      </c>
      <c r="Z75" s="66">
        <f t="shared" si="3"/>
        <v>0</v>
      </c>
      <c r="AA75" s="66">
        <f t="shared" si="3"/>
        <v>372.22999999999996</v>
      </c>
      <c r="AB75" s="33"/>
    </row>
    <row r="76" spans="1:28" x14ac:dyDescent="0.25">
      <c r="A76" s="63" t="s">
        <v>127</v>
      </c>
      <c r="B76" s="64">
        <f>SUMIFS(CONSOLIDADO!$F:$F,CONSOLIDADO!$E:$E,$A76,CONSOLIDADO!$I:$I,A$3,CONSOLIDADO!$I:$I,A$4,CONSOLIDADO!$K:$K,"&lt;&gt;NOVO")</f>
        <v>1</v>
      </c>
      <c r="C76" s="64">
        <f>SUMIFS(CONSOLIDADO!$F:$F,CONSOLIDADO!$E:$E,$A76,CONSOLIDADO!$I:$I,B$3,CONSOLIDADO!$I:$I,B$4,CONSOLIDADO!$K:$K,"&lt;&gt;NOVO")</f>
        <v>1</v>
      </c>
      <c r="D76" s="64">
        <f>SUMIFS(CONSOLIDADO!$F:$F,CONSOLIDADO!$E:$E,$A76,CONSOLIDADO!$I:$I,C$3,CONSOLIDADO!$I:$I,C$4,CONSOLIDADO!$K:$K,"&lt;&gt;NOVO")</f>
        <v>3</v>
      </c>
      <c r="E76" s="64">
        <f>SUMIFS(CONSOLIDADO!$F:$F,CONSOLIDADO!$E:$E,$A76,CONSOLIDADO!$I:$I,D$3,CONSOLIDADO!$I:$I,D$4,CONSOLIDADO!$K:$K,"&lt;&gt;NOVO")</f>
        <v>6</v>
      </c>
      <c r="F76" s="64">
        <f>SUMIFS(CONSOLIDADO!$F:$F,CONSOLIDADO!$E:$E,$A76,CONSOLIDADO!$I:$I,E$3,CONSOLIDADO!$I:$I,E$4,CONSOLIDADO!$K:$K,"&lt;&gt;NOVO")</f>
        <v>0</v>
      </c>
      <c r="G76" s="64">
        <f>SUMIFS(CONSOLIDADO!$F:$F,CONSOLIDADO!$E:$E,$A76,CONSOLIDADO!$I:$I,F$3,CONSOLIDADO!$I:$I,F$4,CONSOLIDADO!$K:$K,"&lt;&gt;NOVO")</f>
        <v>0</v>
      </c>
      <c r="H76" s="64">
        <f>SUMIFS(CONSOLIDADO!$F:$F,CONSOLIDADO!$E:$E,$A76,CONSOLIDADO!$I:$I,G$3,CONSOLIDADO!$I:$I,G$4,CONSOLIDADO!$K:$K,"&lt;&gt;NOVO")</f>
        <v>0</v>
      </c>
      <c r="I76" s="64">
        <f>SUMIFS(CONSOLIDADO!$F:$F,CONSOLIDADO!$E:$E,$A76,CONSOLIDADO!$I:$I,H$3,CONSOLIDADO!$I:$I,H$4,CONSOLIDADO!$K:$K,"&lt;&gt;NOVO")</f>
        <v>0</v>
      </c>
      <c r="J76" s="64">
        <f>SUMIFS(CONSOLIDADO!$F:$F,CONSOLIDADO!$E:$E,$A76,CONSOLIDADO!$I:$I,I$3,CONSOLIDADO!$I:$I,I$4,CONSOLIDADO!$K:$K,"&lt;&gt;NOVO")</f>
        <v>0</v>
      </c>
      <c r="K76" s="64">
        <f>SUMIFS(CONSOLIDADO!$F:$F,CONSOLIDADO!$E:$E,$A76,CONSOLIDADO!$I:$I,J$3,CONSOLIDADO!$I:$I,J$4,CONSOLIDADO!$K:$K,"&lt;&gt;NOVO")</f>
        <v>0</v>
      </c>
      <c r="L76" s="64">
        <f>SUMIFS(CONSOLIDADO!$F:$F,CONSOLIDADO!$E:$E,$A76,CONSOLIDADO!$I:$I,K$3,CONSOLIDADO!$I:$I,K$4,CONSOLIDADO!$K:$K,"&lt;&gt;NOVO")</f>
        <v>0</v>
      </c>
      <c r="M76" s="64">
        <f>SUMIFS(CONSOLIDADO!$F:$F,CONSOLIDADO!$E:$E,$A76,CONSOLIDADO!$I:$I,L$3,CONSOLIDADO!$I:$I,L$4,CONSOLIDADO!$K:$K,"&lt;&gt;NOVO")</f>
        <v>0</v>
      </c>
      <c r="N76" s="66">
        <v>1000</v>
      </c>
      <c r="O76" s="65">
        <v>0.8</v>
      </c>
      <c r="P76" s="66">
        <f t="shared" si="4"/>
        <v>199.99999999999994</v>
      </c>
      <c r="Q76" s="66">
        <f t="shared" si="4"/>
        <v>199.99999999999994</v>
      </c>
      <c r="R76" s="66">
        <f t="shared" si="4"/>
        <v>599.99999999999977</v>
      </c>
      <c r="S76" s="66">
        <f t="shared" si="3"/>
        <v>1199.9999999999995</v>
      </c>
      <c r="T76" s="66">
        <f t="shared" si="3"/>
        <v>0</v>
      </c>
      <c r="U76" s="66">
        <f t="shared" si="3"/>
        <v>0</v>
      </c>
      <c r="V76" s="66">
        <f t="shared" si="3"/>
        <v>0</v>
      </c>
      <c r="W76" s="66">
        <f t="shared" si="3"/>
        <v>0</v>
      </c>
      <c r="X76" s="66">
        <f t="shared" si="3"/>
        <v>0</v>
      </c>
      <c r="Y76" s="66">
        <f t="shared" si="3"/>
        <v>0</v>
      </c>
      <c r="Z76" s="66">
        <f t="shared" si="3"/>
        <v>0</v>
      </c>
      <c r="AA76" s="66">
        <f t="shared" si="3"/>
        <v>0</v>
      </c>
      <c r="AB76" s="33"/>
    </row>
    <row r="77" spans="1:28" x14ac:dyDescent="0.25">
      <c r="A77" t="s">
        <v>288</v>
      </c>
      <c r="B77" s="64">
        <f>SUMIFS(CONSOLIDADO!$F:$F,CONSOLIDADO!$E:$E,$A77,CONSOLIDADO!$I:$I,A$3,CONSOLIDADO!$I:$I,A$4,CONSOLIDADO!$K:$K,"&lt;&gt;NOVO")</f>
        <v>0</v>
      </c>
      <c r="C77" s="64">
        <f>SUMIFS(CONSOLIDADO!$F:$F,CONSOLIDADO!$E:$E,$A77,CONSOLIDADO!$I:$I,B$3,CONSOLIDADO!$I:$I,B$4,CONSOLIDADO!$K:$K,"&lt;&gt;NOVO")</f>
        <v>0</v>
      </c>
      <c r="D77" s="64">
        <f>SUMIFS(CONSOLIDADO!$F:$F,CONSOLIDADO!$E:$E,$A77,CONSOLIDADO!$I:$I,C$3,CONSOLIDADO!$I:$I,C$4,CONSOLIDADO!$K:$K,"&lt;&gt;NOVO")</f>
        <v>0</v>
      </c>
      <c r="E77" s="64">
        <f>SUMIFS(CONSOLIDADO!$F:$F,CONSOLIDADO!$E:$E,$A77,CONSOLIDADO!$I:$I,D$3,CONSOLIDADO!$I:$I,D$4,CONSOLIDADO!$K:$K,"&lt;&gt;NOVO")</f>
        <v>0</v>
      </c>
      <c r="F77" s="64">
        <f>SUMIFS(CONSOLIDADO!$F:$F,CONSOLIDADO!$E:$E,$A77,CONSOLIDADO!$I:$I,E$3,CONSOLIDADO!$I:$I,E$4,CONSOLIDADO!$K:$K,"&lt;&gt;NOVO")</f>
        <v>0</v>
      </c>
      <c r="G77" s="64">
        <f>SUMIFS(CONSOLIDADO!$F:$F,CONSOLIDADO!$E:$E,$A77,CONSOLIDADO!$I:$I,F$3,CONSOLIDADO!$I:$I,F$4,CONSOLIDADO!$K:$K,"&lt;&gt;NOVO")</f>
        <v>0</v>
      </c>
      <c r="H77" s="64">
        <f>SUMIFS(CONSOLIDADO!$F:$F,CONSOLIDADO!$E:$E,$A77,CONSOLIDADO!$I:$I,G$3,CONSOLIDADO!$I:$I,G$4,CONSOLIDADO!$K:$K,"&lt;&gt;NOVO")</f>
        <v>0</v>
      </c>
      <c r="I77" s="64">
        <f>SUMIFS(CONSOLIDADO!$F:$F,CONSOLIDADO!$E:$E,$A77,CONSOLIDADO!$I:$I,H$3,CONSOLIDADO!$I:$I,H$4,CONSOLIDADO!$K:$K,"&lt;&gt;NOVO")</f>
        <v>0</v>
      </c>
      <c r="J77" s="64">
        <f>SUMIFS(CONSOLIDADO!$F:$F,CONSOLIDADO!$E:$E,$A77,CONSOLIDADO!$I:$I,I$3,CONSOLIDADO!$I:$I,I$4,CONSOLIDADO!$K:$K,"&lt;&gt;NOVO")</f>
        <v>0</v>
      </c>
      <c r="K77" s="64">
        <f>SUMIFS(CONSOLIDADO!$F:$F,CONSOLIDADO!$E:$E,$A77,CONSOLIDADO!$I:$I,J$3,CONSOLIDADO!$I:$I,J$4,CONSOLIDADO!$K:$K,"&lt;&gt;NOVO")</f>
        <v>0</v>
      </c>
      <c r="L77" s="64">
        <f>SUMIFS(CONSOLIDADO!$F:$F,CONSOLIDADO!$E:$E,$A77,CONSOLIDADO!$I:$I,K$3,CONSOLIDADO!$I:$I,K$4,CONSOLIDADO!$K:$K,"&lt;&gt;NOVO")</f>
        <v>0</v>
      </c>
      <c r="M77" s="64">
        <f>SUMIFS(CONSOLIDADO!$F:$F,CONSOLIDADO!$E:$E,$A77,CONSOLIDADO!$I:$I,L$3,CONSOLIDADO!$I:$I,L$4,CONSOLIDADO!$K:$K,"&lt;&gt;NOVO")</f>
        <v>0</v>
      </c>
      <c r="N77" s="66">
        <v>1000</v>
      </c>
      <c r="O77" s="65">
        <v>0.8</v>
      </c>
      <c r="P77" s="66">
        <f t="shared" si="4"/>
        <v>0</v>
      </c>
      <c r="Q77" s="66">
        <f t="shared" si="4"/>
        <v>0</v>
      </c>
      <c r="R77" s="66">
        <f t="shared" si="4"/>
        <v>0</v>
      </c>
      <c r="S77" s="66">
        <f t="shared" si="3"/>
        <v>0</v>
      </c>
      <c r="T77" s="66">
        <f t="shared" si="3"/>
        <v>0</v>
      </c>
      <c r="U77" s="66">
        <f t="shared" si="3"/>
        <v>0</v>
      </c>
      <c r="V77" s="66">
        <f t="shared" si="3"/>
        <v>0</v>
      </c>
      <c r="W77" s="66">
        <f t="shared" si="3"/>
        <v>0</v>
      </c>
      <c r="X77" s="66">
        <f t="shared" si="3"/>
        <v>0</v>
      </c>
      <c r="Y77" s="66">
        <f t="shared" si="3"/>
        <v>0</v>
      </c>
      <c r="Z77" s="66">
        <f t="shared" si="3"/>
        <v>0</v>
      </c>
      <c r="AA77" s="66">
        <f t="shared" si="3"/>
        <v>0</v>
      </c>
      <c r="AB77" s="33"/>
    </row>
    <row r="78" spans="1:28" x14ac:dyDescent="0.25">
      <c r="A78" t="s">
        <v>74</v>
      </c>
      <c r="B78" s="64">
        <f>SUMIFS(CONSOLIDADO!$F:$F,CONSOLIDADO!$E:$E,$A78,CONSOLIDADO!$I:$I,A$3,CONSOLIDADO!$I:$I,A$4,CONSOLIDADO!$K:$K,"&lt;&gt;NOVO")</f>
        <v>0</v>
      </c>
      <c r="C78" s="64">
        <f>SUMIFS(CONSOLIDADO!$F:$F,CONSOLIDADO!$E:$E,$A78,CONSOLIDADO!$I:$I,B$3,CONSOLIDADO!$I:$I,B$4,CONSOLIDADO!$K:$K,"&lt;&gt;NOVO")</f>
        <v>0</v>
      </c>
      <c r="D78" s="64">
        <f>SUMIFS(CONSOLIDADO!$F:$F,CONSOLIDADO!$E:$E,$A78,CONSOLIDADO!$I:$I,C$3,CONSOLIDADO!$I:$I,C$4,CONSOLIDADO!$K:$K,"&lt;&gt;NOVO")</f>
        <v>0</v>
      </c>
      <c r="E78" s="64">
        <f>SUMIFS(CONSOLIDADO!$F:$F,CONSOLIDADO!$E:$E,$A78,CONSOLIDADO!$I:$I,D$3,CONSOLIDADO!$I:$I,D$4,CONSOLIDADO!$K:$K,"&lt;&gt;NOVO")</f>
        <v>1</v>
      </c>
      <c r="F78" s="64">
        <f>SUMIFS(CONSOLIDADO!$F:$F,CONSOLIDADO!$E:$E,$A78,CONSOLIDADO!$I:$I,E$3,CONSOLIDADO!$I:$I,E$4,CONSOLIDADO!$K:$K,"&lt;&gt;NOVO")</f>
        <v>0</v>
      </c>
      <c r="G78" s="64">
        <f>SUMIFS(CONSOLIDADO!$F:$F,CONSOLIDADO!$E:$E,$A78,CONSOLIDADO!$I:$I,F$3,CONSOLIDADO!$I:$I,F$4,CONSOLIDADO!$K:$K,"&lt;&gt;NOVO")</f>
        <v>0</v>
      </c>
      <c r="H78" s="64">
        <f>SUMIFS(CONSOLIDADO!$F:$F,CONSOLIDADO!$E:$E,$A78,CONSOLIDADO!$I:$I,G$3,CONSOLIDADO!$I:$I,G$4,CONSOLIDADO!$K:$K,"&lt;&gt;NOVO")</f>
        <v>0</v>
      </c>
      <c r="I78" s="64">
        <f>SUMIFS(CONSOLIDADO!$F:$F,CONSOLIDADO!$E:$E,$A78,CONSOLIDADO!$I:$I,H$3,CONSOLIDADO!$I:$I,H$4,CONSOLIDADO!$K:$K,"&lt;&gt;NOVO")</f>
        <v>0</v>
      </c>
      <c r="J78" s="64">
        <f>SUMIFS(CONSOLIDADO!$F:$F,CONSOLIDADO!$E:$E,$A78,CONSOLIDADO!$I:$I,I$3,CONSOLIDADO!$I:$I,I$4,CONSOLIDADO!$K:$K,"&lt;&gt;NOVO")</f>
        <v>0</v>
      </c>
      <c r="K78" s="64">
        <f>SUMIFS(CONSOLIDADO!$F:$F,CONSOLIDADO!$E:$E,$A78,CONSOLIDADO!$I:$I,J$3,CONSOLIDADO!$I:$I,J$4,CONSOLIDADO!$K:$K,"&lt;&gt;NOVO")</f>
        <v>0</v>
      </c>
      <c r="L78" s="64">
        <f>SUMIFS(CONSOLIDADO!$F:$F,CONSOLIDADO!$E:$E,$A78,CONSOLIDADO!$I:$I,K$3,CONSOLIDADO!$I:$I,K$4,CONSOLIDADO!$K:$K,"&lt;&gt;NOVO")</f>
        <v>0</v>
      </c>
      <c r="M78" s="64">
        <f>SUMIFS(CONSOLIDADO!$F:$F,CONSOLIDADO!$E:$E,$A78,CONSOLIDADO!$I:$I,L$3,CONSOLIDADO!$I:$I,L$4,CONSOLIDADO!$K:$K,"&lt;&gt;NOVO")</f>
        <v>0</v>
      </c>
      <c r="N78" s="66">
        <v>500</v>
      </c>
      <c r="O78" s="65">
        <v>0.8</v>
      </c>
      <c r="P78" s="66">
        <f t="shared" si="4"/>
        <v>0</v>
      </c>
      <c r="Q78" s="66">
        <f t="shared" si="4"/>
        <v>0</v>
      </c>
      <c r="R78" s="66">
        <f t="shared" si="4"/>
        <v>0</v>
      </c>
      <c r="S78" s="66">
        <f t="shared" si="3"/>
        <v>99.999999999999972</v>
      </c>
      <c r="T78" s="66">
        <f t="shared" si="3"/>
        <v>0</v>
      </c>
      <c r="U78" s="66">
        <f t="shared" si="3"/>
        <v>0</v>
      </c>
      <c r="V78" s="66">
        <f t="shared" si="3"/>
        <v>0</v>
      </c>
      <c r="W78" s="66">
        <f t="shared" si="3"/>
        <v>0</v>
      </c>
      <c r="X78" s="66">
        <f t="shared" si="3"/>
        <v>0</v>
      </c>
      <c r="Y78" s="66">
        <f t="shared" si="3"/>
        <v>0</v>
      </c>
      <c r="Z78" s="66">
        <f t="shared" si="3"/>
        <v>0</v>
      </c>
      <c r="AA78" s="66">
        <f t="shared" si="3"/>
        <v>0</v>
      </c>
      <c r="AB78" s="33"/>
    </row>
    <row r="79" spans="1:28" x14ac:dyDescent="0.25">
      <c r="A79" s="63" t="s">
        <v>157</v>
      </c>
      <c r="B79" s="64">
        <f>SUMIFS(CONSOLIDADO!$F:$F,CONSOLIDADO!$E:$E,$A79,CONSOLIDADO!$I:$I,A$3,CONSOLIDADO!$I:$I,A$4,CONSOLIDADO!$K:$K,"&lt;&gt;NOVO")</f>
        <v>0</v>
      </c>
      <c r="C79" s="64">
        <f>SUMIFS(CONSOLIDADO!$F:$F,CONSOLIDADO!$E:$E,$A79,CONSOLIDADO!$I:$I,B$3,CONSOLIDADO!$I:$I,B$4,CONSOLIDADO!$K:$K,"&lt;&gt;NOVO")</f>
        <v>3</v>
      </c>
      <c r="D79" s="64">
        <f>SUMIFS(CONSOLIDADO!$F:$F,CONSOLIDADO!$E:$E,$A79,CONSOLIDADO!$I:$I,C$3,CONSOLIDADO!$I:$I,C$4,CONSOLIDADO!$K:$K,"&lt;&gt;NOVO")</f>
        <v>3</v>
      </c>
      <c r="E79" s="64">
        <f>SUMIFS(CONSOLIDADO!$F:$F,CONSOLIDADO!$E:$E,$A79,CONSOLIDADO!$I:$I,D$3,CONSOLIDADO!$I:$I,D$4,CONSOLIDADO!$K:$K,"&lt;&gt;NOVO")</f>
        <v>0</v>
      </c>
      <c r="F79" s="64">
        <f>SUMIFS(CONSOLIDADO!$F:$F,CONSOLIDADO!$E:$E,$A79,CONSOLIDADO!$I:$I,E$3,CONSOLIDADO!$I:$I,E$4,CONSOLIDADO!$K:$K,"&lt;&gt;NOVO")</f>
        <v>1</v>
      </c>
      <c r="G79" s="64">
        <f>SUMIFS(CONSOLIDADO!$F:$F,CONSOLIDADO!$E:$E,$A79,CONSOLIDADO!$I:$I,F$3,CONSOLIDADO!$I:$I,F$4,CONSOLIDADO!$K:$K,"&lt;&gt;NOVO")</f>
        <v>0</v>
      </c>
      <c r="H79" s="64">
        <f>SUMIFS(CONSOLIDADO!$F:$F,CONSOLIDADO!$E:$E,$A79,CONSOLIDADO!$I:$I,G$3,CONSOLIDADO!$I:$I,G$4,CONSOLIDADO!$K:$K,"&lt;&gt;NOVO")</f>
        <v>0</v>
      </c>
      <c r="I79" s="64">
        <f>SUMIFS(CONSOLIDADO!$F:$F,CONSOLIDADO!$E:$E,$A79,CONSOLIDADO!$I:$I,H$3,CONSOLIDADO!$I:$I,H$4,CONSOLIDADO!$K:$K,"&lt;&gt;NOVO")</f>
        <v>0</v>
      </c>
      <c r="J79" s="64">
        <f>SUMIFS(CONSOLIDADO!$F:$F,CONSOLIDADO!$E:$E,$A79,CONSOLIDADO!$I:$I,I$3,CONSOLIDADO!$I:$I,I$4,CONSOLIDADO!$K:$K,"&lt;&gt;NOVO")</f>
        <v>0</v>
      </c>
      <c r="K79" s="64">
        <f>SUMIFS(CONSOLIDADO!$F:$F,CONSOLIDADO!$E:$E,$A79,CONSOLIDADO!$I:$I,J$3,CONSOLIDADO!$I:$I,J$4,CONSOLIDADO!$K:$K,"&lt;&gt;NOVO")</f>
        <v>0</v>
      </c>
      <c r="L79" s="64">
        <f>SUMIFS(CONSOLIDADO!$F:$F,CONSOLIDADO!$E:$E,$A79,CONSOLIDADO!$I:$I,K$3,CONSOLIDADO!$I:$I,K$4,CONSOLIDADO!$K:$K,"&lt;&gt;NOVO")</f>
        <v>0</v>
      </c>
      <c r="M79" s="64">
        <f>SUMIFS(CONSOLIDADO!$F:$F,CONSOLIDADO!$E:$E,$A79,CONSOLIDADO!$I:$I,L$3,CONSOLIDADO!$I:$I,L$4,CONSOLIDADO!$K:$K,"&lt;&gt;NOVO")</f>
        <v>0</v>
      </c>
      <c r="N79" s="66">
        <v>2888.26</v>
      </c>
      <c r="O79" s="65">
        <v>0.8</v>
      </c>
      <c r="P79" s="66">
        <f t="shared" si="4"/>
        <v>0</v>
      </c>
      <c r="Q79" s="66">
        <f t="shared" si="4"/>
        <v>1732.9559999999997</v>
      </c>
      <c r="R79" s="66">
        <f t="shared" si="4"/>
        <v>1732.9559999999997</v>
      </c>
      <c r="S79" s="66">
        <f t="shared" si="3"/>
        <v>0</v>
      </c>
      <c r="T79" s="66">
        <f t="shared" si="3"/>
        <v>577.65199999999993</v>
      </c>
      <c r="U79" s="66">
        <f t="shared" si="3"/>
        <v>0</v>
      </c>
      <c r="V79" s="66">
        <f t="shared" si="3"/>
        <v>0</v>
      </c>
      <c r="W79" s="66">
        <f t="shared" si="3"/>
        <v>0</v>
      </c>
      <c r="X79" s="66">
        <f t="shared" si="3"/>
        <v>0</v>
      </c>
      <c r="Y79" s="66">
        <f t="shared" si="3"/>
        <v>0</v>
      </c>
      <c r="Z79" s="66">
        <f t="shared" si="3"/>
        <v>0</v>
      </c>
      <c r="AA79" s="66">
        <f t="shared" si="3"/>
        <v>0</v>
      </c>
      <c r="AB79" s="33"/>
    </row>
    <row r="80" spans="1:28" x14ac:dyDescent="0.25">
      <c r="A80" t="s">
        <v>302</v>
      </c>
      <c r="B80" s="64">
        <f>SUMIFS(CONSOLIDADO!$F:$F,CONSOLIDADO!$E:$E,$A80,CONSOLIDADO!$I:$I,A$3,CONSOLIDADO!$I:$I,A$4,CONSOLIDADO!$K:$K,"&lt;&gt;NOVO")</f>
        <v>0</v>
      </c>
      <c r="C80" s="64">
        <f>SUMIFS(CONSOLIDADO!$F:$F,CONSOLIDADO!$E:$E,$A80,CONSOLIDADO!$I:$I,B$3,CONSOLIDADO!$I:$I,B$4,CONSOLIDADO!$K:$K,"&lt;&gt;NOVO")</f>
        <v>0</v>
      </c>
      <c r="D80" s="64">
        <f>SUMIFS(CONSOLIDADO!$F:$F,CONSOLIDADO!$E:$E,$A80,CONSOLIDADO!$I:$I,C$3,CONSOLIDADO!$I:$I,C$4,CONSOLIDADO!$K:$K,"&lt;&gt;NOVO")</f>
        <v>0</v>
      </c>
      <c r="E80" s="64">
        <f>SUMIFS(CONSOLIDADO!$F:$F,CONSOLIDADO!$E:$E,$A80,CONSOLIDADO!$I:$I,D$3,CONSOLIDADO!$I:$I,D$4,CONSOLIDADO!$K:$K,"&lt;&gt;NOVO")</f>
        <v>0</v>
      </c>
      <c r="F80" s="64">
        <f>SUMIFS(CONSOLIDADO!$F:$F,CONSOLIDADO!$E:$E,$A80,CONSOLIDADO!$I:$I,E$3,CONSOLIDADO!$I:$I,E$4,CONSOLIDADO!$K:$K,"&lt;&gt;NOVO")</f>
        <v>0</v>
      </c>
      <c r="G80" s="64">
        <f>SUMIFS(CONSOLIDADO!$F:$F,CONSOLIDADO!$E:$E,$A80,CONSOLIDADO!$I:$I,F$3,CONSOLIDADO!$I:$I,F$4,CONSOLIDADO!$K:$K,"&lt;&gt;NOVO")</f>
        <v>0</v>
      </c>
      <c r="H80" s="64">
        <f>SUMIFS(CONSOLIDADO!$F:$F,CONSOLIDADO!$E:$E,$A80,CONSOLIDADO!$I:$I,G$3,CONSOLIDADO!$I:$I,G$4,CONSOLIDADO!$K:$K,"&lt;&gt;NOVO")</f>
        <v>0</v>
      </c>
      <c r="I80" s="64">
        <f>SUMIFS(CONSOLIDADO!$F:$F,CONSOLIDADO!$E:$E,$A80,CONSOLIDADO!$I:$I,H$3,CONSOLIDADO!$I:$I,H$4,CONSOLIDADO!$K:$K,"&lt;&gt;NOVO")</f>
        <v>0</v>
      </c>
      <c r="J80" s="64">
        <f>SUMIFS(CONSOLIDADO!$F:$F,CONSOLIDADO!$E:$E,$A80,CONSOLIDADO!$I:$I,I$3,CONSOLIDADO!$I:$I,I$4,CONSOLIDADO!$K:$K,"&lt;&gt;NOVO")</f>
        <v>0</v>
      </c>
      <c r="K80" s="64">
        <f>SUMIFS(CONSOLIDADO!$F:$F,CONSOLIDADO!$E:$E,$A80,CONSOLIDADO!$I:$I,J$3,CONSOLIDADO!$I:$I,J$4,CONSOLIDADO!$K:$K,"&lt;&gt;NOVO")</f>
        <v>0</v>
      </c>
      <c r="L80" s="64">
        <f>SUMIFS(CONSOLIDADO!$F:$F,CONSOLIDADO!$E:$E,$A80,CONSOLIDADO!$I:$I,K$3,CONSOLIDADO!$I:$I,K$4,CONSOLIDADO!$K:$K,"&lt;&gt;NOVO")</f>
        <v>0</v>
      </c>
      <c r="M80" s="64">
        <f>SUMIFS(CONSOLIDADO!$F:$F,CONSOLIDADO!$E:$E,$A80,CONSOLIDADO!$I:$I,L$3,CONSOLIDADO!$I:$I,L$4,CONSOLIDADO!$K:$K,"&lt;&gt;NOVO")</f>
        <v>0</v>
      </c>
      <c r="N80" s="66">
        <v>600</v>
      </c>
      <c r="O80" s="65">
        <v>0.8</v>
      </c>
      <c r="P80" s="66">
        <f t="shared" si="4"/>
        <v>0</v>
      </c>
      <c r="Q80" s="66">
        <f t="shared" si="4"/>
        <v>0</v>
      </c>
      <c r="R80" s="66">
        <f t="shared" si="4"/>
        <v>0</v>
      </c>
      <c r="S80" s="66">
        <f t="shared" si="3"/>
        <v>0</v>
      </c>
      <c r="T80" s="66">
        <f t="shared" si="3"/>
        <v>0</v>
      </c>
      <c r="U80" s="66">
        <f t="shared" si="3"/>
        <v>0</v>
      </c>
      <c r="V80" s="66">
        <f t="shared" si="3"/>
        <v>0</v>
      </c>
      <c r="W80" s="66">
        <f t="shared" si="3"/>
        <v>0</v>
      </c>
      <c r="X80" s="66">
        <f t="shared" si="3"/>
        <v>0</v>
      </c>
      <c r="Y80" s="66">
        <f t="shared" si="3"/>
        <v>0</v>
      </c>
      <c r="Z80" s="66">
        <f t="shared" si="3"/>
        <v>0</v>
      </c>
      <c r="AA80" s="66">
        <f t="shared" si="3"/>
        <v>0</v>
      </c>
      <c r="AB80" s="33"/>
    </row>
    <row r="81" spans="1:28" x14ac:dyDescent="0.25">
      <c r="A81" s="63" t="s">
        <v>650</v>
      </c>
      <c r="B81" s="64">
        <f>SUMIFS(CONSOLIDADO!$F:$F,CONSOLIDADO!$E:$E,$A81,CONSOLIDADO!$I:$I,A$3,CONSOLIDADO!$I:$I,A$4,CONSOLIDADO!$K:$K,"&lt;&gt;NOVO")</f>
        <v>0</v>
      </c>
      <c r="C81" s="64">
        <f>SUMIFS(CONSOLIDADO!$F:$F,CONSOLIDADO!$E:$E,$A81,CONSOLIDADO!$I:$I,B$3,CONSOLIDADO!$I:$I,B$4,CONSOLIDADO!$K:$K,"&lt;&gt;NOVO")</f>
        <v>0</v>
      </c>
      <c r="D81" s="64">
        <f>SUMIFS(CONSOLIDADO!$F:$F,CONSOLIDADO!$E:$E,$A81,CONSOLIDADO!$I:$I,C$3,CONSOLIDADO!$I:$I,C$4,CONSOLIDADO!$K:$K,"&lt;&gt;NOVO")</f>
        <v>0</v>
      </c>
      <c r="E81" s="64">
        <f>SUMIFS(CONSOLIDADO!$F:$F,CONSOLIDADO!$E:$E,$A81,CONSOLIDADO!$I:$I,D$3,CONSOLIDADO!$I:$I,D$4,CONSOLIDADO!$K:$K,"&lt;&gt;NOVO")</f>
        <v>0</v>
      </c>
      <c r="F81" s="64">
        <f>SUMIFS(CONSOLIDADO!$F:$F,CONSOLIDADO!$E:$E,$A81,CONSOLIDADO!$I:$I,E$3,CONSOLIDADO!$I:$I,E$4,CONSOLIDADO!$K:$K,"&lt;&gt;NOVO")</f>
        <v>0</v>
      </c>
      <c r="G81" s="64">
        <f>SUMIFS(CONSOLIDADO!$F:$F,CONSOLIDADO!$E:$E,$A81,CONSOLIDADO!$I:$I,F$3,CONSOLIDADO!$I:$I,F$4,CONSOLIDADO!$K:$K,"&lt;&gt;NOVO")</f>
        <v>0</v>
      </c>
      <c r="H81" s="64">
        <f>SUMIFS(CONSOLIDADO!$F:$F,CONSOLIDADO!$E:$E,$A81,CONSOLIDADO!$I:$I,G$3,CONSOLIDADO!$I:$I,G$4,CONSOLIDADO!$K:$K,"&lt;&gt;NOVO")</f>
        <v>0</v>
      </c>
      <c r="I81" s="64">
        <f>SUMIFS(CONSOLIDADO!$F:$F,CONSOLIDADO!$E:$E,$A81,CONSOLIDADO!$I:$I,H$3,CONSOLIDADO!$I:$I,H$4,CONSOLIDADO!$K:$K,"&lt;&gt;NOVO")</f>
        <v>0</v>
      </c>
      <c r="J81" s="64">
        <f>SUMIFS(CONSOLIDADO!$F:$F,CONSOLIDADO!$E:$E,$A81,CONSOLIDADO!$I:$I,I$3,CONSOLIDADO!$I:$I,I$4,CONSOLIDADO!$K:$K,"&lt;&gt;NOVO")</f>
        <v>0</v>
      </c>
      <c r="K81" s="64">
        <f>SUMIFS(CONSOLIDADO!$F:$F,CONSOLIDADO!$E:$E,$A81,CONSOLIDADO!$I:$I,J$3,CONSOLIDADO!$I:$I,J$4,CONSOLIDADO!$K:$K,"&lt;&gt;NOVO")</f>
        <v>0</v>
      </c>
      <c r="L81" s="64">
        <f>SUMIFS(CONSOLIDADO!$F:$F,CONSOLIDADO!$E:$E,$A81,CONSOLIDADO!$I:$I,K$3,CONSOLIDADO!$I:$I,K$4,CONSOLIDADO!$K:$K,"&lt;&gt;NOVO")</f>
        <v>0</v>
      </c>
      <c r="M81" s="64">
        <f>SUMIFS(CONSOLIDADO!$F:$F,CONSOLIDADO!$E:$E,$A81,CONSOLIDADO!$I:$I,L$3,CONSOLIDADO!$I:$I,L$4,CONSOLIDADO!$K:$K,"&lt;&gt;NOVO")</f>
        <v>0</v>
      </c>
      <c r="N81" s="66">
        <v>5590.69</v>
      </c>
      <c r="O81" s="65">
        <v>0.8</v>
      </c>
      <c r="P81" s="66">
        <f t="shared" si="4"/>
        <v>0</v>
      </c>
      <c r="Q81" s="66">
        <f t="shared" si="4"/>
        <v>0</v>
      </c>
      <c r="R81" s="66">
        <f t="shared" si="4"/>
        <v>0</v>
      </c>
      <c r="S81" s="66">
        <f t="shared" si="3"/>
        <v>0</v>
      </c>
      <c r="T81" s="66">
        <f t="shared" si="3"/>
        <v>0</v>
      </c>
      <c r="U81" s="66">
        <f t="shared" si="3"/>
        <v>0</v>
      </c>
      <c r="V81" s="66">
        <f t="shared" si="3"/>
        <v>0</v>
      </c>
      <c r="W81" s="66">
        <f t="shared" si="3"/>
        <v>0</v>
      </c>
      <c r="X81" s="66">
        <f t="shared" si="3"/>
        <v>0</v>
      </c>
      <c r="Y81" s="66">
        <f t="shared" si="3"/>
        <v>0</v>
      </c>
      <c r="Z81" s="66">
        <f t="shared" si="3"/>
        <v>0</v>
      </c>
      <c r="AA81" s="66">
        <f t="shared" si="3"/>
        <v>0</v>
      </c>
      <c r="AB81" s="33"/>
    </row>
    <row r="82" spans="1:28" x14ac:dyDescent="0.25">
      <c r="A82" s="63" t="s">
        <v>651</v>
      </c>
      <c r="B82" s="64">
        <f>SUMIFS(CONSOLIDADO!$F:$F,CONSOLIDADO!$E:$E,$A82,CONSOLIDADO!$I:$I,A$3,CONSOLIDADO!$I:$I,A$4,CONSOLIDADO!$K:$K,"&lt;&gt;NOVO")</f>
        <v>0</v>
      </c>
      <c r="C82" s="64">
        <f>SUMIFS(CONSOLIDADO!$F:$F,CONSOLIDADO!$E:$E,$A82,CONSOLIDADO!$I:$I,B$3,CONSOLIDADO!$I:$I,B$4,CONSOLIDADO!$K:$K,"&lt;&gt;NOVO")</f>
        <v>0</v>
      </c>
      <c r="D82" s="64">
        <f>SUMIFS(CONSOLIDADO!$F:$F,CONSOLIDADO!$E:$E,$A82,CONSOLIDADO!$I:$I,C$3,CONSOLIDADO!$I:$I,C$4,CONSOLIDADO!$K:$K,"&lt;&gt;NOVO")</f>
        <v>0</v>
      </c>
      <c r="E82" s="64">
        <f>SUMIFS(CONSOLIDADO!$F:$F,CONSOLIDADO!$E:$E,$A82,CONSOLIDADO!$I:$I,D$3,CONSOLIDADO!$I:$I,D$4,CONSOLIDADO!$K:$K,"&lt;&gt;NOVO")</f>
        <v>0</v>
      </c>
      <c r="F82" s="64">
        <f>SUMIFS(CONSOLIDADO!$F:$F,CONSOLIDADO!$E:$E,$A82,CONSOLIDADO!$I:$I,E$3,CONSOLIDADO!$I:$I,E$4,CONSOLIDADO!$K:$K,"&lt;&gt;NOVO")</f>
        <v>0</v>
      </c>
      <c r="G82" s="64">
        <f>SUMIFS(CONSOLIDADO!$F:$F,CONSOLIDADO!$E:$E,$A82,CONSOLIDADO!$I:$I,F$3,CONSOLIDADO!$I:$I,F$4,CONSOLIDADO!$K:$K,"&lt;&gt;NOVO")</f>
        <v>0</v>
      </c>
      <c r="H82" s="64">
        <f>SUMIFS(CONSOLIDADO!$F:$F,CONSOLIDADO!$E:$E,$A82,CONSOLIDADO!$I:$I,G$3,CONSOLIDADO!$I:$I,G$4,CONSOLIDADO!$K:$K,"&lt;&gt;NOVO")</f>
        <v>0</v>
      </c>
      <c r="I82" s="64">
        <f>SUMIFS(CONSOLIDADO!$F:$F,CONSOLIDADO!$E:$E,$A82,CONSOLIDADO!$I:$I,H$3,CONSOLIDADO!$I:$I,H$4,CONSOLIDADO!$K:$K,"&lt;&gt;NOVO")</f>
        <v>0</v>
      </c>
      <c r="J82" s="64">
        <f>SUMIFS(CONSOLIDADO!$F:$F,CONSOLIDADO!$E:$E,$A82,CONSOLIDADO!$I:$I,I$3,CONSOLIDADO!$I:$I,I$4,CONSOLIDADO!$K:$K,"&lt;&gt;NOVO")</f>
        <v>0</v>
      </c>
      <c r="K82" s="64">
        <f>SUMIFS(CONSOLIDADO!$F:$F,CONSOLIDADO!$E:$E,$A82,CONSOLIDADO!$I:$I,J$3,CONSOLIDADO!$I:$I,J$4,CONSOLIDADO!$K:$K,"&lt;&gt;NOVO")</f>
        <v>0</v>
      </c>
      <c r="L82" s="64">
        <f>SUMIFS(CONSOLIDADO!$F:$F,CONSOLIDADO!$E:$E,$A82,CONSOLIDADO!$I:$I,K$3,CONSOLIDADO!$I:$I,K$4,CONSOLIDADO!$K:$K,"&lt;&gt;NOVO")</f>
        <v>0</v>
      </c>
      <c r="M82" s="64">
        <f>SUMIFS(CONSOLIDADO!$F:$F,CONSOLIDADO!$E:$E,$A82,CONSOLIDADO!$I:$I,L$3,CONSOLIDADO!$I:$I,L$4,CONSOLIDADO!$K:$K,"&lt;&gt;NOVO")</f>
        <v>0</v>
      </c>
      <c r="N82" s="66">
        <v>2317.94</v>
      </c>
      <c r="O82" s="65">
        <v>0.8</v>
      </c>
      <c r="P82" s="66">
        <f t="shared" si="4"/>
        <v>0</v>
      </c>
      <c r="Q82" s="66">
        <f t="shared" si="4"/>
        <v>0</v>
      </c>
      <c r="R82" s="66">
        <f t="shared" si="4"/>
        <v>0</v>
      </c>
      <c r="S82" s="66">
        <f t="shared" si="3"/>
        <v>0</v>
      </c>
      <c r="T82" s="66">
        <f t="shared" si="3"/>
        <v>0</v>
      </c>
      <c r="U82" s="66">
        <f t="shared" si="3"/>
        <v>0</v>
      </c>
      <c r="V82" s="66">
        <f t="shared" si="3"/>
        <v>0</v>
      </c>
      <c r="W82" s="66">
        <f t="shared" si="3"/>
        <v>0</v>
      </c>
      <c r="X82" s="66">
        <f t="shared" si="3"/>
        <v>0</v>
      </c>
      <c r="Y82" s="66">
        <f t="shared" si="3"/>
        <v>0</v>
      </c>
      <c r="Z82" s="66">
        <f t="shared" si="3"/>
        <v>0</v>
      </c>
      <c r="AA82" s="66">
        <f t="shared" si="3"/>
        <v>0</v>
      </c>
      <c r="AB82" s="33"/>
    </row>
    <row r="83" spans="1:28" x14ac:dyDescent="0.25">
      <c r="A83" s="63" t="s">
        <v>124</v>
      </c>
      <c r="B83" s="64">
        <f>SUMIFS(CONSOLIDADO!$F:$F,CONSOLIDADO!$E:$E,$A83,CONSOLIDADO!$I:$I,A$3,CONSOLIDADO!$I:$I,A$4,CONSOLIDADO!$K:$K,"&lt;&gt;NOVO")</f>
        <v>3</v>
      </c>
      <c r="C83" s="64">
        <f>SUMIFS(CONSOLIDADO!$F:$F,CONSOLIDADO!$E:$E,$A83,CONSOLIDADO!$I:$I,B$3,CONSOLIDADO!$I:$I,B$4,CONSOLIDADO!$K:$K,"&lt;&gt;NOVO")</f>
        <v>3</v>
      </c>
      <c r="D83" s="64">
        <f>SUMIFS(CONSOLIDADO!$F:$F,CONSOLIDADO!$E:$E,$A83,CONSOLIDADO!$I:$I,C$3,CONSOLIDADO!$I:$I,C$4,CONSOLIDADO!$K:$K,"&lt;&gt;NOVO")</f>
        <v>2</v>
      </c>
      <c r="E83" s="64">
        <f>SUMIFS(CONSOLIDADO!$F:$F,CONSOLIDADO!$E:$E,$A83,CONSOLIDADO!$I:$I,D$3,CONSOLIDADO!$I:$I,D$4,CONSOLIDADO!$K:$K,"&lt;&gt;NOVO")</f>
        <v>4</v>
      </c>
      <c r="F83" s="64">
        <f>SUMIFS(CONSOLIDADO!$F:$F,CONSOLIDADO!$E:$E,$A83,CONSOLIDADO!$I:$I,E$3,CONSOLIDADO!$I:$I,E$4,CONSOLIDADO!$K:$K,"&lt;&gt;NOVO")</f>
        <v>0</v>
      </c>
      <c r="G83" s="64">
        <f>SUMIFS(CONSOLIDADO!$F:$F,CONSOLIDADO!$E:$E,$A83,CONSOLIDADO!$I:$I,F$3,CONSOLIDADO!$I:$I,F$4,CONSOLIDADO!$K:$K,"&lt;&gt;NOVO")</f>
        <v>0</v>
      </c>
      <c r="H83" s="64">
        <f>SUMIFS(CONSOLIDADO!$F:$F,CONSOLIDADO!$E:$E,$A83,CONSOLIDADO!$I:$I,G$3,CONSOLIDADO!$I:$I,G$4,CONSOLIDADO!$K:$K,"&lt;&gt;NOVO")</f>
        <v>0</v>
      </c>
      <c r="I83" s="64">
        <f>SUMIFS(CONSOLIDADO!$F:$F,CONSOLIDADO!$E:$E,$A83,CONSOLIDADO!$I:$I,H$3,CONSOLIDADO!$I:$I,H$4,CONSOLIDADO!$K:$K,"&lt;&gt;NOVO")</f>
        <v>0</v>
      </c>
      <c r="J83" s="64">
        <f>SUMIFS(CONSOLIDADO!$F:$F,CONSOLIDADO!$E:$E,$A83,CONSOLIDADO!$I:$I,I$3,CONSOLIDADO!$I:$I,I$4,CONSOLIDADO!$K:$K,"&lt;&gt;NOVO")</f>
        <v>0</v>
      </c>
      <c r="K83" s="64">
        <f>SUMIFS(CONSOLIDADO!$F:$F,CONSOLIDADO!$E:$E,$A83,CONSOLIDADO!$I:$I,J$3,CONSOLIDADO!$I:$I,J$4,CONSOLIDADO!$K:$K,"&lt;&gt;NOVO")</f>
        <v>0</v>
      </c>
      <c r="L83" s="64">
        <f>SUMIFS(CONSOLIDADO!$F:$F,CONSOLIDADO!$E:$E,$A83,CONSOLIDADO!$I:$I,K$3,CONSOLIDADO!$I:$I,K$4,CONSOLIDADO!$K:$K,"&lt;&gt;NOVO")</f>
        <v>0</v>
      </c>
      <c r="M83" s="64">
        <f>SUMIFS(CONSOLIDADO!$F:$F,CONSOLIDADO!$E:$E,$A83,CONSOLIDADO!$I:$I,L$3,CONSOLIDADO!$I:$I,L$4,CONSOLIDADO!$K:$K,"&lt;&gt;NOVO")</f>
        <v>0</v>
      </c>
      <c r="N83" s="66">
        <v>4193.58</v>
      </c>
      <c r="O83" s="65">
        <v>0.8</v>
      </c>
      <c r="P83" s="66">
        <f t="shared" si="4"/>
        <v>2516.1479999999992</v>
      </c>
      <c r="Q83" s="66">
        <f t="shared" si="4"/>
        <v>2516.1479999999992</v>
      </c>
      <c r="R83" s="66">
        <f t="shared" si="4"/>
        <v>1677.4319999999996</v>
      </c>
      <c r="S83" s="66">
        <f t="shared" si="3"/>
        <v>3354.8639999999991</v>
      </c>
      <c r="T83" s="66">
        <f t="shared" si="3"/>
        <v>0</v>
      </c>
      <c r="U83" s="66">
        <f t="shared" si="3"/>
        <v>0</v>
      </c>
      <c r="V83" s="66">
        <f t="shared" si="3"/>
        <v>0</v>
      </c>
      <c r="W83" s="66">
        <f t="shared" si="3"/>
        <v>0</v>
      </c>
      <c r="X83" s="66">
        <f t="shared" si="3"/>
        <v>0</v>
      </c>
      <c r="Y83" s="66">
        <f t="shared" si="3"/>
        <v>0</v>
      </c>
      <c r="Z83" s="66">
        <f t="shared" si="3"/>
        <v>0</v>
      </c>
      <c r="AA83" s="66">
        <f t="shared" si="3"/>
        <v>0</v>
      </c>
      <c r="AB83" s="33"/>
    </row>
    <row r="84" spans="1:28" x14ac:dyDescent="0.25">
      <c r="A84" s="63" t="s">
        <v>71</v>
      </c>
      <c r="B84" s="64">
        <f>SUMIFS(CONSOLIDADO!$F:$F,CONSOLIDADO!$E:$E,$A84,CONSOLIDADO!$I:$I,A$3,CONSOLIDADO!$I:$I,A$4,CONSOLIDADO!$K:$K,"&lt;&gt;NOVO")</f>
        <v>1</v>
      </c>
      <c r="C84" s="64">
        <f>SUMIFS(CONSOLIDADO!$F:$F,CONSOLIDADO!$E:$E,$A84,CONSOLIDADO!$I:$I,B$3,CONSOLIDADO!$I:$I,B$4,CONSOLIDADO!$K:$K,"&lt;&gt;NOVO")</f>
        <v>0</v>
      </c>
      <c r="D84" s="64">
        <f>SUMIFS(CONSOLIDADO!$F:$F,CONSOLIDADO!$E:$E,$A84,CONSOLIDADO!$I:$I,C$3,CONSOLIDADO!$I:$I,C$4,CONSOLIDADO!$K:$K,"&lt;&gt;NOVO")</f>
        <v>0</v>
      </c>
      <c r="E84" s="64">
        <f>SUMIFS(CONSOLIDADO!$F:$F,CONSOLIDADO!$E:$E,$A84,CONSOLIDADO!$I:$I,D$3,CONSOLIDADO!$I:$I,D$4,CONSOLIDADO!$K:$K,"&lt;&gt;NOVO")</f>
        <v>0</v>
      </c>
      <c r="F84" s="64">
        <f>SUMIFS(CONSOLIDADO!$F:$F,CONSOLIDADO!$E:$E,$A84,CONSOLIDADO!$I:$I,E$3,CONSOLIDADO!$I:$I,E$4,CONSOLIDADO!$K:$K,"&lt;&gt;NOVO")</f>
        <v>0</v>
      </c>
      <c r="G84" s="64">
        <f>SUMIFS(CONSOLIDADO!$F:$F,CONSOLIDADO!$E:$E,$A84,CONSOLIDADO!$I:$I,F$3,CONSOLIDADO!$I:$I,F$4,CONSOLIDADO!$K:$K,"&lt;&gt;NOVO")</f>
        <v>0</v>
      </c>
      <c r="H84" s="64">
        <f>SUMIFS(CONSOLIDADO!$F:$F,CONSOLIDADO!$E:$E,$A84,CONSOLIDADO!$I:$I,G$3,CONSOLIDADO!$I:$I,G$4,CONSOLIDADO!$K:$K,"&lt;&gt;NOVO")</f>
        <v>0</v>
      </c>
      <c r="I84" s="64">
        <f>SUMIFS(CONSOLIDADO!$F:$F,CONSOLIDADO!$E:$E,$A84,CONSOLIDADO!$I:$I,H$3,CONSOLIDADO!$I:$I,H$4,CONSOLIDADO!$K:$K,"&lt;&gt;NOVO")</f>
        <v>0</v>
      </c>
      <c r="J84" s="64">
        <f>SUMIFS(CONSOLIDADO!$F:$F,CONSOLIDADO!$E:$E,$A84,CONSOLIDADO!$I:$I,I$3,CONSOLIDADO!$I:$I,I$4,CONSOLIDADO!$K:$K,"&lt;&gt;NOVO")</f>
        <v>0</v>
      </c>
      <c r="K84" s="64">
        <f>SUMIFS(CONSOLIDADO!$F:$F,CONSOLIDADO!$E:$E,$A84,CONSOLIDADO!$I:$I,J$3,CONSOLIDADO!$I:$I,J$4,CONSOLIDADO!$K:$K,"&lt;&gt;NOVO")</f>
        <v>0</v>
      </c>
      <c r="L84" s="64">
        <f>SUMIFS(CONSOLIDADO!$F:$F,CONSOLIDADO!$E:$E,$A84,CONSOLIDADO!$I:$I,K$3,CONSOLIDADO!$I:$I,K$4,CONSOLIDADO!$K:$K,"&lt;&gt;NOVO")</f>
        <v>0</v>
      </c>
      <c r="M84" s="64">
        <f>SUMIFS(CONSOLIDADO!$F:$F,CONSOLIDADO!$E:$E,$A84,CONSOLIDADO!$I:$I,L$3,CONSOLIDADO!$I:$I,L$4,CONSOLIDADO!$K:$K,"&lt;&gt;NOVO")</f>
        <v>0</v>
      </c>
      <c r="N84" s="66">
        <v>250</v>
      </c>
      <c r="O84" s="65">
        <v>0.8</v>
      </c>
      <c r="P84" s="66">
        <f t="shared" si="4"/>
        <v>49.999999999999986</v>
      </c>
      <c r="Q84" s="66">
        <f t="shared" si="4"/>
        <v>0</v>
      </c>
      <c r="R84" s="66">
        <f t="shared" si="4"/>
        <v>0</v>
      </c>
      <c r="S84" s="66">
        <f t="shared" si="3"/>
        <v>0</v>
      </c>
      <c r="T84" s="66">
        <f t="shared" si="3"/>
        <v>0</v>
      </c>
      <c r="U84" s="66">
        <f t="shared" si="3"/>
        <v>0</v>
      </c>
      <c r="V84" s="66">
        <f t="shared" si="3"/>
        <v>0</v>
      </c>
      <c r="W84" s="66">
        <f t="shared" si="3"/>
        <v>0</v>
      </c>
      <c r="X84" s="66">
        <f t="shared" si="3"/>
        <v>0</v>
      </c>
      <c r="Y84" s="66">
        <f t="shared" si="3"/>
        <v>0</v>
      </c>
      <c r="Z84" s="66">
        <f t="shared" si="3"/>
        <v>0</v>
      </c>
      <c r="AA84" s="66">
        <f t="shared" si="3"/>
        <v>0</v>
      </c>
      <c r="AB84" s="33"/>
    </row>
    <row r="85" spans="1:28" x14ac:dyDescent="0.25">
      <c r="A85" t="s">
        <v>506</v>
      </c>
      <c r="B85" s="64">
        <f>SUMIFS(CONSOLIDADO!$F:$F,CONSOLIDADO!$E:$E,$A85,CONSOLIDADO!$I:$I,A$3,CONSOLIDADO!$I:$I,A$4,CONSOLIDADO!$K:$K,"&lt;&gt;NOVO")</f>
        <v>0</v>
      </c>
      <c r="C85" s="64">
        <f>SUMIFS(CONSOLIDADO!$F:$F,CONSOLIDADO!$E:$E,$A85,CONSOLIDADO!$I:$I,B$3,CONSOLIDADO!$I:$I,B$4,CONSOLIDADO!$K:$K,"&lt;&gt;NOVO")</f>
        <v>0</v>
      </c>
      <c r="D85" s="64">
        <f>SUMIFS(CONSOLIDADO!$F:$F,CONSOLIDADO!$E:$E,$A85,CONSOLIDADO!$I:$I,C$3,CONSOLIDADO!$I:$I,C$4,CONSOLIDADO!$K:$K,"&lt;&gt;NOVO")</f>
        <v>0</v>
      </c>
      <c r="E85" s="64">
        <f>SUMIFS(CONSOLIDADO!$F:$F,CONSOLIDADO!$E:$E,$A85,CONSOLIDADO!$I:$I,D$3,CONSOLIDADO!$I:$I,D$4,CONSOLIDADO!$K:$K,"&lt;&gt;NOVO")</f>
        <v>0</v>
      </c>
      <c r="F85" s="64">
        <f>SUMIFS(CONSOLIDADO!$F:$F,CONSOLIDADO!$E:$E,$A85,CONSOLIDADO!$I:$I,E$3,CONSOLIDADO!$I:$I,E$4,CONSOLIDADO!$K:$K,"&lt;&gt;NOVO")</f>
        <v>0</v>
      </c>
      <c r="G85" s="64">
        <f>SUMIFS(CONSOLIDADO!$F:$F,CONSOLIDADO!$E:$E,$A85,CONSOLIDADO!$I:$I,F$3,CONSOLIDADO!$I:$I,F$4,CONSOLIDADO!$K:$K,"&lt;&gt;NOVO")</f>
        <v>0</v>
      </c>
      <c r="H85" s="64">
        <f>SUMIFS(CONSOLIDADO!$F:$F,CONSOLIDADO!$E:$E,$A85,CONSOLIDADO!$I:$I,G$3,CONSOLIDADO!$I:$I,G$4,CONSOLIDADO!$K:$K,"&lt;&gt;NOVO")</f>
        <v>0</v>
      </c>
      <c r="I85" s="64">
        <f>SUMIFS(CONSOLIDADO!$F:$F,CONSOLIDADO!$E:$E,$A85,CONSOLIDADO!$I:$I,H$3,CONSOLIDADO!$I:$I,H$4,CONSOLIDADO!$K:$K,"&lt;&gt;NOVO")</f>
        <v>0</v>
      </c>
      <c r="J85" s="64">
        <f>SUMIFS(CONSOLIDADO!$F:$F,CONSOLIDADO!$E:$E,$A85,CONSOLIDADO!$I:$I,I$3,CONSOLIDADO!$I:$I,I$4,CONSOLIDADO!$K:$K,"&lt;&gt;NOVO")</f>
        <v>0</v>
      </c>
      <c r="K85" s="64">
        <f>SUMIFS(CONSOLIDADO!$F:$F,CONSOLIDADO!$E:$E,$A85,CONSOLIDADO!$I:$I,J$3,CONSOLIDADO!$I:$I,J$4,CONSOLIDADO!$K:$K,"&lt;&gt;NOVO")</f>
        <v>0</v>
      </c>
      <c r="L85" s="64">
        <f>SUMIFS(CONSOLIDADO!$F:$F,CONSOLIDADO!$E:$E,$A85,CONSOLIDADO!$I:$I,K$3,CONSOLIDADO!$I:$I,K$4,CONSOLIDADO!$K:$K,"&lt;&gt;NOVO")</f>
        <v>0</v>
      </c>
      <c r="M85" s="64">
        <f>SUMIFS(CONSOLIDADO!$F:$F,CONSOLIDADO!$E:$E,$A85,CONSOLIDADO!$I:$I,L$3,CONSOLIDADO!$I:$I,L$4,CONSOLIDADO!$K:$K,"&lt;&gt;NOVO")</f>
        <v>0</v>
      </c>
      <c r="N85" s="66">
        <v>250</v>
      </c>
      <c r="O85" s="65">
        <v>0.8</v>
      </c>
      <c r="P85" s="66">
        <f t="shared" si="4"/>
        <v>0</v>
      </c>
      <c r="Q85" s="66">
        <f t="shared" si="4"/>
        <v>0</v>
      </c>
      <c r="R85" s="66">
        <f t="shared" si="4"/>
        <v>0</v>
      </c>
      <c r="S85" s="66">
        <f t="shared" si="3"/>
        <v>0</v>
      </c>
      <c r="T85" s="66">
        <f t="shared" si="3"/>
        <v>0</v>
      </c>
      <c r="U85" s="66">
        <f t="shared" si="3"/>
        <v>0</v>
      </c>
      <c r="V85" s="66">
        <f t="shared" si="3"/>
        <v>0</v>
      </c>
      <c r="W85" s="66">
        <f t="shared" si="3"/>
        <v>0</v>
      </c>
      <c r="X85" s="66">
        <f t="shared" si="3"/>
        <v>0</v>
      </c>
      <c r="Y85" s="66">
        <f t="shared" si="3"/>
        <v>0</v>
      </c>
      <c r="Z85" s="66">
        <f t="shared" si="3"/>
        <v>0</v>
      </c>
      <c r="AA85" s="66">
        <f t="shared" si="3"/>
        <v>0</v>
      </c>
      <c r="AB85" s="33"/>
    </row>
    <row r="86" spans="1:28" x14ac:dyDescent="0.25">
      <c r="A86" s="63" t="s">
        <v>721</v>
      </c>
      <c r="B86" s="64">
        <f>SUMIFS(CONSOLIDADO!$F:$F,CONSOLIDADO!$E:$E,$A86,CONSOLIDADO!$I:$I,A$3,CONSOLIDADO!$I:$I,A$4,CONSOLIDADO!$K:$K,"&lt;&gt;NOVO")</f>
        <v>0</v>
      </c>
      <c r="C86" s="64">
        <f>SUMIFS(CONSOLIDADO!$F:$F,CONSOLIDADO!$E:$E,$A86,CONSOLIDADO!$I:$I,B$3,CONSOLIDADO!$I:$I,B$4,CONSOLIDADO!$K:$K,"&lt;&gt;NOVO")</f>
        <v>0</v>
      </c>
      <c r="D86" s="64">
        <f>SUMIFS(CONSOLIDADO!$F:$F,CONSOLIDADO!$E:$E,$A86,CONSOLIDADO!$I:$I,C$3,CONSOLIDADO!$I:$I,C$4,CONSOLIDADO!$K:$K,"&lt;&gt;NOVO")</f>
        <v>0</v>
      </c>
      <c r="E86" s="64">
        <f>SUMIFS(CONSOLIDADO!$F:$F,CONSOLIDADO!$E:$E,$A86,CONSOLIDADO!$I:$I,D$3,CONSOLIDADO!$I:$I,D$4,CONSOLIDADO!$K:$K,"&lt;&gt;NOVO")</f>
        <v>0</v>
      </c>
      <c r="F86" s="64">
        <f>SUMIFS(CONSOLIDADO!$F:$F,CONSOLIDADO!$E:$E,$A86,CONSOLIDADO!$I:$I,E$3,CONSOLIDADO!$I:$I,E$4,CONSOLIDADO!$K:$K,"&lt;&gt;NOVO")</f>
        <v>0</v>
      </c>
      <c r="G86" s="64">
        <f>SUMIFS(CONSOLIDADO!$F:$F,CONSOLIDADO!$E:$E,$A86,CONSOLIDADO!$I:$I,F$3,CONSOLIDADO!$I:$I,F$4,CONSOLIDADO!$K:$K,"&lt;&gt;NOVO")</f>
        <v>0</v>
      </c>
      <c r="H86" s="64">
        <f>SUMIFS(CONSOLIDADO!$F:$F,CONSOLIDADO!$E:$E,$A86,CONSOLIDADO!$I:$I,G$3,CONSOLIDADO!$I:$I,G$4,CONSOLIDADO!$K:$K,"&lt;&gt;NOVO")</f>
        <v>0</v>
      </c>
      <c r="I86" s="64">
        <f>SUMIFS(CONSOLIDADO!$F:$F,CONSOLIDADO!$E:$E,$A86,CONSOLIDADO!$I:$I,H$3,CONSOLIDADO!$I:$I,H$4,CONSOLIDADO!$K:$K,"&lt;&gt;NOVO")</f>
        <v>0</v>
      </c>
      <c r="J86" s="64">
        <f>SUMIFS(CONSOLIDADO!$F:$F,CONSOLIDADO!$E:$E,$A86,CONSOLIDADO!$I:$I,I$3,CONSOLIDADO!$I:$I,I$4,CONSOLIDADO!$K:$K,"&lt;&gt;NOVO")</f>
        <v>0</v>
      </c>
      <c r="K86" s="64">
        <f>SUMIFS(CONSOLIDADO!$F:$F,CONSOLIDADO!$E:$E,$A86,CONSOLIDADO!$I:$I,J$3,CONSOLIDADO!$I:$I,J$4,CONSOLIDADO!$K:$K,"&lt;&gt;NOVO")</f>
        <v>0</v>
      </c>
      <c r="L86" s="64">
        <f>SUMIFS(CONSOLIDADO!$F:$F,CONSOLIDADO!$E:$E,$A86,CONSOLIDADO!$I:$I,K$3,CONSOLIDADO!$I:$I,K$4,CONSOLIDADO!$K:$K,"&lt;&gt;NOVO")</f>
        <v>0</v>
      </c>
      <c r="M86" s="64">
        <f>SUMIFS(CONSOLIDADO!$F:$F,CONSOLIDADO!$E:$E,$A86,CONSOLIDADO!$I:$I,L$3,CONSOLIDADO!$I:$I,L$4,CONSOLIDADO!$K:$K,"&lt;&gt;NOVO")</f>
        <v>0</v>
      </c>
      <c r="N86" s="66">
        <v>1300.3</v>
      </c>
      <c r="O86" s="65">
        <v>0.8</v>
      </c>
      <c r="P86" s="66">
        <f t="shared" si="4"/>
        <v>0</v>
      </c>
      <c r="Q86" s="66">
        <f t="shared" si="4"/>
        <v>0</v>
      </c>
      <c r="R86" s="66">
        <f t="shared" si="4"/>
        <v>0</v>
      </c>
      <c r="S86" s="66">
        <f t="shared" si="3"/>
        <v>0</v>
      </c>
      <c r="T86" s="66">
        <f t="shared" si="3"/>
        <v>0</v>
      </c>
      <c r="U86" s="66">
        <f t="shared" si="3"/>
        <v>0</v>
      </c>
      <c r="V86" s="66">
        <f t="shared" si="3"/>
        <v>0</v>
      </c>
      <c r="W86" s="66">
        <f t="shared" si="3"/>
        <v>0</v>
      </c>
      <c r="X86" s="66">
        <f t="shared" si="3"/>
        <v>0</v>
      </c>
      <c r="Y86" s="66">
        <f t="shared" si="3"/>
        <v>0</v>
      </c>
      <c r="Z86" s="66">
        <f t="shared" si="3"/>
        <v>0</v>
      </c>
      <c r="AA86" s="66">
        <f t="shared" si="3"/>
        <v>0</v>
      </c>
      <c r="AB86" s="33"/>
    </row>
    <row r="87" spans="1:28" x14ac:dyDescent="0.25">
      <c r="A87" s="63" t="s">
        <v>106</v>
      </c>
      <c r="B87" s="64">
        <f>SUMIFS(CONSOLIDADO!$F:$F,CONSOLIDADO!$E:$E,$A87,CONSOLIDADO!$I:$I,A$3,CONSOLIDADO!$I:$I,A$4,CONSOLIDADO!$K:$K,"&lt;&gt;NOVO")</f>
        <v>7</v>
      </c>
      <c r="C87" s="64">
        <f>SUMIFS(CONSOLIDADO!$F:$F,CONSOLIDADO!$E:$E,$A87,CONSOLIDADO!$I:$I,B$3,CONSOLIDADO!$I:$I,B$4,CONSOLIDADO!$K:$K,"&lt;&gt;NOVO")</f>
        <v>4</v>
      </c>
      <c r="D87" s="64">
        <f>SUMIFS(CONSOLIDADO!$F:$F,CONSOLIDADO!$E:$E,$A87,CONSOLIDADO!$I:$I,C$3,CONSOLIDADO!$I:$I,C$4,CONSOLIDADO!$K:$K,"&lt;&gt;NOVO")</f>
        <v>4</v>
      </c>
      <c r="E87" s="64">
        <f>SUMIFS(CONSOLIDADO!$F:$F,CONSOLIDADO!$E:$E,$A87,CONSOLIDADO!$I:$I,D$3,CONSOLIDADO!$I:$I,D$4,CONSOLIDADO!$K:$K,"&lt;&gt;NOVO")</f>
        <v>37</v>
      </c>
      <c r="F87" s="64">
        <f>SUMIFS(CONSOLIDADO!$F:$F,CONSOLIDADO!$E:$E,$A87,CONSOLIDADO!$I:$I,E$3,CONSOLIDADO!$I:$I,E$4,CONSOLIDADO!$K:$K,"&lt;&gt;NOVO")</f>
        <v>20</v>
      </c>
      <c r="G87" s="64">
        <f>SUMIFS(CONSOLIDADO!$F:$F,CONSOLIDADO!$E:$E,$A87,CONSOLIDADO!$I:$I,F$3,CONSOLIDADO!$I:$I,F$4,CONSOLIDADO!$K:$K,"&lt;&gt;NOVO")</f>
        <v>0</v>
      </c>
      <c r="H87" s="64">
        <f>SUMIFS(CONSOLIDADO!$F:$F,CONSOLIDADO!$E:$E,$A87,CONSOLIDADO!$I:$I,G$3,CONSOLIDADO!$I:$I,G$4,CONSOLIDADO!$K:$K,"&lt;&gt;NOVO")</f>
        <v>0</v>
      </c>
      <c r="I87" s="64">
        <f>SUMIFS(CONSOLIDADO!$F:$F,CONSOLIDADO!$E:$E,$A87,CONSOLIDADO!$I:$I,H$3,CONSOLIDADO!$I:$I,H$4,CONSOLIDADO!$K:$K,"&lt;&gt;NOVO")</f>
        <v>0</v>
      </c>
      <c r="J87" s="64">
        <f>SUMIFS(CONSOLIDADO!$F:$F,CONSOLIDADO!$E:$E,$A87,CONSOLIDADO!$I:$I,I$3,CONSOLIDADO!$I:$I,I$4,CONSOLIDADO!$K:$K,"&lt;&gt;NOVO")</f>
        <v>0</v>
      </c>
      <c r="K87" s="64">
        <f>SUMIFS(CONSOLIDADO!$F:$F,CONSOLIDADO!$E:$E,$A87,CONSOLIDADO!$I:$I,J$3,CONSOLIDADO!$I:$I,J$4,CONSOLIDADO!$K:$K,"&lt;&gt;NOVO")</f>
        <v>0</v>
      </c>
      <c r="L87" s="64">
        <f>SUMIFS(CONSOLIDADO!$F:$F,CONSOLIDADO!$E:$E,$A87,CONSOLIDADO!$I:$I,K$3,CONSOLIDADO!$I:$I,K$4,CONSOLIDADO!$K:$K,"&lt;&gt;NOVO")</f>
        <v>0</v>
      </c>
      <c r="M87" s="64">
        <f>SUMIFS(CONSOLIDADO!$F:$F,CONSOLIDADO!$E:$E,$A87,CONSOLIDADO!$I:$I,L$3,CONSOLIDADO!$I:$I,L$4,CONSOLIDADO!$K:$K,"&lt;&gt;NOVO")</f>
        <v>0</v>
      </c>
      <c r="N87" s="66">
        <v>188.6</v>
      </c>
      <c r="O87" s="65">
        <v>0.8</v>
      </c>
      <c r="P87" s="66">
        <f t="shared" si="4"/>
        <v>264.03999999999996</v>
      </c>
      <c r="Q87" s="66">
        <f t="shared" si="4"/>
        <v>150.87999999999997</v>
      </c>
      <c r="R87" s="66">
        <f t="shared" si="4"/>
        <v>150.87999999999997</v>
      </c>
      <c r="S87" s="66">
        <f t="shared" si="3"/>
        <v>1395.6399999999996</v>
      </c>
      <c r="T87" s="66">
        <f t="shared" si="3"/>
        <v>754.39999999999986</v>
      </c>
      <c r="U87" s="66">
        <f t="shared" si="3"/>
        <v>0</v>
      </c>
      <c r="V87" s="66">
        <f t="shared" si="3"/>
        <v>0</v>
      </c>
      <c r="W87" s="66">
        <f t="shared" si="3"/>
        <v>0</v>
      </c>
      <c r="X87" s="66">
        <f t="shared" si="3"/>
        <v>0</v>
      </c>
      <c r="Y87" s="66">
        <f t="shared" si="3"/>
        <v>0</v>
      </c>
      <c r="Z87" s="66">
        <f t="shared" si="3"/>
        <v>0</v>
      </c>
      <c r="AA87" s="66">
        <f t="shared" si="3"/>
        <v>0</v>
      </c>
      <c r="AB87" s="33"/>
    </row>
    <row r="88" spans="1:28" x14ac:dyDescent="0.25">
      <c r="A88" s="63" t="s">
        <v>455</v>
      </c>
      <c r="B88" s="64">
        <f>SUMIFS(CONSOLIDADO!$F:$F,CONSOLIDADO!$E:$E,$A88,CONSOLIDADO!$I:$I,A$3,CONSOLIDADO!$I:$I,A$4,CONSOLIDADO!$K:$K,"&lt;&gt;NOVO")</f>
        <v>0</v>
      </c>
      <c r="C88" s="64">
        <f>SUMIFS(CONSOLIDADO!$F:$F,CONSOLIDADO!$E:$E,$A88,CONSOLIDADO!$I:$I,B$3,CONSOLIDADO!$I:$I,B$4,CONSOLIDADO!$K:$K,"&lt;&gt;NOVO")</f>
        <v>0</v>
      </c>
      <c r="D88" s="64">
        <f>SUMIFS(CONSOLIDADO!$F:$F,CONSOLIDADO!$E:$E,$A88,CONSOLIDADO!$I:$I,C$3,CONSOLIDADO!$I:$I,C$4,CONSOLIDADO!$K:$K,"&lt;&gt;NOVO")</f>
        <v>0</v>
      </c>
      <c r="E88" s="64">
        <f>SUMIFS(CONSOLIDADO!$F:$F,CONSOLIDADO!$E:$E,$A88,CONSOLIDADO!$I:$I,D$3,CONSOLIDADO!$I:$I,D$4,CONSOLIDADO!$K:$K,"&lt;&gt;NOVO")</f>
        <v>1</v>
      </c>
      <c r="F88" s="64">
        <f>SUMIFS(CONSOLIDADO!$F:$F,CONSOLIDADO!$E:$E,$A88,CONSOLIDADO!$I:$I,E$3,CONSOLIDADO!$I:$I,E$4,CONSOLIDADO!$K:$K,"&lt;&gt;NOVO")</f>
        <v>0</v>
      </c>
      <c r="G88" s="64">
        <f>SUMIFS(CONSOLIDADO!$F:$F,CONSOLIDADO!$E:$E,$A88,CONSOLIDADO!$I:$I,F$3,CONSOLIDADO!$I:$I,F$4,CONSOLIDADO!$K:$K,"&lt;&gt;NOVO")</f>
        <v>0</v>
      </c>
      <c r="H88" s="64">
        <f>SUMIFS(CONSOLIDADO!$F:$F,CONSOLIDADO!$E:$E,$A88,CONSOLIDADO!$I:$I,G$3,CONSOLIDADO!$I:$I,G$4,CONSOLIDADO!$K:$K,"&lt;&gt;NOVO")</f>
        <v>0</v>
      </c>
      <c r="I88" s="64">
        <f>SUMIFS(CONSOLIDADO!$F:$F,CONSOLIDADO!$E:$E,$A88,CONSOLIDADO!$I:$I,H$3,CONSOLIDADO!$I:$I,H$4,CONSOLIDADO!$K:$K,"&lt;&gt;NOVO")</f>
        <v>0</v>
      </c>
      <c r="J88" s="64">
        <f>SUMIFS(CONSOLIDADO!$F:$F,CONSOLIDADO!$E:$E,$A88,CONSOLIDADO!$I:$I,I$3,CONSOLIDADO!$I:$I,I$4,CONSOLIDADO!$K:$K,"&lt;&gt;NOVO")</f>
        <v>0</v>
      </c>
      <c r="K88" s="64">
        <f>SUMIFS(CONSOLIDADO!$F:$F,CONSOLIDADO!$E:$E,$A88,CONSOLIDADO!$I:$I,J$3,CONSOLIDADO!$I:$I,J$4,CONSOLIDADO!$K:$K,"&lt;&gt;NOVO")</f>
        <v>0</v>
      </c>
      <c r="L88" s="64">
        <f>SUMIFS(CONSOLIDADO!$F:$F,CONSOLIDADO!$E:$E,$A88,CONSOLIDADO!$I:$I,K$3,CONSOLIDADO!$I:$I,K$4,CONSOLIDADO!$K:$K,"&lt;&gt;NOVO")</f>
        <v>0</v>
      </c>
      <c r="M88" s="64">
        <f>SUMIFS(CONSOLIDADO!$F:$F,CONSOLIDADO!$E:$E,$A88,CONSOLIDADO!$I:$I,L$3,CONSOLIDADO!$I:$I,L$4,CONSOLIDADO!$K:$K,"&lt;&gt;NOVO")</f>
        <v>0</v>
      </c>
      <c r="N88" s="66">
        <v>188.6</v>
      </c>
      <c r="O88" s="65">
        <v>0.8</v>
      </c>
      <c r="P88" s="66">
        <f t="shared" si="4"/>
        <v>0</v>
      </c>
      <c r="Q88" s="66">
        <f t="shared" si="4"/>
        <v>0</v>
      </c>
      <c r="R88" s="66">
        <f t="shared" si="4"/>
        <v>0</v>
      </c>
      <c r="S88" s="66">
        <f t="shared" si="3"/>
        <v>37.719999999999992</v>
      </c>
      <c r="T88" s="66">
        <f t="shared" si="3"/>
        <v>0</v>
      </c>
      <c r="U88" s="66">
        <f t="shared" si="3"/>
        <v>0</v>
      </c>
      <c r="V88" s="66">
        <f t="shared" si="3"/>
        <v>0</v>
      </c>
      <c r="W88" s="66">
        <f t="shared" si="3"/>
        <v>0</v>
      </c>
      <c r="X88" s="66">
        <f t="shared" si="3"/>
        <v>0</v>
      </c>
      <c r="Y88" s="66">
        <f t="shared" si="3"/>
        <v>0</v>
      </c>
      <c r="Z88" s="66">
        <f t="shared" si="3"/>
        <v>0</v>
      </c>
      <c r="AA88" s="66">
        <f t="shared" si="3"/>
        <v>0</v>
      </c>
      <c r="AB88" s="33"/>
    </row>
    <row r="89" spans="1:28" x14ac:dyDescent="0.25">
      <c r="A89" t="s">
        <v>153</v>
      </c>
      <c r="B89" s="64">
        <f>SUMIFS(CONSOLIDADO!$F:$F,CONSOLIDADO!$E:$E,$A89,CONSOLIDADO!$I:$I,A$3,CONSOLIDADO!$I:$I,A$4,CONSOLIDADO!$K:$K,"&lt;&gt;NOVO")</f>
        <v>3</v>
      </c>
      <c r="C89" s="64">
        <f>SUMIFS(CONSOLIDADO!$F:$F,CONSOLIDADO!$E:$E,$A89,CONSOLIDADO!$I:$I,B$3,CONSOLIDADO!$I:$I,B$4,CONSOLIDADO!$K:$K,"&lt;&gt;NOVO")</f>
        <v>7</v>
      </c>
      <c r="D89" s="64">
        <f>SUMIFS(CONSOLIDADO!$F:$F,CONSOLIDADO!$E:$E,$A89,CONSOLIDADO!$I:$I,C$3,CONSOLIDADO!$I:$I,C$4,CONSOLIDADO!$K:$K,"&lt;&gt;NOVO")</f>
        <v>0</v>
      </c>
      <c r="E89" s="64">
        <f>SUMIFS(CONSOLIDADO!$F:$F,CONSOLIDADO!$E:$E,$A89,CONSOLIDADO!$I:$I,D$3,CONSOLIDADO!$I:$I,D$4,CONSOLIDADO!$K:$K,"&lt;&gt;NOVO")</f>
        <v>41</v>
      </c>
      <c r="F89" s="64">
        <f>SUMIFS(CONSOLIDADO!$F:$F,CONSOLIDADO!$E:$E,$A89,CONSOLIDADO!$I:$I,E$3,CONSOLIDADO!$I:$I,E$4,CONSOLIDADO!$K:$K,"&lt;&gt;NOVO")</f>
        <v>0</v>
      </c>
      <c r="G89" s="64">
        <f>SUMIFS(CONSOLIDADO!$F:$F,CONSOLIDADO!$E:$E,$A89,CONSOLIDADO!$I:$I,F$3,CONSOLIDADO!$I:$I,F$4,CONSOLIDADO!$K:$K,"&lt;&gt;NOVO")</f>
        <v>0</v>
      </c>
      <c r="H89" s="64">
        <f>SUMIFS(CONSOLIDADO!$F:$F,CONSOLIDADO!$E:$E,$A89,CONSOLIDADO!$I:$I,G$3,CONSOLIDADO!$I:$I,G$4,CONSOLIDADO!$K:$K,"&lt;&gt;NOVO")</f>
        <v>0</v>
      </c>
      <c r="I89" s="64">
        <f>SUMIFS(CONSOLIDADO!$F:$F,CONSOLIDADO!$E:$E,$A89,CONSOLIDADO!$I:$I,H$3,CONSOLIDADO!$I:$I,H$4,CONSOLIDADO!$K:$K,"&lt;&gt;NOVO")</f>
        <v>0</v>
      </c>
      <c r="J89" s="64">
        <f>SUMIFS(CONSOLIDADO!$F:$F,CONSOLIDADO!$E:$E,$A89,CONSOLIDADO!$I:$I,I$3,CONSOLIDADO!$I:$I,I$4,CONSOLIDADO!$K:$K,"&lt;&gt;NOVO")</f>
        <v>0</v>
      </c>
      <c r="K89" s="64">
        <f>SUMIFS(CONSOLIDADO!$F:$F,CONSOLIDADO!$E:$E,$A89,CONSOLIDADO!$I:$I,J$3,CONSOLIDADO!$I:$I,J$4,CONSOLIDADO!$K:$K,"&lt;&gt;NOVO")</f>
        <v>0</v>
      </c>
      <c r="L89" s="64">
        <f>SUMIFS(CONSOLIDADO!$F:$F,CONSOLIDADO!$E:$E,$A89,CONSOLIDADO!$I:$I,K$3,CONSOLIDADO!$I:$I,K$4,CONSOLIDADO!$K:$K,"&lt;&gt;NOVO")</f>
        <v>0</v>
      </c>
      <c r="M89" s="64">
        <f>SUMIFS(CONSOLIDADO!$F:$F,CONSOLIDADO!$E:$E,$A89,CONSOLIDADO!$I:$I,L$3,CONSOLIDADO!$I:$I,L$4,CONSOLIDADO!$K:$K,"&lt;&gt;NOVO")</f>
        <v>0</v>
      </c>
      <c r="N89" s="66">
        <v>2000</v>
      </c>
      <c r="O89" s="65">
        <v>0.8</v>
      </c>
      <c r="P89" s="66">
        <f t="shared" si="4"/>
        <v>1199.9999999999995</v>
      </c>
      <c r="Q89" s="66">
        <f t="shared" si="4"/>
        <v>2799.9999999999991</v>
      </c>
      <c r="R89" s="66">
        <f t="shared" si="4"/>
        <v>0</v>
      </c>
      <c r="S89" s="66">
        <f t="shared" si="3"/>
        <v>16399.999999999996</v>
      </c>
      <c r="T89" s="66">
        <f t="shared" si="3"/>
        <v>0</v>
      </c>
      <c r="U89" s="66">
        <f t="shared" si="3"/>
        <v>0</v>
      </c>
      <c r="V89" s="66">
        <f t="shared" si="3"/>
        <v>0</v>
      </c>
      <c r="W89" s="66">
        <f t="shared" si="3"/>
        <v>0</v>
      </c>
      <c r="X89" s="66">
        <f t="shared" si="3"/>
        <v>0</v>
      </c>
      <c r="Y89" s="66">
        <f t="shared" si="3"/>
        <v>0</v>
      </c>
      <c r="Z89" s="66">
        <f t="shared" si="3"/>
        <v>0</v>
      </c>
      <c r="AA89" s="66">
        <f t="shared" si="3"/>
        <v>0</v>
      </c>
      <c r="AB89" s="33"/>
    </row>
    <row r="90" spans="1:28" x14ac:dyDescent="0.25">
      <c r="A90" s="63" t="s">
        <v>93</v>
      </c>
      <c r="B90" s="64">
        <f>SUMIFS(CONSOLIDADO!$F:$F,CONSOLIDADO!$E:$E,$A90,CONSOLIDADO!$I:$I,A$3,CONSOLIDADO!$I:$I,A$4,CONSOLIDADO!$K:$K,"&lt;&gt;NOVO")</f>
        <v>1</v>
      </c>
      <c r="C90" s="64">
        <f>SUMIFS(CONSOLIDADO!$F:$F,CONSOLIDADO!$E:$E,$A90,CONSOLIDADO!$I:$I,B$3,CONSOLIDADO!$I:$I,B$4,CONSOLIDADO!$K:$K,"&lt;&gt;NOVO")</f>
        <v>0</v>
      </c>
      <c r="D90" s="64">
        <f>SUMIFS(CONSOLIDADO!$F:$F,CONSOLIDADO!$E:$E,$A90,CONSOLIDADO!$I:$I,C$3,CONSOLIDADO!$I:$I,C$4,CONSOLIDADO!$K:$K,"&lt;&gt;NOVO")</f>
        <v>3</v>
      </c>
      <c r="E90" s="64">
        <f>SUMIFS(CONSOLIDADO!$F:$F,CONSOLIDADO!$E:$E,$A90,CONSOLIDADO!$I:$I,D$3,CONSOLIDADO!$I:$I,D$4,CONSOLIDADO!$K:$K,"&lt;&gt;NOVO")</f>
        <v>1</v>
      </c>
      <c r="F90" s="64">
        <f>SUMIFS(CONSOLIDADO!$F:$F,CONSOLIDADO!$E:$E,$A90,CONSOLIDADO!$I:$I,E$3,CONSOLIDADO!$I:$I,E$4,CONSOLIDADO!$K:$K,"&lt;&gt;NOVO")</f>
        <v>0</v>
      </c>
      <c r="G90" s="64">
        <f>SUMIFS(CONSOLIDADO!$F:$F,CONSOLIDADO!$E:$E,$A90,CONSOLIDADO!$I:$I,F$3,CONSOLIDADO!$I:$I,F$4,CONSOLIDADO!$K:$K,"&lt;&gt;NOVO")</f>
        <v>0</v>
      </c>
      <c r="H90" s="64">
        <f>SUMIFS(CONSOLIDADO!$F:$F,CONSOLIDADO!$E:$E,$A90,CONSOLIDADO!$I:$I,G$3,CONSOLIDADO!$I:$I,G$4,CONSOLIDADO!$K:$K,"&lt;&gt;NOVO")</f>
        <v>0</v>
      </c>
      <c r="I90" s="64">
        <f>SUMIFS(CONSOLIDADO!$F:$F,CONSOLIDADO!$E:$E,$A90,CONSOLIDADO!$I:$I,H$3,CONSOLIDADO!$I:$I,H$4,CONSOLIDADO!$K:$K,"&lt;&gt;NOVO")</f>
        <v>0</v>
      </c>
      <c r="J90" s="64">
        <f>SUMIFS(CONSOLIDADO!$F:$F,CONSOLIDADO!$E:$E,$A90,CONSOLIDADO!$I:$I,I$3,CONSOLIDADO!$I:$I,I$4,CONSOLIDADO!$K:$K,"&lt;&gt;NOVO")</f>
        <v>0</v>
      </c>
      <c r="K90" s="64">
        <f>SUMIFS(CONSOLIDADO!$F:$F,CONSOLIDADO!$E:$E,$A90,CONSOLIDADO!$I:$I,J$3,CONSOLIDADO!$I:$I,J$4,CONSOLIDADO!$K:$K,"&lt;&gt;NOVO")</f>
        <v>0</v>
      </c>
      <c r="L90" s="64">
        <f>SUMIFS(CONSOLIDADO!$F:$F,CONSOLIDADO!$E:$E,$A90,CONSOLIDADO!$I:$I,K$3,CONSOLIDADO!$I:$I,K$4,CONSOLIDADO!$K:$K,"&lt;&gt;NOVO")</f>
        <v>0</v>
      </c>
      <c r="M90" s="64">
        <f>SUMIFS(CONSOLIDADO!$F:$F,CONSOLIDADO!$E:$E,$A90,CONSOLIDADO!$I:$I,L$3,CONSOLIDADO!$I:$I,L$4,CONSOLIDADO!$K:$K,"&lt;&gt;NOVO")</f>
        <v>0</v>
      </c>
      <c r="N90" s="66">
        <v>259.27</v>
      </c>
      <c r="O90" s="65">
        <v>0.8</v>
      </c>
      <c r="P90" s="66">
        <f t="shared" si="4"/>
        <v>51.853999999999985</v>
      </c>
      <c r="Q90" s="66">
        <f t="shared" si="4"/>
        <v>0</v>
      </c>
      <c r="R90" s="66">
        <f t="shared" si="4"/>
        <v>155.56199999999995</v>
      </c>
      <c r="S90" s="66">
        <f t="shared" si="3"/>
        <v>51.853999999999985</v>
      </c>
      <c r="T90" s="66">
        <f t="shared" si="3"/>
        <v>0</v>
      </c>
      <c r="U90" s="66">
        <f t="shared" si="3"/>
        <v>0</v>
      </c>
      <c r="V90" s="66">
        <f t="shared" si="3"/>
        <v>0</v>
      </c>
      <c r="W90" s="66">
        <f t="shared" si="3"/>
        <v>0</v>
      </c>
      <c r="X90" s="66">
        <f t="shared" si="3"/>
        <v>0</v>
      </c>
      <c r="Y90" s="66">
        <f t="shared" si="3"/>
        <v>0</v>
      </c>
      <c r="Z90" s="66">
        <f t="shared" si="3"/>
        <v>0</v>
      </c>
      <c r="AA90" s="66">
        <f t="shared" si="3"/>
        <v>0</v>
      </c>
      <c r="AB90" s="33"/>
    </row>
    <row r="91" spans="1:28" x14ac:dyDescent="0.25">
      <c r="A91" s="63" t="s">
        <v>722</v>
      </c>
      <c r="B91" s="64">
        <f>SUMIFS(CONSOLIDADO!$F:$F,CONSOLIDADO!$E:$E,$A91,CONSOLIDADO!$I:$I,A$3,CONSOLIDADO!$I:$I,A$4,CONSOLIDADO!$K:$K,"&lt;&gt;NOVO")</f>
        <v>0</v>
      </c>
      <c r="C91" s="64">
        <f>SUMIFS(CONSOLIDADO!$F:$F,CONSOLIDADO!$E:$E,$A91,CONSOLIDADO!$I:$I,B$3,CONSOLIDADO!$I:$I,B$4,CONSOLIDADO!$K:$K,"&lt;&gt;NOVO")</f>
        <v>0</v>
      </c>
      <c r="D91" s="64">
        <f>SUMIFS(CONSOLIDADO!$F:$F,CONSOLIDADO!$E:$E,$A91,CONSOLIDADO!$I:$I,C$3,CONSOLIDADO!$I:$I,C$4,CONSOLIDADO!$K:$K,"&lt;&gt;NOVO")</f>
        <v>0</v>
      </c>
      <c r="E91" s="64">
        <f>SUMIFS(CONSOLIDADO!$F:$F,CONSOLIDADO!$E:$E,$A91,CONSOLIDADO!$I:$I,D$3,CONSOLIDADO!$I:$I,D$4,CONSOLIDADO!$K:$K,"&lt;&gt;NOVO")</f>
        <v>0</v>
      </c>
      <c r="F91" s="64">
        <f>SUMIFS(CONSOLIDADO!$F:$F,CONSOLIDADO!$E:$E,$A91,CONSOLIDADO!$I:$I,E$3,CONSOLIDADO!$I:$I,E$4,CONSOLIDADO!$K:$K,"&lt;&gt;NOVO")</f>
        <v>0</v>
      </c>
      <c r="G91" s="64">
        <f>SUMIFS(CONSOLIDADO!$F:$F,CONSOLIDADO!$E:$E,$A91,CONSOLIDADO!$I:$I,F$3,CONSOLIDADO!$I:$I,F$4,CONSOLIDADO!$K:$K,"&lt;&gt;NOVO")</f>
        <v>0</v>
      </c>
      <c r="H91" s="64">
        <f>SUMIFS(CONSOLIDADO!$F:$F,CONSOLIDADO!$E:$E,$A91,CONSOLIDADO!$I:$I,G$3,CONSOLIDADO!$I:$I,G$4,CONSOLIDADO!$K:$K,"&lt;&gt;NOVO")</f>
        <v>0</v>
      </c>
      <c r="I91" s="64">
        <f>SUMIFS(CONSOLIDADO!$F:$F,CONSOLIDADO!$E:$E,$A91,CONSOLIDADO!$I:$I,H$3,CONSOLIDADO!$I:$I,H$4,CONSOLIDADO!$K:$K,"&lt;&gt;NOVO")</f>
        <v>0</v>
      </c>
      <c r="J91" s="64">
        <f>SUMIFS(CONSOLIDADO!$F:$F,CONSOLIDADO!$E:$E,$A91,CONSOLIDADO!$I:$I,I$3,CONSOLIDADO!$I:$I,I$4,CONSOLIDADO!$K:$K,"&lt;&gt;NOVO")</f>
        <v>0</v>
      </c>
      <c r="K91" s="64">
        <f>SUMIFS(CONSOLIDADO!$F:$F,CONSOLIDADO!$E:$E,$A91,CONSOLIDADO!$I:$I,J$3,CONSOLIDADO!$I:$I,J$4,CONSOLIDADO!$K:$K,"&lt;&gt;NOVO")</f>
        <v>0</v>
      </c>
      <c r="L91" s="64">
        <f>SUMIFS(CONSOLIDADO!$F:$F,CONSOLIDADO!$E:$E,$A91,CONSOLIDADO!$I:$I,K$3,CONSOLIDADO!$I:$I,K$4,CONSOLIDADO!$K:$K,"&lt;&gt;NOVO")</f>
        <v>0</v>
      </c>
      <c r="M91" s="64">
        <f>SUMIFS(CONSOLIDADO!$F:$F,CONSOLIDADO!$E:$E,$A91,CONSOLIDADO!$I:$I,L$3,CONSOLIDADO!$I:$I,L$4,CONSOLIDADO!$K:$K,"&lt;&gt;NOVO")</f>
        <v>0</v>
      </c>
      <c r="N91" s="66">
        <v>746.48</v>
      </c>
      <c r="O91" s="65">
        <v>0.8</v>
      </c>
      <c r="P91" s="66">
        <f t="shared" si="4"/>
        <v>0</v>
      </c>
      <c r="Q91" s="66">
        <f t="shared" si="4"/>
        <v>0</v>
      </c>
      <c r="R91" s="66">
        <f t="shared" si="4"/>
        <v>0</v>
      </c>
      <c r="S91" s="66">
        <f t="shared" si="3"/>
        <v>0</v>
      </c>
      <c r="T91" s="66">
        <f t="shared" si="3"/>
        <v>0</v>
      </c>
      <c r="U91" s="66">
        <f t="shared" si="3"/>
        <v>0</v>
      </c>
      <c r="V91" s="66">
        <f t="shared" si="3"/>
        <v>0</v>
      </c>
      <c r="W91" s="66">
        <f t="shared" si="3"/>
        <v>0</v>
      </c>
      <c r="X91" s="66">
        <f t="shared" si="3"/>
        <v>0</v>
      </c>
      <c r="Y91" s="66">
        <f t="shared" si="3"/>
        <v>0</v>
      </c>
      <c r="Z91" s="66">
        <f t="shared" si="3"/>
        <v>0</v>
      </c>
      <c r="AA91" s="66">
        <f t="shared" si="3"/>
        <v>0</v>
      </c>
      <c r="AB91" s="33"/>
    </row>
    <row r="92" spans="1:28" x14ac:dyDescent="0.25">
      <c r="A92" s="63" t="s">
        <v>652</v>
      </c>
      <c r="B92" s="64">
        <f>SUMIFS(CONSOLIDADO!$F:$F,CONSOLIDADO!$E:$E,$A92,CONSOLIDADO!$I:$I,A$3,CONSOLIDADO!$I:$I,A$4,CONSOLIDADO!$K:$K,"&lt;&gt;NOVO")</f>
        <v>0</v>
      </c>
      <c r="C92" s="64">
        <f>SUMIFS(CONSOLIDADO!$F:$F,CONSOLIDADO!$E:$E,$A92,CONSOLIDADO!$I:$I,B$3,CONSOLIDADO!$I:$I,B$4,CONSOLIDADO!$K:$K,"&lt;&gt;NOVO")</f>
        <v>0</v>
      </c>
      <c r="D92" s="64">
        <f>SUMIFS(CONSOLIDADO!$F:$F,CONSOLIDADO!$E:$E,$A92,CONSOLIDADO!$I:$I,C$3,CONSOLIDADO!$I:$I,C$4,CONSOLIDADO!$K:$K,"&lt;&gt;NOVO")</f>
        <v>0</v>
      </c>
      <c r="E92" s="64">
        <f>SUMIFS(CONSOLIDADO!$F:$F,CONSOLIDADO!$E:$E,$A92,CONSOLIDADO!$I:$I,D$3,CONSOLIDADO!$I:$I,D$4,CONSOLIDADO!$K:$K,"&lt;&gt;NOVO")</f>
        <v>0</v>
      </c>
      <c r="F92" s="64">
        <f>SUMIFS(CONSOLIDADO!$F:$F,CONSOLIDADO!$E:$E,$A92,CONSOLIDADO!$I:$I,E$3,CONSOLIDADO!$I:$I,E$4,CONSOLIDADO!$K:$K,"&lt;&gt;NOVO")</f>
        <v>0</v>
      </c>
      <c r="G92" s="64">
        <f>SUMIFS(CONSOLIDADO!$F:$F,CONSOLIDADO!$E:$E,$A92,CONSOLIDADO!$I:$I,F$3,CONSOLIDADO!$I:$I,F$4,CONSOLIDADO!$K:$K,"&lt;&gt;NOVO")</f>
        <v>0</v>
      </c>
      <c r="H92" s="64">
        <f>SUMIFS(CONSOLIDADO!$F:$F,CONSOLIDADO!$E:$E,$A92,CONSOLIDADO!$I:$I,G$3,CONSOLIDADO!$I:$I,G$4,CONSOLIDADO!$K:$K,"&lt;&gt;NOVO")</f>
        <v>0</v>
      </c>
      <c r="I92" s="64">
        <f>SUMIFS(CONSOLIDADO!$F:$F,CONSOLIDADO!$E:$E,$A92,CONSOLIDADO!$I:$I,H$3,CONSOLIDADO!$I:$I,H$4,CONSOLIDADO!$K:$K,"&lt;&gt;NOVO")</f>
        <v>0</v>
      </c>
      <c r="J92" s="64">
        <f>SUMIFS(CONSOLIDADO!$F:$F,CONSOLIDADO!$E:$E,$A92,CONSOLIDADO!$I:$I,I$3,CONSOLIDADO!$I:$I,I$4,CONSOLIDADO!$K:$K,"&lt;&gt;NOVO")</f>
        <v>0</v>
      </c>
      <c r="K92" s="64">
        <f>SUMIFS(CONSOLIDADO!$F:$F,CONSOLIDADO!$E:$E,$A92,CONSOLIDADO!$I:$I,J$3,CONSOLIDADO!$I:$I,J$4,CONSOLIDADO!$K:$K,"&lt;&gt;NOVO")</f>
        <v>0</v>
      </c>
      <c r="L92" s="64">
        <f>SUMIFS(CONSOLIDADO!$F:$F,CONSOLIDADO!$E:$E,$A92,CONSOLIDADO!$I:$I,K$3,CONSOLIDADO!$I:$I,K$4,CONSOLIDADO!$K:$K,"&lt;&gt;NOVO")</f>
        <v>0</v>
      </c>
      <c r="M92" s="64">
        <f>SUMIFS(CONSOLIDADO!$F:$F,CONSOLIDADO!$E:$E,$A92,CONSOLIDADO!$I:$I,L$3,CONSOLIDADO!$I:$I,L$4,CONSOLIDADO!$K:$K,"&lt;&gt;NOVO")</f>
        <v>0</v>
      </c>
      <c r="N92" s="66">
        <v>746.48</v>
      </c>
      <c r="O92" s="65">
        <v>0.8</v>
      </c>
      <c r="P92" s="66">
        <f t="shared" si="4"/>
        <v>0</v>
      </c>
      <c r="Q92" s="66">
        <f t="shared" si="4"/>
        <v>0</v>
      </c>
      <c r="R92" s="66">
        <f t="shared" si="4"/>
        <v>0</v>
      </c>
      <c r="S92" s="66">
        <f t="shared" si="3"/>
        <v>0</v>
      </c>
      <c r="T92" s="66">
        <f t="shared" si="3"/>
        <v>0</v>
      </c>
      <c r="U92" s="66">
        <f t="shared" si="3"/>
        <v>0</v>
      </c>
      <c r="V92" s="66">
        <f t="shared" si="3"/>
        <v>0</v>
      </c>
      <c r="W92" s="66">
        <f t="shared" si="3"/>
        <v>0</v>
      </c>
      <c r="X92" s="66">
        <f t="shared" si="3"/>
        <v>0</v>
      </c>
      <c r="Y92" s="66">
        <f t="shared" si="3"/>
        <v>0</v>
      </c>
      <c r="Z92" s="66">
        <f t="shared" si="3"/>
        <v>0</v>
      </c>
      <c r="AA92" s="66">
        <f t="shared" si="3"/>
        <v>0</v>
      </c>
      <c r="AB92" s="33"/>
    </row>
    <row r="93" spans="1:28" x14ac:dyDescent="0.25">
      <c r="A93" s="63" t="s">
        <v>653</v>
      </c>
      <c r="B93" s="64">
        <f>SUMIFS(CONSOLIDADO!$F:$F,CONSOLIDADO!$E:$E,$A93,CONSOLIDADO!$I:$I,A$3,CONSOLIDADO!$I:$I,A$4,CONSOLIDADO!$K:$K,"&lt;&gt;NOVO")</f>
        <v>0</v>
      </c>
      <c r="C93" s="64">
        <f>SUMIFS(CONSOLIDADO!$F:$F,CONSOLIDADO!$E:$E,$A93,CONSOLIDADO!$I:$I,B$3,CONSOLIDADO!$I:$I,B$4,CONSOLIDADO!$K:$K,"&lt;&gt;NOVO")</f>
        <v>0</v>
      </c>
      <c r="D93" s="64">
        <f>SUMIFS(CONSOLIDADO!$F:$F,CONSOLIDADO!$E:$E,$A93,CONSOLIDADO!$I:$I,C$3,CONSOLIDADO!$I:$I,C$4,CONSOLIDADO!$K:$K,"&lt;&gt;NOVO")</f>
        <v>0</v>
      </c>
      <c r="E93" s="64">
        <f>SUMIFS(CONSOLIDADO!$F:$F,CONSOLIDADO!$E:$E,$A93,CONSOLIDADO!$I:$I,D$3,CONSOLIDADO!$I:$I,D$4,CONSOLIDADO!$K:$K,"&lt;&gt;NOVO")</f>
        <v>0</v>
      </c>
      <c r="F93" s="64">
        <f>SUMIFS(CONSOLIDADO!$F:$F,CONSOLIDADO!$E:$E,$A93,CONSOLIDADO!$I:$I,E$3,CONSOLIDADO!$I:$I,E$4,CONSOLIDADO!$K:$K,"&lt;&gt;NOVO")</f>
        <v>0</v>
      </c>
      <c r="G93" s="64">
        <f>SUMIFS(CONSOLIDADO!$F:$F,CONSOLIDADO!$E:$E,$A93,CONSOLIDADO!$I:$I,F$3,CONSOLIDADO!$I:$I,F$4,CONSOLIDADO!$K:$K,"&lt;&gt;NOVO")</f>
        <v>0</v>
      </c>
      <c r="H93" s="64">
        <f>SUMIFS(CONSOLIDADO!$F:$F,CONSOLIDADO!$E:$E,$A93,CONSOLIDADO!$I:$I,G$3,CONSOLIDADO!$I:$I,G$4,CONSOLIDADO!$K:$K,"&lt;&gt;NOVO")</f>
        <v>0</v>
      </c>
      <c r="I93" s="64">
        <f>SUMIFS(CONSOLIDADO!$F:$F,CONSOLIDADO!$E:$E,$A93,CONSOLIDADO!$I:$I,H$3,CONSOLIDADO!$I:$I,H$4,CONSOLIDADO!$K:$K,"&lt;&gt;NOVO")</f>
        <v>0</v>
      </c>
      <c r="J93" s="64">
        <f>SUMIFS(CONSOLIDADO!$F:$F,CONSOLIDADO!$E:$E,$A93,CONSOLIDADO!$I:$I,I$3,CONSOLIDADO!$I:$I,I$4,CONSOLIDADO!$K:$K,"&lt;&gt;NOVO")</f>
        <v>0</v>
      </c>
      <c r="K93" s="64">
        <f>SUMIFS(CONSOLIDADO!$F:$F,CONSOLIDADO!$E:$E,$A93,CONSOLIDADO!$I:$I,J$3,CONSOLIDADO!$I:$I,J$4,CONSOLIDADO!$K:$K,"&lt;&gt;NOVO")</f>
        <v>0</v>
      </c>
      <c r="L93" s="64">
        <f>SUMIFS(CONSOLIDADO!$F:$F,CONSOLIDADO!$E:$E,$A93,CONSOLIDADO!$I:$I,K$3,CONSOLIDADO!$I:$I,K$4,CONSOLIDADO!$K:$K,"&lt;&gt;NOVO")</f>
        <v>0</v>
      </c>
      <c r="M93" s="64">
        <f>SUMIFS(CONSOLIDADO!$F:$F,CONSOLIDADO!$E:$E,$A93,CONSOLIDADO!$I:$I,L$3,CONSOLIDADO!$I:$I,L$4,CONSOLIDADO!$K:$K,"&lt;&gt;NOVO")</f>
        <v>0</v>
      </c>
      <c r="N93" s="66">
        <v>1719.82</v>
      </c>
      <c r="O93" s="65">
        <v>0.8</v>
      </c>
      <c r="P93" s="66">
        <f t="shared" si="4"/>
        <v>0</v>
      </c>
      <c r="Q93" s="66">
        <f t="shared" si="4"/>
        <v>0</v>
      </c>
      <c r="R93" s="66">
        <f t="shared" si="4"/>
        <v>0</v>
      </c>
      <c r="S93" s="66">
        <f t="shared" si="3"/>
        <v>0</v>
      </c>
      <c r="T93" s="66">
        <f t="shared" si="3"/>
        <v>0</v>
      </c>
      <c r="U93" s="66">
        <f t="shared" si="3"/>
        <v>0</v>
      </c>
      <c r="V93" s="66">
        <f t="shared" si="3"/>
        <v>0</v>
      </c>
      <c r="W93" s="66">
        <f t="shared" si="3"/>
        <v>0</v>
      </c>
      <c r="X93" s="66">
        <f t="shared" si="3"/>
        <v>0</v>
      </c>
      <c r="Y93" s="66">
        <f t="shared" si="3"/>
        <v>0</v>
      </c>
      <c r="Z93" s="66">
        <f t="shared" si="3"/>
        <v>0</v>
      </c>
      <c r="AA93" s="66">
        <f t="shared" si="3"/>
        <v>0</v>
      </c>
      <c r="AB93" s="33"/>
    </row>
    <row r="94" spans="1:28" x14ac:dyDescent="0.25">
      <c r="A94" s="63" t="s">
        <v>454</v>
      </c>
      <c r="B94" s="64">
        <f>SUMIFS(CONSOLIDADO!$F:$F,CONSOLIDADO!$E:$E,$A94,CONSOLIDADO!$I:$I,A$3,CONSOLIDADO!$I:$I,A$4,CONSOLIDADO!$K:$K,"&lt;&gt;NOVO")</f>
        <v>0</v>
      </c>
      <c r="C94" s="64">
        <f>SUMIFS(CONSOLIDADO!$F:$F,CONSOLIDADO!$E:$E,$A94,CONSOLIDADO!$I:$I,B$3,CONSOLIDADO!$I:$I,B$4,CONSOLIDADO!$K:$K,"&lt;&gt;NOVO")</f>
        <v>0</v>
      </c>
      <c r="D94" s="64">
        <f>SUMIFS(CONSOLIDADO!$F:$F,CONSOLIDADO!$E:$E,$A94,CONSOLIDADO!$I:$I,C$3,CONSOLIDADO!$I:$I,C$4,CONSOLIDADO!$K:$K,"&lt;&gt;NOVO")</f>
        <v>0</v>
      </c>
      <c r="E94" s="64">
        <f>SUMIFS(CONSOLIDADO!$F:$F,CONSOLIDADO!$E:$E,$A94,CONSOLIDADO!$I:$I,D$3,CONSOLIDADO!$I:$I,D$4,CONSOLIDADO!$K:$K,"&lt;&gt;NOVO")</f>
        <v>5</v>
      </c>
      <c r="F94" s="64">
        <f>SUMIFS(CONSOLIDADO!$F:$F,CONSOLIDADO!$E:$E,$A94,CONSOLIDADO!$I:$I,E$3,CONSOLIDADO!$I:$I,E$4,CONSOLIDADO!$K:$K,"&lt;&gt;NOVO")</f>
        <v>0</v>
      </c>
      <c r="G94" s="64">
        <f>SUMIFS(CONSOLIDADO!$F:$F,CONSOLIDADO!$E:$E,$A94,CONSOLIDADO!$I:$I,F$3,CONSOLIDADO!$I:$I,F$4,CONSOLIDADO!$K:$K,"&lt;&gt;NOVO")</f>
        <v>0</v>
      </c>
      <c r="H94" s="64">
        <f>SUMIFS(CONSOLIDADO!$F:$F,CONSOLIDADO!$E:$E,$A94,CONSOLIDADO!$I:$I,G$3,CONSOLIDADO!$I:$I,G$4,CONSOLIDADO!$K:$K,"&lt;&gt;NOVO")</f>
        <v>0</v>
      </c>
      <c r="I94" s="64">
        <f>SUMIFS(CONSOLIDADO!$F:$F,CONSOLIDADO!$E:$E,$A94,CONSOLIDADO!$I:$I,H$3,CONSOLIDADO!$I:$I,H$4,CONSOLIDADO!$K:$K,"&lt;&gt;NOVO")</f>
        <v>0</v>
      </c>
      <c r="J94" s="64">
        <f>SUMIFS(CONSOLIDADO!$F:$F,CONSOLIDADO!$E:$E,$A94,CONSOLIDADO!$I:$I,I$3,CONSOLIDADO!$I:$I,I$4,CONSOLIDADO!$K:$K,"&lt;&gt;NOVO")</f>
        <v>0</v>
      </c>
      <c r="K94" s="64">
        <f>SUMIFS(CONSOLIDADO!$F:$F,CONSOLIDADO!$E:$E,$A94,CONSOLIDADO!$I:$I,J$3,CONSOLIDADO!$I:$I,J$4,CONSOLIDADO!$K:$K,"&lt;&gt;NOVO")</f>
        <v>0</v>
      </c>
      <c r="L94" s="64">
        <f>SUMIFS(CONSOLIDADO!$F:$F,CONSOLIDADO!$E:$E,$A94,CONSOLIDADO!$I:$I,K$3,CONSOLIDADO!$I:$I,K$4,CONSOLIDADO!$K:$K,"&lt;&gt;NOVO")</f>
        <v>0</v>
      </c>
      <c r="M94" s="64">
        <f>SUMIFS(CONSOLIDADO!$F:$F,CONSOLIDADO!$E:$E,$A94,CONSOLIDADO!$I:$I,L$3,CONSOLIDADO!$I:$I,L$4,CONSOLIDADO!$K:$K,"&lt;&gt;NOVO")</f>
        <v>0</v>
      </c>
      <c r="N94" s="66">
        <v>639.86</v>
      </c>
      <c r="O94" s="65">
        <v>0.8</v>
      </c>
      <c r="P94" s="66">
        <f t="shared" si="4"/>
        <v>0</v>
      </c>
      <c r="Q94" s="66">
        <f t="shared" si="4"/>
        <v>0</v>
      </c>
      <c r="R94" s="66">
        <f t="shared" si="4"/>
        <v>0</v>
      </c>
      <c r="S94" s="66">
        <f t="shared" si="3"/>
        <v>639.8599999999999</v>
      </c>
      <c r="T94" s="66">
        <f t="shared" si="3"/>
        <v>0</v>
      </c>
      <c r="U94" s="66">
        <f t="shared" si="3"/>
        <v>0</v>
      </c>
      <c r="V94" s="66">
        <f t="shared" ref="V94:AA99" si="5">H94*($N94*(1-$O94))</f>
        <v>0</v>
      </c>
      <c r="W94" s="66">
        <f t="shared" si="5"/>
        <v>0</v>
      </c>
      <c r="X94" s="66">
        <f t="shared" si="5"/>
        <v>0</v>
      </c>
      <c r="Y94" s="66">
        <f t="shared" si="5"/>
        <v>0</v>
      </c>
      <c r="Z94" s="66">
        <f t="shared" si="5"/>
        <v>0</v>
      </c>
      <c r="AA94" s="66">
        <f t="shared" si="5"/>
        <v>0</v>
      </c>
      <c r="AB94" s="33"/>
    </row>
    <row r="95" spans="1:28" x14ac:dyDescent="0.25">
      <c r="A95" s="63" t="s">
        <v>83</v>
      </c>
      <c r="B95" s="64">
        <f>SUMIFS(CONSOLIDADO!$F:$F,CONSOLIDADO!$E:$E,$A95,CONSOLIDADO!$I:$I,A$3,CONSOLIDADO!$I:$I,A$4,CONSOLIDADO!$K:$K,"&lt;&gt;NOVO")</f>
        <v>0</v>
      </c>
      <c r="C95" s="64">
        <f>SUMIFS(CONSOLIDADO!$F:$F,CONSOLIDADO!$E:$E,$A95,CONSOLIDADO!$I:$I,B$3,CONSOLIDADO!$I:$I,B$4,CONSOLIDADO!$K:$K,"&lt;&gt;NOVO")</f>
        <v>1</v>
      </c>
      <c r="D95" s="64">
        <f>SUMIFS(CONSOLIDADO!$F:$F,CONSOLIDADO!$E:$E,$A95,CONSOLIDADO!$I:$I,C$3,CONSOLIDADO!$I:$I,C$4,CONSOLIDADO!$K:$K,"&lt;&gt;NOVO")</f>
        <v>28</v>
      </c>
      <c r="E95" s="64">
        <f>SUMIFS(CONSOLIDADO!$F:$F,CONSOLIDADO!$E:$E,$A95,CONSOLIDADO!$I:$I,D$3,CONSOLIDADO!$I:$I,D$4,CONSOLIDADO!$K:$K,"&lt;&gt;NOVO")</f>
        <v>17</v>
      </c>
      <c r="F95" s="64">
        <f>SUMIFS(CONSOLIDADO!$F:$F,CONSOLIDADO!$E:$E,$A95,CONSOLIDADO!$I:$I,E$3,CONSOLIDADO!$I:$I,E$4,CONSOLIDADO!$K:$K,"&lt;&gt;NOVO")</f>
        <v>0</v>
      </c>
      <c r="G95" s="64">
        <f>SUMIFS(CONSOLIDADO!$F:$F,CONSOLIDADO!$E:$E,$A95,CONSOLIDADO!$I:$I,F$3,CONSOLIDADO!$I:$I,F$4,CONSOLIDADO!$K:$K,"&lt;&gt;NOVO")</f>
        <v>0</v>
      </c>
      <c r="H95" s="64">
        <f>SUMIFS(CONSOLIDADO!$F:$F,CONSOLIDADO!$E:$E,$A95,CONSOLIDADO!$I:$I,G$3,CONSOLIDADO!$I:$I,G$4,CONSOLIDADO!$K:$K,"&lt;&gt;NOVO")</f>
        <v>0</v>
      </c>
      <c r="I95" s="64">
        <f>SUMIFS(CONSOLIDADO!$F:$F,CONSOLIDADO!$E:$E,$A95,CONSOLIDADO!$I:$I,H$3,CONSOLIDADO!$I:$I,H$4,CONSOLIDADO!$K:$K,"&lt;&gt;NOVO")</f>
        <v>0</v>
      </c>
      <c r="J95" s="64">
        <f>SUMIFS(CONSOLIDADO!$F:$F,CONSOLIDADO!$E:$E,$A95,CONSOLIDADO!$I:$I,I$3,CONSOLIDADO!$I:$I,I$4,CONSOLIDADO!$K:$K,"&lt;&gt;NOVO")</f>
        <v>0</v>
      </c>
      <c r="K95" s="64">
        <f>SUMIFS(CONSOLIDADO!$F:$F,CONSOLIDADO!$E:$E,$A95,CONSOLIDADO!$I:$I,J$3,CONSOLIDADO!$I:$I,J$4,CONSOLIDADO!$K:$K,"&lt;&gt;NOVO")</f>
        <v>0</v>
      </c>
      <c r="L95" s="64">
        <f>SUMIFS(CONSOLIDADO!$F:$F,CONSOLIDADO!$E:$E,$A95,CONSOLIDADO!$I:$I,K$3,CONSOLIDADO!$I:$I,K$4,CONSOLIDADO!$K:$K,"&lt;&gt;NOVO")</f>
        <v>0</v>
      </c>
      <c r="M95" s="64">
        <f>SUMIFS(CONSOLIDADO!$F:$F,CONSOLIDADO!$E:$E,$A95,CONSOLIDADO!$I:$I,L$3,CONSOLIDADO!$I:$I,L$4,CONSOLIDADO!$K:$K,"&lt;&gt;NOVO")</f>
        <v>0</v>
      </c>
      <c r="N95" s="66">
        <v>2600</v>
      </c>
      <c r="O95" s="65">
        <v>0.8</v>
      </c>
      <c r="P95" s="66">
        <f t="shared" si="4"/>
        <v>0</v>
      </c>
      <c r="Q95" s="66">
        <f t="shared" si="4"/>
        <v>519.99999999999989</v>
      </c>
      <c r="R95" s="66">
        <f t="shared" si="4"/>
        <v>14559.999999999996</v>
      </c>
      <c r="S95" s="66">
        <f t="shared" si="4"/>
        <v>8839.9999999999982</v>
      </c>
      <c r="T95" s="66">
        <f t="shared" si="4"/>
        <v>0</v>
      </c>
      <c r="U95" s="66">
        <f t="shared" si="4"/>
        <v>0</v>
      </c>
      <c r="V95" s="66">
        <f t="shared" si="5"/>
        <v>0</v>
      </c>
      <c r="W95" s="66">
        <f t="shared" si="5"/>
        <v>0</v>
      </c>
      <c r="X95" s="66">
        <f t="shared" si="5"/>
        <v>0</v>
      </c>
      <c r="Y95" s="66">
        <f t="shared" si="5"/>
        <v>0</v>
      </c>
      <c r="Z95" s="66">
        <f t="shared" si="5"/>
        <v>0</v>
      </c>
      <c r="AA95" s="66">
        <f t="shared" si="5"/>
        <v>0</v>
      </c>
      <c r="AB95" s="33"/>
    </row>
    <row r="96" spans="1:28" x14ac:dyDescent="0.25">
      <c r="A96" s="63" t="s">
        <v>654</v>
      </c>
      <c r="B96" s="64">
        <f>SUMIFS(CONSOLIDADO!$F:$F,CONSOLIDADO!$E:$E,$A96,CONSOLIDADO!$I:$I,A$3,CONSOLIDADO!$I:$I,A$4,CONSOLIDADO!$K:$K,"&lt;&gt;NOVO")</f>
        <v>0</v>
      </c>
      <c r="C96" s="64">
        <f>SUMIFS(CONSOLIDADO!$F:$F,CONSOLIDADO!$E:$E,$A96,CONSOLIDADO!$I:$I,B$3,CONSOLIDADO!$I:$I,B$4,CONSOLIDADO!$K:$K,"&lt;&gt;NOVO")</f>
        <v>0</v>
      </c>
      <c r="D96" s="64">
        <f>SUMIFS(CONSOLIDADO!$F:$F,CONSOLIDADO!$E:$E,$A96,CONSOLIDADO!$I:$I,C$3,CONSOLIDADO!$I:$I,C$4,CONSOLIDADO!$K:$K,"&lt;&gt;NOVO")</f>
        <v>0</v>
      </c>
      <c r="E96" s="64">
        <f>SUMIFS(CONSOLIDADO!$F:$F,CONSOLIDADO!$E:$E,$A96,CONSOLIDADO!$I:$I,D$3,CONSOLIDADO!$I:$I,D$4,CONSOLIDADO!$K:$K,"&lt;&gt;NOVO")</f>
        <v>0</v>
      </c>
      <c r="F96" s="64">
        <f>SUMIFS(CONSOLIDADO!$F:$F,CONSOLIDADO!$E:$E,$A96,CONSOLIDADO!$I:$I,E$3,CONSOLIDADO!$I:$I,E$4,CONSOLIDADO!$K:$K,"&lt;&gt;NOVO")</f>
        <v>0</v>
      </c>
      <c r="G96" s="64">
        <f>SUMIFS(CONSOLIDADO!$F:$F,CONSOLIDADO!$E:$E,$A96,CONSOLIDADO!$I:$I,F$3,CONSOLIDADO!$I:$I,F$4,CONSOLIDADO!$K:$K,"&lt;&gt;NOVO")</f>
        <v>0</v>
      </c>
      <c r="H96" s="64">
        <f>SUMIFS(CONSOLIDADO!$F:$F,CONSOLIDADO!$E:$E,$A96,CONSOLIDADO!$I:$I,G$3,CONSOLIDADO!$I:$I,G$4,CONSOLIDADO!$K:$K,"&lt;&gt;NOVO")</f>
        <v>0</v>
      </c>
      <c r="I96" s="64">
        <f>SUMIFS(CONSOLIDADO!$F:$F,CONSOLIDADO!$E:$E,$A96,CONSOLIDADO!$I:$I,H$3,CONSOLIDADO!$I:$I,H$4,CONSOLIDADO!$K:$K,"&lt;&gt;NOVO")</f>
        <v>0</v>
      </c>
      <c r="J96" s="64">
        <f>SUMIFS(CONSOLIDADO!$F:$F,CONSOLIDADO!$E:$E,$A96,CONSOLIDADO!$I:$I,I$3,CONSOLIDADO!$I:$I,I$4,CONSOLIDADO!$K:$K,"&lt;&gt;NOVO")</f>
        <v>0</v>
      </c>
      <c r="K96" s="64">
        <f>SUMIFS(CONSOLIDADO!$F:$F,CONSOLIDADO!$E:$E,$A96,CONSOLIDADO!$I:$I,J$3,CONSOLIDADO!$I:$I,J$4,CONSOLIDADO!$K:$K,"&lt;&gt;NOVO")</f>
        <v>0</v>
      </c>
      <c r="L96" s="64">
        <f>SUMIFS(CONSOLIDADO!$F:$F,CONSOLIDADO!$E:$E,$A96,CONSOLIDADO!$I:$I,K$3,CONSOLIDADO!$I:$I,K$4,CONSOLIDADO!$K:$K,"&lt;&gt;NOVO")</f>
        <v>0</v>
      </c>
      <c r="M96" s="64">
        <f>SUMIFS(CONSOLIDADO!$F:$F,CONSOLIDADO!$E:$E,$A96,CONSOLIDADO!$I:$I,L$3,CONSOLIDADO!$I:$I,L$4,CONSOLIDADO!$K:$K,"&lt;&gt;NOVO")</f>
        <v>0</v>
      </c>
      <c r="N96" s="66">
        <v>746.48</v>
      </c>
      <c r="O96" s="65">
        <v>0.8</v>
      </c>
      <c r="P96" s="66">
        <f t="shared" si="4"/>
        <v>0</v>
      </c>
      <c r="Q96" s="66">
        <f t="shared" si="4"/>
        <v>0</v>
      </c>
      <c r="R96" s="66">
        <f t="shared" si="4"/>
        <v>0</v>
      </c>
      <c r="S96" s="66">
        <f t="shared" si="4"/>
        <v>0</v>
      </c>
      <c r="T96" s="66">
        <f t="shared" si="4"/>
        <v>0</v>
      </c>
      <c r="U96" s="66">
        <f t="shared" si="4"/>
        <v>0</v>
      </c>
      <c r="V96" s="66">
        <f t="shared" si="5"/>
        <v>0</v>
      </c>
      <c r="W96" s="66">
        <f t="shared" si="5"/>
        <v>0</v>
      </c>
      <c r="X96" s="66">
        <f t="shared" si="5"/>
        <v>0</v>
      </c>
      <c r="Y96" s="66">
        <f t="shared" si="5"/>
        <v>0</v>
      </c>
      <c r="Z96" s="66">
        <f t="shared" si="5"/>
        <v>0</v>
      </c>
      <c r="AA96" s="66">
        <f t="shared" si="5"/>
        <v>0</v>
      </c>
      <c r="AB96" s="33"/>
    </row>
    <row r="97" spans="1:28" x14ac:dyDescent="0.25">
      <c r="A97" s="63" t="s">
        <v>655</v>
      </c>
      <c r="B97" s="64">
        <f>SUMIFS(CONSOLIDADO!$F:$F,CONSOLIDADO!$E:$E,$A97,CONSOLIDADO!$I:$I,A$3,CONSOLIDADO!$I:$I,A$4,CONSOLIDADO!$K:$K,"&lt;&gt;NOVO")</f>
        <v>0</v>
      </c>
      <c r="C97" s="64">
        <f>SUMIFS(CONSOLIDADO!$F:$F,CONSOLIDADO!$E:$E,$A97,CONSOLIDADO!$I:$I,B$3,CONSOLIDADO!$I:$I,B$4,CONSOLIDADO!$K:$K,"&lt;&gt;NOVO")</f>
        <v>0</v>
      </c>
      <c r="D97" s="64">
        <f>SUMIFS(CONSOLIDADO!$F:$F,CONSOLIDADO!$E:$E,$A97,CONSOLIDADO!$I:$I,C$3,CONSOLIDADO!$I:$I,C$4,CONSOLIDADO!$K:$K,"&lt;&gt;NOVO")</f>
        <v>0</v>
      </c>
      <c r="E97" s="64">
        <f>SUMIFS(CONSOLIDADO!$F:$F,CONSOLIDADO!$E:$E,$A97,CONSOLIDADO!$I:$I,D$3,CONSOLIDADO!$I:$I,D$4,CONSOLIDADO!$K:$K,"&lt;&gt;NOVO")</f>
        <v>0</v>
      </c>
      <c r="F97" s="64">
        <f>SUMIFS(CONSOLIDADO!$F:$F,CONSOLIDADO!$E:$E,$A97,CONSOLIDADO!$I:$I,E$3,CONSOLIDADO!$I:$I,E$4,CONSOLIDADO!$K:$K,"&lt;&gt;NOVO")</f>
        <v>0</v>
      </c>
      <c r="G97" s="64">
        <f>SUMIFS(CONSOLIDADO!$F:$F,CONSOLIDADO!$E:$E,$A97,CONSOLIDADO!$I:$I,F$3,CONSOLIDADO!$I:$I,F$4,CONSOLIDADO!$K:$K,"&lt;&gt;NOVO")</f>
        <v>0</v>
      </c>
      <c r="H97" s="64">
        <f>SUMIFS(CONSOLIDADO!$F:$F,CONSOLIDADO!$E:$E,$A97,CONSOLIDADO!$I:$I,G$3,CONSOLIDADO!$I:$I,G$4,CONSOLIDADO!$K:$K,"&lt;&gt;NOVO")</f>
        <v>0</v>
      </c>
      <c r="I97" s="64">
        <f>SUMIFS(CONSOLIDADO!$F:$F,CONSOLIDADO!$E:$E,$A97,CONSOLIDADO!$I:$I,H$3,CONSOLIDADO!$I:$I,H$4,CONSOLIDADO!$K:$K,"&lt;&gt;NOVO")</f>
        <v>0</v>
      </c>
      <c r="J97" s="64">
        <f>SUMIFS(CONSOLIDADO!$F:$F,CONSOLIDADO!$E:$E,$A97,CONSOLIDADO!$I:$I,I$3,CONSOLIDADO!$I:$I,I$4,CONSOLIDADO!$K:$K,"&lt;&gt;NOVO")</f>
        <v>0</v>
      </c>
      <c r="K97" s="64">
        <f>SUMIFS(CONSOLIDADO!$F:$F,CONSOLIDADO!$E:$E,$A97,CONSOLIDADO!$I:$I,J$3,CONSOLIDADO!$I:$I,J$4,CONSOLIDADO!$K:$K,"&lt;&gt;NOVO")</f>
        <v>0</v>
      </c>
      <c r="L97" s="64">
        <f>SUMIFS(CONSOLIDADO!$F:$F,CONSOLIDADO!$E:$E,$A97,CONSOLIDADO!$I:$I,K$3,CONSOLIDADO!$I:$I,K$4,CONSOLIDADO!$K:$K,"&lt;&gt;NOVO")</f>
        <v>0</v>
      </c>
      <c r="M97" s="64">
        <f>SUMIFS(CONSOLIDADO!$F:$F,CONSOLIDADO!$E:$E,$A97,CONSOLIDADO!$I:$I,L$3,CONSOLIDADO!$I:$I,L$4,CONSOLIDADO!$K:$K,"&lt;&gt;NOVO")</f>
        <v>0</v>
      </c>
      <c r="N97" s="66">
        <v>746.48</v>
      </c>
      <c r="O97" s="65">
        <v>0.8</v>
      </c>
      <c r="P97" s="66">
        <f t="shared" si="4"/>
        <v>0</v>
      </c>
      <c r="Q97" s="66">
        <f t="shared" si="4"/>
        <v>0</v>
      </c>
      <c r="R97" s="66">
        <f t="shared" si="4"/>
        <v>0</v>
      </c>
      <c r="S97" s="66">
        <f t="shared" si="4"/>
        <v>0</v>
      </c>
      <c r="T97" s="66">
        <f t="shared" si="4"/>
        <v>0</v>
      </c>
      <c r="U97" s="66">
        <f t="shared" si="4"/>
        <v>0</v>
      </c>
      <c r="V97" s="66">
        <f t="shared" si="5"/>
        <v>0</v>
      </c>
      <c r="W97" s="66">
        <f t="shared" si="5"/>
        <v>0</v>
      </c>
      <c r="X97" s="66">
        <f t="shared" si="5"/>
        <v>0</v>
      </c>
      <c r="Y97" s="66">
        <f t="shared" si="5"/>
        <v>0</v>
      </c>
      <c r="Z97" s="66">
        <f t="shared" si="5"/>
        <v>0</v>
      </c>
      <c r="AA97" s="66">
        <f t="shared" si="5"/>
        <v>0</v>
      </c>
      <c r="AB97" s="33"/>
    </row>
    <row r="98" spans="1:28" x14ac:dyDescent="0.25">
      <c r="A98" s="63" t="s">
        <v>104</v>
      </c>
      <c r="B98" s="64">
        <f>SUMIFS(CONSOLIDADO!$F:$F,CONSOLIDADO!$E:$E,$A98,CONSOLIDADO!$I:$I,A$3,CONSOLIDADO!$I:$I,A$4,CONSOLIDADO!$K:$K,"&lt;&gt;NOVO")</f>
        <v>2</v>
      </c>
      <c r="C98" s="64">
        <f>SUMIFS(CONSOLIDADO!$F:$F,CONSOLIDADO!$E:$E,$A98,CONSOLIDADO!$I:$I,B$3,CONSOLIDADO!$I:$I,B$4,CONSOLIDADO!$K:$K,"&lt;&gt;NOVO")</f>
        <v>0</v>
      </c>
      <c r="D98" s="64">
        <f>SUMIFS(CONSOLIDADO!$F:$F,CONSOLIDADO!$E:$E,$A98,CONSOLIDADO!$I:$I,C$3,CONSOLIDADO!$I:$I,C$4,CONSOLIDADO!$K:$K,"&lt;&gt;NOVO")</f>
        <v>1</v>
      </c>
      <c r="E98" s="64">
        <f>SUMIFS(CONSOLIDADO!$F:$F,CONSOLIDADO!$E:$E,$A98,CONSOLIDADO!$I:$I,D$3,CONSOLIDADO!$I:$I,D$4,CONSOLIDADO!$K:$K,"&lt;&gt;NOVO")</f>
        <v>5</v>
      </c>
      <c r="F98" s="64">
        <f>SUMIFS(CONSOLIDADO!$F:$F,CONSOLIDADO!$E:$E,$A98,CONSOLIDADO!$I:$I,E$3,CONSOLIDADO!$I:$I,E$4,CONSOLIDADO!$K:$K,"&lt;&gt;NOVO")</f>
        <v>0</v>
      </c>
      <c r="G98" s="64">
        <f>SUMIFS(CONSOLIDADO!$F:$F,CONSOLIDADO!$E:$E,$A98,CONSOLIDADO!$I:$I,F$3,CONSOLIDADO!$I:$I,F$4,CONSOLIDADO!$K:$K,"&lt;&gt;NOVO")</f>
        <v>0</v>
      </c>
      <c r="H98" s="64">
        <f>SUMIFS(CONSOLIDADO!$F:$F,CONSOLIDADO!$E:$E,$A98,CONSOLIDADO!$I:$I,G$3,CONSOLIDADO!$I:$I,G$4,CONSOLIDADO!$K:$K,"&lt;&gt;NOVO")</f>
        <v>0</v>
      </c>
      <c r="I98" s="64">
        <f>SUMIFS(CONSOLIDADO!$F:$F,CONSOLIDADO!$E:$E,$A98,CONSOLIDADO!$I:$I,H$3,CONSOLIDADO!$I:$I,H$4,CONSOLIDADO!$K:$K,"&lt;&gt;NOVO")</f>
        <v>0</v>
      </c>
      <c r="J98" s="64">
        <f>SUMIFS(CONSOLIDADO!$F:$F,CONSOLIDADO!$E:$E,$A98,CONSOLIDADO!$I:$I,I$3,CONSOLIDADO!$I:$I,I$4,CONSOLIDADO!$K:$K,"&lt;&gt;NOVO")</f>
        <v>0</v>
      </c>
      <c r="K98" s="64">
        <f>SUMIFS(CONSOLIDADO!$F:$F,CONSOLIDADO!$E:$E,$A98,CONSOLIDADO!$I:$I,J$3,CONSOLIDADO!$I:$I,J$4,CONSOLIDADO!$K:$K,"&lt;&gt;NOVO")</f>
        <v>0</v>
      </c>
      <c r="L98" s="64">
        <f>SUMIFS(CONSOLIDADO!$F:$F,CONSOLIDADO!$E:$E,$A98,CONSOLIDADO!$I:$I,K$3,CONSOLIDADO!$I:$I,K$4,CONSOLIDADO!$K:$K,"&lt;&gt;NOVO")</f>
        <v>0</v>
      </c>
      <c r="M98" s="64">
        <f>SUMIFS(CONSOLIDADO!$F:$F,CONSOLIDADO!$E:$E,$A98,CONSOLIDADO!$I:$I,L$3,CONSOLIDADO!$I:$I,L$4,CONSOLIDADO!$K:$K,"&lt;&gt;NOVO")</f>
        <v>1</v>
      </c>
      <c r="N98" s="66">
        <v>2000</v>
      </c>
      <c r="O98" s="65">
        <v>0.8</v>
      </c>
      <c r="P98" s="66">
        <f t="shared" si="4"/>
        <v>799.99999999999977</v>
      </c>
      <c r="Q98" s="66">
        <f t="shared" si="4"/>
        <v>0</v>
      </c>
      <c r="R98" s="66">
        <f t="shared" si="4"/>
        <v>399.99999999999989</v>
      </c>
      <c r="S98" s="66">
        <f t="shared" si="4"/>
        <v>1999.9999999999995</v>
      </c>
      <c r="T98" s="66">
        <f t="shared" si="4"/>
        <v>0</v>
      </c>
      <c r="U98" s="66">
        <f t="shared" si="4"/>
        <v>0</v>
      </c>
      <c r="V98" s="66">
        <f t="shared" si="5"/>
        <v>0</v>
      </c>
      <c r="W98" s="66">
        <f t="shared" si="5"/>
        <v>0</v>
      </c>
      <c r="X98" s="66">
        <f t="shared" si="5"/>
        <v>0</v>
      </c>
      <c r="Y98" s="66">
        <f t="shared" si="5"/>
        <v>0</v>
      </c>
      <c r="Z98" s="66">
        <f t="shared" si="5"/>
        <v>0</v>
      </c>
      <c r="AA98" s="66">
        <f t="shared" si="5"/>
        <v>399.99999999999989</v>
      </c>
      <c r="AB98" s="33"/>
    </row>
    <row r="99" spans="1:28" x14ac:dyDescent="0.25">
      <c r="A99" s="63" t="s">
        <v>656</v>
      </c>
      <c r="B99" s="64">
        <f>SUMIFS(CONSOLIDADO!$F:$F,CONSOLIDADO!$E:$E,$A99,CONSOLIDADO!$I:$I,A$3,CONSOLIDADO!$I:$I,A$4,CONSOLIDADO!$K:$K,"&lt;&gt;NOVO")</f>
        <v>0</v>
      </c>
      <c r="C99" s="64">
        <f>SUMIFS(CONSOLIDADO!$F:$F,CONSOLIDADO!$E:$E,$A99,CONSOLIDADO!$I:$I,B$3,CONSOLIDADO!$I:$I,B$4,CONSOLIDADO!$K:$K,"&lt;&gt;NOVO")</f>
        <v>0</v>
      </c>
      <c r="D99" s="64">
        <f>SUMIFS(CONSOLIDADO!$F:$F,CONSOLIDADO!$E:$E,$A99,CONSOLIDADO!$I:$I,C$3,CONSOLIDADO!$I:$I,C$4,CONSOLIDADO!$K:$K,"&lt;&gt;NOVO")</f>
        <v>0</v>
      </c>
      <c r="E99" s="64">
        <f>SUMIFS(CONSOLIDADO!$F:$F,CONSOLIDADO!$E:$E,$A99,CONSOLIDADO!$I:$I,D$3,CONSOLIDADO!$I:$I,D$4,CONSOLIDADO!$K:$K,"&lt;&gt;NOVO")</f>
        <v>0</v>
      </c>
      <c r="F99" s="64">
        <f>SUMIFS(CONSOLIDADO!$F:$F,CONSOLIDADO!$E:$E,$A99,CONSOLIDADO!$I:$I,E$3,CONSOLIDADO!$I:$I,E$4,CONSOLIDADO!$K:$K,"&lt;&gt;NOVO")</f>
        <v>0</v>
      </c>
      <c r="G99" s="64">
        <f>SUMIFS(CONSOLIDADO!$F:$F,CONSOLIDADO!$E:$E,$A99,CONSOLIDADO!$I:$I,F$3,CONSOLIDADO!$I:$I,F$4,CONSOLIDADO!$K:$K,"&lt;&gt;NOVO")</f>
        <v>0</v>
      </c>
      <c r="H99" s="64">
        <f>SUMIFS(CONSOLIDADO!$F:$F,CONSOLIDADO!$E:$E,$A99,CONSOLIDADO!$I:$I,G$3,CONSOLIDADO!$I:$I,G$4,CONSOLIDADO!$K:$K,"&lt;&gt;NOVO")</f>
        <v>0</v>
      </c>
      <c r="I99" s="64">
        <f>SUMIFS(CONSOLIDADO!$F:$F,CONSOLIDADO!$E:$E,$A99,CONSOLIDADO!$I:$I,H$3,CONSOLIDADO!$I:$I,H$4,CONSOLIDADO!$K:$K,"&lt;&gt;NOVO")</f>
        <v>0</v>
      </c>
      <c r="J99" s="64">
        <f>SUMIFS(CONSOLIDADO!$F:$F,CONSOLIDADO!$E:$E,$A99,CONSOLIDADO!$I:$I,I$3,CONSOLIDADO!$I:$I,I$4,CONSOLIDADO!$K:$K,"&lt;&gt;NOVO")</f>
        <v>0</v>
      </c>
      <c r="K99" s="64">
        <f>SUMIFS(CONSOLIDADO!$F:$F,CONSOLIDADO!$E:$E,$A99,CONSOLIDADO!$I:$I,J$3,CONSOLIDADO!$I:$I,J$4,CONSOLIDADO!$K:$K,"&lt;&gt;NOVO")</f>
        <v>0</v>
      </c>
      <c r="L99" s="64">
        <f>SUMIFS(CONSOLIDADO!$F:$F,CONSOLIDADO!$E:$E,$A99,CONSOLIDADO!$I:$I,K$3,CONSOLIDADO!$I:$I,K$4,CONSOLIDADO!$K:$K,"&lt;&gt;NOVO")</f>
        <v>0</v>
      </c>
      <c r="M99" s="64">
        <f>SUMIFS(CONSOLIDADO!$F:$F,CONSOLIDADO!$E:$E,$A99,CONSOLIDADO!$I:$I,L$3,CONSOLIDADO!$I:$I,L$4,CONSOLIDADO!$K:$K,"&lt;&gt;NOVO")</f>
        <v>0</v>
      </c>
      <c r="N99" s="66">
        <v>1116.1300000000001</v>
      </c>
      <c r="O99" s="65">
        <v>0.8</v>
      </c>
      <c r="P99" s="66">
        <f t="shared" si="4"/>
        <v>0</v>
      </c>
      <c r="Q99" s="66">
        <f t="shared" si="4"/>
        <v>0</v>
      </c>
      <c r="R99" s="66">
        <f t="shared" si="4"/>
        <v>0</v>
      </c>
      <c r="S99" s="66">
        <f t="shared" si="4"/>
        <v>0</v>
      </c>
      <c r="T99" s="66">
        <f t="shared" si="4"/>
        <v>0</v>
      </c>
      <c r="U99" s="66">
        <f t="shared" si="4"/>
        <v>0</v>
      </c>
      <c r="V99" s="66">
        <f t="shared" si="5"/>
        <v>0</v>
      </c>
      <c r="W99" s="66">
        <f t="shared" si="5"/>
        <v>0</v>
      </c>
      <c r="X99" s="66">
        <f t="shared" si="5"/>
        <v>0</v>
      </c>
      <c r="Y99" s="66">
        <f t="shared" si="5"/>
        <v>0</v>
      </c>
      <c r="Z99" s="66">
        <f t="shared" si="5"/>
        <v>0</v>
      </c>
      <c r="AA99" s="66">
        <f t="shared" si="5"/>
        <v>0</v>
      </c>
      <c r="AB99" s="33"/>
    </row>
    <row r="100" spans="1:28" x14ac:dyDescent="0.25">
      <c r="A100" s="63" t="s">
        <v>723</v>
      </c>
      <c r="B100" s="64">
        <f>SUM(B9:B99)</f>
        <v>188</v>
      </c>
      <c r="C100" s="64">
        <f t="shared" ref="C100:AA100" si="6">SUM(C9:C99)</f>
        <v>201</v>
      </c>
      <c r="D100" s="64">
        <f t="shared" si="6"/>
        <v>226</v>
      </c>
      <c r="E100" s="64">
        <f t="shared" si="6"/>
        <v>317</v>
      </c>
      <c r="F100" s="64">
        <f t="shared" si="6"/>
        <v>60</v>
      </c>
      <c r="G100" s="64">
        <f t="shared" si="6"/>
        <v>0</v>
      </c>
      <c r="H100" s="64">
        <f t="shared" si="6"/>
        <v>2</v>
      </c>
      <c r="I100" s="64">
        <f t="shared" si="6"/>
        <v>0</v>
      </c>
      <c r="J100" s="64">
        <f t="shared" si="6"/>
        <v>10</v>
      </c>
      <c r="K100" s="64">
        <f t="shared" si="6"/>
        <v>0</v>
      </c>
      <c r="L100" s="64">
        <f t="shared" si="6"/>
        <v>0</v>
      </c>
      <c r="M100" s="64">
        <f t="shared" si="6"/>
        <v>4</v>
      </c>
      <c r="N100" s="66">
        <f t="shared" si="6"/>
        <v>120760.30999999997</v>
      </c>
      <c r="O100" s="66"/>
      <c r="P100" s="66">
        <f t="shared" si="6"/>
        <v>70067.09199999999</v>
      </c>
      <c r="Q100" s="66">
        <f t="shared" si="6"/>
        <v>69906.551999999967</v>
      </c>
      <c r="R100" s="66">
        <f t="shared" si="6"/>
        <v>73434.821999999971</v>
      </c>
      <c r="S100" s="66">
        <f t="shared" si="6"/>
        <v>110731.88</v>
      </c>
      <c r="T100" s="66">
        <f t="shared" si="6"/>
        <v>10682.599999999999</v>
      </c>
      <c r="U100" s="66">
        <f t="shared" si="6"/>
        <v>0</v>
      </c>
      <c r="V100" s="66">
        <f t="shared" si="6"/>
        <v>799.99999999999977</v>
      </c>
      <c r="W100" s="66">
        <f t="shared" si="6"/>
        <v>0</v>
      </c>
      <c r="X100" s="66">
        <f t="shared" si="6"/>
        <v>8228.0199999999986</v>
      </c>
      <c r="Y100" s="66">
        <f t="shared" si="6"/>
        <v>0</v>
      </c>
      <c r="Z100" s="66">
        <f t="shared" si="6"/>
        <v>0</v>
      </c>
      <c r="AA100" s="66">
        <f t="shared" si="6"/>
        <v>1387.3319999999999</v>
      </c>
      <c r="AB100" s="33"/>
    </row>
    <row r="101" spans="1:28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 ht="18.75" x14ac:dyDescent="0.3">
      <c r="A104" s="67" t="s">
        <v>724</v>
      </c>
      <c r="B104" s="67" t="s">
        <v>725</v>
      </c>
      <c r="C104" s="67" t="s">
        <v>726</v>
      </c>
      <c r="D104" s="67" t="s">
        <v>727</v>
      </c>
      <c r="E104" s="33"/>
      <c r="F104" s="68"/>
      <c r="G104" s="68" t="s">
        <v>659</v>
      </c>
      <c r="H104" s="68" t="s">
        <v>660</v>
      </c>
      <c r="I104" s="68" t="s">
        <v>661</v>
      </c>
      <c r="J104" s="68" t="s">
        <v>662</v>
      </c>
      <c r="K104" s="68" t="s">
        <v>663</v>
      </c>
      <c r="L104" s="68" t="s">
        <v>664</v>
      </c>
      <c r="M104" s="68" t="s">
        <v>665</v>
      </c>
      <c r="N104" s="68" t="s">
        <v>666</v>
      </c>
      <c r="O104" s="68" t="s">
        <v>667</v>
      </c>
      <c r="P104" s="68" t="s">
        <v>668</v>
      </c>
      <c r="Q104" s="68" t="s">
        <v>669</v>
      </c>
      <c r="R104" s="68" t="s">
        <v>670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 ht="18.75" x14ac:dyDescent="0.3">
      <c r="A105" s="64" t="s">
        <v>728</v>
      </c>
      <c r="B105" s="66">
        <v>7802.3364523333339</v>
      </c>
      <c r="C105" s="66">
        <v>345</v>
      </c>
      <c r="D105" s="66">
        <v>175</v>
      </c>
      <c r="E105" s="33"/>
      <c r="F105" s="68" t="s">
        <v>729</v>
      </c>
      <c r="G105" s="65">
        <f>(P100-SUM($B$109:$D$109))/SUM($B$109:$D$109)</f>
        <v>1.5546612455636717</v>
      </c>
      <c r="H105" s="65">
        <f t="shared" ref="H105:R105" si="7">(Q100-SUM($B$109:$D$109))/SUM($B$109:$D$109)</f>
        <v>1.5488079226319471</v>
      </c>
      <c r="I105" s="65">
        <f t="shared" si="7"/>
        <v>1.6774494057533667</v>
      </c>
      <c r="J105" s="65">
        <f t="shared" si="7"/>
        <v>3.037308162930568</v>
      </c>
      <c r="K105" s="65">
        <f t="shared" si="7"/>
        <v>-0.61051010620137514</v>
      </c>
      <c r="L105" s="65">
        <f t="shared" si="7"/>
        <v>-1</v>
      </c>
      <c r="M105" s="65">
        <f t="shared" si="7"/>
        <v>-0.9708318279221444</v>
      </c>
      <c r="N105" s="65">
        <f t="shared" si="7"/>
        <v>-1</v>
      </c>
      <c r="O105" s="65">
        <f t="shared" si="7"/>
        <v>-0.70000462097495364</v>
      </c>
      <c r="P105" s="65">
        <f t="shared" si="7"/>
        <v>-1</v>
      </c>
      <c r="Q105" s="65">
        <f t="shared" si="7"/>
        <v>-1</v>
      </c>
      <c r="R105" s="65">
        <f t="shared" si="7"/>
        <v>-0.94941757686860562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 ht="18.75" x14ac:dyDescent="0.3">
      <c r="A106" s="64" t="s">
        <v>730</v>
      </c>
      <c r="B106" s="66">
        <v>6444.2867593333331</v>
      </c>
      <c r="C106" s="66">
        <v>345</v>
      </c>
      <c r="D106" s="66">
        <v>175</v>
      </c>
      <c r="E106" s="33"/>
      <c r="F106" s="68" t="s">
        <v>731</v>
      </c>
      <c r="G106" s="65">
        <f>(P100-SUM($B$109:$D$109))/$D$117</f>
        <v>1.1524307080900897</v>
      </c>
      <c r="H106" s="65">
        <f t="shared" ref="H106:R106" si="8">(Q100-SUM($B$109:$D$109))/$D$117</f>
        <v>1.1480917891711702</v>
      </c>
      <c r="I106" s="65">
        <f t="shared" si="8"/>
        <v>1.243450437819819</v>
      </c>
      <c r="J106" s="65">
        <f t="shared" si="8"/>
        <v>2.2514790324144149</v>
      </c>
      <c r="K106" s="65">
        <f t="shared" si="8"/>
        <v>-0.45255556218018023</v>
      </c>
      <c r="L106" s="65">
        <f t="shared" si="8"/>
        <v>-0.7412744810990991</v>
      </c>
      <c r="M106" s="65">
        <f t="shared" si="8"/>
        <v>-0.71965285947747748</v>
      </c>
      <c r="N106" s="65">
        <f t="shared" si="8"/>
        <v>-0.7412744810990991</v>
      </c>
      <c r="O106" s="65">
        <f t="shared" si="8"/>
        <v>-0.51889556218018029</v>
      </c>
      <c r="P106" s="65">
        <f t="shared" si="8"/>
        <v>-0.7412744810990991</v>
      </c>
      <c r="Q106" s="65">
        <f t="shared" si="8"/>
        <v>-0.7412744810990991</v>
      </c>
      <c r="R106" s="65">
        <f t="shared" si="8"/>
        <v>-0.70377902163963968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 ht="18.75" x14ac:dyDescent="0.3">
      <c r="A107" s="64" t="s">
        <v>64</v>
      </c>
      <c r="B107" s="66">
        <v>6479.8950593333329</v>
      </c>
      <c r="C107" s="66">
        <v>345</v>
      </c>
      <c r="D107" s="66">
        <f>175+750</f>
        <v>925</v>
      </c>
      <c r="E107" s="69" t="s">
        <v>732</v>
      </c>
      <c r="F107" s="68" t="s">
        <v>733</v>
      </c>
      <c r="G107" s="65">
        <v>1.46</v>
      </c>
      <c r="H107" s="65">
        <v>1.46</v>
      </c>
      <c r="I107" s="65">
        <v>1.46</v>
      </c>
      <c r="J107" s="65">
        <v>1.46</v>
      </c>
      <c r="K107" s="65">
        <v>1.46</v>
      </c>
      <c r="L107" s="65">
        <v>1.46</v>
      </c>
      <c r="M107" s="65">
        <v>1.46</v>
      </c>
      <c r="N107" s="65">
        <v>1.46</v>
      </c>
      <c r="O107" s="65">
        <v>1.46</v>
      </c>
      <c r="P107" s="65">
        <v>1.46</v>
      </c>
      <c r="Q107" s="65">
        <v>1.46</v>
      </c>
      <c r="R107" s="65">
        <v>1.46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 x14ac:dyDescent="0.25">
      <c r="A108" s="64" t="s">
        <v>44</v>
      </c>
      <c r="B108" s="66">
        <v>3870.6375296666665</v>
      </c>
      <c r="C108" s="66">
        <v>345</v>
      </c>
      <c r="D108" s="66">
        <v>175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 x14ac:dyDescent="0.25">
      <c r="A109" s="64" t="s">
        <v>723</v>
      </c>
      <c r="B109" s="70">
        <f>SUM(B105:B108)</f>
        <v>24597.155800666667</v>
      </c>
      <c r="C109" s="70">
        <f>SUM(C105:C108)</f>
        <v>1380</v>
      </c>
      <c r="D109" s="70">
        <f>SUM(D105:D108)</f>
        <v>1450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 x14ac:dyDescent="0.25">
      <c r="A111" s="71" t="s">
        <v>734</v>
      </c>
      <c r="B111" s="71" t="s">
        <v>735</v>
      </c>
      <c r="C111" s="71" t="s">
        <v>736</v>
      </c>
      <c r="D111" s="72" t="s">
        <v>737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 x14ac:dyDescent="0.25">
      <c r="A112" s="64" t="s">
        <v>738</v>
      </c>
      <c r="B112" s="66">
        <v>1400</v>
      </c>
      <c r="C112" s="64">
        <v>4</v>
      </c>
      <c r="D112" s="70">
        <f>B112*C112</f>
        <v>5600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 x14ac:dyDescent="0.25">
      <c r="A113" s="64" t="s">
        <v>739</v>
      </c>
      <c r="B113" s="66">
        <v>5000</v>
      </c>
      <c r="C113" s="64">
        <v>4</v>
      </c>
      <c r="D113" s="70">
        <f>B113*C113</f>
        <v>20000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 x14ac:dyDescent="0.25">
      <c r="A114" s="64" t="s">
        <v>740</v>
      </c>
      <c r="B114" s="66">
        <v>1100</v>
      </c>
      <c r="C114" s="64">
        <v>8</v>
      </c>
      <c r="D114" s="70">
        <f>B114*C114</f>
        <v>8800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 x14ac:dyDescent="0.25">
      <c r="A115" s="64" t="s">
        <v>741</v>
      </c>
      <c r="B115" s="66">
        <v>600</v>
      </c>
      <c r="C115" s="64">
        <v>2</v>
      </c>
      <c r="D115" s="70">
        <f>B115*C115</f>
        <v>1200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 x14ac:dyDescent="0.25">
      <c r="A116" s="64" t="s">
        <v>742</v>
      </c>
      <c r="B116" s="66">
        <v>350</v>
      </c>
      <c r="C116" s="64">
        <v>4</v>
      </c>
      <c r="D116" s="70">
        <f>B116*C116</f>
        <v>1400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 x14ac:dyDescent="0.25">
      <c r="A117" s="64" t="s">
        <v>723</v>
      </c>
      <c r="B117" s="73" t="s">
        <v>743</v>
      </c>
      <c r="C117" s="74" t="s">
        <v>743</v>
      </c>
      <c r="D117" s="70">
        <f>SUM(D112:D116)</f>
        <v>37000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21" spans="1:28" x14ac:dyDescent="0.25">
      <c r="Q121" s="75"/>
    </row>
    <row r="122" spans="1:28" x14ac:dyDescent="0.25">
      <c r="Q122" s="76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77"/>
  <sheetViews>
    <sheetView topLeftCell="A46" workbookViewId="0">
      <selection activeCell="E61" sqref="E61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105" t="s">
        <v>744</v>
      </c>
      <c r="B1" s="105"/>
      <c r="C1" s="105"/>
      <c r="D1" s="105"/>
      <c r="E1" s="105"/>
      <c r="F1" s="105"/>
      <c r="G1" s="105"/>
      <c r="H1" s="105"/>
      <c r="I1" s="32"/>
      <c r="J1" s="105" t="s">
        <v>745</v>
      </c>
      <c r="K1" s="105"/>
      <c r="L1" s="105"/>
      <c r="M1" s="105"/>
      <c r="N1" s="105"/>
      <c r="O1" s="105"/>
      <c r="P1" s="105"/>
      <c r="Q1" s="105"/>
    </row>
    <row r="2" spans="1:17" x14ac:dyDescent="0.25">
      <c r="A2" s="33"/>
      <c r="B2" s="33"/>
      <c r="C2" s="33"/>
      <c r="D2" s="33"/>
      <c r="E2" s="33"/>
      <c r="F2" s="33"/>
      <c r="G2" s="33"/>
      <c r="H2" s="33"/>
      <c r="I2" s="32"/>
      <c r="J2" s="33"/>
      <c r="K2" s="33"/>
      <c r="L2" s="33"/>
      <c r="M2" s="33"/>
      <c r="N2" s="33"/>
      <c r="O2" s="33"/>
      <c r="P2" s="34"/>
      <c r="Q2" s="35"/>
    </row>
    <row r="3" spans="1:17" ht="21" customHeight="1" x14ac:dyDescent="0.25">
      <c r="A3" s="33"/>
      <c r="B3" s="103" t="s">
        <v>746</v>
      </c>
      <c r="C3" s="103"/>
      <c r="D3" s="103"/>
      <c r="E3" s="103"/>
      <c r="F3" s="103"/>
      <c r="G3" s="103"/>
      <c r="H3" s="33"/>
      <c r="I3" s="32"/>
      <c r="J3" s="33"/>
      <c r="K3" s="103" t="s">
        <v>747</v>
      </c>
      <c r="L3" s="103"/>
      <c r="M3" s="103"/>
      <c r="N3" s="103"/>
      <c r="O3" s="103"/>
      <c r="P3" s="103"/>
      <c r="Q3" s="36"/>
    </row>
    <row r="4" spans="1:17" ht="15.75" x14ac:dyDescent="0.25">
      <c r="A4" s="33"/>
      <c r="B4" s="37" t="s">
        <v>748</v>
      </c>
      <c r="C4" s="38" t="s">
        <v>749</v>
      </c>
      <c r="D4" s="38" t="s">
        <v>750</v>
      </c>
      <c r="E4" s="38" t="s">
        <v>751</v>
      </c>
      <c r="F4" s="38" t="s">
        <v>752</v>
      </c>
      <c r="G4" s="38" t="s">
        <v>753</v>
      </c>
      <c r="H4" s="33"/>
      <c r="I4" s="32"/>
      <c r="J4" s="33"/>
      <c r="K4" s="37" t="s">
        <v>748</v>
      </c>
      <c r="L4" s="38" t="s">
        <v>749</v>
      </c>
      <c r="M4" s="38" t="s">
        <v>750</v>
      </c>
      <c r="N4" s="38" t="s">
        <v>751</v>
      </c>
      <c r="O4" s="38" t="s">
        <v>752</v>
      </c>
      <c r="P4" s="38" t="s">
        <v>753</v>
      </c>
      <c r="Q4" s="34"/>
    </row>
    <row r="5" spans="1:17" x14ac:dyDescent="0.25">
      <c r="A5" s="33"/>
      <c r="B5" s="39" t="s">
        <v>731</v>
      </c>
      <c r="C5" s="40">
        <v>0.05</v>
      </c>
      <c r="D5" s="41">
        <v>1.46</v>
      </c>
      <c r="E5" s="42">
        <v>1.0202804378198194</v>
      </c>
      <c r="F5" s="40">
        <f>IF(((E5*C5)/D5)-C5&gt;5%,((E5*C5)/D5)-(((E5*C5)/D5)-C5)+0.05,((E5*C5)/D5))</f>
        <v>3.4941110884240387E-2</v>
      </c>
      <c r="G5" s="43">
        <f t="shared" ref="G5:G17" si="0">F5</f>
        <v>3.4941110884240387E-2</v>
      </c>
      <c r="H5" s="33"/>
      <c r="I5" s="32"/>
      <c r="J5" s="33"/>
      <c r="K5" s="39" t="s">
        <v>731</v>
      </c>
      <c r="L5" s="40">
        <v>0.05</v>
      </c>
      <c r="M5" s="41">
        <v>1.46</v>
      </c>
      <c r="N5" s="42">
        <f>ROA!I106</f>
        <v>1.243450437819819</v>
      </c>
      <c r="O5" s="40">
        <f>IF(((N5*L5)/M5)-L5&gt;5%,((N5*L5)/M5)-(((N5*L5)/M5)-L5)+0.05,((N5*L5)/M5))</f>
        <v>4.2583919103418466E-2</v>
      </c>
      <c r="P5" s="43">
        <f t="shared" ref="P5:P17" si="1">O5</f>
        <v>4.2583919103418466E-2</v>
      </c>
      <c r="Q5" s="33"/>
    </row>
    <row r="6" spans="1:17" x14ac:dyDescent="0.25">
      <c r="A6" s="33"/>
      <c r="B6" s="39" t="s">
        <v>15</v>
      </c>
      <c r="C6" s="40">
        <v>0.05</v>
      </c>
      <c r="D6" s="41">
        <v>1</v>
      </c>
      <c r="E6" s="42">
        <v>1</v>
      </c>
      <c r="F6" s="40">
        <f>IF(((E6*C6)/D6)-C6&gt;5%,((E6*C6)/D6)-(((E6*C6)/D6)-C6)+0.05,((E6*C6)/D6))</f>
        <v>0.05</v>
      </c>
      <c r="G6" s="43">
        <f t="shared" si="0"/>
        <v>0.05</v>
      </c>
      <c r="H6" s="33"/>
      <c r="I6" s="32"/>
      <c r="J6" s="33"/>
      <c r="K6" s="39" t="s">
        <v>15</v>
      </c>
      <c r="L6" s="40">
        <v>0.05</v>
      </c>
      <c r="M6" s="41">
        <v>1</v>
      </c>
      <c r="N6" s="42">
        <v>0</v>
      </c>
      <c r="O6" s="40">
        <f>IF(((N6*L6)/M6)-L6&gt;5%,((N6*L6)/M6)-(((N6*L6)/M6)-L6)+0.05,((N6*L6)/M6))</f>
        <v>0</v>
      </c>
      <c r="P6" s="43">
        <f t="shared" si="1"/>
        <v>0</v>
      </c>
      <c r="Q6" s="33"/>
    </row>
    <row r="7" spans="1:17" x14ac:dyDescent="0.25">
      <c r="A7" s="33"/>
      <c r="B7" s="39" t="s">
        <v>754</v>
      </c>
      <c r="C7" s="40">
        <v>0.15</v>
      </c>
      <c r="D7" s="41">
        <v>0.8</v>
      </c>
      <c r="E7" s="42">
        <f>((E8/D8)*C8)+((E9/D9)*C9)</f>
        <v>1.0882352941176472</v>
      </c>
      <c r="F7" s="40">
        <f>IF(((E7*C7)/D7)-C7&gt;5%,((E7*C7)/D7)-(((E7*C7)/D7)-C7)+0.05,((E7*C7)/D7))</f>
        <v>0.2</v>
      </c>
      <c r="G7" s="43">
        <f t="shared" si="0"/>
        <v>0.2</v>
      </c>
      <c r="H7" s="33"/>
      <c r="I7" s="32"/>
      <c r="J7" s="33"/>
      <c r="K7" s="39" t="s">
        <v>754</v>
      </c>
      <c r="L7" s="40">
        <v>0.15</v>
      </c>
      <c r="M7" s="41">
        <v>0.8</v>
      </c>
      <c r="N7" s="42">
        <f>((N8/M8)*L8)+((N9/M9)*L9)</f>
        <v>1.0882352941176472</v>
      </c>
      <c r="O7" s="40">
        <f>IF(((N7*L7)/M7)-L7&gt;5%,((N7*L7)/M7)-(((N7*L7)/M7)-L7)+0.05,((N7*L7)/M7))</f>
        <v>0.2</v>
      </c>
      <c r="P7" s="43">
        <f t="shared" si="1"/>
        <v>0.2</v>
      </c>
      <c r="Q7" s="33"/>
    </row>
    <row r="8" spans="1:17" x14ac:dyDescent="0.25">
      <c r="A8" s="33"/>
      <c r="B8" s="44" t="s">
        <v>755</v>
      </c>
      <c r="C8" s="45">
        <v>0.5</v>
      </c>
      <c r="D8" s="46">
        <v>1</v>
      </c>
      <c r="E8" s="47">
        <v>1</v>
      </c>
      <c r="F8" s="48">
        <f>(E8*C8)/D8</f>
        <v>0.5</v>
      </c>
      <c r="G8" s="45">
        <f t="shared" si="0"/>
        <v>0.5</v>
      </c>
      <c r="H8" s="33"/>
      <c r="I8" s="32"/>
      <c r="J8" s="33"/>
      <c r="K8" s="44" t="s">
        <v>755</v>
      </c>
      <c r="L8" s="45">
        <v>0.5</v>
      </c>
      <c r="M8" s="46">
        <v>1</v>
      </c>
      <c r="N8" s="47">
        <v>1</v>
      </c>
      <c r="O8" s="48">
        <f>(N8*L8)/M8</f>
        <v>0.5</v>
      </c>
      <c r="P8" s="45">
        <f t="shared" si="1"/>
        <v>0.5</v>
      </c>
      <c r="Q8" s="33"/>
    </row>
    <row r="9" spans="1:17" ht="30" x14ac:dyDescent="0.25">
      <c r="A9" s="33"/>
      <c r="B9" s="49" t="s">
        <v>756</v>
      </c>
      <c r="C9" s="50">
        <v>0.5</v>
      </c>
      <c r="D9" s="51">
        <v>0.85</v>
      </c>
      <c r="E9" s="47">
        <v>1</v>
      </c>
      <c r="F9" s="48">
        <f>(E9*C9)/D9</f>
        <v>0.58823529411764708</v>
      </c>
      <c r="G9" s="50">
        <f t="shared" si="0"/>
        <v>0.58823529411764708</v>
      </c>
      <c r="H9" s="33"/>
      <c r="I9" s="32"/>
      <c r="J9" s="33"/>
      <c r="K9" s="49" t="s">
        <v>756</v>
      </c>
      <c r="L9" s="50">
        <v>0.5</v>
      </c>
      <c r="M9" s="51">
        <v>0.85</v>
      </c>
      <c r="N9" s="47">
        <v>1</v>
      </c>
      <c r="O9" s="48">
        <f>(N9*L9)/M9</f>
        <v>0.58823529411764708</v>
      </c>
      <c r="P9" s="50">
        <f t="shared" si="1"/>
        <v>0.58823529411764708</v>
      </c>
      <c r="Q9" s="33"/>
    </row>
    <row r="10" spans="1:17" x14ac:dyDescent="0.25">
      <c r="A10" s="33"/>
      <c r="B10" s="39" t="s">
        <v>757</v>
      </c>
      <c r="C10" s="40">
        <v>0.15</v>
      </c>
      <c r="D10" s="41">
        <v>0.4</v>
      </c>
      <c r="E10" s="42">
        <v>0.96142014867982573</v>
      </c>
      <c r="F10" s="40">
        <f>IF(((E10*C10)/D10)-C10&gt;5%,((E10*C10)/D10)-(((E10*C10)/D10)-C10)+0.05,((E10*C10)/D10))</f>
        <v>0.2</v>
      </c>
      <c r="G10" s="43">
        <f t="shared" si="0"/>
        <v>0.2</v>
      </c>
      <c r="H10" s="33"/>
      <c r="I10" s="32"/>
      <c r="J10" s="33"/>
      <c r="K10" s="39" t="s">
        <v>757</v>
      </c>
      <c r="L10" s="40">
        <v>0.15</v>
      </c>
      <c r="M10" s="41">
        <v>0.4</v>
      </c>
      <c r="N10" s="42">
        <f>((N11/M11)*L11)+((N12/M12)*L12)</f>
        <v>0</v>
      </c>
      <c r="O10" s="40">
        <f>IF(((N10*L10)/M10)-L10&gt;5%,((N10*L10)/M10)-(((N10*L10)/M10)-L10)+0.05,((N10*L10)/M10))</f>
        <v>0</v>
      </c>
      <c r="P10" s="43">
        <f t="shared" si="1"/>
        <v>0</v>
      </c>
      <c r="Q10" s="33"/>
    </row>
    <row r="11" spans="1:17" x14ac:dyDescent="0.25">
      <c r="A11" s="33"/>
      <c r="B11" s="44" t="s">
        <v>758</v>
      </c>
      <c r="C11" s="45">
        <v>0.5</v>
      </c>
      <c r="D11" s="46">
        <v>0.47</v>
      </c>
      <c r="E11" s="52">
        <v>0.43373493975903615</v>
      </c>
      <c r="F11" s="48">
        <f>(E11*C11)/D11</f>
        <v>0.46142014867982573</v>
      </c>
      <c r="G11" s="45">
        <f t="shared" si="0"/>
        <v>0.46142014867982573</v>
      </c>
      <c r="H11" s="33"/>
      <c r="I11" s="32"/>
      <c r="J11" s="33"/>
      <c r="K11" s="44" t="s">
        <v>758</v>
      </c>
      <c r="L11" s="45">
        <v>0.5</v>
      </c>
      <c r="M11" s="46">
        <v>0.47</v>
      </c>
      <c r="N11" s="52"/>
      <c r="O11" s="48">
        <f>(N11*L11)/M11</f>
        <v>0</v>
      </c>
      <c r="P11" s="45">
        <f t="shared" si="1"/>
        <v>0</v>
      </c>
      <c r="Q11" s="33"/>
    </row>
    <row r="12" spans="1:17" ht="30" x14ac:dyDescent="0.25">
      <c r="A12" s="33"/>
      <c r="B12" s="53" t="s">
        <v>759</v>
      </c>
      <c r="C12" s="50">
        <v>0.5</v>
      </c>
      <c r="D12" s="51">
        <v>1</v>
      </c>
      <c r="E12" s="52">
        <v>1</v>
      </c>
      <c r="F12" s="48">
        <f>(E12*C12)/D12</f>
        <v>0.5</v>
      </c>
      <c r="G12" s="50">
        <f t="shared" si="0"/>
        <v>0.5</v>
      </c>
      <c r="H12" s="33"/>
      <c r="I12" s="32"/>
      <c r="J12" s="33"/>
      <c r="K12" s="53" t="s">
        <v>759</v>
      </c>
      <c r="L12" s="50">
        <v>0.5</v>
      </c>
      <c r="M12" s="51">
        <v>1</v>
      </c>
      <c r="N12" s="52"/>
      <c r="O12" s="48">
        <f>(N12*L12)/M12</f>
        <v>0</v>
      </c>
      <c r="P12" s="50">
        <f t="shared" si="1"/>
        <v>0</v>
      </c>
      <c r="Q12" s="33"/>
    </row>
    <row r="13" spans="1:17" x14ac:dyDescent="0.25">
      <c r="A13" s="33"/>
      <c r="B13" s="39" t="s">
        <v>760</v>
      </c>
      <c r="C13" s="42">
        <v>0.25</v>
      </c>
      <c r="D13" s="43">
        <v>0.8</v>
      </c>
      <c r="E13" s="42">
        <v>0.51111111111111107</v>
      </c>
      <c r="F13" s="40">
        <f>IF(((E13*C13)/D13)-C13&gt;5%,((E13*C13)/D13)-(((E13*C13)/D13)-C13)+0.05,((E13*C13)/D13))</f>
        <v>0.15972222222222221</v>
      </c>
      <c r="G13" s="43">
        <f t="shared" si="0"/>
        <v>0.15972222222222221</v>
      </c>
      <c r="H13" s="33"/>
      <c r="I13" s="32"/>
      <c r="J13" s="33"/>
      <c r="K13" s="39" t="s">
        <v>760</v>
      </c>
      <c r="L13" s="42">
        <v>0.25</v>
      </c>
      <c r="M13" s="43">
        <v>0.8</v>
      </c>
      <c r="N13" s="42">
        <f>((N14/M14)*L14)+((N15/M15)*L15)</f>
        <v>0</v>
      </c>
      <c r="O13" s="40">
        <f>IF(((N13*L13)/M13)-L13&gt;5%,((N13*L13)/M13)-(((N13*L13)/M13)-L13)+0.05,((N13*L13)/M13))</f>
        <v>0</v>
      </c>
      <c r="P13" s="43">
        <f t="shared" si="1"/>
        <v>0</v>
      </c>
      <c r="Q13" s="33"/>
    </row>
    <row r="14" spans="1:17" x14ac:dyDescent="0.25">
      <c r="A14" s="33"/>
      <c r="B14" s="49" t="s">
        <v>761</v>
      </c>
      <c r="C14" s="45">
        <v>0.5</v>
      </c>
      <c r="D14" s="45">
        <v>0.9</v>
      </c>
      <c r="E14" s="47">
        <v>0.92</v>
      </c>
      <c r="F14" s="48">
        <f>(E14*C14)/D14</f>
        <v>0.51111111111111107</v>
      </c>
      <c r="G14" s="45">
        <f t="shared" si="0"/>
        <v>0.51111111111111107</v>
      </c>
      <c r="H14" s="33"/>
      <c r="I14" s="32"/>
      <c r="J14" s="33"/>
      <c r="K14" s="49" t="s">
        <v>761</v>
      </c>
      <c r="L14" s="45">
        <v>0.5</v>
      </c>
      <c r="M14" s="45">
        <v>0.9</v>
      </c>
      <c r="N14" s="47"/>
      <c r="O14" s="48">
        <f>(N14*L14)/M14</f>
        <v>0</v>
      </c>
      <c r="P14" s="45">
        <f t="shared" si="1"/>
        <v>0</v>
      </c>
      <c r="Q14" s="33"/>
    </row>
    <row r="15" spans="1:17" x14ac:dyDescent="0.25">
      <c r="A15" s="33"/>
      <c r="B15" s="49" t="s">
        <v>762</v>
      </c>
      <c r="C15" s="45">
        <v>0.5</v>
      </c>
      <c r="D15" s="45">
        <v>1</v>
      </c>
      <c r="E15" s="47">
        <v>0.67</v>
      </c>
      <c r="F15" s="48">
        <f>(E15*C15)/D15</f>
        <v>0.33500000000000002</v>
      </c>
      <c r="G15" s="45">
        <f t="shared" si="0"/>
        <v>0.33500000000000002</v>
      </c>
      <c r="H15" s="33"/>
      <c r="I15" s="32"/>
      <c r="J15" s="33"/>
      <c r="K15" s="49" t="s">
        <v>762</v>
      </c>
      <c r="L15" s="45">
        <v>0.5</v>
      </c>
      <c r="M15" s="45">
        <v>1</v>
      </c>
      <c r="N15" s="47"/>
      <c r="O15" s="48">
        <f>(N15*L15)/M15</f>
        <v>0</v>
      </c>
      <c r="P15" s="45">
        <f t="shared" si="1"/>
        <v>0</v>
      </c>
      <c r="Q15" s="33"/>
    </row>
    <row r="16" spans="1:17" x14ac:dyDescent="0.25">
      <c r="A16" s="33"/>
      <c r="B16" s="39" t="s">
        <v>763</v>
      </c>
      <c r="C16" s="40">
        <v>0.25</v>
      </c>
      <c r="D16" s="41">
        <v>1</v>
      </c>
      <c r="E16" s="42">
        <v>0</v>
      </c>
      <c r="F16" s="40">
        <f>IF(((E16*C16)/D16)-C16&gt;5%,((E16*C16)/D16)-(((E16*C16)/D16)-C16)+0.05,((E16*C16)/D16))</f>
        <v>0</v>
      </c>
      <c r="G16" s="43">
        <f t="shared" si="0"/>
        <v>0</v>
      </c>
      <c r="H16" s="33"/>
      <c r="I16" s="32"/>
      <c r="J16" s="33"/>
      <c r="K16" s="39" t="s">
        <v>763</v>
      </c>
      <c r="L16" s="40">
        <v>0.25</v>
      </c>
      <c r="M16" s="41">
        <v>1</v>
      </c>
      <c r="N16" s="42">
        <v>0</v>
      </c>
      <c r="O16" s="40">
        <f>IF(((N16*L16)/M16)-L16&gt;5%,((N16*L16)/M16)-(((N16*L16)/M16)-L16)+0.05,((N16*L16)/M16))</f>
        <v>0</v>
      </c>
      <c r="P16" s="43">
        <f t="shared" si="1"/>
        <v>0</v>
      </c>
      <c r="Q16" s="33"/>
    </row>
    <row r="17" spans="1:17" ht="30" x14ac:dyDescent="0.25">
      <c r="A17" s="33"/>
      <c r="B17" s="54" t="s">
        <v>764</v>
      </c>
      <c r="C17" s="40">
        <v>0.1</v>
      </c>
      <c r="D17" s="40">
        <v>0.7</v>
      </c>
      <c r="E17" s="42">
        <v>1</v>
      </c>
      <c r="F17" s="40">
        <f>IF(((E17*C17)/D17)-C17&gt;5%,((E17*C17)/D17)-(((E17*C17)/D17)-C17)+0.05,((E17*C17)/D17))</f>
        <v>0.14285714285714288</v>
      </c>
      <c r="G17" s="42">
        <f t="shared" si="0"/>
        <v>0.14285714285714288</v>
      </c>
      <c r="H17" s="33"/>
      <c r="I17" s="32"/>
      <c r="J17" s="33"/>
      <c r="K17" s="54" t="s">
        <v>764</v>
      </c>
      <c r="L17" s="40">
        <v>0.1</v>
      </c>
      <c r="M17" s="40">
        <v>0.7</v>
      </c>
      <c r="N17" s="42">
        <v>0</v>
      </c>
      <c r="O17" s="40">
        <f>IF(((N17*L17)/M17)-L17&gt;5%,((N17*L17)/M17)-(((N17*L17)/M17)-L17)+0.05,((N17*L17)/M17))</f>
        <v>0</v>
      </c>
      <c r="P17" s="42">
        <f t="shared" si="1"/>
        <v>0</v>
      </c>
      <c r="Q17" s="33"/>
    </row>
    <row r="18" spans="1:17" ht="21" customHeight="1" x14ac:dyDescent="0.35">
      <c r="A18" s="33"/>
      <c r="B18" s="104" t="s">
        <v>765</v>
      </c>
      <c r="C18" s="104"/>
      <c r="D18" s="104"/>
      <c r="E18" s="104"/>
      <c r="F18" s="55">
        <f>SUM(F5:F7,F10,F13,F16,F17)</f>
        <v>0.78752047596360553</v>
      </c>
      <c r="G18" s="55">
        <f>SUM(G5:G7,G10,G13,G16,G17)</f>
        <v>0.78752047596360553</v>
      </c>
      <c r="H18" s="33"/>
      <c r="I18" s="32"/>
      <c r="J18" s="33"/>
      <c r="K18" s="104" t="s">
        <v>765</v>
      </c>
      <c r="L18" s="104"/>
      <c r="M18" s="104"/>
      <c r="N18" s="104"/>
      <c r="O18" s="55">
        <f>SUM(O5:O7,O10,O13,O16,O17)</f>
        <v>0.24258391910341848</v>
      </c>
      <c r="P18" s="55">
        <f>SUM(P5:P7,P10,P13,P16,P17)</f>
        <v>0.24258391910341848</v>
      </c>
      <c r="Q18" s="33"/>
    </row>
    <row r="19" spans="1:17" x14ac:dyDescent="0.25">
      <c r="A19" s="33"/>
      <c r="B19" s="33"/>
      <c r="C19" s="33"/>
      <c r="D19" s="33"/>
      <c r="E19" s="33"/>
      <c r="F19" s="33"/>
      <c r="G19" s="33"/>
      <c r="H19" s="33"/>
      <c r="I19" s="32"/>
      <c r="J19" s="33"/>
      <c r="K19" s="33"/>
      <c r="L19" s="33"/>
      <c r="M19" s="33"/>
      <c r="N19" s="33"/>
      <c r="O19" s="33"/>
      <c r="P19" s="33"/>
      <c r="Q19" s="33"/>
    </row>
    <row r="20" spans="1:17" ht="21" customHeight="1" x14ac:dyDescent="0.25">
      <c r="A20" s="33"/>
      <c r="B20" s="103" t="s">
        <v>766</v>
      </c>
      <c r="C20" s="103"/>
      <c r="D20" s="103"/>
      <c r="E20" s="103"/>
      <c r="F20" s="103"/>
      <c r="G20" s="103"/>
      <c r="H20" s="33"/>
      <c r="I20" s="32"/>
      <c r="J20" s="33"/>
      <c r="K20" s="33"/>
      <c r="L20" s="33"/>
      <c r="M20" s="33"/>
      <c r="N20" s="33"/>
      <c r="O20" s="33"/>
      <c r="P20" s="33"/>
      <c r="Q20" s="33"/>
    </row>
    <row r="21" spans="1:17" ht="15.75" x14ac:dyDescent="0.25">
      <c r="A21" s="33"/>
      <c r="B21" s="37" t="s">
        <v>748</v>
      </c>
      <c r="C21" s="38" t="s">
        <v>749</v>
      </c>
      <c r="D21" s="38" t="s">
        <v>750</v>
      </c>
      <c r="E21" s="38" t="s">
        <v>751</v>
      </c>
      <c r="F21" s="38" t="s">
        <v>752</v>
      </c>
      <c r="G21" s="38" t="s">
        <v>753</v>
      </c>
      <c r="H21" s="33"/>
      <c r="I21" s="32"/>
      <c r="J21" s="33"/>
      <c r="K21" s="33"/>
      <c r="L21" s="33"/>
      <c r="M21" s="33"/>
      <c r="N21" s="33"/>
      <c r="O21" s="33"/>
      <c r="P21" s="33"/>
      <c r="Q21" s="33"/>
    </row>
    <row r="22" spans="1:17" x14ac:dyDescent="0.25">
      <c r="A22" s="33"/>
      <c r="B22" s="39" t="s">
        <v>731</v>
      </c>
      <c r="C22" s="40">
        <v>0.05</v>
      </c>
      <c r="D22" s="41">
        <v>1.46</v>
      </c>
      <c r="E22" s="42">
        <v>1.5744608702522518</v>
      </c>
      <c r="F22" s="40">
        <f>IF(((E22*C22)/D22)-C22&gt;5%,((E22*C22)/D22)-(((E22*C22)/D22)-C22)+0.05,((E22*C22)/D22))</f>
        <v>5.3919892816857946E-2</v>
      </c>
      <c r="G22" s="43">
        <f t="shared" ref="G22:G34" si="2">AVERAGE(F5,F22)</f>
        <v>4.443050185054917E-2</v>
      </c>
      <c r="H22" s="33"/>
      <c r="I22" s="32"/>
      <c r="J22" s="33"/>
      <c r="K22" s="33"/>
      <c r="L22" s="33"/>
      <c r="M22" s="33"/>
      <c r="N22" s="33"/>
      <c r="O22" s="33"/>
      <c r="P22" s="33"/>
      <c r="Q22" s="33"/>
    </row>
    <row r="23" spans="1:17" x14ac:dyDescent="0.25">
      <c r="A23" s="33"/>
      <c r="B23" s="39" t="s">
        <v>15</v>
      </c>
      <c r="C23" s="40">
        <v>0.05</v>
      </c>
      <c r="D23" s="41">
        <v>1</v>
      </c>
      <c r="E23" s="42">
        <v>1</v>
      </c>
      <c r="F23" s="40">
        <f>IF(((E23*C23)/D23)-C23&gt;5%,((E23*C23)/D23)-(((E23*C23)/D23)-C23)+0.05,((E23*C23)/D23))</f>
        <v>0.05</v>
      </c>
      <c r="G23" s="43">
        <f t="shared" si="2"/>
        <v>0.05</v>
      </c>
      <c r="H23" s="33"/>
      <c r="I23" s="32"/>
      <c r="J23" s="33"/>
      <c r="K23" s="33"/>
      <c r="L23" s="33"/>
      <c r="M23" s="33"/>
      <c r="N23" s="33"/>
      <c r="O23" s="33"/>
      <c r="P23" s="33"/>
      <c r="Q23" s="33"/>
    </row>
    <row r="24" spans="1:17" x14ac:dyDescent="0.25">
      <c r="A24" s="33"/>
      <c r="B24" s="39" t="s">
        <v>754</v>
      </c>
      <c r="C24" s="40">
        <v>0.15</v>
      </c>
      <c r="D24" s="41">
        <v>0.8</v>
      </c>
      <c r="E24" s="42">
        <v>1.0176470588235293</v>
      </c>
      <c r="F24" s="40">
        <f>IF(((E24*C24)/D24)-C24&gt;5%,((E24*C24)/D24)-(((E24*C24)/D24)-C24)+0.05,((E24*C24)/D24))</f>
        <v>0.19080882352941173</v>
      </c>
      <c r="G24" s="43">
        <f t="shared" si="2"/>
        <v>0.19540441176470585</v>
      </c>
      <c r="H24" s="33"/>
      <c r="I24" s="32"/>
      <c r="J24" s="33"/>
      <c r="K24" s="33"/>
      <c r="L24" s="33"/>
      <c r="M24" s="33"/>
      <c r="N24" s="33"/>
      <c r="O24" s="33"/>
      <c r="P24" s="33"/>
      <c r="Q24" s="33"/>
    </row>
    <row r="25" spans="1:17" x14ac:dyDescent="0.25">
      <c r="A25" s="33"/>
      <c r="B25" s="44" t="s">
        <v>755</v>
      </c>
      <c r="C25" s="45">
        <v>0.5</v>
      </c>
      <c r="D25" s="46">
        <v>1</v>
      </c>
      <c r="E25" s="47">
        <v>1</v>
      </c>
      <c r="F25" s="48">
        <f>(E25*C25)/D25</f>
        <v>0.5</v>
      </c>
      <c r="G25" s="45">
        <f t="shared" si="2"/>
        <v>0.5</v>
      </c>
      <c r="H25" s="33"/>
      <c r="I25" s="32"/>
      <c r="J25" s="33"/>
      <c r="K25" s="33"/>
      <c r="L25" s="33"/>
      <c r="M25" s="33"/>
      <c r="N25" s="33"/>
      <c r="O25" s="33"/>
      <c r="P25" s="33"/>
      <c r="Q25" s="33"/>
    </row>
    <row r="26" spans="1:17" ht="24.75" customHeight="1" x14ac:dyDescent="0.25">
      <c r="A26" s="33"/>
      <c r="B26" s="49" t="s">
        <v>756</v>
      </c>
      <c r="C26" s="50">
        <v>0.5</v>
      </c>
      <c r="D26" s="51">
        <v>0.85</v>
      </c>
      <c r="E26" s="47">
        <v>0.88</v>
      </c>
      <c r="F26" s="48">
        <f>(E26*C26)/D26</f>
        <v>0.51764705882352946</v>
      </c>
      <c r="G26" s="45">
        <f t="shared" si="2"/>
        <v>0.55294117647058827</v>
      </c>
      <c r="H26" s="33"/>
      <c r="I26" s="32"/>
      <c r="J26" s="33"/>
      <c r="K26" s="33"/>
      <c r="L26" s="33"/>
      <c r="M26" s="33"/>
      <c r="N26" s="33"/>
      <c r="O26" s="33"/>
      <c r="P26" s="33"/>
      <c r="Q26" s="33"/>
    </row>
    <row r="27" spans="1:17" x14ac:dyDescent="0.25">
      <c r="A27" s="33"/>
      <c r="B27" s="39" t="s">
        <v>757</v>
      </c>
      <c r="C27" s="40">
        <v>0.15</v>
      </c>
      <c r="D27" s="41">
        <v>0.4</v>
      </c>
      <c r="E27" s="42">
        <v>1.139897616381379</v>
      </c>
      <c r="F27" s="40">
        <f>IF(((E27*C27)/D27)-C27&gt;5%,((E27*C27)/D27)-(((E27*C27)/D27)-C27)+0.05,((E27*C27)/D27))</f>
        <v>0.2</v>
      </c>
      <c r="G27" s="43">
        <f t="shared" si="2"/>
        <v>0.2</v>
      </c>
      <c r="H27" s="33"/>
      <c r="I27" s="32"/>
      <c r="J27" s="33"/>
      <c r="K27" s="33"/>
      <c r="L27" s="33"/>
      <c r="M27" s="33"/>
      <c r="N27" s="33"/>
      <c r="O27" s="33"/>
      <c r="P27" s="33"/>
      <c r="Q27" s="33"/>
    </row>
    <row r="28" spans="1:17" x14ac:dyDescent="0.25">
      <c r="A28" s="33"/>
      <c r="B28" s="44" t="s">
        <v>758</v>
      </c>
      <c r="C28" s="45">
        <v>0.5</v>
      </c>
      <c r="D28" s="46">
        <v>0.47</v>
      </c>
      <c r="E28" s="52">
        <v>0.60150375939849621</v>
      </c>
      <c r="F28" s="48">
        <f>(E28*C28)/D28</f>
        <v>0.63989761638137899</v>
      </c>
      <c r="G28" s="45">
        <f t="shared" si="2"/>
        <v>0.55065888253060236</v>
      </c>
      <c r="H28" s="33"/>
      <c r="I28" s="32"/>
      <c r="J28" s="33"/>
      <c r="K28" s="33"/>
      <c r="L28" s="33"/>
      <c r="M28" s="33"/>
      <c r="N28" s="33"/>
      <c r="O28" s="33"/>
      <c r="P28" s="33"/>
      <c r="Q28" s="33"/>
    </row>
    <row r="29" spans="1:17" ht="30" x14ac:dyDescent="0.25">
      <c r="A29" s="33"/>
      <c r="B29" s="53" t="s">
        <v>759</v>
      </c>
      <c r="C29" s="50">
        <v>0.5</v>
      </c>
      <c r="D29" s="51">
        <v>1</v>
      </c>
      <c r="E29" s="52">
        <v>1</v>
      </c>
      <c r="F29" s="48">
        <f>(E29*C29)/D29</f>
        <v>0.5</v>
      </c>
      <c r="G29" s="45">
        <f t="shared" si="2"/>
        <v>0.5</v>
      </c>
      <c r="H29" s="33"/>
      <c r="I29" s="32"/>
      <c r="J29" s="33"/>
      <c r="K29" s="33"/>
      <c r="L29" s="33"/>
      <c r="M29" s="33"/>
      <c r="N29" s="33"/>
      <c r="O29" s="33"/>
      <c r="P29" s="33"/>
      <c r="Q29" s="33"/>
    </row>
    <row r="30" spans="1:17" x14ac:dyDescent="0.25">
      <c r="A30" s="33"/>
      <c r="B30" s="39" t="s">
        <v>760</v>
      </c>
      <c r="C30" s="42">
        <v>0.25</v>
      </c>
      <c r="D30" s="43">
        <v>0.8</v>
      </c>
      <c r="E30" s="42">
        <v>0.97611111111111115</v>
      </c>
      <c r="F30" s="40">
        <f>IF(((E30*C30)/D30)-C30&gt;5%,((E30*C30)/D30)-(((E30*C30)/D30)-C30)+0.05,((E30*C30)/D30))</f>
        <v>0.3</v>
      </c>
      <c r="G30" s="43">
        <f t="shared" si="2"/>
        <v>0.2298611111111111</v>
      </c>
      <c r="H30" s="33"/>
      <c r="I30" s="32"/>
      <c r="J30" s="33"/>
      <c r="K30" s="33"/>
      <c r="L30" s="33"/>
      <c r="M30" s="33"/>
      <c r="N30" s="33"/>
      <c r="O30" s="33"/>
      <c r="P30" s="33"/>
      <c r="Q30" s="33"/>
    </row>
    <row r="31" spans="1:17" x14ac:dyDescent="0.25">
      <c r="A31" s="33"/>
      <c r="B31" s="49" t="s">
        <v>761</v>
      </c>
      <c r="C31" s="45">
        <v>0.5</v>
      </c>
      <c r="D31" s="45">
        <v>0.9</v>
      </c>
      <c r="E31" s="47">
        <v>1.46</v>
      </c>
      <c r="F31" s="48">
        <f>(E31*C31)/D31</f>
        <v>0.81111111111111112</v>
      </c>
      <c r="G31" s="45">
        <f t="shared" si="2"/>
        <v>0.66111111111111109</v>
      </c>
      <c r="H31" s="33"/>
      <c r="I31" s="32"/>
      <c r="J31" s="33"/>
      <c r="K31" s="33"/>
      <c r="L31" s="33"/>
      <c r="M31" s="33"/>
      <c r="N31" s="33"/>
      <c r="O31" s="33"/>
      <c r="P31" s="33"/>
      <c r="Q31" s="33"/>
    </row>
    <row r="32" spans="1:17" x14ac:dyDescent="0.25">
      <c r="A32" s="33"/>
      <c r="B32" s="49" t="s">
        <v>762</v>
      </c>
      <c r="C32" s="45">
        <v>0.5</v>
      </c>
      <c r="D32" s="45">
        <v>1</v>
      </c>
      <c r="E32" s="47">
        <v>0.33</v>
      </c>
      <c r="F32" s="48">
        <f>(E32*C32)/D32</f>
        <v>0.16500000000000001</v>
      </c>
      <c r="G32" s="45">
        <f t="shared" si="2"/>
        <v>0.25</v>
      </c>
      <c r="H32" s="33"/>
      <c r="I32" s="32"/>
      <c r="J32" s="33"/>
      <c r="K32" s="33"/>
      <c r="L32" s="33"/>
      <c r="M32" s="33"/>
      <c r="N32" s="33"/>
      <c r="O32" s="33"/>
      <c r="P32" s="33"/>
      <c r="Q32" s="33"/>
    </row>
    <row r="33" spans="1:17" x14ac:dyDescent="0.25">
      <c r="A33" s="33"/>
      <c r="B33" s="39" t="s">
        <v>763</v>
      </c>
      <c r="C33" s="40">
        <v>0.25</v>
      </c>
      <c r="D33" s="41">
        <v>1</v>
      </c>
      <c r="E33" s="42">
        <v>0</v>
      </c>
      <c r="F33" s="40">
        <f>IF(((E33*C33)/D33)-C33&gt;5%,((E33*C33)/D33)-(((E33*C33)/D33)-C33)+0.05,((E33*C33)/D33))</f>
        <v>0</v>
      </c>
      <c r="G33" s="43">
        <f t="shared" si="2"/>
        <v>0</v>
      </c>
      <c r="H33" s="33"/>
      <c r="I33" s="32"/>
      <c r="J33" s="33"/>
      <c r="K33" s="33"/>
      <c r="L33" s="33"/>
      <c r="M33" s="33"/>
      <c r="N33" s="33"/>
      <c r="O33" s="33"/>
      <c r="P33" s="33"/>
      <c r="Q33" s="33"/>
    </row>
    <row r="34" spans="1:17" ht="30" x14ac:dyDescent="0.25">
      <c r="A34" s="33"/>
      <c r="B34" s="54" t="s">
        <v>764</v>
      </c>
      <c r="C34" s="40">
        <v>0.1</v>
      </c>
      <c r="D34" s="40">
        <v>1</v>
      </c>
      <c r="E34" s="42">
        <v>1</v>
      </c>
      <c r="F34" s="40">
        <f>IF(((E34*C34)/D34)-C34&gt;5%,((E34*C34)/D34)-(((E34*C34)/D34)-C34)+0.05,((E34*C34)/D34))</f>
        <v>0.1</v>
      </c>
      <c r="G34" s="43">
        <f t="shared" si="2"/>
        <v>0.12142857142857144</v>
      </c>
      <c r="H34" s="33"/>
      <c r="I34" s="32"/>
      <c r="J34" s="33"/>
      <c r="K34" s="33"/>
      <c r="L34" s="33"/>
      <c r="M34" s="33"/>
      <c r="N34" s="33"/>
      <c r="O34" s="33"/>
      <c r="P34" s="33"/>
      <c r="Q34" s="33"/>
    </row>
    <row r="35" spans="1:17" ht="21" customHeight="1" x14ac:dyDescent="0.35">
      <c r="A35" s="33"/>
      <c r="B35" s="104" t="s">
        <v>765</v>
      </c>
      <c r="C35" s="104"/>
      <c r="D35" s="104"/>
      <c r="E35" s="104"/>
      <c r="F35" s="55">
        <f>SUM(F22:F24,F27,F30,F33,F34)</f>
        <v>0.89472871634626971</v>
      </c>
      <c r="G35" s="55">
        <f>SUM(G22:G24,G27,G30,G33,G34)</f>
        <v>0.84112459615493762</v>
      </c>
      <c r="H35" s="33"/>
      <c r="I35" s="32"/>
      <c r="J35" s="33"/>
      <c r="K35" s="33"/>
      <c r="L35" s="33"/>
      <c r="M35" s="33"/>
      <c r="N35" s="33"/>
      <c r="O35" s="33"/>
      <c r="P35" s="33"/>
      <c r="Q35" s="33"/>
    </row>
    <row r="36" spans="1:17" x14ac:dyDescent="0.25">
      <c r="A36" s="33"/>
      <c r="B36" s="33"/>
      <c r="C36" s="33"/>
      <c r="D36" s="33"/>
      <c r="E36" s="33"/>
      <c r="F36" s="33"/>
      <c r="G36" s="33"/>
      <c r="H36" s="33"/>
      <c r="I36" s="32"/>
      <c r="J36" s="33"/>
      <c r="K36" s="33"/>
      <c r="L36" s="33"/>
      <c r="M36" s="33"/>
      <c r="N36" s="33"/>
      <c r="O36" s="33"/>
      <c r="P36" s="33"/>
      <c r="Q36" s="33"/>
    </row>
    <row r="37" spans="1:17" ht="21" x14ac:dyDescent="0.25">
      <c r="A37" s="33"/>
      <c r="B37" s="103" t="s">
        <v>767</v>
      </c>
      <c r="C37" s="103"/>
      <c r="D37" s="103"/>
      <c r="E37" s="103"/>
      <c r="F37" s="103"/>
      <c r="G37" s="103"/>
      <c r="H37" s="33"/>
      <c r="I37" s="32"/>
    </row>
    <row r="38" spans="1:17" ht="15.75" x14ac:dyDescent="0.25">
      <c r="A38" s="33"/>
      <c r="B38" s="37" t="s">
        <v>748</v>
      </c>
      <c r="C38" s="38" t="s">
        <v>749</v>
      </c>
      <c r="D38" s="38" t="s">
        <v>750</v>
      </c>
      <c r="E38" s="38" t="s">
        <v>751</v>
      </c>
      <c r="F38" s="38" t="s">
        <v>752</v>
      </c>
      <c r="G38" s="38" t="s">
        <v>753</v>
      </c>
      <c r="H38" s="33"/>
      <c r="I38" s="32"/>
    </row>
    <row r="39" spans="1:17" x14ac:dyDescent="0.25">
      <c r="A39" s="33"/>
      <c r="B39" s="39" t="s">
        <v>731</v>
      </c>
      <c r="C39" s="40">
        <v>0.05</v>
      </c>
      <c r="D39" s="41">
        <v>1.46</v>
      </c>
      <c r="E39" s="42">
        <v>1.55</v>
      </c>
      <c r="F39" s="40">
        <v>5.3082191780821929E-2</v>
      </c>
      <c r="G39" s="43">
        <v>4.7314398493973418E-2</v>
      </c>
      <c r="H39" s="33"/>
      <c r="I39" s="32"/>
    </row>
    <row r="40" spans="1:17" x14ac:dyDescent="0.25">
      <c r="A40" s="33"/>
      <c r="B40" s="39" t="s">
        <v>15</v>
      </c>
      <c r="C40" s="40">
        <v>0.05</v>
      </c>
      <c r="D40" s="41">
        <v>1</v>
      </c>
      <c r="E40" s="42">
        <v>1</v>
      </c>
      <c r="F40" s="40">
        <v>0.05</v>
      </c>
      <c r="G40" s="43">
        <v>5.000000000000001E-2</v>
      </c>
      <c r="H40" s="33"/>
      <c r="I40" s="32"/>
    </row>
    <row r="41" spans="1:17" x14ac:dyDescent="0.25">
      <c r="A41" s="33"/>
      <c r="B41" s="39" t="s">
        <v>754</v>
      </c>
      <c r="C41" s="40">
        <v>0.15</v>
      </c>
      <c r="D41" s="41">
        <v>0.8</v>
      </c>
      <c r="E41" s="42">
        <v>1.0588235294117647</v>
      </c>
      <c r="F41" s="40">
        <v>0.19852941176470587</v>
      </c>
      <c r="G41" s="43">
        <v>0.19644607843137254</v>
      </c>
      <c r="H41" s="33"/>
      <c r="I41" s="32"/>
    </row>
    <row r="42" spans="1:17" x14ac:dyDescent="0.25">
      <c r="A42" s="33"/>
      <c r="B42" s="44" t="s">
        <v>755</v>
      </c>
      <c r="C42" s="45">
        <v>0.5</v>
      </c>
      <c r="D42" s="46">
        <v>1</v>
      </c>
      <c r="E42" s="47">
        <v>1</v>
      </c>
      <c r="F42" s="48">
        <v>0.5</v>
      </c>
      <c r="G42" s="45">
        <v>0.5</v>
      </c>
      <c r="H42" s="33"/>
      <c r="I42" s="32"/>
    </row>
    <row r="43" spans="1:17" ht="30" x14ac:dyDescent="0.25">
      <c r="A43" s="33"/>
      <c r="B43" s="49" t="s">
        <v>756</v>
      </c>
      <c r="C43" s="50">
        <v>0.5</v>
      </c>
      <c r="D43" s="51">
        <v>0.85</v>
      </c>
      <c r="E43" s="47">
        <v>0.95</v>
      </c>
      <c r="F43" s="48">
        <v>0.55882352941176472</v>
      </c>
      <c r="G43" s="50">
        <v>0.55490196078431386</v>
      </c>
      <c r="H43" s="33"/>
      <c r="I43" s="32"/>
    </row>
    <row r="44" spans="1:17" x14ac:dyDescent="0.25">
      <c r="A44" s="33"/>
      <c r="B44" s="39" t="s">
        <v>757</v>
      </c>
      <c r="C44" s="40">
        <v>0.15</v>
      </c>
      <c r="D44" s="41">
        <v>0.4</v>
      </c>
      <c r="E44" s="42">
        <v>0.99468085106382975</v>
      </c>
      <c r="F44" s="40">
        <v>0.2</v>
      </c>
      <c r="G44" s="43">
        <v>0.20000000000000004</v>
      </c>
      <c r="H44" s="33"/>
      <c r="I44" s="32"/>
    </row>
    <row r="45" spans="1:17" x14ac:dyDescent="0.25">
      <c r="A45" s="33"/>
      <c r="B45" s="44" t="s">
        <v>758</v>
      </c>
      <c r="C45" s="45">
        <v>0.5</v>
      </c>
      <c r="D45" s="46">
        <v>0.47</v>
      </c>
      <c r="E45" s="52">
        <v>0.7</v>
      </c>
      <c r="F45" s="48">
        <v>0.74468085106382975</v>
      </c>
      <c r="G45" s="50">
        <v>0.61533287204167808</v>
      </c>
      <c r="H45" s="33"/>
      <c r="I45" s="32"/>
    </row>
    <row r="46" spans="1:17" ht="30" x14ac:dyDescent="0.25">
      <c r="A46" s="33"/>
      <c r="B46" s="53" t="s">
        <v>759</v>
      </c>
      <c r="C46" s="50">
        <v>0.5</v>
      </c>
      <c r="D46" s="51">
        <v>1</v>
      </c>
      <c r="E46" s="52">
        <v>0.5</v>
      </c>
      <c r="F46" s="48">
        <v>0.25</v>
      </c>
      <c r="G46" s="50">
        <v>0.41666666666666669</v>
      </c>
      <c r="H46" s="33"/>
      <c r="I46" s="32"/>
    </row>
    <row r="47" spans="1:17" x14ac:dyDescent="0.25">
      <c r="A47" s="33"/>
      <c r="B47" s="39" t="s">
        <v>760</v>
      </c>
      <c r="C47" s="42">
        <v>0.25</v>
      </c>
      <c r="D47" s="43">
        <v>0.8</v>
      </c>
      <c r="E47" s="42">
        <v>0.89444444444444438</v>
      </c>
      <c r="F47" s="40">
        <v>0.27951388888888884</v>
      </c>
      <c r="G47" s="43">
        <v>0.24641203703703704</v>
      </c>
      <c r="H47" s="33"/>
      <c r="I47" s="32"/>
    </row>
    <row r="48" spans="1:17" x14ac:dyDescent="0.25">
      <c r="A48" s="33"/>
      <c r="B48" s="49" t="s">
        <v>761</v>
      </c>
      <c r="C48" s="45">
        <v>0.5</v>
      </c>
      <c r="D48" s="45">
        <v>0.9</v>
      </c>
      <c r="E48" s="47">
        <v>0.91</v>
      </c>
      <c r="F48" s="48">
        <v>0.50555555555555554</v>
      </c>
      <c r="G48" s="50">
        <v>0.60925925925925928</v>
      </c>
      <c r="H48" s="33"/>
      <c r="I48" s="32"/>
    </row>
    <row r="49" spans="1:9" x14ac:dyDescent="0.25">
      <c r="A49" s="33"/>
      <c r="B49" s="49" t="s">
        <v>762</v>
      </c>
      <c r="C49" s="45">
        <v>0.5</v>
      </c>
      <c r="D49" s="45">
        <v>1</v>
      </c>
      <c r="E49" s="47">
        <v>0.77777777777777779</v>
      </c>
      <c r="F49" s="48">
        <v>0.3888888888888889</v>
      </c>
      <c r="G49" s="50">
        <v>0.29629629629629628</v>
      </c>
      <c r="H49" s="33"/>
      <c r="I49" s="32"/>
    </row>
    <row r="50" spans="1:9" x14ac:dyDescent="0.25">
      <c r="A50" s="33"/>
      <c r="B50" s="39" t="s">
        <v>763</v>
      </c>
      <c r="C50" s="40">
        <v>0.25</v>
      </c>
      <c r="D50" s="41">
        <v>1</v>
      </c>
      <c r="E50" s="42">
        <v>0</v>
      </c>
      <c r="F50" s="40">
        <v>0</v>
      </c>
      <c r="G50" s="43">
        <v>0</v>
      </c>
      <c r="H50" s="33"/>
      <c r="I50" s="32"/>
    </row>
    <row r="51" spans="1:9" ht="30" x14ac:dyDescent="0.25">
      <c r="A51" s="33"/>
      <c r="B51" s="54" t="s">
        <v>764</v>
      </c>
      <c r="C51" s="40">
        <v>0.1</v>
      </c>
      <c r="D51" s="40">
        <v>0.7</v>
      </c>
      <c r="E51" s="42">
        <v>1</v>
      </c>
      <c r="F51" s="40">
        <v>0.14285714285714288</v>
      </c>
      <c r="G51" s="42">
        <v>0.12857142857142859</v>
      </c>
      <c r="H51" s="33"/>
      <c r="I51" s="32"/>
    </row>
    <row r="52" spans="1:9" ht="21" x14ac:dyDescent="0.35">
      <c r="A52" s="33"/>
      <c r="B52" s="104" t="s">
        <v>765</v>
      </c>
      <c r="C52" s="104"/>
      <c r="D52" s="104"/>
      <c r="E52" s="104"/>
      <c r="F52" s="55">
        <v>0.92398263529155955</v>
      </c>
      <c r="G52" s="55">
        <v>0.8687439425338116</v>
      </c>
      <c r="H52" s="33"/>
      <c r="I52" s="32"/>
    </row>
    <row r="53" spans="1:9" x14ac:dyDescent="0.25">
      <c r="A53" s="33"/>
      <c r="B53" s="33"/>
      <c r="C53" s="33"/>
      <c r="D53" s="33"/>
      <c r="E53" s="33"/>
      <c r="F53" s="33"/>
      <c r="G53" s="33"/>
      <c r="H53" s="33"/>
      <c r="I53" s="32"/>
    </row>
    <row r="54" spans="1:9" ht="21" x14ac:dyDescent="0.25">
      <c r="A54" s="33"/>
      <c r="B54" s="103" t="s">
        <v>768</v>
      </c>
      <c r="C54" s="103"/>
      <c r="D54" s="103"/>
      <c r="E54" s="103"/>
      <c r="F54" s="103"/>
      <c r="G54" s="103"/>
      <c r="H54" s="33"/>
      <c r="I54" s="32"/>
    </row>
    <row r="55" spans="1:9" ht="15.75" x14ac:dyDescent="0.25">
      <c r="A55" s="33"/>
      <c r="B55" s="37" t="s">
        <v>748</v>
      </c>
      <c r="C55" s="38" t="s">
        <v>749</v>
      </c>
      <c r="D55" s="38" t="s">
        <v>750</v>
      </c>
      <c r="E55" s="38" t="s">
        <v>751</v>
      </c>
      <c r="F55" s="38" t="s">
        <v>752</v>
      </c>
      <c r="G55" s="38" t="s">
        <v>753</v>
      </c>
      <c r="H55" s="33"/>
      <c r="I55" s="32"/>
    </row>
    <row r="56" spans="1:9" x14ac:dyDescent="0.25">
      <c r="A56" s="33"/>
      <c r="B56" s="39" t="s">
        <v>731</v>
      </c>
      <c r="C56" s="40">
        <v>0.05</v>
      </c>
      <c r="D56" s="41">
        <v>1.46</v>
      </c>
      <c r="E56" s="42">
        <v>2.25</v>
      </c>
      <c r="F56" s="40">
        <f>IF(((E56*C56)/D56)-C56&gt;5%,((E56*C56)/D56)-(((E56*C56)/D56)-C56)+0.05,((E56*C56)/D56))</f>
        <v>7.7054794520547948E-2</v>
      </c>
      <c r="G56" s="43">
        <f t="shared" ref="G56:G68" si="3">AVERAGE(F39,F56)</f>
        <v>6.5068493150684942E-2</v>
      </c>
      <c r="H56" s="33"/>
      <c r="I56" s="32"/>
    </row>
    <row r="57" spans="1:9" x14ac:dyDescent="0.25">
      <c r="A57" s="33"/>
      <c r="B57" s="39" t="s">
        <v>15</v>
      </c>
      <c r="C57" s="40">
        <v>0.05</v>
      </c>
      <c r="D57" s="41">
        <v>1</v>
      </c>
      <c r="E57" s="42">
        <v>1</v>
      </c>
      <c r="F57" s="40">
        <f>IF(((E57*C57)/D57)-C57&gt;5%,((E57*C57)/D57)-(((E57*C57)/D57)-C57)+0.05,((E57*C57)/D57))</f>
        <v>0.05</v>
      </c>
      <c r="G57" s="43">
        <f t="shared" si="3"/>
        <v>0.05</v>
      </c>
      <c r="H57" s="33"/>
      <c r="I57" s="32"/>
    </row>
    <row r="58" spans="1:9" x14ac:dyDescent="0.25">
      <c r="A58" s="33"/>
      <c r="B58" s="39" t="s">
        <v>754</v>
      </c>
      <c r="C58" s="40">
        <v>0.15</v>
      </c>
      <c r="D58" s="41">
        <v>0.8</v>
      </c>
      <c r="E58" s="42">
        <f>((E59/D59)*C59)+((E60/D60)*C60)</f>
        <v>1.0882352941176472</v>
      </c>
      <c r="F58" s="40">
        <f>IF(((E58*C58)/D58)-C58&gt;5%,((E58*C58)/D58)-(((E58*C58)/D58)-C58)+0.05,((E58*C58)/D58))</f>
        <v>0.2</v>
      </c>
      <c r="G58" s="43">
        <f t="shared" si="3"/>
        <v>0.19926470588235295</v>
      </c>
      <c r="H58" s="33"/>
      <c r="I58" s="32"/>
    </row>
    <row r="59" spans="1:9" x14ac:dyDescent="0.25">
      <c r="A59" s="33"/>
      <c r="B59" s="44" t="s">
        <v>755</v>
      </c>
      <c r="C59" s="45">
        <v>0.5</v>
      </c>
      <c r="D59" s="46">
        <v>1</v>
      </c>
      <c r="E59" s="47">
        <v>1</v>
      </c>
      <c r="F59" s="48">
        <f>(E59*C59)/D59</f>
        <v>0.5</v>
      </c>
      <c r="G59" s="45">
        <f t="shared" si="3"/>
        <v>0.5</v>
      </c>
      <c r="H59" s="33"/>
      <c r="I59" s="32"/>
    </row>
    <row r="60" spans="1:9" ht="30" x14ac:dyDescent="0.25">
      <c r="A60" s="33"/>
      <c r="B60" s="49" t="s">
        <v>756</v>
      </c>
      <c r="C60" s="50">
        <v>0.5</v>
      </c>
      <c r="D60" s="51">
        <v>0.85</v>
      </c>
      <c r="E60" s="47">
        <v>1</v>
      </c>
      <c r="F60" s="48">
        <f>(E60*C60)/D60</f>
        <v>0.58823529411764708</v>
      </c>
      <c r="G60" s="45">
        <f t="shared" si="3"/>
        <v>0.57352941176470584</v>
      </c>
      <c r="H60" s="33"/>
      <c r="I60" s="32"/>
    </row>
    <row r="61" spans="1:9" x14ac:dyDescent="0.25">
      <c r="A61" s="33"/>
      <c r="B61" s="39" t="s">
        <v>757</v>
      </c>
      <c r="C61" s="40">
        <v>0.15</v>
      </c>
      <c r="D61" s="41">
        <v>0.4</v>
      </c>
      <c r="E61" s="42">
        <f>((E62/D62)*C62)+((E63/D63)*C63)</f>
        <v>1.2127659574468086</v>
      </c>
      <c r="F61" s="40">
        <f>IF(((E61*C61)/D61)-C61&gt;5%,((E61*C61)/D61)-(((E61*C61)/D61)-C61)+0.05,((E61*C61)/D61))</f>
        <v>0.19999999999999996</v>
      </c>
      <c r="G61" s="43">
        <f t="shared" si="3"/>
        <v>0.19999999999999998</v>
      </c>
      <c r="H61" s="33"/>
      <c r="I61" s="32"/>
    </row>
    <row r="62" spans="1:9" x14ac:dyDescent="0.25">
      <c r="A62" s="33"/>
      <c r="B62" s="44" t="s">
        <v>758</v>
      </c>
      <c r="C62" s="45">
        <v>0.5</v>
      </c>
      <c r="D62" s="46">
        <v>0.47</v>
      </c>
      <c r="E62" s="52">
        <v>0.67</v>
      </c>
      <c r="F62" s="48">
        <f>(E62*C62)/D62</f>
        <v>0.7127659574468086</v>
      </c>
      <c r="G62" s="45">
        <f t="shared" si="3"/>
        <v>0.72872340425531923</v>
      </c>
      <c r="H62" s="33"/>
      <c r="I62" s="32"/>
    </row>
    <row r="63" spans="1:9" ht="30" x14ac:dyDescent="0.25">
      <c r="A63" s="33"/>
      <c r="B63" s="53" t="s">
        <v>759</v>
      </c>
      <c r="C63" s="50">
        <v>0.5</v>
      </c>
      <c r="D63" s="51">
        <v>1</v>
      </c>
      <c r="E63" s="52">
        <v>1</v>
      </c>
      <c r="F63" s="48">
        <f>(E63*C63)/D63</f>
        <v>0.5</v>
      </c>
      <c r="G63" s="45">
        <f t="shared" si="3"/>
        <v>0.375</v>
      </c>
      <c r="H63" s="33"/>
      <c r="I63" s="32"/>
    </row>
    <row r="64" spans="1:9" x14ac:dyDescent="0.25">
      <c r="A64" s="33"/>
      <c r="B64" s="39" t="s">
        <v>760</v>
      </c>
      <c r="C64" s="42">
        <v>0.25</v>
      </c>
      <c r="D64" s="43">
        <v>0.8</v>
      </c>
      <c r="E64" s="42">
        <f>((E65/D65)*C65)+((E66/D66)*C66)</f>
        <v>0.48333333333333334</v>
      </c>
      <c r="F64" s="40">
        <f>IF(((E64*C64)/D64)-C64&gt;5%,((E64*C64)/D64)-(((E64*C64)/D64)-C64)+0.05,((E64*C64)/D64))</f>
        <v>0.15104166666666666</v>
      </c>
      <c r="G64" s="43">
        <f t="shared" si="3"/>
        <v>0.21527777777777773</v>
      </c>
      <c r="H64" s="33"/>
      <c r="I64" s="32"/>
    </row>
    <row r="65" spans="1:9" x14ac:dyDescent="0.25">
      <c r="A65" s="33"/>
      <c r="B65" s="49" t="s">
        <v>761</v>
      </c>
      <c r="C65" s="45">
        <v>0.5</v>
      </c>
      <c r="D65" s="45">
        <v>0.9</v>
      </c>
      <c r="E65" s="47">
        <v>0.87</v>
      </c>
      <c r="F65" s="48">
        <f>(E65*C65)/D65</f>
        <v>0.48333333333333334</v>
      </c>
      <c r="G65" s="45">
        <f t="shared" si="3"/>
        <v>0.49444444444444446</v>
      </c>
      <c r="H65" s="33"/>
      <c r="I65" s="32"/>
    </row>
    <row r="66" spans="1:9" x14ac:dyDescent="0.25">
      <c r="A66" s="33"/>
      <c r="B66" s="49" t="s">
        <v>762</v>
      </c>
      <c r="C66" s="45">
        <v>0.5</v>
      </c>
      <c r="D66" s="45">
        <v>1</v>
      </c>
      <c r="E66" s="47"/>
      <c r="F66" s="48">
        <f>(E66*C66)/D66</f>
        <v>0</v>
      </c>
      <c r="G66" s="45">
        <f t="shared" si="3"/>
        <v>0.19444444444444445</v>
      </c>
      <c r="H66" s="33"/>
      <c r="I66" s="32"/>
    </row>
    <row r="67" spans="1:9" x14ac:dyDescent="0.25">
      <c r="A67" s="33"/>
      <c r="B67" s="39" t="s">
        <v>763</v>
      </c>
      <c r="C67" s="40">
        <v>0.25</v>
      </c>
      <c r="D67" s="41">
        <v>1</v>
      </c>
      <c r="E67" s="42">
        <v>0</v>
      </c>
      <c r="F67" s="40"/>
      <c r="G67" s="43">
        <f t="shared" si="3"/>
        <v>0</v>
      </c>
      <c r="H67" s="33"/>
      <c r="I67" s="32"/>
    </row>
    <row r="68" spans="1:9" ht="30" x14ac:dyDescent="0.25">
      <c r="A68" s="33"/>
      <c r="B68" s="54" t="s">
        <v>764</v>
      </c>
      <c r="C68" s="40">
        <v>0.1</v>
      </c>
      <c r="D68" s="40">
        <v>1</v>
      </c>
      <c r="E68" s="42">
        <v>1</v>
      </c>
      <c r="F68" s="40">
        <f>IF(((E68*C68)/D68)-C68&gt;5%,((E68*C68)/D68)-(((E68*C68)/D68)-C68)+0.05,((E68*C68)/D68))</f>
        <v>0.1</v>
      </c>
      <c r="G68" s="43">
        <f t="shared" si="3"/>
        <v>0.12142857142857144</v>
      </c>
      <c r="H68" s="33"/>
      <c r="I68" s="32"/>
    </row>
    <row r="69" spans="1:9" ht="21" x14ac:dyDescent="0.35">
      <c r="A69" s="33"/>
      <c r="B69" s="104" t="s">
        <v>765</v>
      </c>
      <c r="C69" s="104"/>
      <c r="D69" s="104"/>
      <c r="E69" s="104"/>
      <c r="F69" s="55">
        <f>SUM(F56:F58,F61,F64,F67,F68)</f>
        <v>0.77809646118721454</v>
      </c>
      <c r="G69" s="55">
        <f>SUM(G56:G58,G61,G64,G67,G68)</f>
        <v>0.8510395482393871</v>
      </c>
      <c r="H69" s="33"/>
      <c r="I69" s="32"/>
    </row>
    <row r="70" spans="1:9" x14ac:dyDescent="0.25">
      <c r="A70" s="33"/>
      <c r="B70" s="33"/>
      <c r="C70" s="33"/>
      <c r="D70" s="33"/>
      <c r="E70" s="33"/>
      <c r="F70" s="33"/>
      <c r="G70" s="33"/>
      <c r="H70" s="33"/>
      <c r="I70" s="32"/>
    </row>
    <row r="71" spans="1:9" x14ac:dyDescent="0.25">
      <c r="A71" s="33"/>
      <c r="B71" s="33"/>
      <c r="C71" s="33"/>
      <c r="D71" s="33"/>
      <c r="E71" s="33"/>
      <c r="F71" s="33"/>
      <c r="G71" s="33"/>
      <c r="H71" s="33"/>
      <c r="I71" s="32"/>
    </row>
    <row r="72" spans="1:9" x14ac:dyDescent="0.25">
      <c r="A72" s="33"/>
      <c r="B72" s="33"/>
      <c r="C72" s="33"/>
      <c r="D72" s="33"/>
      <c r="E72" s="33"/>
      <c r="F72" s="33"/>
      <c r="G72" s="33"/>
      <c r="H72" s="33"/>
      <c r="I72" s="32"/>
    </row>
    <row r="73" spans="1:9" x14ac:dyDescent="0.25">
      <c r="A73" s="33"/>
      <c r="B73" s="33"/>
      <c r="C73" s="33"/>
      <c r="D73" s="33"/>
      <c r="E73" s="33"/>
      <c r="F73" s="33"/>
      <c r="G73" s="33"/>
      <c r="H73" s="33"/>
      <c r="I73" s="32"/>
    </row>
    <row r="74" spans="1:9" x14ac:dyDescent="0.25">
      <c r="A74" s="33"/>
      <c r="B74" s="33"/>
      <c r="C74" s="33"/>
      <c r="D74" s="33"/>
      <c r="E74" s="33"/>
      <c r="F74" s="33"/>
      <c r="G74" s="33"/>
      <c r="H74" s="33"/>
      <c r="I74" s="32"/>
    </row>
    <row r="75" spans="1:9" x14ac:dyDescent="0.25">
      <c r="A75" s="33"/>
      <c r="B75" s="33"/>
      <c r="C75" s="33"/>
      <c r="D75" s="33"/>
      <c r="E75" s="33"/>
      <c r="F75" s="33"/>
      <c r="G75" s="33"/>
      <c r="H75" s="33"/>
      <c r="I75" s="32"/>
    </row>
    <row r="76" spans="1:9" x14ac:dyDescent="0.25">
      <c r="A76" s="33"/>
      <c r="B76" s="33"/>
      <c r="C76" s="33"/>
      <c r="D76" s="33"/>
      <c r="E76" s="33"/>
      <c r="F76" s="33"/>
      <c r="G76" s="33"/>
      <c r="H76" s="33"/>
      <c r="I76" s="32"/>
    </row>
    <row r="77" spans="1:9" x14ac:dyDescent="0.25">
      <c r="A77" s="33"/>
      <c r="B77" s="33"/>
      <c r="C77" s="33"/>
      <c r="D77" s="33"/>
      <c r="E77" s="33"/>
      <c r="F77" s="33"/>
      <c r="G77" s="33"/>
      <c r="H77" s="33"/>
      <c r="I77" s="32"/>
    </row>
  </sheetData>
  <mergeCells count="12">
    <mergeCell ref="A1:H1"/>
    <mergeCell ref="J1:Q1"/>
    <mergeCell ref="B3:G3"/>
    <mergeCell ref="K3:P3"/>
    <mergeCell ref="B18:E18"/>
    <mergeCell ref="K18:N18"/>
    <mergeCell ref="B37:G37"/>
    <mergeCell ref="B52:E52"/>
    <mergeCell ref="B54:G54"/>
    <mergeCell ref="B69:E69"/>
    <mergeCell ref="B20:G20"/>
    <mergeCell ref="B35:E35"/>
  </mergeCells>
  <conditionalFormatting sqref="P2">
    <cfRule type="cellIs" dxfId="943" priority="146" operator="equal">
      <formula>2020</formula>
    </cfRule>
    <cfRule type="cellIs" dxfId="942" priority="147" operator="equal">
      <formula>2019</formula>
    </cfRule>
    <cfRule type="cellIs" dxfId="941" priority="148" operator="equal">
      <formula>2018</formula>
    </cfRule>
  </conditionalFormatting>
  <conditionalFormatting sqref="Q2">
    <cfRule type="cellIs" dxfId="940" priority="143" operator="equal">
      <formula>2020</formula>
    </cfRule>
    <cfRule type="cellIs" dxfId="939" priority="144" operator="equal">
      <formula>2019</formula>
    </cfRule>
    <cfRule type="cellIs" dxfId="938" priority="145" operator="equal">
      <formula>2018</formula>
    </cfRule>
  </conditionalFormatting>
  <conditionalFormatting sqref="N17">
    <cfRule type="iconSet" priority="138">
      <iconSet iconSet="3Symbols">
        <cfvo type="percent" val="0"/>
        <cfvo type="formula" val="$M$17*0.9"/>
        <cfvo type="formula" val="$M$17"/>
      </iconSet>
    </cfRule>
    <cfRule type="expression" dxfId="937" priority="139">
      <formula>$N$17&lt;$M$17</formula>
    </cfRule>
  </conditionalFormatting>
  <conditionalFormatting sqref="M5:M6">
    <cfRule type="cellIs" dxfId="936" priority="141" operator="lessThan">
      <formula>0</formula>
    </cfRule>
  </conditionalFormatting>
  <conditionalFormatting sqref="M7">
    <cfRule type="cellIs" dxfId="935" priority="140" operator="lessThan">
      <formula>#REF!</formula>
    </cfRule>
  </conditionalFormatting>
  <conditionalFormatting sqref="N20">
    <cfRule type="iconSet" priority="136">
      <iconSet iconSet="3Symbols2">
        <cfvo type="percent" val="0"/>
        <cfvo type="formula" val="#REF!*0.9"/>
        <cfvo type="formula" val="#REF!"/>
      </iconSet>
    </cfRule>
    <cfRule type="cellIs" dxfId="934" priority="137" operator="lessThan">
      <formula>$M$20</formula>
    </cfRule>
  </conditionalFormatting>
  <conditionalFormatting sqref="N21">
    <cfRule type="iconSet" priority="134">
      <iconSet iconSet="3Symbols2">
        <cfvo type="percent" val="0"/>
        <cfvo type="formula" val="#REF!*0.9"/>
        <cfvo type="formula" val="#REF!"/>
      </iconSet>
    </cfRule>
    <cfRule type="cellIs" dxfId="933" priority="135" operator="lessThan">
      <formula>$M$21</formula>
    </cfRule>
  </conditionalFormatting>
  <conditionalFormatting sqref="N16">
    <cfRule type="iconSet" priority="132">
      <iconSet iconSet="3Symbols">
        <cfvo type="percent" val="0"/>
        <cfvo type="formula" val="$M$16*0.9"/>
        <cfvo type="formula" val="$M$16"/>
      </iconSet>
    </cfRule>
    <cfRule type="cellIs" dxfId="932" priority="133" operator="lessThan">
      <formula>$M$16</formula>
    </cfRule>
  </conditionalFormatting>
  <conditionalFormatting sqref="N8:N9">
    <cfRule type="iconSet" priority="151">
      <iconSet iconSet="3Symbols2">
        <cfvo type="percent" val="0"/>
        <cfvo type="formula" val="$M$8*0.9"/>
        <cfvo type="formula" val="$M$8"/>
      </iconSet>
    </cfRule>
    <cfRule type="expression" dxfId="931" priority="152">
      <formula>$N$8&lt;$M$8</formula>
    </cfRule>
  </conditionalFormatting>
  <conditionalFormatting sqref="N11">
    <cfRule type="expression" dxfId="930" priority="107">
      <formula>$N$11&lt;$M$11</formula>
    </cfRule>
    <cfRule type="iconSet" priority="131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130">
      <iconSet iconSet="3Symbols2">
        <cfvo type="percent" val="0"/>
        <cfvo type="formula" val="$M$12*0.9"/>
        <cfvo type="formula" val="$M$12"/>
      </iconSet>
    </cfRule>
  </conditionalFormatting>
  <conditionalFormatting sqref="E17">
    <cfRule type="iconSet" priority="118">
      <iconSet iconSet="3Symbols">
        <cfvo type="percent" val="0"/>
        <cfvo type="formula" val="$M$17*0.9"/>
        <cfvo type="formula" val="$M$17"/>
      </iconSet>
    </cfRule>
    <cfRule type="expression" dxfId="929" priority="120">
      <formula>$N$17&lt;$M$17</formula>
    </cfRule>
  </conditionalFormatting>
  <conditionalFormatting sqref="D5:D6">
    <cfRule type="cellIs" dxfId="928" priority="123" operator="lessThan">
      <formula>0</formula>
    </cfRule>
  </conditionalFormatting>
  <conditionalFormatting sqref="E5">
    <cfRule type="iconSet" priority="119">
      <iconSet iconSet="3Symbols">
        <cfvo type="percent" val="0"/>
        <cfvo type="formula" val="$M$5*0.9"/>
        <cfvo type="formula" val="$M$5"/>
      </iconSet>
    </cfRule>
    <cfRule type="cellIs" dxfId="927" priority="122" operator="lessThan">
      <formula>$M$5</formula>
    </cfRule>
  </conditionalFormatting>
  <conditionalFormatting sqref="D7">
    <cfRule type="cellIs" dxfId="926" priority="121" operator="lessThan">
      <formula>#REF!</formula>
    </cfRule>
  </conditionalFormatting>
  <conditionalFormatting sqref="E8:E9">
    <cfRule type="iconSet" priority="124">
      <iconSet iconSet="3Symbols2">
        <cfvo type="percent" val="0"/>
        <cfvo type="formula" val="$M$8*0.9"/>
        <cfvo type="formula" val="$M$8"/>
      </iconSet>
    </cfRule>
    <cfRule type="expression" dxfId="925" priority="125">
      <formula>$N$8&lt;$M$8</formula>
    </cfRule>
  </conditionalFormatting>
  <conditionalFormatting sqref="E10">
    <cfRule type="iconSet" priority="116">
      <iconSet iconSet="3Symbols">
        <cfvo type="percent" val="0"/>
        <cfvo type="formula" val="$M$10*0.9"/>
        <cfvo type="formula" val="$M$10"/>
      </iconSet>
    </cfRule>
    <cfRule type="expression" dxfId="924" priority="117">
      <formula>$N$10&lt;$M$10</formula>
    </cfRule>
  </conditionalFormatting>
  <conditionalFormatting sqref="E13">
    <cfRule type="iconSet" priority="114">
      <iconSet iconSet="3Symbols">
        <cfvo type="percent" val="0"/>
        <cfvo type="formula" val="$M$13*0.9"/>
        <cfvo type="formula" val="$M$13"/>
      </iconSet>
    </cfRule>
    <cfRule type="expression" dxfId="923" priority="115">
      <formula>$N$13&lt;$M$13</formula>
    </cfRule>
  </conditionalFormatting>
  <conditionalFormatting sqref="N5">
    <cfRule type="iconSet" priority="112">
      <iconSet iconSet="3Symbols">
        <cfvo type="percent" val="0"/>
        <cfvo type="formula" val="$M$5*0.99"/>
        <cfvo type="formula" val="$M$5"/>
      </iconSet>
    </cfRule>
    <cfRule type="expression" dxfId="922" priority="113">
      <formula>$N$5&lt;$M$5</formula>
    </cfRule>
  </conditionalFormatting>
  <conditionalFormatting sqref="N6">
    <cfRule type="iconSet" priority="110">
      <iconSet iconSet="3Symbols">
        <cfvo type="percent" val="0"/>
        <cfvo type="formula" val="$M$6*0.99"/>
        <cfvo type="formula" val="$M$6"/>
      </iconSet>
    </cfRule>
    <cfRule type="expression" dxfId="921" priority="111">
      <formula>$N$6&lt;$M$6</formula>
    </cfRule>
  </conditionalFormatting>
  <conditionalFormatting sqref="N7">
    <cfRule type="iconSet" priority="108">
      <iconSet iconSet="3Symbols">
        <cfvo type="percent" val="0"/>
        <cfvo type="formula" val="$M$7*0.99"/>
        <cfvo type="formula" val="$M$7"/>
      </iconSet>
    </cfRule>
    <cfRule type="expression" dxfId="920" priority="109">
      <formula>$N$7&lt;$M$7</formula>
    </cfRule>
  </conditionalFormatting>
  <conditionalFormatting sqref="N14">
    <cfRule type="iconSet" priority="105">
      <iconSet iconSet="3Symbols">
        <cfvo type="percent" val="0"/>
        <cfvo type="percent" val="33"/>
        <cfvo type="percent" val="67"/>
      </iconSet>
    </cfRule>
    <cfRule type="expression" dxfId="919" priority="106">
      <formula>$N$14&lt;$M$14</formula>
    </cfRule>
  </conditionalFormatting>
  <conditionalFormatting sqref="N15">
    <cfRule type="iconSet" priority="103">
      <iconSet iconSet="3Symbols">
        <cfvo type="percent" val="0"/>
        <cfvo type="formula" val="$M$15*0.99"/>
        <cfvo type="formula" val="$M$15"/>
      </iconSet>
    </cfRule>
    <cfRule type="expression" dxfId="918" priority="104">
      <formula>$N$15&lt;$M$15</formula>
    </cfRule>
  </conditionalFormatting>
  <conditionalFormatting sqref="E11">
    <cfRule type="expression" dxfId="917" priority="100">
      <formula>$N$11&lt;$M$11</formula>
    </cfRule>
    <cfRule type="iconSet" priority="102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101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98">
      <iconSet iconSet="3Symbols">
        <cfvo type="percent" val="0"/>
        <cfvo type="formula" val="$M$6*0.99"/>
        <cfvo type="formula" val="$M$6"/>
      </iconSet>
    </cfRule>
    <cfRule type="expression" dxfId="916" priority="99">
      <formula>$N$6&lt;$M$6</formula>
    </cfRule>
  </conditionalFormatting>
  <conditionalFormatting sqref="E7">
    <cfRule type="iconSet" priority="96">
      <iconSet iconSet="3Symbols">
        <cfvo type="percent" val="0"/>
        <cfvo type="formula" val="$M$7*0.99"/>
        <cfvo type="formula" val="$M$7"/>
      </iconSet>
    </cfRule>
    <cfRule type="expression" dxfId="915" priority="97">
      <formula>$N$7&lt;$M$7</formula>
    </cfRule>
  </conditionalFormatting>
  <conditionalFormatting sqref="E16">
    <cfRule type="iconSet" priority="94">
      <iconSet iconSet="3Symbols">
        <cfvo type="percent" val="0"/>
        <cfvo type="formula" val="$M$16*0.9"/>
        <cfvo type="formula" val="$M$16"/>
      </iconSet>
    </cfRule>
    <cfRule type="cellIs" dxfId="914" priority="95" operator="lessThan">
      <formula>$M$16</formula>
    </cfRule>
  </conditionalFormatting>
  <conditionalFormatting sqref="E14">
    <cfRule type="iconSet" priority="92">
      <iconSet iconSet="3Symbols">
        <cfvo type="percent" val="0"/>
        <cfvo type="percent" val="33"/>
        <cfvo type="percent" val="67"/>
      </iconSet>
    </cfRule>
    <cfRule type="expression" dxfId="913" priority="93">
      <formula>$N$14&lt;$M$14</formula>
    </cfRule>
  </conditionalFormatting>
  <conditionalFormatting sqref="E15">
    <cfRule type="iconSet" priority="90">
      <iconSet iconSet="3Symbols">
        <cfvo type="percent" val="0"/>
        <cfvo type="formula" val="$M$15*0.99"/>
        <cfvo type="formula" val="$M$15"/>
      </iconSet>
    </cfRule>
    <cfRule type="expression" dxfId="912" priority="91">
      <formula>$N$15&lt;$M$15</formula>
    </cfRule>
  </conditionalFormatting>
  <conditionalFormatting sqref="E34">
    <cfRule type="iconSet" priority="59">
      <iconSet iconSet="3Symbols">
        <cfvo type="percent" val="0"/>
        <cfvo type="formula" val="$M$17*0.9"/>
        <cfvo type="formula" val="$M$17"/>
      </iconSet>
    </cfRule>
    <cfRule type="expression" dxfId="911" priority="60">
      <formula>$E$34&lt;$D$34</formula>
    </cfRule>
  </conditionalFormatting>
  <conditionalFormatting sqref="D22:D23">
    <cfRule type="cellIs" dxfId="910" priority="62" operator="lessThan">
      <formula>0</formula>
    </cfRule>
  </conditionalFormatting>
  <conditionalFormatting sqref="D24">
    <cfRule type="cellIs" dxfId="909" priority="61" operator="lessThan">
      <formula>#REF!</formula>
    </cfRule>
  </conditionalFormatting>
  <conditionalFormatting sqref="E33">
    <cfRule type="iconSet" priority="57">
      <iconSet iconSet="3Symbols">
        <cfvo type="percent" val="0"/>
        <cfvo type="formula" val="$M$16*0.9"/>
        <cfvo type="formula" val="$M$16"/>
      </iconSet>
    </cfRule>
    <cfRule type="cellIs" dxfId="908" priority="58" operator="lessThan">
      <formula>$M$16</formula>
    </cfRule>
  </conditionalFormatting>
  <conditionalFormatting sqref="E25:E26">
    <cfRule type="iconSet" priority="63">
      <iconSet iconSet="3Symbols2">
        <cfvo type="percent" val="0"/>
        <cfvo type="formula" val="$D$26"/>
        <cfvo type="formula" val="$D$26*0.99"/>
      </iconSet>
    </cfRule>
    <cfRule type="expression" dxfId="907" priority="64">
      <formula>$E$26&lt;$D$26</formula>
    </cfRule>
  </conditionalFormatting>
  <conditionalFormatting sqref="E28">
    <cfRule type="expression" dxfId="906" priority="44">
      <formula>$E$28&lt;$D$28</formula>
    </cfRule>
    <cfRule type="iconSet" priority="56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55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53">
      <iconSet iconSet="3Symbols">
        <cfvo type="percent" val="0"/>
        <cfvo type="formula" val="$M$10*0.9"/>
        <cfvo type="formula" val="$M$10"/>
      </iconSet>
    </cfRule>
    <cfRule type="expression" dxfId="905" priority="54">
      <formula>$N$10&lt;$M$10</formula>
    </cfRule>
  </conditionalFormatting>
  <conditionalFormatting sqref="E30">
    <cfRule type="iconSet" priority="51">
      <iconSet iconSet="3Symbols">
        <cfvo type="percent" val="0"/>
        <cfvo type="formula" val="$M$13*0.9"/>
        <cfvo type="formula" val="$M$13"/>
      </iconSet>
    </cfRule>
    <cfRule type="expression" dxfId="904" priority="52">
      <formula>$E$30&lt;$D$30</formula>
    </cfRule>
  </conditionalFormatting>
  <conditionalFormatting sqref="E22">
    <cfRule type="iconSet" priority="49">
      <iconSet iconSet="3Symbols">
        <cfvo type="percent" val="0"/>
        <cfvo type="formula" val="$M$5*0.99"/>
        <cfvo type="formula" val="$M$5"/>
      </iconSet>
    </cfRule>
    <cfRule type="expression" dxfId="903" priority="50">
      <formula>$E$22&lt;$D$22</formula>
    </cfRule>
  </conditionalFormatting>
  <conditionalFormatting sqref="E23">
    <cfRule type="iconSet" priority="47">
      <iconSet iconSet="3Symbols">
        <cfvo type="percent" val="0"/>
        <cfvo type="formula" val="$M$6*0.99"/>
        <cfvo type="formula" val="$M$6"/>
      </iconSet>
    </cfRule>
    <cfRule type="expression" dxfId="902" priority="48">
      <formula>$E$23&lt;$D$23</formula>
    </cfRule>
  </conditionalFormatting>
  <conditionalFormatting sqref="E24">
    <cfRule type="iconSet" priority="45">
      <iconSet iconSet="3Symbols">
        <cfvo type="percent" val="0"/>
        <cfvo type="formula" val="$M$7*0.99"/>
        <cfvo type="formula" val="$M$7"/>
      </iconSet>
    </cfRule>
    <cfRule type="expression" dxfId="901" priority="46">
      <formula>$E$24&lt;$D$24</formula>
    </cfRule>
  </conditionalFormatting>
  <conditionalFormatting sqref="E31">
    <cfRule type="iconSet" priority="42">
      <iconSet iconSet="3Symbols">
        <cfvo type="percent" val="0"/>
        <cfvo type="percent" val="33"/>
        <cfvo type="percent" val="67"/>
      </iconSet>
    </cfRule>
    <cfRule type="expression" dxfId="900" priority="43">
      <formula>$E$31&lt;$D$31</formula>
    </cfRule>
  </conditionalFormatting>
  <conditionalFormatting sqref="E32">
    <cfRule type="iconSet" priority="40">
      <iconSet iconSet="3Symbols">
        <cfvo type="percent" val="0"/>
        <cfvo type="formula" val="$M$15*0.99"/>
        <cfvo type="formula" val="$M$15"/>
      </iconSet>
    </cfRule>
    <cfRule type="expression" dxfId="899" priority="41">
      <formula>$E$32&lt;$D$32</formula>
    </cfRule>
  </conditionalFormatting>
  <conditionalFormatting sqref="N10">
    <cfRule type="iconSet" priority="38">
      <iconSet iconSet="3Symbols">
        <cfvo type="percent" val="0"/>
        <cfvo type="formula" val="$M$7*0.99"/>
        <cfvo type="formula" val="$M$7"/>
      </iconSet>
    </cfRule>
    <cfRule type="expression" dxfId="898" priority="39">
      <formula>$N$7&lt;$M$7</formula>
    </cfRule>
  </conditionalFormatting>
  <conditionalFormatting sqref="N13">
    <cfRule type="iconSet" priority="36">
      <iconSet iconSet="3Symbols">
        <cfvo type="percent" val="0"/>
        <cfvo type="formula" val="$M$7*0.99"/>
        <cfvo type="formula" val="$M$7"/>
      </iconSet>
    </cfRule>
    <cfRule type="expression" dxfId="897" priority="37">
      <formula>$N$7&lt;$M$7</formula>
    </cfRule>
  </conditionalFormatting>
  <conditionalFormatting sqref="E68">
    <cfRule type="iconSet" priority="30">
      <iconSet iconSet="3Symbols">
        <cfvo type="percent" val="0"/>
        <cfvo type="formula" val="$M$17*0.9"/>
        <cfvo type="formula" val="$M$17"/>
      </iconSet>
    </cfRule>
    <cfRule type="expression" dxfId="896" priority="31">
      <formula>$E$34&lt;$D$34</formula>
    </cfRule>
  </conditionalFormatting>
  <conditionalFormatting sqref="D56:D57">
    <cfRule type="cellIs" dxfId="895" priority="33" operator="lessThan">
      <formula>0</formula>
    </cfRule>
  </conditionalFormatting>
  <conditionalFormatting sqref="D58">
    <cfRule type="cellIs" dxfId="894" priority="32" operator="lessThan">
      <formula>#REF!</formula>
    </cfRule>
  </conditionalFormatting>
  <conditionalFormatting sqref="E59:E60">
    <cfRule type="iconSet" priority="34">
      <iconSet iconSet="3Symbols2">
        <cfvo type="percent" val="0"/>
        <cfvo type="formula" val="$D$26"/>
        <cfvo type="formula" val="$D$26*0.99"/>
      </iconSet>
    </cfRule>
    <cfRule type="expression" dxfId="893" priority="35">
      <formula>$E$26&lt;$D$26</formula>
    </cfRule>
  </conditionalFormatting>
  <conditionalFormatting sqref="E62">
    <cfRule type="expression" dxfId="892" priority="15">
      <formula>$E$28&lt;$D$28</formula>
    </cfRule>
    <cfRule type="iconSet" priority="27">
      <iconSet iconSet="3Symbols2">
        <cfvo type="percent" val="0"/>
        <cfvo type="formula" val="$M$11*0.99"/>
        <cfvo type="formula" val="$M$11"/>
      </iconSet>
    </cfRule>
  </conditionalFormatting>
  <conditionalFormatting sqref="E63">
    <cfRule type="iconSet" priority="26">
      <iconSet iconSet="3Symbols2">
        <cfvo type="percent" val="0"/>
        <cfvo type="formula" val="$M$12*0.9"/>
        <cfvo type="formula" val="$M$12"/>
      </iconSet>
    </cfRule>
  </conditionalFormatting>
  <conditionalFormatting sqref="E56">
    <cfRule type="iconSet" priority="20">
      <iconSet iconSet="3Symbols">
        <cfvo type="percent" val="0"/>
        <cfvo type="formula" val="$M$5*0.99"/>
        <cfvo type="formula" val="$M$5"/>
      </iconSet>
    </cfRule>
    <cfRule type="expression" dxfId="891" priority="21">
      <formula>$E$22&lt;$D$22</formula>
    </cfRule>
  </conditionalFormatting>
  <conditionalFormatting sqref="E57">
    <cfRule type="iconSet" priority="18">
      <iconSet iconSet="3Symbols">
        <cfvo type="percent" val="0"/>
        <cfvo type="formula" val="$M$6*0.99"/>
        <cfvo type="formula" val="$M$6"/>
      </iconSet>
    </cfRule>
    <cfRule type="expression" dxfId="890" priority="19">
      <formula>$E$23&lt;$D$23</formula>
    </cfRule>
  </conditionalFormatting>
  <conditionalFormatting sqref="E65:E66">
    <cfRule type="iconSet" priority="13">
      <iconSet iconSet="3Symbols">
        <cfvo type="percent" val="0"/>
        <cfvo type="percent" val="33"/>
        <cfvo type="percent" val="67"/>
      </iconSet>
    </cfRule>
    <cfRule type="expression" dxfId="889" priority="14">
      <formula>$E$31&lt;$D$31</formula>
    </cfRule>
  </conditionalFormatting>
  <conditionalFormatting sqref="E67">
    <cfRule type="iconSet" priority="9">
      <iconSet iconSet="3Symbols">
        <cfvo type="percent" val="0"/>
        <cfvo type="formula" val="$M$17*0.9"/>
        <cfvo type="formula" val="$M$17"/>
      </iconSet>
    </cfRule>
    <cfRule type="expression" dxfId="888" priority="10">
      <formula>$E$34&lt;$D$34</formula>
    </cfRule>
  </conditionalFormatting>
  <conditionalFormatting sqref="E61">
    <cfRule type="iconSet" priority="5">
      <iconSet iconSet="3Symbols">
        <cfvo type="percent" val="0"/>
        <cfvo type="formula" val="$M$7*0.99"/>
        <cfvo type="formula" val="$M$7"/>
      </iconSet>
    </cfRule>
    <cfRule type="expression" dxfId="887" priority="6">
      <formula>$N$7&lt;$M$7</formula>
    </cfRule>
  </conditionalFormatting>
  <conditionalFormatting sqref="E64">
    <cfRule type="iconSet" priority="3">
      <iconSet iconSet="3Symbols">
        <cfvo type="percent" val="0"/>
        <cfvo type="formula" val="$M$7*0.99"/>
        <cfvo type="formula" val="$M$7"/>
      </iconSet>
    </cfRule>
    <cfRule type="expression" dxfId="886" priority="4">
      <formula>$N$7&lt;$M$7</formula>
    </cfRule>
  </conditionalFormatting>
  <conditionalFormatting sqref="E58">
    <cfRule type="iconSet" priority="1">
      <iconSet iconSet="3Symbols">
        <cfvo type="percent" val="0"/>
        <cfvo type="formula" val="$M$7*0.99"/>
        <cfvo type="formula" val="$M$7"/>
      </iconSet>
    </cfRule>
    <cfRule type="expression" dxfId="885" priority="2">
      <formula>$N$7&lt;$M$7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topLeftCell="A76" workbookViewId="0">
      <selection activeCell="A2" sqref="A2:XFD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205734</v>
      </c>
      <c r="C2" s="18" t="s">
        <v>20</v>
      </c>
      <c r="D2" s="19" t="s">
        <v>21</v>
      </c>
      <c r="E2" s="17" t="s">
        <v>22</v>
      </c>
      <c r="F2" s="17">
        <v>11</v>
      </c>
      <c r="G2" s="20">
        <v>44173</v>
      </c>
      <c r="H2" s="20">
        <v>44221</v>
      </c>
      <c r="I2" s="20">
        <v>44221</v>
      </c>
      <c r="J2" s="21" t="s">
        <v>23</v>
      </c>
      <c r="K2" s="18" t="s">
        <v>24</v>
      </c>
      <c r="L2" s="23" t="s">
        <v>25</v>
      </c>
      <c r="M2" s="18" t="s">
        <v>26</v>
      </c>
      <c r="N2" s="18">
        <v>3</v>
      </c>
      <c r="O2" s="18" t="s">
        <v>27</v>
      </c>
      <c r="P2" s="21"/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202339</v>
      </c>
      <c r="C3" s="18" t="s">
        <v>31</v>
      </c>
      <c r="D3" s="19" t="s">
        <v>32</v>
      </c>
      <c r="E3" s="17" t="s">
        <v>33</v>
      </c>
      <c r="F3" s="17">
        <v>3</v>
      </c>
      <c r="G3" s="20">
        <v>44152</v>
      </c>
      <c r="H3" s="20">
        <v>44189</v>
      </c>
      <c r="I3" s="20">
        <v>44189</v>
      </c>
      <c r="J3" s="21"/>
      <c r="K3" s="18" t="s">
        <v>24</v>
      </c>
      <c r="L3" s="23" t="s">
        <v>25</v>
      </c>
      <c r="M3" s="18" t="s">
        <v>34</v>
      </c>
      <c r="N3" s="18">
        <v>2</v>
      </c>
      <c r="O3" s="18" t="s">
        <v>27</v>
      </c>
      <c r="P3" s="21"/>
      <c r="Q3" s="18" t="s">
        <v>29</v>
      </c>
      <c r="R3" s="22" t="s">
        <v>29</v>
      </c>
    </row>
    <row r="4" spans="1:18" ht="30" customHeight="1" x14ac:dyDescent="0.25">
      <c r="A4" s="16" t="s">
        <v>35</v>
      </c>
      <c r="B4" s="17">
        <v>212314</v>
      </c>
      <c r="C4" s="18" t="s">
        <v>31</v>
      </c>
      <c r="D4" s="19" t="s">
        <v>36</v>
      </c>
      <c r="E4" s="17" t="s">
        <v>33</v>
      </c>
      <c r="F4" s="17">
        <v>1</v>
      </c>
      <c r="G4" s="20">
        <v>44201</v>
      </c>
      <c r="H4" s="20">
        <v>44203</v>
      </c>
      <c r="I4" s="20">
        <v>44203</v>
      </c>
      <c r="J4" s="21"/>
      <c r="K4" s="18" t="s">
        <v>24</v>
      </c>
      <c r="L4" s="23" t="s">
        <v>37</v>
      </c>
      <c r="M4" s="18" t="s">
        <v>34</v>
      </c>
      <c r="N4" s="18"/>
      <c r="O4" s="18" t="s">
        <v>38</v>
      </c>
      <c r="P4" s="21" t="s">
        <v>38</v>
      </c>
      <c r="Q4" s="18" t="s">
        <v>29</v>
      </c>
      <c r="R4" s="22" t="s">
        <v>29</v>
      </c>
    </row>
    <row r="5" spans="1:18" ht="30" customHeight="1" x14ac:dyDescent="0.25">
      <c r="A5" s="16" t="s">
        <v>39</v>
      </c>
      <c r="B5" s="17">
        <v>207551</v>
      </c>
      <c r="C5" s="18" t="s">
        <v>31</v>
      </c>
      <c r="D5" s="19" t="s">
        <v>40</v>
      </c>
      <c r="E5" s="17" t="s">
        <v>41</v>
      </c>
      <c r="F5" s="17">
        <v>2</v>
      </c>
      <c r="G5" s="20">
        <v>44175</v>
      </c>
      <c r="H5" s="20">
        <v>44200</v>
      </c>
      <c r="I5" s="20">
        <v>44200</v>
      </c>
      <c r="J5" s="21"/>
      <c r="K5" s="18" t="s">
        <v>24</v>
      </c>
      <c r="L5" s="23" t="s">
        <v>25</v>
      </c>
      <c r="M5" s="18" t="s">
        <v>26</v>
      </c>
      <c r="N5" s="18"/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39</v>
      </c>
      <c r="B6" s="17">
        <v>211739</v>
      </c>
      <c r="C6" s="18" t="s">
        <v>31</v>
      </c>
      <c r="D6" s="19" t="s">
        <v>42</v>
      </c>
      <c r="E6" s="17" t="s">
        <v>43</v>
      </c>
      <c r="F6" s="17">
        <v>1</v>
      </c>
      <c r="G6" s="20">
        <v>44195</v>
      </c>
      <c r="H6" s="20">
        <v>44208</v>
      </c>
      <c r="I6" s="20">
        <v>44208</v>
      </c>
      <c r="J6" s="21"/>
      <c r="K6" s="18" t="s">
        <v>24</v>
      </c>
      <c r="L6" s="23" t="s">
        <v>25</v>
      </c>
      <c r="M6" s="18" t="s">
        <v>26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211739</v>
      </c>
      <c r="C7" s="18" t="s">
        <v>44</v>
      </c>
      <c r="D7" s="19" t="s">
        <v>42</v>
      </c>
      <c r="E7" s="17" t="s">
        <v>22</v>
      </c>
      <c r="F7" s="17">
        <v>3</v>
      </c>
      <c r="G7" s="20">
        <v>44195</v>
      </c>
      <c r="H7" s="20">
        <v>44208</v>
      </c>
      <c r="I7" s="20">
        <v>44208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/>
      <c r="Q7" s="18" t="s">
        <v>29</v>
      </c>
      <c r="R7" s="22" t="s">
        <v>29</v>
      </c>
    </row>
    <row r="8" spans="1:18" ht="30" customHeight="1" x14ac:dyDescent="0.25">
      <c r="A8" s="16" t="s">
        <v>39</v>
      </c>
      <c r="B8" s="17">
        <v>211739</v>
      </c>
      <c r="C8" s="18" t="s">
        <v>44</v>
      </c>
      <c r="D8" s="19" t="s">
        <v>42</v>
      </c>
      <c r="E8" s="17" t="s">
        <v>46</v>
      </c>
      <c r="F8" s="17">
        <v>3</v>
      </c>
      <c r="G8" s="20">
        <v>44195</v>
      </c>
      <c r="H8" s="20">
        <v>44208</v>
      </c>
      <c r="I8" s="20">
        <v>44208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/>
      <c r="Q8" s="18" t="s">
        <v>29</v>
      </c>
      <c r="R8" s="22" t="s">
        <v>29</v>
      </c>
    </row>
    <row r="9" spans="1:18" ht="30" customHeight="1" x14ac:dyDescent="0.25">
      <c r="A9" s="16" t="s">
        <v>30</v>
      </c>
      <c r="B9" s="17">
        <v>211687</v>
      </c>
      <c r="C9" s="18" t="s">
        <v>31</v>
      </c>
      <c r="D9" s="19" t="s">
        <v>47</v>
      </c>
      <c r="E9" s="17" t="s">
        <v>48</v>
      </c>
      <c r="F9" s="17">
        <v>2</v>
      </c>
      <c r="G9" s="20">
        <v>44195</v>
      </c>
      <c r="H9" s="20">
        <v>44208</v>
      </c>
      <c r="I9" s="20">
        <v>44208</v>
      </c>
      <c r="J9" s="21"/>
      <c r="K9" s="18" t="s">
        <v>24</v>
      </c>
      <c r="L9" s="23" t="s">
        <v>25</v>
      </c>
      <c r="M9" s="18" t="s">
        <v>26</v>
      </c>
      <c r="N9" s="18"/>
      <c r="O9" s="18" t="s">
        <v>38</v>
      </c>
      <c r="P9" s="21"/>
      <c r="Q9" s="18" t="s">
        <v>29</v>
      </c>
      <c r="R9" s="22" t="s">
        <v>29</v>
      </c>
    </row>
    <row r="10" spans="1:18" ht="30" customHeight="1" x14ac:dyDescent="0.25">
      <c r="A10" s="16" t="s">
        <v>49</v>
      </c>
      <c r="B10" s="17">
        <v>212138</v>
      </c>
      <c r="C10" s="18" t="s">
        <v>31</v>
      </c>
      <c r="D10" s="19" t="s">
        <v>50</v>
      </c>
      <c r="E10" s="17" t="s">
        <v>51</v>
      </c>
      <c r="F10" s="17">
        <v>1</v>
      </c>
      <c r="G10" s="20">
        <v>44201</v>
      </c>
      <c r="H10" s="20">
        <v>44201</v>
      </c>
      <c r="I10" s="20">
        <v>44201</v>
      </c>
      <c r="J10" s="21"/>
      <c r="K10" s="18" t="s">
        <v>24</v>
      </c>
      <c r="L10" s="23" t="s">
        <v>37</v>
      </c>
      <c r="M10" s="18" t="s">
        <v>26</v>
      </c>
      <c r="N10" s="18"/>
      <c r="O10" s="18" t="s">
        <v>38</v>
      </c>
      <c r="P10" s="21" t="s">
        <v>38</v>
      </c>
      <c r="Q10" s="18" t="s">
        <v>29</v>
      </c>
      <c r="R10" s="22" t="s">
        <v>29</v>
      </c>
    </row>
    <row r="11" spans="1:18" ht="30" customHeight="1" x14ac:dyDescent="0.25">
      <c r="A11" s="16" t="s">
        <v>52</v>
      </c>
      <c r="B11" s="17">
        <v>212488</v>
      </c>
      <c r="C11" s="18" t="s">
        <v>20</v>
      </c>
      <c r="D11" s="19" t="s">
        <v>53</v>
      </c>
      <c r="E11" s="17" t="s">
        <v>33</v>
      </c>
      <c r="F11" s="17">
        <v>1</v>
      </c>
      <c r="G11" s="20">
        <v>44201</v>
      </c>
      <c r="H11" s="20">
        <v>44216</v>
      </c>
      <c r="I11" s="20">
        <v>44216</v>
      </c>
      <c r="J11" s="21"/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/>
      <c r="Q11" s="18" t="s">
        <v>54</v>
      </c>
      <c r="R11" s="22" t="s">
        <v>29</v>
      </c>
    </row>
    <row r="12" spans="1:18" ht="30" customHeight="1" x14ac:dyDescent="0.25">
      <c r="A12" s="16" t="s">
        <v>52</v>
      </c>
      <c r="B12" s="17">
        <v>212488</v>
      </c>
      <c r="C12" s="18" t="s">
        <v>20</v>
      </c>
      <c r="D12" s="19" t="s">
        <v>53</v>
      </c>
      <c r="E12" s="17" t="s">
        <v>55</v>
      </c>
      <c r="F12" s="17">
        <v>12</v>
      </c>
      <c r="G12" s="20">
        <v>44201</v>
      </c>
      <c r="H12" s="20">
        <v>44216</v>
      </c>
      <c r="I12" s="20">
        <v>44216</v>
      </c>
      <c r="J12" s="21" t="s">
        <v>56</v>
      </c>
      <c r="K12" s="18" t="s">
        <v>24</v>
      </c>
      <c r="L12" s="23" t="s">
        <v>25</v>
      </c>
      <c r="M12" s="18" t="s">
        <v>34</v>
      </c>
      <c r="N12" s="18">
        <v>2</v>
      </c>
      <c r="O12" s="18" t="s">
        <v>27</v>
      </c>
      <c r="P12" s="21"/>
      <c r="Q12" s="18" t="s">
        <v>54</v>
      </c>
      <c r="R12" s="22" t="s">
        <v>29</v>
      </c>
    </row>
    <row r="13" spans="1:18" ht="30" customHeight="1" x14ac:dyDescent="0.25">
      <c r="A13" s="16" t="s">
        <v>39</v>
      </c>
      <c r="B13" s="17">
        <v>213540</v>
      </c>
      <c r="C13" s="18" t="s">
        <v>20</v>
      </c>
      <c r="D13" s="19" t="s">
        <v>57</v>
      </c>
      <c r="E13" s="17" t="s">
        <v>46</v>
      </c>
      <c r="F13" s="17">
        <v>1</v>
      </c>
      <c r="G13" s="20">
        <v>44207</v>
      </c>
      <c r="H13" s="20">
        <v>44218</v>
      </c>
      <c r="I13" s="20">
        <v>44218</v>
      </c>
      <c r="J13" s="21"/>
      <c r="K13" s="18" t="s">
        <v>24</v>
      </c>
      <c r="L13" s="23" t="s">
        <v>58</v>
      </c>
      <c r="M13" s="18" t="s">
        <v>26</v>
      </c>
      <c r="N13" s="18">
        <v>2</v>
      </c>
      <c r="O13" s="18" t="s">
        <v>38</v>
      </c>
      <c r="P13" s="21" t="s">
        <v>38</v>
      </c>
      <c r="Q13" s="18" t="s">
        <v>54</v>
      </c>
      <c r="R13" s="22" t="s">
        <v>29</v>
      </c>
    </row>
    <row r="14" spans="1:18" ht="30" customHeight="1" x14ac:dyDescent="0.25">
      <c r="A14" s="16" t="s">
        <v>35</v>
      </c>
      <c r="B14" s="17">
        <v>212314</v>
      </c>
      <c r="C14" s="18" t="s">
        <v>31</v>
      </c>
      <c r="D14" s="19" t="s">
        <v>36</v>
      </c>
      <c r="E14" s="17" t="s">
        <v>59</v>
      </c>
      <c r="F14" s="17">
        <v>1</v>
      </c>
      <c r="G14" s="20">
        <v>44201</v>
      </c>
      <c r="H14" s="20">
        <v>44203</v>
      </c>
      <c r="I14" s="20">
        <v>44203</v>
      </c>
      <c r="J14" s="21"/>
      <c r="K14" s="18" t="s">
        <v>24</v>
      </c>
      <c r="L14" s="23" t="s">
        <v>37</v>
      </c>
      <c r="M14" s="18" t="s">
        <v>34</v>
      </c>
      <c r="N14" s="18"/>
      <c r="O14" s="18" t="s">
        <v>38</v>
      </c>
      <c r="P14" s="21" t="s">
        <v>38</v>
      </c>
      <c r="Q14" s="18" t="s">
        <v>54</v>
      </c>
      <c r="R14" s="22" t="s">
        <v>29</v>
      </c>
    </row>
    <row r="15" spans="1:18" ht="30" customHeight="1" x14ac:dyDescent="0.25">
      <c r="A15" s="16" t="s">
        <v>60</v>
      </c>
      <c r="B15" s="17" t="s">
        <v>61</v>
      </c>
      <c r="C15" s="18" t="s">
        <v>62</v>
      </c>
      <c r="D15" s="19" t="s">
        <v>63</v>
      </c>
      <c r="E15" s="17"/>
      <c r="F15" s="17"/>
      <c r="G15" s="20">
        <v>44215</v>
      </c>
      <c r="H15" s="20">
        <v>44217</v>
      </c>
      <c r="I15" s="20">
        <v>44216</v>
      </c>
      <c r="J15" s="21"/>
      <c r="K15" s="18" t="s">
        <v>24</v>
      </c>
      <c r="L15" s="23"/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215100</v>
      </c>
      <c r="C16" s="18" t="s">
        <v>64</v>
      </c>
      <c r="D16" s="19" t="s">
        <v>65</v>
      </c>
      <c r="E16" s="17" t="s">
        <v>46</v>
      </c>
      <c r="F16" s="17">
        <v>1</v>
      </c>
      <c r="G16" s="20">
        <v>44214</v>
      </c>
      <c r="H16" s="20">
        <v>44214</v>
      </c>
      <c r="I16" s="20">
        <v>44214</v>
      </c>
      <c r="J16" s="21"/>
      <c r="K16" s="18" t="s">
        <v>24</v>
      </c>
      <c r="L16" s="23" t="s">
        <v>58</v>
      </c>
      <c r="M16" s="18" t="s">
        <v>26</v>
      </c>
      <c r="N16" s="18"/>
      <c r="O16" s="18" t="s">
        <v>38</v>
      </c>
      <c r="P16" s="21"/>
      <c r="Q16" s="18" t="s">
        <v>54</v>
      </c>
      <c r="R16" s="22" t="s">
        <v>29</v>
      </c>
    </row>
    <row r="17" spans="1:18" ht="30" customHeight="1" x14ac:dyDescent="0.25">
      <c r="A17" s="16" t="s">
        <v>39</v>
      </c>
      <c r="B17" s="17">
        <v>215100</v>
      </c>
      <c r="C17" s="18" t="s">
        <v>64</v>
      </c>
      <c r="D17" s="19" t="s">
        <v>65</v>
      </c>
      <c r="E17" s="17" t="s">
        <v>22</v>
      </c>
      <c r="F17" s="17">
        <v>1</v>
      </c>
      <c r="G17" s="20">
        <v>44214</v>
      </c>
      <c r="H17" s="20">
        <v>44214</v>
      </c>
      <c r="I17" s="20">
        <v>44214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38</v>
      </c>
      <c r="P17" s="21"/>
      <c r="Q17" s="18" t="s">
        <v>54</v>
      </c>
      <c r="R17" s="22" t="s">
        <v>29</v>
      </c>
    </row>
    <row r="18" spans="1:18" ht="30" customHeight="1" x14ac:dyDescent="0.25">
      <c r="A18" s="16" t="s">
        <v>49</v>
      </c>
      <c r="B18" s="17">
        <v>213706</v>
      </c>
      <c r="C18" s="18" t="s">
        <v>62</v>
      </c>
      <c r="D18" s="19" t="s">
        <v>66</v>
      </c>
      <c r="E18" s="17"/>
      <c r="F18" s="17"/>
      <c r="G18" s="20">
        <v>44214</v>
      </c>
      <c r="H18" s="20">
        <v>44216</v>
      </c>
      <c r="I18" s="20">
        <v>44216</v>
      </c>
      <c r="J18" s="21"/>
      <c r="K18" s="18" t="s">
        <v>24</v>
      </c>
      <c r="L18" s="23" t="s">
        <v>25</v>
      </c>
      <c r="M18" s="18"/>
      <c r="N18" s="18"/>
      <c r="O18" s="18"/>
      <c r="P18" s="21"/>
      <c r="Q18" s="18"/>
      <c r="R18" s="22"/>
    </row>
    <row r="19" spans="1:18" ht="30" customHeight="1" x14ac:dyDescent="0.25">
      <c r="A19" s="16" t="s">
        <v>49</v>
      </c>
      <c r="B19" s="17">
        <v>213706</v>
      </c>
      <c r="C19" s="18" t="s">
        <v>20</v>
      </c>
      <c r="D19" s="19" t="s">
        <v>66</v>
      </c>
      <c r="E19" s="17" t="s">
        <v>67</v>
      </c>
      <c r="F19" s="17">
        <v>1</v>
      </c>
      <c r="G19" s="20">
        <v>44214</v>
      </c>
      <c r="H19" s="20">
        <v>44218</v>
      </c>
      <c r="I19" s="20">
        <v>44218</v>
      </c>
      <c r="J19" s="21"/>
      <c r="K19" s="18" t="s">
        <v>24</v>
      </c>
      <c r="L19" s="23" t="s">
        <v>25</v>
      </c>
      <c r="M19" s="18" t="s">
        <v>26</v>
      </c>
      <c r="N19" s="18"/>
      <c r="O19" s="18" t="s">
        <v>27</v>
      </c>
      <c r="P19" s="21" t="s">
        <v>27</v>
      </c>
      <c r="Q19" s="18" t="s">
        <v>29</v>
      </c>
      <c r="R19" s="22" t="s">
        <v>29</v>
      </c>
    </row>
    <row r="20" spans="1:18" ht="30" customHeight="1" x14ac:dyDescent="0.25">
      <c r="A20" s="16" t="s">
        <v>49</v>
      </c>
      <c r="B20" s="17">
        <v>213706</v>
      </c>
      <c r="C20" s="18" t="s">
        <v>20</v>
      </c>
      <c r="D20" s="19" t="s">
        <v>66</v>
      </c>
      <c r="E20" s="17" t="s">
        <v>22</v>
      </c>
      <c r="F20" s="17">
        <v>1</v>
      </c>
      <c r="G20" s="20">
        <v>44214</v>
      </c>
      <c r="H20" s="20">
        <v>44218</v>
      </c>
      <c r="I20" s="20">
        <v>44218</v>
      </c>
      <c r="J20" s="21"/>
      <c r="K20" s="18" t="s">
        <v>24</v>
      </c>
      <c r="L20" s="23" t="s">
        <v>25</v>
      </c>
      <c r="M20" s="18" t="s">
        <v>26</v>
      </c>
      <c r="N20" s="18"/>
      <c r="O20" s="18" t="s">
        <v>27</v>
      </c>
      <c r="P20" s="21" t="s">
        <v>27</v>
      </c>
      <c r="Q20" s="18" t="s">
        <v>29</v>
      </c>
      <c r="R20" s="22" t="s">
        <v>29</v>
      </c>
    </row>
    <row r="21" spans="1:18" ht="30" customHeight="1" x14ac:dyDescent="0.25">
      <c r="A21" s="16" t="s">
        <v>49</v>
      </c>
      <c r="B21" s="17">
        <v>213706</v>
      </c>
      <c r="C21" s="18" t="s">
        <v>20</v>
      </c>
      <c r="D21" s="19" t="s">
        <v>66</v>
      </c>
      <c r="E21" s="17" t="s">
        <v>41</v>
      </c>
      <c r="F21" s="17">
        <v>4</v>
      </c>
      <c r="G21" s="20">
        <v>44214</v>
      </c>
      <c r="H21" s="20">
        <v>44218</v>
      </c>
      <c r="I21" s="20">
        <v>44218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49</v>
      </c>
      <c r="B22" s="17">
        <v>213706</v>
      </c>
      <c r="C22" s="18" t="s">
        <v>20</v>
      </c>
      <c r="D22" s="19" t="s">
        <v>66</v>
      </c>
      <c r="E22" s="17" t="s">
        <v>68</v>
      </c>
      <c r="F22" s="17">
        <v>1</v>
      </c>
      <c r="G22" s="20">
        <v>44214</v>
      </c>
      <c r="H22" s="20">
        <v>44218</v>
      </c>
      <c r="I22" s="20">
        <v>44218</v>
      </c>
      <c r="J22" s="21"/>
      <c r="K22" s="18" t="s">
        <v>24</v>
      </c>
      <c r="L22" s="23" t="s">
        <v>25</v>
      </c>
      <c r="M22" s="18" t="s">
        <v>26</v>
      </c>
      <c r="N22" s="18"/>
      <c r="O22" s="18" t="s">
        <v>27</v>
      </c>
      <c r="P22" s="21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49</v>
      </c>
      <c r="B23" s="17">
        <v>213706</v>
      </c>
      <c r="C23" s="18" t="s">
        <v>20</v>
      </c>
      <c r="D23" s="19" t="s">
        <v>66</v>
      </c>
      <c r="E23" s="17" t="s">
        <v>67</v>
      </c>
      <c r="F23" s="17">
        <v>1</v>
      </c>
      <c r="G23" s="20">
        <v>44214</v>
      </c>
      <c r="H23" s="20">
        <v>44218</v>
      </c>
      <c r="I23" s="20">
        <v>44218</v>
      </c>
      <c r="J23" s="21"/>
      <c r="K23" s="18" t="s">
        <v>24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49</v>
      </c>
      <c r="B24" s="17">
        <v>213706</v>
      </c>
      <c r="C24" s="18" t="s">
        <v>20</v>
      </c>
      <c r="D24" s="19" t="s">
        <v>66</v>
      </c>
      <c r="E24" s="17" t="s">
        <v>46</v>
      </c>
      <c r="F24" s="17">
        <v>1</v>
      </c>
      <c r="G24" s="20">
        <v>44214</v>
      </c>
      <c r="H24" s="20">
        <v>44218</v>
      </c>
      <c r="I24" s="20">
        <v>44218</v>
      </c>
      <c r="J24" s="21"/>
      <c r="K24" s="18" t="s">
        <v>24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49</v>
      </c>
      <c r="B25" s="17">
        <v>213706</v>
      </c>
      <c r="C25" s="18" t="s">
        <v>20</v>
      </c>
      <c r="D25" s="19" t="s">
        <v>66</v>
      </c>
      <c r="E25" s="17" t="s">
        <v>69</v>
      </c>
      <c r="F25" s="17">
        <v>1</v>
      </c>
      <c r="G25" s="20">
        <v>44214</v>
      </c>
      <c r="H25" s="20">
        <v>44218</v>
      </c>
      <c r="I25" s="20">
        <v>44218</v>
      </c>
      <c r="J25" s="21" t="s">
        <v>70</v>
      </c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29</v>
      </c>
      <c r="R25" s="22" t="s">
        <v>29</v>
      </c>
    </row>
    <row r="26" spans="1:18" ht="30" customHeight="1" x14ac:dyDescent="0.25">
      <c r="A26" s="16" t="s">
        <v>49</v>
      </c>
      <c r="B26" s="17">
        <v>213706</v>
      </c>
      <c r="C26" s="18" t="s">
        <v>20</v>
      </c>
      <c r="D26" s="19" t="s">
        <v>66</v>
      </c>
      <c r="E26" s="17" t="s">
        <v>71</v>
      </c>
      <c r="F26" s="17">
        <v>1</v>
      </c>
      <c r="G26" s="20">
        <v>44214</v>
      </c>
      <c r="H26" s="20">
        <v>44218</v>
      </c>
      <c r="I26" s="20">
        <v>44218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29</v>
      </c>
      <c r="R26" s="22" t="s">
        <v>29</v>
      </c>
    </row>
    <row r="27" spans="1:18" ht="30" customHeight="1" x14ac:dyDescent="0.25">
      <c r="A27" s="16" t="s">
        <v>72</v>
      </c>
      <c r="B27" s="17">
        <v>215204</v>
      </c>
      <c r="C27" s="18" t="s">
        <v>62</v>
      </c>
      <c r="D27" s="19" t="s">
        <v>73</v>
      </c>
      <c r="E27" s="17" t="s">
        <v>74</v>
      </c>
      <c r="F27" s="17"/>
      <c r="G27" s="20">
        <v>44214</v>
      </c>
      <c r="H27" s="20">
        <v>44221</v>
      </c>
      <c r="I27" s="20">
        <v>44221</v>
      </c>
      <c r="J27" s="21" t="s">
        <v>75</v>
      </c>
      <c r="K27" s="18" t="s">
        <v>24</v>
      </c>
      <c r="L27" s="23"/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76</v>
      </c>
      <c r="B28" s="17">
        <v>212635</v>
      </c>
      <c r="C28" s="18" t="s">
        <v>77</v>
      </c>
      <c r="D28" s="19" t="s">
        <v>78</v>
      </c>
      <c r="E28" s="17" t="s">
        <v>79</v>
      </c>
      <c r="F28" s="17">
        <v>1</v>
      </c>
      <c r="G28" s="20">
        <v>44202</v>
      </c>
      <c r="H28" s="20">
        <v>44202</v>
      </c>
      <c r="I28" s="20">
        <v>44202</v>
      </c>
      <c r="J28" s="21"/>
      <c r="K28" s="18" t="s">
        <v>24</v>
      </c>
      <c r="L28" s="23" t="s">
        <v>37</v>
      </c>
      <c r="M28" s="18"/>
      <c r="N28" s="18"/>
      <c r="O28" s="18" t="s">
        <v>38</v>
      </c>
      <c r="P28" s="21"/>
      <c r="Q28" s="18"/>
      <c r="R28" s="22"/>
    </row>
    <row r="29" spans="1:18" ht="30" customHeight="1" x14ac:dyDescent="0.25">
      <c r="A29" s="16" t="s">
        <v>72</v>
      </c>
      <c r="B29" s="17">
        <v>215177</v>
      </c>
      <c r="C29" s="18" t="s">
        <v>64</v>
      </c>
      <c r="D29" s="19" t="s">
        <v>80</v>
      </c>
      <c r="E29" s="17" t="s">
        <v>46</v>
      </c>
      <c r="F29" s="17">
        <v>1</v>
      </c>
      <c r="G29" s="20">
        <v>44214</v>
      </c>
      <c r="H29" s="20">
        <v>44215</v>
      </c>
      <c r="I29" s="20">
        <v>44215</v>
      </c>
      <c r="J29" s="21"/>
      <c r="K29" s="18" t="s">
        <v>24</v>
      </c>
      <c r="L29" s="23" t="s">
        <v>58</v>
      </c>
      <c r="M29" s="18" t="s">
        <v>26</v>
      </c>
      <c r="N29" s="18"/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72</v>
      </c>
      <c r="B30" s="17">
        <v>215177</v>
      </c>
      <c r="C30" s="18" t="s">
        <v>64</v>
      </c>
      <c r="D30" s="19" t="s">
        <v>80</v>
      </c>
      <c r="E30" s="17" t="s">
        <v>22</v>
      </c>
      <c r="F30" s="17">
        <v>1</v>
      </c>
      <c r="G30" s="20">
        <v>44214</v>
      </c>
      <c r="H30" s="20">
        <v>44215</v>
      </c>
      <c r="I30" s="20">
        <v>44215</v>
      </c>
      <c r="J30" s="21"/>
      <c r="K30" s="18" t="s">
        <v>24</v>
      </c>
      <c r="L30" s="23" t="s">
        <v>58</v>
      </c>
      <c r="M30" s="18" t="s">
        <v>26</v>
      </c>
      <c r="N30" s="18"/>
      <c r="O30" s="18" t="s">
        <v>38</v>
      </c>
      <c r="P30" s="21" t="s">
        <v>38</v>
      </c>
      <c r="Q30" s="18" t="s">
        <v>54</v>
      </c>
      <c r="R30" s="22" t="s">
        <v>29</v>
      </c>
    </row>
    <row r="31" spans="1:18" ht="30" customHeight="1" x14ac:dyDescent="0.25">
      <c r="A31" s="16" t="s">
        <v>30</v>
      </c>
      <c r="B31" s="17">
        <v>215444</v>
      </c>
      <c r="C31" s="18" t="s">
        <v>20</v>
      </c>
      <c r="D31" s="19" t="s">
        <v>81</v>
      </c>
      <c r="E31" s="17" t="s">
        <v>68</v>
      </c>
      <c r="F31" s="17">
        <v>4</v>
      </c>
      <c r="G31" s="20">
        <v>44215</v>
      </c>
      <c r="H31" s="20">
        <v>44221</v>
      </c>
      <c r="I31" s="20">
        <v>44221</v>
      </c>
      <c r="J31" s="21"/>
      <c r="K31" s="18" t="s">
        <v>24</v>
      </c>
      <c r="L31" s="23" t="s">
        <v>25</v>
      </c>
      <c r="M31" s="18" t="s">
        <v>26</v>
      </c>
      <c r="N31" s="18"/>
      <c r="O31" s="18" t="s">
        <v>27</v>
      </c>
      <c r="P31" s="21"/>
      <c r="Q31" s="18" t="s">
        <v>54</v>
      </c>
      <c r="R31" s="22" t="s">
        <v>29</v>
      </c>
    </row>
    <row r="32" spans="1:18" ht="30" customHeight="1" x14ac:dyDescent="0.25">
      <c r="A32" s="16" t="s">
        <v>30</v>
      </c>
      <c r="B32" s="17">
        <v>215444</v>
      </c>
      <c r="C32" s="18" t="s">
        <v>20</v>
      </c>
      <c r="D32" s="19" t="s">
        <v>81</v>
      </c>
      <c r="E32" s="17" t="s">
        <v>82</v>
      </c>
      <c r="F32" s="17">
        <v>1</v>
      </c>
      <c r="G32" s="20">
        <v>44215</v>
      </c>
      <c r="H32" s="20">
        <v>44221</v>
      </c>
      <c r="I32" s="20">
        <v>44221</v>
      </c>
      <c r="J32" s="21"/>
      <c r="K32" s="18" t="s">
        <v>24</v>
      </c>
      <c r="L32" s="23" t="s">
        <v>25</v>
      </c>
      <c r="M32" s="18" t="s">
        <v>83</v>
      </c>
      <c r="N32" s="18"/>
      <c r="O32" s="18" t="s">
        <v>27</v>
      </c>
      <c r="P32" s="21"/>
      <c r="Q32" s="18" t="s">
        <v>54</v>
      </c>
      <c r="R32" s="22" t="s">
        <v>29</v>
      </c>
    </row>
    <row r="33" spans="1:18" ht="30" customHeight="1" x14ac:dyDescent="0.25">
      <c r="A33" s="16" t="s">
        <v>30</v>
      </c>
      <c r="B33" s="17">
        <v>215444</v>
      </c>
      <c r="C33" s="18" t="s">
        <v>20</v>
      </c>
      <c r="D33" s="19" t="s">
        <v>81</v>
      </c>
      <c r="E33" s="17" t="s">
        <v>22</v>
      </c>
      <c r="F33" s="17">
        <v>1</v>
      </c>
      <c r="G33" s="20">
        <v>44215</v>
      </c>
      <c r="H33" s="20">
        <v>44221</v>
      </c>
      <c r="I33" s="20">
        <v>44221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27</v>
      </c>
      <c r="P33" s="21"/>
      <c r="Q33" s="18" t="s">
        <v>54</v>
      </c>
      <c r="R33" s="22" t="s">
        <v>29</v>
      </c>
    </row>
    <row r="34" spans="1:18" ht="30" customHeight="1" x14ac:dyDescent="0.25">
      <c r="A34" s="16" t="s">
        <v>30</v>
      </c>
      <c r="B34" s="17">
        <v>215444</v>
      </c>
      <c r="C34" s="18" t="s">
        <v>20</v>
      </c>
      <c r="D34" s="19" t="s">
        <v>81</v>
      </c>
      <c r="E34" s="17" t="s">
        <v>84</v>
      </c>
      <c r="F34" s="17">
        <v>3</v>
      </c>
      <c r="G34" s="20">
        <v>44215</v>
      </c>
      <c r="H34" s="20">
        <v>44221</v>
      </c>
      <c r="I34" s="20">
        <v>44221</v>
      </c>
      <c r="J34" s="21"/>
      <c r="K34" s="18" t="s">
        <v>24</v>
      </c>
      <c r="L34" s="23" t="s">
        <v>37</v>
      </c>
      <c r="M34" s="18" t="s">
        <v>26</v>
      </c>
      <c r="N34" s="18"/>
      <c r="O34" s="18" t="s">
        <v>27</v>
      </c>
      <c r="P34" s="21"/>
      <c r="Q34" s="18" t="s">
        <v>54</v>
      </c>
      <c r="R34" s="22" t="s">
        <v>29</v>
      </c>
    </row>
    <row r="35" spans="1:18" ht="30" customHeight="1" x14ac:dyDescent="0.25">
      <c r="A35" s="16" t="s">
        <v>60</v>
      </c>
      <c r="B35" s="17" t="s">
        <v>61</v>
      </c>
      <c r="C35" s="18" t="s">
        <v>20</v>
      </c>
      <c r="D35" s="19" t="s">
        <v>85</v>
      </c>
      <c r="E35" s="17" t="s">
        <v>86</v>
      </c>
      <c r="F35" s="17"/>
      <c r="G35" s="20">
        <v>44215</v>
      </c>
      <c r="H35" s="20">
        <v>44217</v>
      </c>
      <c r="I35" s="20">
        <v>44216</v>
      </c>
      <c r="J35" s="21"/>
      <c r="K35" s="18" t="s">
        <v>24</v>
      </c>
      <c r="L35" s="23"/>
      <c r="M35" s="18"/>
      <c r="N35" s="18"/>
      <c r="O35" s="18"/>
      <c r="P35" s="21"/>
      <c r="Q35" s="18"/>
      <c r="R35" s="22"/>
    </row>
    <row r="36" spans="1:18" ht="30" customHeight="1" x14ac:dyDescent="0.25">
      <c r="A36" s="16" t="s">
        <v>87</v>
      </c>
      <c r="B36" s="17">
        <v>213062</v>
      </c>
      <c r="C36" s="18" t="s">
        <v>64</v>
      </c>
      <c r="D36" s="19" t="s">
        <v>88</v>
      </c>
      <c r="E36" s="17" t="s">
        <v>69</v>
      </c>
      <c r="F36" s="17">
        <v>1</v>
      </c>
      <c r="G36" s="20">
        <v>44203</v>
      </c>
      <c r="H36" s="20">
        <v>44209</v>
      </c>
      <c r="I36" s="20">
        <v>44208</v>
      </c>
      <c r="J36" s="21"/>
      <c r="K36" s="18" t="s">
        <v>24</v>
      </c>
      <c r="L36" s="23" t="s">
        <v>45</v>
      </c>
      <c r="M36" s="18" t="s">
        <v>26</v>
      </c>
      <c r="N36" s="18">
        <v>0</v>
      </c>
      <c r="O36" s="18" t="s">
        <v>38</v>
      </c>
      <c r="P36" s="21"/>
      <c r="Q36" s="18"/>
      <c r="R36" s="22"/>
    </row>
    <row r="37" spans="1:18" ht="30" customHeight="1" x14ac:dyDescent="0.25">
      <c r="A37" s="16" t="s">
        <v>87</v>
      </c>
      <c r="B37" s="17">
        <v>213062</v>
      </c>
      <c r="C37" s="18" t="s">
        <v>64</v>
      </c>
      <c r="D37" s="19" t="s">
        <v>88</v>
      </c>
      <c r="E37" s="17" t="s">
        <v>46</v>
      </c>
      <c r="F37" s="17">
        <v>1</v>
      </c>
      <c r="G37" s="20">
        <v>44203</v>
      </c>
      <c r="H37" s="20">
        <v>44209</v>
      </c>
      <c r="I37" s="20">
        <v>44208</v>
      </c>
      <c r="J37" s="21"/>
      <c r="K37" s="18" t="s">
        <v>24</v>
      </c>
      <c r="L37" s="23" t="s">
        <v>45</v>
      </c>
      <c r="M37" s="18" t="s">
        <v>26</v>
      </c>
      <c r="N37" s="18">
        <v>0</v>
      </c>
      <c r="O37" s="18" t="s">
        <v>38</v>
      </c>
      <c r="P37" s="21"/>
      <c r="Q37" s="18"/>
      <c r="R37" s="22"/>
    </row>
    <row r="38" spans="1:18" ht="30" customHeight="1" x14ac:dyDescent="0.25">
      <c r="A38" s="16"/>
      <c r="B38" s="17">
        <v>213540</v>
      </c>
      <c r="C38" s="18" t="s">
        <v>62</v>
      </c>
      <c r="D38" s="19" t="s">
        <v>57</v>
      </c>
      <c r="E38" s="17"/>
      <c r="F38" s="17">
        <v>3</v>
      </c>
      <c r="G38" s="20">
        <v>44208</v>
      </c>
      <c r="H38" s="20">
        <v>44211</v>
      </c>
      <c r="I38" s="20">
        <v>44211</v>
      </c>
      <c r="J38" s="21"/>
      <c r="K38" s="18" t="s">
        <v>24</v>
      </c>
      <c r="L38" s="23"/>
      <c r="M38" s="18"/>
      <c r="N38" s="18"/>
      <c r="O38" s="18"/>
      <c r="P38" s="21"/>
      <c r="Q38" s="18"/>
      <c r="R38" s="22"/>
    </row>
    <row r="39" spans="1:18" ht="30" customHeight="1" x14ac:dyDescent="0.25">
      <c r="A39" s="16" t="s">
        <v>19</v>
      </c>
      <c r="B39" s="17">
        <v>213788</v>
      </c>
      <c r="C39" s="18" t="s">
        <v>62</v>
      </c>
      <c r="D39" s="19" t="s">
        <v>89</v>
      </c>
      <c r="E39" s="17" t="s">
        <v>74</v>
      </c>
      <c r="F39" s="17"/>
      <c r="G39" s="20">
        <v>44208</v>
      </c>
      <c r="H39" s="20">
        <v>44208</v>
      </c>
      <c r="I39" s="20">
        <v>44211</v>
      </c>
      <c r="J39" s="21"/>
      <c r="K39" s="18" t="s">
        <v>24</v>
      </c>
      <c r="L39" s="23" t="s">
        <v>25</v>
      </c>
      <c r="M39" s="18"/>
      <c r="N39" s="18"/>
      <c r="O39" s="18"/>
      <c r="P39" s="21"/>
      <c r="Q39" s="18"/>
      <c r="R39" s="22"/>
    </row>
    <row r="40" spans="1:18" ht="30" customHeight="1" x14ac:dyDescent="0.25">
      <c r="A40" s="16" t="s">
        <v>39</v>
      </c>
      <c r="B40" s="17">
        <v>210519</v>
      </c>
      <c r="C40" s="18" t="s">
        <v>44</v>
      </c>
      <c r="D40" s="19" t="s">
        <v>90</v>
      </c>
      <c r="E40" s="17" t="s">
        <v>91</v>
      </c>
      <c r="F40" s="17">
        <v>1</v>
      </c>
      <c r="G40" s="20">
        <v>44208</v>
      </c>
      <c r="H40" s="20">
        <v>44211</v>
      </c>
      <c r="I40" s="20">
        <v>44210</v>
      </c>
      <c r="J40" s="21"/>
      <c r="K40" s="18" t="s">
        <v>24</v>
      </c>
      <c r="L40" s="23"/>
      <c r="M40" s="18"/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39</v>
      </c>
      <c r="B41" s="17" t="s">
        <v>61</v>
      </c>
      <c r="C41" s="18" t="s">
        <v>44</v>
      </c>
      <c r="D41" s="19" t="s">
        <v>42</v>
      </c>
      <c r="E41" s="17" t="s">
        <v>46</v>
      </c>
      <c r="F41" s="17">
        <v>3</v>
      </c>
      <c r="G41" s="20">
        <v>44206</v>
      </c>
      <c r="H41" s="20">
        <v>44208</v>
      </c>
      <c r="I41" s="20">
        <v>44208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/>
      <c r="Q41" s="18" t="s">
        <v>29</v>
      </c>
      <c r="R41" s="22" t="s">
        <v>29</v>
      </c>
    </row>
    <row r="42" spans="1:18" ht="30" customHeight="1" x14ac:dyDescent="0.25">
      <c r="A42" s="16" t="s">
        <v>39</v>
      </c>
      <c r="B42" s="17" t="s">
        <v>61</v>
      </c>
      <c r="C42" s="18" t="s">
        <v>44</v>
      </c>
      <c r="D42" s="19" t="s">
        <v>42</v>
      </c>
      <c r="E42" s="17" t="s">
        <v>22</v>
      </c>
      <c r="F42" s="17">
        <v>3</v>
      </c>
      <c r="G42" s="20">
        <v>44206</v>
      </c>
      <c r="H42" s="20">
        <v>44208</v>
      </c>
      <c r="I42" s="20">
        <v>44208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/>
      <c r="Q42" s="18" t="s">
        <v>29</v>
      </c>
      <c r="R42" s="22" t="s">
        <v>29</v>
      </c>
    </row>
    <row r="43" spans="1:18" ht="30" customHeight="1" x14ac:dyDescent="0.25">
      <c r="A43" s="16" t="s">
        <v>49</v>
      </c>
      <c r="B43" s="17">
        <v>200660</v>
      </c>
      <c r="C43" s="18" t="s">
        <v>64</v>
      </c>
      <c r="D43" s="19" t="s">
        <v>92</v>
      </c>
      <c r="E43" s="17" t="s">
        <v>93</v>
      </c>
      <c r="F43" s="17">
        <v>1</v>
      </c>
      <c r="G43" s="20">
        <v>44201</v>
      </c>
      <c r="H43" s="20">
        <v>44207</v>
      </c>
      <c r="I43" s="20">
        <v>44202</v>
      </c>
      <c r="J43" s="21"/>
      <c r="K43" s="18" t="s">
        <v>24</v>
      </c>
      <c r="L43" s="23" t="s">
        <v>45</v>
      </c>
      <c r="M43" s="18" t="s">
        <v>26</v>
      </c>
      <c r="N43" s="18">
        <v>0</v>
      </c>
      <c r="O43" s="18" t="s">
        <v>27</v>
      </c>
      <c r="P43" s="21"/>
      <c r="Q43" s="18"/>
      <c r="R43" s="22"/>
    </row>
    <row r="44" spans="1:18" ht="30" customHeight="1" x14ac:dyDescent="0.25">
      <c r="A44" s="16" t="s">
        <v>49</v>
      </c>
      <c r="B44" s="17">
        <v>212138</v>
      </c>
      <c r="C44" s="18" t="s">
        <v>31</v>
      </c>
      <c r="D44" s="19" t="s">
        <v>50</v>
      </c>
      <c r="E44" s="17" t="s">
        <v>94</v>
      </c>
      <c r="F44" s="17">
        <v>4</v>
      </c>
      <c r="G44" s="20">
        <v>44201</v>
      </c>
      <c r="H44" s="20">
        <v>44203</v>
      </c>
      <c r="I44" s="20">
        <v>44203</v>
      </c>
      <c r="J44" s="21"/>
      <c r="K44" s="18" t="s">
        <v>24</v>
      </c>
      <c r="L44" s="23" t="s">
        <v>37</v>
      </c>
      <c r="M44" s="18"/>
      <c r="N44" s="18"/>
      <c r="O44" s="18" t="s">
        <v>38</v>
      </c>
      <c r="P44" s="21"/>
      <c r="Q44" s="18"/>
      <c r="R44" s="22"/>
    </row>
    <row r="45" spans="1:18" ht="30" customHeight="1" x14ac:dyDescent="0.25">
      <c r="A45" s="16" t="s">
        <v>39</v>
      </c>
      <c r="B45" s="17" t="s">
        <v>61</v>
      </c>
      <c r="C45" s="18" t="s">
        <v>44</v>
      </c>
      <c r="D45" s="19" t="s">
        <v>95</v>
      </c>
      <c r="E45" s="17" t="s">
        <v>33</v>
      </c>
      <c r="F45" s="17">
        <v>8</v>
      </c>
      <c r="G45" s="20">
        <v>44201</v>
      </c>
      <c r="H45" s="20">
        <v>44207</v>
      </c>
      <c r="I45" s="20">
        <v>44207</v>
      </c>
      <c r="J45" s="21"/>
      <c r="K45" s="18" t="s">
        <v>24</v>
      </c>
      <c r="L45" s="23"/>
      <c r="M45" s="18"/>
      <c r="N45" s="18"/>
      <c r="O45" s="18" t="s">
        <v>38</v>
      </c>
      <c r="P45" s="21"/>
      <c r="Q45" s="18"/>
      <c r="R45" s="22"/>
    </row>
    <row r="46" spans="1:18" ht="30" customHeight="1" x14ac:dyDescent="0.25">
      <c r="A46" s="16" t="s">
        <v>96</v>
      </c>
      <c r="B46" s="17">
        <v>211866</v>
      </c>
      <c r="C46" s="18" t="s">
        <v>64</v>
      </c>
      <c r="D46" s="19" t="s">
        <v>97</v>
      </c>
      <c r="E46" s="17" t="s">
        <v>98</v>
      </c>
      <c r="F46" s="17">
        <v>1</v>
      </c>
      <c r="G46" s="20">
        <v>44200</v>
      </c>
      <c r="H46" s="20">
        <v>44201</v>
      </c>
      <c r="I46" s="20">
        <v>44201</v>
      </c>
      <c r="J46" s="21"/>
      <c r="K46" s="18" t="s">
        <v>24</v>
      </c>
      <c r="L46" s="23" t="s">
        <v>37</v>
      </c>
      <c r="M46" s="18" t="s">
        <v>26</v>
      </c>
      <c r="N46" s="18">
        <v>0</v>
      </c>
      <c r="O46" s="18" t="s">
        <v>38</v>
      </c>
      <c r="P46" s="21"/>
      <c r="Q46" s="18" t="s">
        <v>54</v>
      </c>
      <c r="R46" s="22" t="s">
        <v>54</v>
      </c>
    </row>
    <row r="47" spans="1:18" ht="30" customHeight="1" x14ac:dyDescent="0.25">
      <c r="A47" s="16" t="s">
        <v>39</v>
      </c>
      <c r="B47" s="17" t="s">
        <v>61</v>
      </c>
      <c r="C47" s="18" t="s">
        <v>77</v>
      </c>
      <c r="D47" s="19" t="s">
        <v>99</v>
      </c>
      <c r="E47" s="17" t="s">
        <v>79</v>
      </c>
      <c r="F47" s="17">
        <v>1</v>
      </c>
      <c r="G47" s="20">
        <v>44200</v>
      </c>
      <c r="H47" s="20">
        <v>44202</v>
      </c>
      <c r="I47" s="20">
        <v>44202</v>
      </c>
      <c r="J47" s="21"/>
      <c r="K47" s="18" t="s">
        <v>24</v>
      </c>
      <c r="L47" s="23" t="s">
        <v>25</v>
      </c>
      <c r="M47" s="18" t="s">
        <v>34</v>
      </c>
      <c r="N47" s="18"/>
      <c r="O47" s="18" t="s">
        <v>27</v>
      </c>
      <c r="P47" s="21" t="s">
        <v>27</v>
      </c>
      <c r="Q47" s="18"/>
      <c r="R47" s="22"/>
    </row>
    <row r="48" spans="1:18" ht="30" customHeight="1" x14ac:dyDescent="0.25">
      <c r="A48" s="16" t="s">
        <v>76</v>
      </c>
      <c r="B48" s="17">
        <v>215702</v>
      </c>
      <c r="C48" s="18" t="s">
        <v>100</v>
      </c>
      <c r="D48" s="19" t="s">
        <v>101</v>
      </c>
      <c r="E48" s="17" t="s">
        <v>102</v>
      </c>
      <c r="F48" s="17">
        <v>1</v>
      </c>
      <c r="G48" s="20">
        <v>44216</v>
      </c>
      <c r="H48" s="20">
        <v>44225</v>
      </c>
      <c r="I48" s="20">
        <v>44225</v>
      </c>
      <c r="J48" s="21" t="s">
        <v>103</v>
      </c>
      <c r="K48" s="18" t="s">
        <v>24</v>
      </c>
      <c r="L48" s="23" t="s">
        <v>45</v>
      </c>
      <c r="M48" s="18" t="s">
        <v>26</v>
      </c>
      <c r="N48" s="18">
        <v>1</v>
      </c>
      <c r="O48" s="18" t="s">
        <v>38</v>
      </c>
      <c r="P48" s="21" t="s">
        <v>38</v>
      </c>
      <c r="Q48" s="18" t="s">
        <v>54</v>
      </c>
      <c r="R48" s="22" t="s">
        <v>29</v>
      </c>
    </row>
    <row r="49" spans="1:18" ht="30" customHeight="1" x14ac:dyDescent="0.25">
      <c r="A49" s="16" t="s">
        <v>76</v>
      </c>
      <c r="B49" s="17">
        <v>215702</v>
      </c>
      <c r="C49" s="18" t="s">
        <v>100</v>
      </c>
      <c r="D49" s="19" t="s">
        <v>101</v>
      </c>
      <c r="E49" s="17" t="s">
        <v>104</v>
      </c>
      <c r="F49" s="17">
        <v>1</v>
      </c>
      <c r="G49" s="20">
        <v>44216</v>
      </c>
      <c r="H49" s="20">
        <v>44225</v>
      </c>
      <c r="I49" s="20">
        <v>44225</v>
      </c>
      <c r="J49" s="21" t="s">
        <v>103</v>
      </c>
      <c r="K49" s="18" t="s">
        <v>24</v>
      </c>
      <c r="L49" s="23" t="s">
        <v>58</v>
      </c>
      <c r="M49" s="18" t="s">
        <v>26</v>
      </c>
      <c r="N49" s="18">
        <v>1</v>
      </c>
      <c r="O49" s="18" t="s">
        <v>38</v>
      </c>
      <c r="P49" s="21" t="s">
        <v>38</v>
      </c>
      <c r="Q49" s="18" t="s">
        <v>54</v>
      </c>
      <c r="R49" s="22"/>
    </row>
    <row r="50" spans="1:18" ht="30" customHeight="1" x14ac:dyDescent="0.25">
      <c r="A50" s="16" t="s">
        <v>76</v>
      </c>
      <c r="B50" s="17">
        <v>215702</v>
      </c>
      <c r="C50" s="18" t="s">
        <v>100</v>
      </c>
      <c r="D50" s="19" t="s">
        <v>101</v>
      </c>
      <c r="E50" s="17" t="s">
        <v>105</v>
      </c>
      <c r="F50" s="17">
        <v>1</v>
      </c>
      <c r="G50" s="20">
        <v>44216</v>
      </c>
      <c r="H50" s="20">
        <v>44225</v>
      </c>
      <c r="I50" s="20">
        <v>44225</v>
      </c>
      <c r="J50" s="21" t="s">
        <v>103</v>
      </c>
      <c r="K50" s="18" t="s">
        <v>24</v>
      </c>
      <c r="L50" s="23" t="s">
        <v>58</v>
      </c>
      <c r="M50" s="18" t="s">
        <v>26</v>
      </c>
      <c r="N50" s="18">
        <v>1</v>
      </c>
      <c r="O50" s="18" t="s">
        <v>38</v>
      </c>
      <c r="P50" s="21" t="s">
        <v>38</v>
      </c>
      <c r="Q50" s="18" t="s">
        <v>54</v>
      </c>
      <c r="R50" s="22"/>
    </row>
    <row r="51" spans="1:18" ht="30" customHeight="1" x14ac:dyDescent="0.25">
      <c r="A51" s="16" t="s">
        <v>76</v>
      </c>
      <c r="B51" s="17">
        <v>215702</v>
      </c>
      <c r="C51" s="18" t="s">
        <v>100</v>
      </c>
      <c r="D51" s="19" t="s">
        <v>101</v>
      </c>
      <c r="E51" s="17" t="s">
        <v>106</v>
      </c>
      <c r="F51" s="17">
        <v>4</v>
      </c>
      <c r="G51" s="20">
        <v>44216</v>
      </c>
      <c r="H51" s="20">
        <v>44225</v>
      </c>
      <c r="I51" s="20">
        <v>44225</v>
      </c>
      <c r="J51" s="21" t="s">
        <v>103</v>
      </c>
      <c r="K51" s="18" t="s">
        <v>24</v>
      </c>
      <c r="L51" s="23" t="s">
        <v>58</v>
      </c>
      <c r="M51" s="18" t="s">
        <v>26</v>
      </c>
      <c r="N51" s="18">
        <v>1</v>
      </c>
      <c r="O51" s="18" t="s">
        <v>38</v>
      </c>
      <c r="P51" s="21" t="s">
        <v>38</v>
      </c>
      <c r="Q51" s="18" t="s">
        <v>54</v>
      </c>
      <c r="R51" s="22" t="s">
        <v>29</v>
      </c>
    </row>
    <row r="52" spans="1:18" ht="30" customHeight="1" x14ac:dyDescent="0.25">
      <c r="A52" s="16" t="s">
        <v>76</v>
      </c>
      <c r="B52" s="17">
        <v>215702</v>
      </c>
      <c r="C52" s="18" t="s">
        <v>100</v>
      </c>
      <c r="D52" s="19" t="s">
        <v>101</v>
      </c>
      <c r="E52" s="17" t="s">
        <v>107</v>
      </c>
      <c r="F52" s="17">
        <v>3</v>
      </c>
      <c r="G52" s="20">
        <v>44216</v>
      </c>
      <c r="H52" s="20">
        <v>44225</v>
      </c>
      <c r="I52" s="20">
        <v>44225</v>
      </c>
      <c r="J52" s="21" t="s">
        <v>103</v>
      </c>
      <c r="K52" s="18" t="s">
        <v>24</v>
      </c>
      <c r="L52" s="23" t="s">
        <v>58</v>
      </c>
      <c r="M52" s="18" t="s">
        <v>26</v>
      </c>
      <c r="N52" s="18">
        <v>1</v>
      </c>
      <c r="O52" s="18" t="s">
        <v>38</v>
      </c>
      <c r="P52" s="21" t="s">
        <v>38</v>
      </c>
      <c r="Q52" s="18" t="s">
        <v>54</v>
      </c>
      <c r="R52" s="22" t="s">
        <v>29</v>
      </c>
    </row>
    <row r="53" spans="1:18" ht="30" customHeight="1" x14ac:dyDescent="0.25">
      <c r="A53" s="16" t="s">
        <v>76</v>
      </c>
      <c r="B53" s="17">
        <v>215702</v>
      </c>
      <c r="C53" s="18" t="s">
        <v>100</v>
      </c>
      <c r="D53" s="19" t="s">
        <v>101</v>
      </c>
      <c r="E53" s="17" t="s">
        <v>46</v>
      </c>
      <c r="F53" s="17">
        <v>1</v>
      </c>
      <c r="G53" s="20">
        <v>44216</v>
      </c>
      <c r="H53" s="20">
        <v>44225</v>
      </c>
      <c r="I53" s="20">
        <v>44225</v>
      </c>
      <c r="J53" s="21" t="s">
        <v>103</v>
      </c>
      <c r="K53" s="18" t="s">
        <v>24</v>
      </c>
      <c r="L53" s="23" t="s">
        <v>58</v>
      </c>
      <c r="M53" s="18" t="s">
        <v>26</v>
      </c>
      <c r="N53" s="18">
        <v>1</v>
      </c>
      <c r="O53" s="18" t="s">
        <v>38</v>
      </c>
      <c r="P53" s="21" t="s">
        <v>38</v>
      </c>
      <c r="Q53" s="18" t="s">
        <v>54</v>
      </c>
      <c r="R53" s="22" t="s">
        <v>29</v>
      </c>
    </row>
    <row r="54" spans="1:18" ht="30" customHeight="1" x14ac:dyDescent="0.25">
      <c r="A54" s="16" t="s">
        <v>39</v>
      </c>
      <c r="B54" s="17">
        <v>215245</v>
      </c>
      <c r="C54" s="18" t="s">
        <v>64</v>
      </c>
      <c r="D54" s="19" t="s">
        <v>108</v>
      </c>
      <c r="E54" s="17" t="s">
        <v>46</v>
      </c>
      <c r="F54" s="17">
        <v>1</v>
      </c>
      <c r="G54" s="20">
        <v>44214</v>
      </c>
      <c r="H54" s="20">
        <v>44217</v>
      </c>
      <c r="I54" s="20">
        <v>44217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customHeight="1" x14ac:dyDescent="0.25">
      <c r="A55" s="16" t="s">
        <v>39</v>
      </c>
      <c r="B55" s="17">
        <v>215245</v>
      </c>
      <c r="C55" s="18" t="s">
        <v>64</v>
      </c>
      <c r="D55" s="19" t="s">
        <v>108</v>
      </c>
      <c r="E55" s="17" t="s">
        <v>22</v>
      </c>
      <c r="F55" s="17">
        <v>1</v>
      </c>
      <c r="G55" s="20">
        <v>44214</v>
      </c>
      <c r="H55" s="20">
        <v>44217</v>
      </c>
      <c r="I55" s="20">
        <v>44217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54</v>
      </c>
      <c r="R55" s="22" t="s">
        <v>29</v>
      </c>
    </row>
    <row r="56" spans="1:18" ht="30" customHeight="1" x14ac:dyDescent="0.25">
      <c r="A56" s="16" t="s">
        <v>39</v>
      </c>
      <c r="B56" s="17">
        <v>215855</v>
      </c>
      <c r="C56" s="18" t="s">
        <v>20</v>
      </c>
      <c r="D56" s="19" t="s">
        <v>109</v>
      </c>
      <c r="E56" s="17" t="s">
        <v>110</v>
      </c>
      <c r="F56" s="17">
        <v>2</v>
      </c>
      <c r="G56" s="20">
        <v>44216</v>
      </c>
      <c r="H56" s="20">
        <v>44218</v>
      </c>
      <c r="I56" s="20">
        <v>44218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 t="s">
        <v>27</v>
      </c>
      <c r="Q56" s="18" t="s">
        <v>54</v>
      </c>
      <c r="R56" s="22" t="s">
        <v>29</v>
      </c>
    </row>
    <row r="57" spans="1:18" ht="30" customHeight="1" x14ac:dyDescent="0.25">
      <c r="A57" s="16" t="s">
        <v>39</v>
      </c>
      <c r="B57" s="17">
        <v>215855</v>
      </c>
      <c r="C57" s="18" t="s">
        <v>20</v>
      </c>
      <c r="D57" s="19" t="s">
        <v>109</v>
      </c>
      <c r="E57" s="17" t="s">
        <v>111</v>
      </c>
      <c r="F57" s="17">
        <v>1</v>
      </c>
      <c r="G57" s="20">
        <v>44216</v>
      </c>
      <c r="H57" s="20">
        <v>44218</v>
      </c>
      <c r="I57" s="20">
        <v>44218</v>
      </c>
      <c r="J57" s="21" t="s">
        <v>112</v>
      </c>
      <c r="K57" s="18" t="s">
        <v>24</v>
      </c>
      <c r="L57" s="23" t="s">
        <v>45</v>
      </c>
      <c r="M57" s="18" t="s">
        <v>26</v>
      </c>
      <c r="N57" s="18">
        <v>1</v>
      </c>
      <c r="O57" s="18" t="s">
        <v>27</v>
      </c>
      <c r="P57" s="21" t="s">
        <v>27</v>
      </c>
      <c r="Q57" s="18" t="s">
        <v>54</v>
      </c>
      <c r="R57" s="22" t="s">
        <v>29</v>
      </c>
    </row>
    <row r="58" spans="1:18" ht="30" customHeight="1" x14ac:dyDescent="0.25">
      <c r="A58" s="16" t="s">
        <v>39</v>
      </c>
      <c r="B58" s="17">
        <v>215855</v>
      </c>
      <c r="C58" s="18" t="s">
        <v>20</v>
      </c>
      <c r="D58" s="19" t="s">
        <v>109</v>
      </c>
      <c r="E58" s="17" t="s">
        <v>104</v>
      </c>
      <c r="F58" s="17">
        <v>1</v>
      </c>
      <c r="G58" s="20">
        <v>44216</v>
      </c>
      <c r="H58" s="20">
        <v>44218</v>
      </c>
      <c r="I58" s="20">
        <v>44222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 t="s">
        <v>27</v>
      </c>
      <c r="Q58" s="18" t="s">
        <v>54</v>
      </c>
      <c r="R58" s="22" t="s">
        <v>29</v>
      </c>
    </row>
    <row r="59" spans="1:18" ht="30" customHeight="1" x14ac:dyDescent="0.25">
      <c r="A59" s="16" t="s">
        <v>39</v>
      </c>
      <c r="B59" s="17">
        <v>215855</v>
      </c>
      <c r="C59" s="18" t="s">
        <v>20</v>
      </c>
      <c r="D59" s="19" t="s">
        <v>109</v>
      </c>
      <c r="E59" s="17" t="s">
        <v>55</v>
      </c>
      <c r="F59" s="17">
        <v>2</v>
      </c>
      <c r="G59" s="20">
        <v>44216</v>
      </c>
      <c r="H59" s="20">
        <v>44218</v>
      </c>
      <c r="I59" s="20">
        <v>44222</v>
      </c>
      <c r="J59" s="21" t="s">
        <v>113</v>
      </c>
      <c r="K59" s="18" t="s">
        <v>24</v>
      </c>
      <c r="L59" s="23" t="s">
        <v>45</v>
      </c>
      <c r="M59" s="18" t="s">
        <v>26</v>
      </c>
      <c r="N59" s="18"/>
      <c r="O59" s="18" t="s">
        <v>27</v>
      </c>
      <c r="P59" s="21" t="s">
        <v>27</v>
      </c>
      <c r="Q59" s="18" t="s">
        <v>54</v>
      </c>
      <c r="R59" s="22" t="s">
        <v>29</v>
      </c>
    </row>
    <row r="60" spans="1:18" ht="30" customHeight="1" x14ac:dyDescent="0.25">
      <c r="A60" s="16" t="s">
        <v>39</v>
      </c>
      <c r="B60" s="17">
        <v>215855</v>
      </c>
      <c r="C60" s="18" t="s">
        <v>20</v>
      </c>
      <c r="D60" s="19" t="s">
        <v>109</v>
      </c>
      <c r="E60" s="17" t="s">
        <v>22</v>
      </c>
      <c r="F60" s="17">
        <v>1</v>
      </c>
      <c r="G60" s="20">
        <v>44216</v>
      </c>
      <c r="H60" s="20">
        <v>44218</v>
      </c>
      <c r="I60" s="20">
        <v>44222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 t="s">
        <v>27</v>
      </c>
      <c r="Q60" s="18" t="s">
        <v>54</v>
      </c>
      <c r="R60" s="22" t="s">
        <v>29</v>
      </c>
    </row>
    <row r="61" spans="1:18" ht="30" customHeight="1" x14ac:dyDescent="0.25">
      <c r="A61" s="16" t="s">
        <v>39</v>
      </c>
      <c r="B61" s="17">
        <v>215855</v>
      </c>
      <c r="C61" s="18" t="s">
        <v>20</v>
      </c>
      <c r="D61" s="19" t="s">
        <v>109</v>
      </c>
      <c r="E61" s="17" t="s">
        <v>114</v>
      </c>
      <c r="F61" s="17">
        <v>1</v>
      </c>
      <c r="G61" s="20">
        <v>44216</v>
      </c>
      <c r="H61" s="20">
        <v>44218</v>
      </c>
      <c r="I61" s="20">
        <v>44222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27</v>
      </c>
      <c r="P61" s="21" t="s">
        <v>27</v>
      </c>
      <c r="Q61" s="18" t="s">
        <v>54</v>
      </c>
      <c r="R61" s="22" t="s">
        <v>29</v>
      </c>
    </row>
    <row r="62" spans="1:18" ht="30" customHeight="1" x14ac:dyDescent="0.25">
      <c r="A62" s="16" t="s">
        <v>39</v>
      </c>
      <c r="B62" s="17">
        <v>215855</v>
      </c>
      <c r="C62" s="18" t="s">
        <v>20</v>
      </c>
      <c r="D62" s="19" t="s">
        <v>109</v>
      </c>
      <c r="E62" s="17" t="s">
        <v>82</v>
      </c>
      <c r="F62" s="17">
        <v>2</v>
      </c>
      <c r="G62" s="20">
        <v>44216</v>
      </c>
      <c r="H62" s="20">
        <v>44218</v>
      </c>
      <c r="I62" s="20">
        <v>44222</v>
      </c>
      <c r="J62" s="21"/>
      <c r="K62" s="18" t="s">
        <v>24</v>
      </c>
      <c r="L62" s="23" t="s">
        <v>25</v>
      </c>
      <c r="M62" s="18" t="s">
        <v>26</v>
      </c>
      <c r="N62" s="18"/>
      <c r="O62" s="18" t="s">
        <v>27</v>
      </c>
      <c r="P62" s="21" t="s">
        <v>27</v>
      </c>
      <c r="Q62" s="18" t="s">
        <v>54</v>
      </c>
      <c r="R62" s="22" t="s">
        <v>29</v>
      </c>
    </row>
    <row r="63" spans="1:18" ht="30" customHeight="1" x14ac:dyDescent="0.25">
      <c r="A63" s="16" t="s">
        <v>39</v>
      </c>
      <c r="B63" s="17">
        <v>215855</v>
      </c>
      <c r="C63" s="18" t="s">
        <v>20</v>
      </c>
      <c r="D63" s="19" t="s">
        <v>109</v>
      </c>
      <c r="E63" s="17" t="s">
        <v>115</v>
      </c>
      <c r="F63" s="17">
        <v>4</v>
      </c>
      <c r="G63" s="20">
        <v>44216</v>
      </c>
      <c r="H63" s="20">
        <v>44218</v>
      </c>
      <c r="I63" s="20">
        <v>44222</v>
      </c>
      <c r="J63" s="21"/>
      <c r="K63" s="18" t="s">
        <v>24</v>
      </c>
      <c r="L63" s="23" t="s">
        <v>25</v>
      </c>
      <c r="M63" s="18" t="s">
        <v>26</v>
      </c>
      <c r="N63" s="18"/>
      <c r="O63" s="18" t="s">
        <v>27</v>
      </c>
      <c r="P63" s="21" t="s">
        <v>27</v>
      </c>
      <c r="Q63" s="18" t="s">
        <v>54</v>
      </c>
      <c r="R63" s="22" t="s">
        <v>29</v>
      </c>
    </row>
    <row r="64" spans="1:18" ht="30" customHeight="1" x14ac:dyDescent="0.25">
      <c r="A64" s="16" t="s">
        <v>39</v>
      </c>
      <c r="B64" s="17">
        <v>215855</v>
      </c>
      <c r="C64" s="18" t="s">
        <v>20</v>
      </c>
      <c r="D64" s="19" t="s">
        <v>109</v>
      </c>
      <c r="E64" s="17" t="s">
        <v>116</v>
      </c>
      <c r="F64" s="17">
        <v>1</v>
      </c>
      <c r="G64" s="20">
        <v>44216</v>
      </c>
      <c r="H64" s="20">
        <v>44218</v>
      </c>
      <c r="I64" s="20">
        <v>44222</v>
      </c>
      <c r="J64" s="21" t="s">
        <v>117</v>
      </c>
      <c r="K64" s="18" t="s">
        <v>24</v>
      </c>
      <c r="L64" s="23" t="s">
        <v>45</v>
      </c>
      <c r="M64" s="18" t="s">
        <v>26</v>
      </c>
      <c r="N64" s="18"/>
      <c r="O64" s="18" t="s">
        <v>27</v>
      </c>
      <c r="P64" s="21" t="s">
        <v>27</v>
      </c>
      <c r="Q64" s="18" t="s">
        <v>54</v>
      </c>
      <c r="R64" s="22" t="s">
        <v>29</v>
      </c>
    </row>
    <row r="65" spans="1:18" ht="30" customHeight="1" x14ac:dyDescent="0.25">
      <c r="A65" s="16" t="s">
        <v>39</v>
      </c>
      <c r="B65" s="17">
        <v>215855</v>
      </c>
      <c r="C65" s="18" t="s">
        <v>20</v>
      </c>
      <c r="D65" s="19" t="s">
        <v>109</v>
      </c>
      <c r="E65" s="17" t="s">
        <v>107</v>
      </c>
      <c r="F65" s="17">
        <v>1</v>
      </c>
      <c r="G65" s="20">
        <v>44216</v>
      </c>
      <c r="H65" s="20">
        <v>44218</v>
      </c>
      <c r="I65" s="20">
        <v>44222</v>
      </c>
      <c r="J65" s="21" t="s">
        <v>118</v>
      </c>
      <c r="K65" s="18" t="s">
        <v>24</v>
      </c>
      <c r="L65" s="23" t="s">
        <v>45</v>
      </c>
      <c r="M65" s="18" t="s">
        <v>26</v>
      </c>
      <c r="N65" s="18"/>
      <c r="O65" s="18" t="s">
        <v>27</v>
      </c>
      <c r="P65" s="21" t="s">
        <v>27</v>
      </c>
      <c r="Q65" s="18" t="s">
        <v>54</v>
      </c>
      <c r="R65" s="22" t="s">
        <v>29</v>
      </c>
    </row>
    <row r="66" spans="1:18" ht="30" customHeight="1" x14ac:dyDescent="0.25">
      <c r="A66" s="16" t="s">
        <v>39</v>
      </c>
      <c r="B66" s="17">
        <v>215855</v>
      </c>
      <c r="C66" s="18" t="s">
        <v>20</v>
      </c>
      <c r="D66" s="19" t="s">
        <v>109</v>
      </c>
      <c r="E66" s="17" t="s">
        <v>106</v>
      </c>
      <c r="F66" s="17">
        <v>1</v>
      </c>
      <c r="G66" s="20">
        <v>44216</v>
      </c>
      <c r="H66" s="20">
        <v>44218</v>
      </c>
      <c r="I66" s="20">
        <v>44222</v>
      </c>
      <c r="J66" s="21" t="s">
        <v>118</v>
      </c>
      <c r="K66" s="18" t="s">
        <v>24</v>
      </c>
      <c r="L66" s="23" t="s">
        <v>45</v>
      </c>
      <c r="M66" s="18" t="s">
        <v>26</v>
      </c>
      <c r="N66" s="18"/>
      <c r="O66" s="18" t="s">
        <v>27</v>
      </c>
      <c r="P66" s="21" t="s">
        <v>27</v>
      </c>
      <c r="Q66" s="18" t="s">
        <v>54</v>
      </c>
      <c r="R66" s="22" t="s">
        <v>29</v>
      </c>
    </row>
    <row r="67" spans="1:18" ht="30" customHeight="1" x14ac:dyDescent="0.25">
      <c r="A67" s="16" t="s">
        <v>39</v>
      </c>
      <c r="B67" s="17">
        <v>214162</v>
      </c>
      <c r="C67" s="18" t="s">
        <v>100</v>
      </c>
      <c r="D67" s="19" t="s">
        <v>119</v>
      </c>
      <c r="E67" s="17" t="s">
        <v>107</v>
      </c>
      <c r="F67" s="17">
        <v>18</v>
      </c>
      <c r="G67" s="20">
        <v>44209</v>
      </c>
      <c r="H67" s="20">
        <v>44225</v>
      </c>
      <c r="I67" s="20">
        <v>44225</v>
      </c>
      <c r="J67" s="21" t="s">
        <v>120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/>
      <c r="Q67" s="18"/>
      <c r="R67" s="22"/>
    </row>
    <row r="68" spans="1:18" ht="30" customHeight="1" x14ac:dyDescent="0.25">
      <c r="A68" s="16" t="s">
        <v>39</v>
      </c>
      <c r="B68" s="17" t="s">
        <v>61</v>
      </c>
      <c r="C68" s="18" t="s">
        <v>44</v>
      </c>
      <c r="D68" s="19" t="s">
        <v>121</v>
      </c>
      <c r="E68" s="17" t="s">
        <v>79</v>
      </c>
      <c r="F68" s="17">
        <v>2</v>
      </c>
      <c r="G68" s="20">
        <v>44211</v>
      </c>
      <c r="H68" s="20">
        <v>44211</v>
      </c>
      <c r="I68" s="20">
        <v>44211</v>
      </c>
      <c r="J68" s="21"/>
      <c r="K68" s="18" t="s">
        <v>24</v>
      </c>
      <c r="L68" s="23" t="s">
        <v>58</v>
      </c>
      <c r="M68" s="18" t="s">
        <v>26</v>
      </c>
      <c r="N68" s="18"/>
      <c r="O68" s="18" t="s">
        <v>38</v>
      </c>
      <c r="P68" s="21"/>
      <c r="Q68" s="18"/>
      <c r="R68" s="22"/>
    </row>
    <row r="69" spans="1:18" ht="30" customHeight="1" x14ac:dyDescent="0.25">
      <c r="A69" s="16" t="s">
        <v>35</v>
      </c>
      <c r="B69" s="17">
        <v>217128</v>
      </c>
      <c r="C69" s="18" t="s">
        <v>20</v>
      </c>
      <c r="D69" s="19" t="s">
        <v>122</v>
      </c>
      <c r="E69" s="17" t="s">
        <v>84</v>
      </c>
      <c r="F69" s="17">
        <v>1</v>
      </c>
      <c r="G69" s="20">
        <v>44203</v>
      </c>
      <c r="H69" s="20">
        <v>44223</v>
      </c>
      <c r="I69" s="20">
        <v>44223</v>
      </c>
      <c r="J69" s="21"/>
      <c r="K69" s="18" t="s">
        <v>24</v>
      </c>
      <c r="L69" s="23" t="s">
        <v>37</v>
      </c>
      <c r="M69" s="18" t="s">
        <v>34</v>
      </c>
      <c r="N69" s="18"/>
      <c r="O69" s="18" t="s">
        <v>38</v>
      </c>
      <c r="P69" s="21" t="s">
        <v>38</v>
      </c>
      <c r="Q69" s="18"/>
      <c r="R69" s="22" t="s">
        <v>29</v>
      </c>
    </row>
    <row r="70" spans="1:18" ht="30" customHeight="1" x14ac:dyDescent="0.25">
      <c r="A70" s="16" t="s">
        <v>39</v>
      </c>
      <c r="B70" s="17" t="s">
        <v>61</v>
      </c>
      <c r="C70" s="18" t="s">
        <v>20</v>
      </c>
      <c r="D70" s="19" t="s">
        <v>123</v>
      </c>
      <c r="E70" s="17" t="s">
        <v>124</v>
      </c>
      <c r="F70" s="17">
        <v>1</v>
      </c>
      <c r="G70" s="20">
        <v>44203</v>
      </c>
      <c r="H70" s="20">
        <v>44223</v>
      </c>
      <c r="I70" s="20">
        <v>44223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123</v>
      </c>
      <c r="E71" s="17" t="s">
        <v>22</v>
      </c>
      <c r="F71" s="17">
        <v>1</v>
      </c>
      <c r="G71" s="20">
        <v>44203</v>
      </c>
      <c r="H71" s="20">
        <v>44223</v>
      </c>
      <c r="I71" s="20">
        <v>44223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38</v>
      </c>
      <c r="P71" s="21"/>
      <c r="Q71" s="18"/>
      <c r="R71" s="22"/>
    </row>
    <row r="72" spans="1:18" ht="30" customHeight="1" x14ac:dyDescent="0.25">
      <c r="A72" s="16" t="s">
        <v>39</v>
      </c>
      <c r="B72" s="17" t="s">
        <v>61</v>
      </c>
      <c r="C72" s="18" t="s">
        <v>20</v>
      </c>
      <c r="D72" s="19" t="s">
        <v>123</v>
      </c>
      <c r="E72" s="17" t="s">
        <v>46</v>
      </c>
      <c r="F72" s="17">
        <v>1</v>
      </c>
      <c r="G72" s="20">
        <v>44203</v>
      </c>
      <c r="H72" s="20">
        <v>44223</v>
      </c>
      <c r="I72" s="20">
        <v>44223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38</v>
      </c>
      <c r="P72" s="21"/>
      <c r="Q72" s="18"/>
      <c r="R72" s="22"/>
    </row>
    <row r="73" spans="1:18" ht="30" customHeight="1" x14ac:dyDescent="0.25">
      <c r="A73" s="16" t="s">
        <v>19</v>
      </c>
      <c r="B73" s="17">
        <v>217228</v>
      </c>
      <c r="C73" s="18" t="s">
        <v>77</v>
      </c>
      <c r="D73" s="19" t="s">
        <v>125</v>
      </c>
      <c r="E73" s="17" t="s">
        <v>59</v>
      </c>
      <c r="F73" s="17">
        <v>1</v>
      </c>
      <c r="G73" s="20">
        <v>44223</v>
      </c>
      <c r="H73" s="20">
        <v>44224</v>
      </c>
      <c r="I73" s="20">
        <v>44224</v>
      </c>
      <c r="J73" s="21"/>
      <c r="K73" s="18" t="s">
        <v>24</v>
      </c>
      <c r="L73" s="23" t="s">
        <v>37</v>
      </c>
      <c r="M73" s="18" t="s">
        <v>34</v>
      </c>
      <c r="N73" s="18"/>
      <c r="O73" s="18" t="s">
        <v>38</v>
      </c>
      <c r="P73" s="21" t="s">
        <v>38</v>
      </c>
      <c r="Q73" s="18" t="s">
        <v>54</v>
      </c>
      <c r="R73" s="22" t="s">
        <v>54</v>
      </c>
    </row>
    <row r="74" spans="1:18" ht="30" customHeight="1" x14ac:dyDescent="0.25">
      <c r="A74" s="16" t="s">
        <v>76</v>
      </c>
      <c r="B74" s="17">
        <v>217170</v>
      </c>
      <c r="C74" s="18" t="s">
        <v>20</v>
      </c>
      <c r="D74" s="19" t="s">
        <v>126</v>
      </c>
      <c r="E74" s="17" t="s">
        <v>22</v>
      </c>
      <c r="F74" s="17">
        <v>1</v>
      </c>
      <c r="G74" s="20">
        <v>44223</v>
      </c>
      <c r="H74" s="20">
        <v>44225</v>
      </c>
      <c r="I74" s="20">
        <v>44225</v>
      </c>
      <c r="J74" s="21"/>
      <c r="K74" s="18" t="s">
        <v>24</v>
      </c>
      <c r="L74" s="23" t="s">
        <v>58</v>
      </c>
      <c r="M74" s="18" t="s">
        <v>26</v>
      </c>
      <c r="N74" s="18"/>
      <c r="O74" s="18" t="s">
        <v>38</v>
      </c>
      <c r="P74" s="21" t="s">
        <v>38</v>
      </c>
      <c r="Q74" s="18" t="s">
        <v>28</v>
      </c>
      <c r="R74" s="22" t="s">
        <v>54</v>
      </c>
    </row>
    <row r="75" spans="1:18" ht="30" customHeight="1" x14ac:dyDescent="0.25">
      <c r="A75" s="16" t="s">
        <v>76</v>
      </c>
      <c r="B75" s="17">
        <v>217170</v>
      </c>
      <c r="C75" s="18" t="s">
        <v>20</v>
      </c>
      <c r="D75" s="19" t="s">
        <v>126</v>
      </c>
      <c r="E75" s="17" t="s">
        <v>127</v>
      </c>
      <c r="F75" s="17">
        <v>1</v>
      </c>
      <c r="G75" s="20">
        <v>44223</v>
      </c>
      <c r="H75" s="20">
        <v>44225</v>
      </c>
      <c r="I75" s="20">
        <v>44225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28</v>
      </c>
      <c r="R75" s="22" t="s">
        <v>54</v>
      </c>
    </row>
    <row r="76" spans="1:18" ht="30" customHeight="1" x14ac:dyDescent="0.25">
      <c r="A76" s="16" t="s">
        <v>30</v>
      </c>
      <c r="B76" s="17">
        <v>217670</v>
      </c>
      <c r="C76" s="18" t="s">
        <v>77</v>
      </c>
      <c r="D76" s="19" t="s">
        <v>128</v>
      </c>
      <c r="E76" s="17" t="s">
        <v>129</v>
      </c>
      <c r="F76" s="17">
        <v>1</v>
      </c>
      <c r="G76" s="20">
        <v>44225</v>
      </c>
      <c r="H76" s="20">
        <v>44225</v>
      </c>
      <c r="I76" s="20">
        <v>44225</v>
      </c>
      <c r="J76" s="21"/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54</v>
      </c>
    </row>
  </sheetData>
  <conditionalFormatting sqref="A36:R76 A2:R34">
    <cfRule type="expression" dxfId="884" priority="66">
      <formula>$K2="CANCELADO"</formula>
    </cfRule>
    <cfRule type="expression" dxfId="883" priority="67">
      <formula>$K2="STAND-BY"</formula>
    </cfRule>
    <cfRule type="expression" dxfId="882" priority="68">
      <formula>$K2="AGUARDANDO APROVAÇÃO"</formula>
    </cfRule>
    <cfRule type="expression" dxfId="881" priority="69">
      <formula>$K2="OK"</formula>
    </cfRule>
    <cfRule type="expression" dxfId="880" priority="70">
      <formula>AND((TODAY()-$H2)&gt;0,$H2&lt;&gt;"",$I2="")=TRUE</formula>
    </cfRule>
  </conditionalFormatting>
  <conditionalFormatting sqref="A35:R35">
    <cfRule type="expression" dxfId="879" priority="1">
      <formula>$K35="CANCELADO"</formula>
    </cfRule>
    <cfRule type="expression" dxfId="878" priority="2">
      <formula>$K35="STAND-BY"</formula>
    </cfRule>
    <cfRule type="expression" dxfId="877" priority="3">
      <formula>$K35="AGUARDANDO APROVAÇÃO"</formula>
    </cfRule>
    <cfRule type="expression" dxfId="876" priority="4">
      <formula>$K35="OK"</formula>
    </cfRule>
    <cfRule type="expression" dxfId="875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60" workbookViewId="0">
      <selection activeCell="A2" sqref="A2:XFD16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130</v>
      </c>
      <c r="B2" s="17">
        <v>172644</v>
      </c>
      <c r="C2" s="18" t="s">
        <v>20</v>
      </c>
      <c r="D2" s="19" t="s">
        <v>131</v>
      </c>
      <c r="E2" s="17" t="s">
        <v>33</v>
      </c>
      <c r="F2" s="17">
        <v>1</v>
      </c>
      <c r="G2" s="20">
        <v>43912</v>
      </c>
      <c r="H2" s="20">
        <v>44225</v>
      </c>
      <c r="I2" s="20">
        <v>44228</v>
      </c>
      <c r="J2" s="21"/>
      <c r="K2" s="18" t="s">
        <v>24</v>
      </c>
      <c r="L2" s="23" t="s">
        <v>25</v>
      </c>
      <c r="M2" s="18" t="s">
        <v>34</v>
      </c>
      <c r="N2" s="18"/>
      <c r="O2" s="18" t="s">
        <v>38</v>
      </c>
      <c r="P2" s="21"/>
      <c r="Q2" s="18"/>
      <c r="R2" s="22"/>
    </row>
    <row r="3" spans="1:18" ht="30" customHeight="1" x14ac:dyDescent="0.25">
      <c r="A3" s="16" t="s">
        <v>132</v>
      </c>
      <c r="B3" s="17">
        <v>214097</v>
      </c>
      <c r="C3" s="18" t="s">
        <v>100</v>
      </c>
      <c r="D3" s="19" t="s">
        <v>133</v>
      </c>
      <c r="E3" s="17" t="s">
        <v>134</v>
      </c>
      <c r="F3" s="17">
        <v>5</v>
      </c>
      <c r="G3" s="20">
        <v>44216</v>
      </c>
      <c r="H3" s="20">
        <v>44228</v>
      </c>
      <c r="I3" s="20">
        <v>44228</v>
      </c>
      <c r="J3" s="21" t="s">
        <v>135</v>
      </c>
      <c r="K3" s="18" t="s">
        <v>24</v>
      </c>
      <c r="L3" s="23" t="s">
        <v>58</v>
      </c>
      <c r="M3" s="18"/>
      <c r="N3" s="18"/>
      <c r="O3" s="18" t="s">
        <v>38</v>
      </c>
      <c r="P3" s="21"/>
      <c r="Q3" s="18"/>
      <c r="R3" s="22"/>
    </row>
    <row r="4" spans="1:18" ht="30" customHeight="1" x14ac:dyDescent="0.25">
      <c r="A4" s="16" t="s">
        <v>30</v>
      </c>
      <c r="B4" s="17">
        <v>202339</v>
      </c>
      <c r="C4" s="18" t="s">
        <v>100</v>
      </c>
      <c r="D4" s="19" t="s">
        <v>32</v>
      </c>
      <c r="E4" s="17" t="s">
        <v>22</v>
      </c>
      <c r="F4" s="17">
        <v>1</v>
      </c>
      <c r="G4" s="20">
        <v>44152</v>
      </c>
      <c r="H4" s="20">
        <v>44189</v>
      </c>
      <c r="I4" s="20">
        <v>44228</v>
      </c>
      <c r="J4" s="21" t="s">
        <v>135</v>
      </c>
      <c r="K4" s="18" t="s">
        <v>24</v>
      </c>
      <c r="L4" s="23" t="s">
        <v>45</v>
      </c>
      <c r="M4" s="18" t="s">
        <v>34</v>
      </c>
      <c r="N4" s="18">
        <v>2</v>
      </c>
      <c r="O4" s="18" t="s">
        <v>27</v>
      </c>
      <c r="P4" s="21"/>
      <c r="Q4" s="18" t="s">
        <v>29</v>
      </c>
      <c r="R4" s="22" t="s">
        <v>29</v>
      </c>
    </row>
    <row r="5" spans="1:18" ht="30" customHeight="1" x14ac:dyDescent="0.25">
      <c r="A5" s="16" t="s">
        <v>30</v>
      </c>
      <c r="B5" s="17">
        <v>202339</v>
      </c>
      <c r="C5" s="18" t="s">
        <v>100</v>
      </c>
      <c r="D5" s="19" t="s">
        <v>32</v>
      </c>
      <c r="E5" s="17" t="s">
        <v>107</v>
      </c>
      <c r="F5" s="17">
        <v>1</v>
      </c>
      <c r="G5" s="20">
        <v>44152</v>
      </c>
      <c r="H5" s="20">
        <v>44189</v>
      </c>
      <c r="I5" s="20">
        <v>44228</v>
      </c>
      <c r="J5" s="21" t="s">
        <v>135</v>
      </c>
      <c r="K5" s="18" t="s">
        <v>24</v>
      </c>
      <c r="L5" s="23" t="s">
        <v>45</v>
      </c>
      <c r="M5" s="18" t="s">
        <v>34</v>
      </c>
      <c r="N5" s="18">
        <v>2</v>
      </c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30</v>
      </c>
      <c r="B6" s="17">
        <v>202339</v>
      </c>
      <c r="C6" s="18" t="s">
        <v>100</v>
      </c>
      <c r="D6" s="19" t="s">
        <v>32</v>
      </c>
      <c r="E6" s="17" t="s">
        <v>106</v>
      </c>
      <c r="F6" s="17">
        <v>1</v>
      </c>
      <c r="G6" s="20">
        <v>44152</v>
      </c>
      <c r="H6" s="20">
        <v>44189</v>
      </c>
      <c r="I6" s="20">
        <v>44228</v>
      </c>
      <c r="J6" s="21" t="s">
        <v>135</v>
      </c>
      <c r="K6" s="18" t="s">
        <v>24</v>
      </c>
      <c r="L6" s="23" t="s">
        <v>45</v>
      </c>
      <c r="M6" s="18" t="s">
        <v>34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213540</v>
      </c>
      <c r="C7" s="18" t="s">
        <v>20</v>
      </c>
      <c r="D7" s="19" t="s">
        <v>57</v>
      </c>
      <c r="E7" s="17" t="s">
        <v>22</v>
      </c>
      <c r="F7" s="17">
        <v>1</v>
      </c>
      <c r="G7" s="20">
        <v>44207</v>
      </c>
      <c r="H7" s="20">
        <v>44224</v>
      </c>
      <c r="I7" s="20">
        <v>44230</v>
      </c>
      <c r="J7" s="21" t="s">
        <v>136</v>
      </c>
      <c r="K7" s="18" t="s">
        <v>24</v>
      </c>
      <c r="L7" s="23" t="s">
        <v>25</v>
      </c>
      <c r="M7" s="18" t="s">
        <v>26</v>
      </c>
      <c r="N7" s="18"/>
      <c r="O7" s="18" t="s">
        <v>38</v>
      </c>
      <c r="P7" s="21" t="s">
        <v>38</v>
      </c>
      <c r="Q7" s="18" t="s">
        <v>54</v>
      </c>
      <c r="R7" s="22" t="s">
        <v>29</v>
      </c>
    </row>
    <row r="8" spans="1:18" ht="30" customHeight="1" x14ac:dyDescent="0.25">
      <c r="A8" s="16" t="s">
        <v>39</v>
      </c>
      <c r="B8" s="17">
        <v>213540</v>
      </c>
      <c r="C8" s="18" t="s">
        <v>20</v>
      </c>
      <c r="D8" s="19" t="s">
        <v>57</v>
      </c>
      <c r="E8" s="17" t="s">
        <v>22</v>
      </c>
      <c r="F8" s="17">
        <v>1</v>
      </c>
      <c r="G8" s="20">
        <v>44207</v>
      </c>
      <c r="H8" s="20">
        <v>44224</v>
      </c>
      <c r="I8" s="20">
        <v>44230</v>
      </c>
      <c r="J8" s="21" t="s">
        <v>137</v>
      </c>
      <c r="K8" s="18" t="s">
        <v>24</v>
      </c>
      <c r="L8" s="23" t="s">
        <v>25</v>
      </c>
      <c r="M8" s="18" t="s">
        <v>26</v>
      </c>
      <c r="N8" s="18">
        <v>2</v>
      </c>
      <c r="O8" s="18" t="s">
        <v>38</v>
      </c>
      <c r="P8" s="21" t="s">
        <v>38</v>
      </c>
      <c r="Q8" s="18" t="s">
        <v>54</v>
      </c>
      <c r="R8" s="22" t="s">
        <v>29</v>
      </c>
    </row>
    <row r="9" spans="1:18" ht="30" customHeight="1" x14ac:dyDescent="0.25">
      <c r="A9" s="16" t="s">
        <v>60</v>
      </c>
      <c r="B9" s="17" t="s">
        <v>61</v>
      </c>
      <c r="C9" s="18" t="s">
        <v>138</v>
      </c>
      <c r="D9" s="19" t="s">
        <v>139</v>
      </c>
      <c r="E9" s="17" t="s">
        <v>83</v>
      </c>
      <c r="F9" s="17"/>
      <c r="G9" s="20">
        <v>44215</v>
      </c>
      <c r="H9" s="20">
        <v>44218</v>
      </c>
      <c r="I9" s="20">
        <v>44218</v>
      </c>
      <c r="J9" s="21"/>
      <c r="K9" s="18" t="s">
        <v>24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60</v>
      </c>
      <c r="B10" s="17" t="s">
        <v>61</v>
      </c>
      <c r="C10" s="18" t="s">
        <v>140</v>
      </c>
      <c r="D10" s="19" t="s">
        <v>141</v>
      </c>
      <c r="E10" s="17" t="s">
        <v>142</v>
      </c>
      <c r="F10" s="17">
        <v>3</v>
      </c>
      <c r="G10" s="20">
        <v>44225</v>
      </c>
      <c r="H10" s="20">
        <v>44232</v>
      </c>
      <c r="I10" s="20">
        <v>44230</v>
      </c>
      <c r="J10" s="21" t="s">
        <v>143</v>
      </c>
      <c r="K10" s="18" t="s">
        <v>24</v>
      </c>
      <c r="L10" s="23" t="s">
        <v>58</v>
      </c>
      <c r="M10" s="18" t="s">
        <v>26</v>
      </c>
      <c r="N10" s="18"/>
      <c r="O10" s="18" t="s">
        <v>38</v>
      </c>
      <c r="P10" s="21" t="s">
        <v>38</v>
      </c>
      <c r="Q10" s="18" t="s">
        <v>54</v>
      </c>
      <c r="R10" s="22" t="s">
        <v>54</v>
      </c>
    </row>
    <row r="11" spans="1:18" ht="30" customHeight="1" x14ac:dyDescent="0.25">
      <c r="A11" s="16" t="s">
        <v>60</v>
      </c>
      <c r="B11" s="17" t="s">
        <v>61</v>
      </c>
      <c r="C11" s="18" t="s">
        <v>140</v>
      </c>
      <c r="D11" s="19" t="s">
        <v>141</v>
      </c>
      <c r="E11" s="17" t="s">
        <v>144</v>
      </c>
      <c r="F11" s="17">
        <v>1</v>
      </c>
      <c r="G11" s="20">
        <v>44225</v>
      </c>
      <c r="H11" s="20">
        <v>44232</v>
      </c>
      <c r="I11" s="20">
        <v>44230</v>
      </c>
      <c r="J11" s="21"/>
      <c r="K11" s="18" t="s">
        <v>24</v>
      </c>
      <c r="L11" s="23" t="s">
        <v>58</v>
      </c>
      <c r="M11" s="18" t="s">
        <v>26</v>
      </c>
      <c r="N11" s="18"/>
      <c r="O11" s="18" t="s">
        <v>38</v>
      </c>
      <c r="P11" s="21" t="s">
        <v>38</v>
      </c>
      <c r="Q11" s="18" t="s">
        <v>54</v>
      </c>
      <c r="R11" s="22" t="s">
        <v>54</v>
      </c>
    </row>
    <row r="12" spans="1:18" ht="30" customHeight="1" x14ac:dyDescent="0.25">
      <c r="A12" s="16" t="s">
        <v>60</v>
      </c>
      <c r="B12" s="17" t="s">
        <v>61</v>
      </c>
      <c r="C12" s="18" t="s">
        <v>140</v>
      </c>
      <c r="D12" s="19" t="s">
        <v>141</v>
      </c>
      <c r="E12" s="17"/>
      <c r="F12" s="17">
        <v>1</v>
      </c>
      <c r="G12" s="20">
        <v>44225</v>
      </c>
      <c r="H12" s="20">
        <v>44232</v>
      </c>
      <c r="I12" s="20">
        <v>44230</v>
      </c>
      <c r="J12" s="21" t="s">
        <v>145</v>
      </c>
      <c r="K12" s="18" t="s">
        <v>24</v>
      </c>
      <c r="L12" s="23" t="s">
        <v>58</v>
      </c>
      <c r="M12" s="18" t="s">
        <v>26</v>
      </c>
      <c r="N12" s="18"/>
      <c r="O12" s="18" t="s">
        <v>38</v>
      </c>
      <c r="P12" s="21" t="s">
        <v>38</v>
      </c>
      <c r="Q12" s="18" t="s">
        <v>54</v>
      </c>
      <c r="R12" s="22" t="s">
        <v>54</v>
      </c>
    </row>
    <row r="13" spans="1:18" ht="30" customHeight="1" x14ac:dyDescent="0.25">
      <c r="A13" s="16" t="s">
        <v>60</v>
      </c>
      <c r="B13" s="17" t="s">
        <v>61</v>
      </c>
      <c r="C13" s="18" t="s">
        <v>140</v>
      </c>
      <c r="D13" s="19" t="s">
        <v>141</v>
      </c>
      <c r="E13" s="17" t="s">
        <v>134</v>
      </c>
      <c r="F13" s="17">
        <v>6</v>
      </c>
      <c r="G13" s="20">
        <v>44225</v>
      </c>
      <c r="H13" s="20">
        <v>44232</v>
      </c>
      <c r="I13" s="20">
        <v>44230</v>
      </c>
      <c r="J13" s="21" t="s">
        <v>146</v>
      </c>
      <c r="K13" s="18" t="s">
        <v>24</v>
      </c>
      <c r="L13" s="23" t="s">
        <v>58</v>
      </c>
      <c r="M13" s="18" t="s">
        <v>26</v>
      </c>
      <c r="N13" s="18"/>
      <c r="O13" s="18" t="s">
        <v>38</v>
      </c>
      <c r="P13" s="21" t="s">
        <v>38</v>
      </c>
      <c r="Q13" s="18" t="s">
        <v>54</v>
      </c>
      <c r="R13" s="22" t="s">
        <v>54</v>
      </c>
    </row>
    <row r="14" spans="1:18" ht="30" customHeight="1" x14ac:dyDescent="0.25">
      <c r="A14" s="16" t="s">
        <v>60</v>
      </c>
      <c r="B14" s="17" t="s">
        <v>61</v>
      </c>
      <c r="C14" s="18" t="s">
        <v>140</v>
      </c>
      <c r="D14" s="19" t="s">
        <v>141</v>
      </c>
      <c r="E14" s="17" t="s">
        <v>147</v>
      </c>
      <c r="F14" s="17">
        <v>1</v>
      </c>
      <c r="G14" s="20">
        <v>44225</v>
      </c>
      <c r="H14" s="20">
        <v>44232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38</v>
      </c>
      <c r="P14" s="21" t="s">
        <v>38</v>
      </c>
      <c r="Q14" s="18" t="s">
        <v>54</v>
      </c>
      <c r="R14" s="22" t="s">
        <v>54</v>
      </c>
    </row>
    <row r="15" spans="1:18" ht="30" customHeight="1" x14ac:dyDescent="0.25">
      <c r="A15" s="16" t="s">
        <v>60</v>
      </c>
      <c r="B15" s="17" t="s">
        <v>61</v>
      </c>
      <c r="C15" s="18" t="s">
        <v>140</v>
      </c>
      <c r="D15" s="19" t="s">
        <v>148</v>
      </c>
      <c r="E15" s="17" t="s">
        <v>79</v>
      </c>
      <c r="F15" s="17">
        <v>1</v>
      </c>
      <c r="G15" s="20">
        <v>44225</v>
      </c>
      <c r="H15" s="20">
        <v>44235</v>
      </c>
      <c r="I15" s="20">
        <v>44230</v>
      </c>
      <c r="J15" s="21"/>
      <c r="K15" s="18" t="s">
        <v>24</v>
      </c>
      <c r="L15" s="23" t="s">
        <v>58</v>
      </c>
      <c r="M15" s="18" t="s">
        <v>26</v>
      </c>
      <c r="N15" s="18"/>
      <c r="O15" s="18" t="s">
        <v>27</v>
      </c>
      <c r="P15" s="21" t="s">
        <v>27</v>
      </c>
      <c r="Q15" s="18" t="s">
        <v>54</v>
      </c>
      <c r="R15" s="22" t="s">
        <v>54</v>
      </c>
    </row>
    <row r="16" spans="1:18" ht="30" customHeight="1" x14ac:dyDescent="0.25">
      <c r="A16" s="16" t="s">
        <v>60</v>
      </c>
      <c r="B16" s="17" t="s">
        <v>61</v>
      </c>
      <c r="C16" s="18" t="s">
        <v>140</v>
      </c>
      <c r="D16" s="19" t="s">
        <v>148</v>
      </c>
      <c r="E16" s="17" t="s">
        <v>94</v>
      </c>
      <c r="F16" s="17">
        <v>1</v>
      </c>
      <c r="G16" s="20">
        <v>44225</v>
      </c>
      <c r="H16" s="20">
        <v>44235</v>
      </c>
      <c r="I16" s="20">
        <v>44236</v>
      </c>
      <c r="J16" s="21" t="s">
        <v>149</v>
      </c>
      <c r="K16" s="18" t="s">
        <v>24</v>
      </c>
      <c r="L16" s="23" t="s">
        <v>58</v>
      </c>
      <c r="M16" s="18" t="s">
        <v>26</v>
      </c>
      <c r="N16" s="18"/>
      <c r="O16" s="18" t="s">
        <v>27</v>
      </c>
      <c r="P16" s="21" t="s">
        <v>27</v>
      </c>
      <c r="Q16" s="18" t="s">
        <v>54</v>
      </c>
      <c r="R16" s="22" t="s">
        <v>54</v>
      </c>
    </row>
    <row r="17" spans="1:18" ht="30" customHeight="1" x14ac:dyDescent="0.25">
      <c r="A17" s="16" t="s">
        <v>60</v>
      </c>
      <c r="B17" s="17" t="s">
        <v>61</v>
      </c>
      <c r="C17" s="18" t="s">
        <v>20</v>
      </c>
      <c r="D17" s="19" t="s">
        <v>148</v>
      </c>
      <c r="E17" s="17" t="s">
        <v>68</v>
      </c>
      <c r="F17" s="17">
        <v>3</v>
      </c>
      <c r="G17" s="20">
        <v>44215</v>
      </c>
      <c r="H17" s="20">
        <v>44222</v>
      </c>
      <c r="I17" s="20">
        <v>44222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27</v>
      </c>
      <c r="P17" s="21" t="s">
        <v>27</v>
      </c>
      <c r="Q17" s="18" t="s">
        <v>54</v>
      </c>
      <c r="R17" s="22" t="s">
        <v>54</v>
      </c>
    </row>
    <row r="18" spans="1:18" ht="30" customHeight="1" x14ac:dyDescent="0.25">
      <c r="A18" s="16" t="s">
        <v>60</v>
      </c>
      <c r="B18" s="17" t="s">
        <v>61</v>
      </c>
      <c r="C18" s="18" t="s">
        <v>20</v>
      </c>
      <c r="D18" s="19" t="s">
        <v>148</v>
      </c>
      <c r="E18" s="17" t="s">
        <v>107</v>
      </c>
      <c r="F18" s="17">
        <v>1</v>
      </c>
      <c r="G18" s="20">
        <v>44215</v>
      </c>
      <c r="H18" s="20">
        <v>44222</v>
      </c>
      <c r="I18" s="20">
        <v>44222</v>
      </c>
      <c r="J18" s="21"/>
      <c r="K18" s="18" t="s">
        <v>24</v>
      </c>
      <c r="L18" s="23" t="s">
        <v>58</v>
      </c>
      <c r="M18" s="18" t="s">
        <v>26</v>
      </c>
      <c r="N18" s="18"/>
      <c r="O18" s="18" t="s">
        <v>27</v>
      </c>
      <c r="P18" s="21" t="s">
        <v>27</v>
      </c>
      <c r="Q18" s="18" t="s">
        <v>54</v>
      </c>
      <c r="R18" s="22" t="s">
        <v>54</v>
      </c>
    </row>
    <row r="19" spans="1:18" ht="30" customHeight="1" x14ac:dyDescent="0.25">
      <c r="A19" s="16" t="s">
        <v>60</v>
      </c>
      <c r="B19" s="17" t="s">
        <v>61</v>
      </c>
      <c r="C19" s="18" t="s">
        <v>140</v>
      </c>
      <c r="D19" s="19" t="s">
        <v>150</v>
      </c>
      <c r="E19" s="17" t="s">
        <v>151</v>
      </c>
      <c r="F19" s="17">
        <v>1</v>
      </c>
      <c r="G19" s="20">
        <v>44215</v>
      </c>
      <c r="H19" s="20">
        <v>44232</v>
      </c>
      <c r="I19" s="20">
        <v>44232</v>
      </c>
      <c r="J19" s="21"/>
      <c r="K19" s="18" t="s">
        <v>24</v>
      </c>
      <c r="L19" s="23" t="s">
        <v>45</v>
      </c>
      <c r="M19" s="18" t="s">
        <v>26</v>
      </c>
      <c r="N19" s="18"/>
      <c r="O19" s="18" t="s">
        <v>27</v>
      </c>
      <c r="P19" s="21" t="s">
        <v>27</v>
      </c>
      <c r="Q19" s="18" t="s">
        <v>54</v>
      </c>
      <c r="R19" s="22" t="s">
        <v>54</v>
      </c>
    </row>
    <row r="20" spans="1:18" ht="30" customHeight="1" x14ac:dyDescent="0.25">
      <c r="A20" s="16" t="s">
        <v>60</v>
      </c>
      <c r="B20" s="17" t="s">
        <v>61</v>
      </c>
      <c r="C20" s="18" t="s">
        <v>20</v>
      </c>
      <c r="D20" s="19" t="s">
        <v>148</v>
      </c>
      <c r="E20" s="17" t="s">
        <v>106</v>
      </c>
      <c r="F20" s="17">
        <v>2</v>
      </c>
      <c r="G20" s="20">
        <v>44215</v>
      </c>
      <c r="H20" s="20">
        <v>44222</v>
      </c>
      <c r="I20" s="20">
        <v>44222</v>
      </c>
      <c r="J20" s="21"/>
      <c r="K20" s="18" t="s">
        <v>24</v>
      </c>
      <c r="L20" s="23" t="s">
        <v>58</v>
      </c>
      <c r="M20" s="18" t="s">
        <v>26</v>
      </c>
      <c r="N20" s="18"/>
      <c r="O20" s="18" t="s">
        <v>27</v>
      </c>
      <c r="P20" s="21" t="s">
        <v>27</v>
      </c>
      <c r="Q20" s="18" t="s">
        <v>54</v>
      </c>
      <c r="R20" s="22" t="s">
        <v>54</v>
      </c>
    </row>
    <row r="21" spans="1:18" ht="30" customHeight="1" x14ac:dyDescent="0.25">
      <c r="A21" s="16" t="s">
        <v>60</v>
      </c>
      <c r="B21" s="17" t="s">
        <v>61</v>
      </c>
      <c r="C21" s="18" t="s">
        <v>140</v>
      </c>
      <c r="D21" s="19" t="s">
        <v>152</v>
      </c>
      <c r="E21" s="17" t="s">
        <v>115</v>
      </c>
      <c r="F21" s="17">
        <v>1</v>
      </c>
      <c r="G21" s="20">
        <v>44244</v>
      </c>
      <c r="H21" s="20">
        <v>44244</v>
      </c>
      <c r="I21" s="20">
        <v>44244</v>
      </c>
      <c r="J21" s="21"/>
      <c r="K21" s="18" t="s">
        <v>24</v>
      </c>
      <c r="L21" s="23" t="s">
        <v>58</v>
      </c>
      <c r="M21" s="18" t="s">
        <v>26</v>
      </c>
      <c r="N21" s="18"/>
      <c r="O21" s="18" t="s">
        <v>38</v>
      </c>
      <c r="P21" s="21" t="s">
        <v>38</v>
      </c>
      <c r="Q21" s="18" t="s">
        <v>54</v>
      </c>
      <c r="R21" s="22" t="s">
        <v>54</v>
      </c>
    </row>
    <row r="22" spans="1:18" ht="30" customHeight="1" x14ac:dyDescent="0.25">
      <c r="A22" s="16" t="s">
        <v>72</v>
      </c>
      <c r="B22" s="17">
        <v>215204</v>
      </c>
      <c r="C22" s="18" t="s">
        <v>20</v>
      </c>
      <c r="D22" s="19" t="s">
        <v>73</v>
      </c>
      <c r="E22" s="17" t="s">
        <v>79</v>
      </c>
      <c r="F22" s="17">
        <v>1</v>
      </c>
      <c r="G22" s="20">
        <v>44214</v>
      </c>
      <c r="H22" s="20">
        <v>44228</v>
      </c>
      <c r="I22" s="20">
        <v>44225</v>
      </c>
      <c r="J22" s="21"/>
      <c r="K22" s="18" t="s">
        <v>24</v>
      </c>
      <c r="L22" s="23" t="s">
        <v>58</v>
      </c>
      <c r="M22" s="18" t="s">
        <v>26</v>
      </c>
      <c r="N22" s="18"/>
      <c r="O22" s="18" t="s">
        <v>27</v>
      </c>
      <c r="P22" s="21" t="s">
        <v>38</v>
      </c>
      <c r="Q22" s="18" t="s">
        <v>54</v>
      </c>
      <c r="R22" s="22" t="s">
        <v>54</v>
      </c>
    </row>
    <row r="23" spans="1:18" ht="30" customHeight="1" x14ac:dyDescent="0.25">
      <c r="A23" s="16" t="s">
        <v>72</v>
      </c>
      <c r="B23" s="17">
        <v>215204</v>
      </c>
      <c r="C23" s="18" t="s">
        <v>20</v>
      </c>
      <c r="D23" s="19" t="s">
        <v>73</v>
      </c>
      <c r="E23" s="17" t="s">
        <v>22</v>
      </c>
      <c r="F23" s="17">
        <v>1</v>
      </c>
      <c r="G23" s="20">
        <v>44214</v>
      </c>
      <c r="H23" s="20">
        <v>44228</v>
      </c>
      <c r="I23" s="20">
        <v>44225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27</v>
      </c>
      <c r="P23" s="21" t="s">
        <v>38</v>
      </c>
      <c r="Q23" s="18" t="s">
        <v>54</v>
      </c>
      <c r="R23" s="22" t="s">
        <v>29</v>
      </c>
    </row>
    <row r="24" spans="1:18" ht="30" customHeight="1" x14ac:dyDescent="0.25">
      <c r="A24" s="16" t="s">
        <v>72</v>
      </c>
      <c r="B24" s="17">
        <v>215204</v>
      </c>
      <c r="C24" s="18" t="s">
        <v>20</v>
      </c>
      <c r="D24" s="19" t="s">
        <v>73</v>
      </c>
      <c r="E24" s="17" t="s">
        <v>68</v>
      </c>
      <c r="F24" s="17">
        <v>3</v>
      </c>
      <c r="G24" s="20">
        <v>44214</v>
      </c>
      <c r="H24" s="20">
        <v>44228</v>
      </c>
      <c r="I24" s="20">
        <v>44225</v>
      </c>
      <c r="J24" s="21"/>
      <c r="K24" s="18" t="s">
        <v>24</v>
      </c>
      <c r="L24" s="23" t="s">
        <v>45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customHeight="1" x14ac:dyDescent="0.25">
      <c r="A25" s="16" t="s">
        <v>72</v>
      </c>
      <c r="B25" s="17">
        <v>215204</v>
      </c>
      <c r="C25" s="18" t="s">
        <v>20</v>
      </c>
      <c r="D25" s="19" t="s">
        <v>73</v>
      </c>
      <c r="E25" s="17" t="s">
        <v>153</v>
      </c>
      <c r="F25" s="17">
        <v>3</v>
      </c>
      <c r="G25" s="20">
        <v>44214</v>
      </c>
      <c r="H25" s="20">
        <v>44228</v>
      </c>
      <c r="I25" s="20">
        <v>44225</v>
      </c>
      <c r="J25" s="21"/>
      <c r="K25" s="18" t="s">
        <v>24</v>
      </c>
      <c r="L25" s="23" t="s">
        <v>45</v>
      </c>
      <c r="M25" s="18" t="s">
        <v>26</v>
      </c>
      <c r="N25" s="18"/>
      <c r="O25" s="18" t="s">
        <v>27</v>
      </c>
      <c r="P25" s="21" t="s">
        <v>38</v>
      </c>
      <c r="Q25" s="18" t="s">
        <v>54</v>
      </c>
      <c r="R25" s="22" t="s">
        <v>29</v>
      </c>
    </row>
    <row r="26" spans="1:18" ht="30" customHeight="1" x14ac:dyDescent="0.25">
      <c r="A26" s="16" t="s">
        <v>39</v>
      </c>
      <c r="B26" s="17">
        <v>214857</v>
      </c>
      <c r="C26" s="18" t="s">
        <v>62</v>
      </c>
      <c r="D26" s="19" t="s">
        <v>154</v>
      </c>
      <c r="E26" s="17" t="s">
        <v>74</v>
      </c>
      <c r="F26" s="17"/>
      <c r="G26" s="20">
        <v>44214</v>
      </c>
      <c r="H26" s="20">
        <v>44216</v>
      </c>
      <c r="I26" s="20">
        <v>44221</v>
      </c>
      <c r="J26" s="21" t="s">
        <v>155</v>
      </c>
      <c r="K26" s="18" t="s">
        <v>24</v>
      </c>
      <c r="L26" s="23" t="s">
        <v>25</v>
      </c>
      <c r="M26" s="18"/>
      <c r="N26" s="18"/>
      <c r="O26" s="18"/>
      <c r="P26" s="21"/>
      <c r="Q26" s="18"/>
      <c r="R26" s="22"/>
    </row>
    <row r="27" spans="1:18" ht="30" customHeight="1" x14ac:dyDescent="0.25">
      <c r="A27" s="16" t="s">
        <v>39</v>
      </c>
      <c r="B27" s="17">
        <v>206968</v>
      </c>
      <c r="C27" s="18" t="s">
        <v>20</v>
      </c>
      <c r="D27" s="19" t="s">
        <v>156</v>
      </c>
      <c r="E27" s="17" t="s">
        <v>157</v>
      </c>
      <c r="F27" s="17">
        <v>1</v>
      </c>
      <c r="G27" s="20">
        <v>44214</v>
      </c>
      <c r="H27" s="20">
        <v>44228</v>
      </c>
      <c r="I27" s="20">
        <v>44249</v>
      </c>
      <c r="J27" s="21"/>
      <c r="K27" s="18" t="s">
        <v>24</v>
      </c>
      <c r="L27" s="23" t="s">
        <v>25</v>
      </c>
      <c r="M27" s="18" t="s">
        <v>26</v>
      </c>
      <c r="N27" s="18">
        <v>1</v>
      </c>
      <c r="O27" s="18" t="s">
        <v>27</v>
      </c>
      <c r="P27" s="21" t="s">
        <v>27</v>
      </c>
      <c r="Q27" s="18" t="s">
        <v>29</v>
      </c>
      <c r="R27" s="22" t="s">
        <v>29</v>
      </c>
    </row>
    <row r="28" spans="1:18" ht="30" customHeight="1" x14ac:dyDescent="0.25">
      <c r="A28" s="16" t="s">
        <v>39</v>
      </c>
      <c r="B28" s="17">
        <v>206968</v>
      </c>
      <c r="C28" s="18" t="s">
        <v>20</v>
      </c>
      <c r="D28" s="19" t="s">
        <v>158</v>
      </c>
      <c r="E28" s="17" t="s">
        <v>157</v>
      </c>
      <c r="F28" s="17">
        <v>1</v>
      </c>
      <c r="G28" s="20">
        <v>44214</v>
      </c>
      <c r="H28" s="20">
        <v>44228</v>
      </c>
      <c r="I28" s="20">
        <v>44249</v>
      </c>
      <c r="J28" s="21"/>
      <c r="K28" s="18" t="s">
        <v>24</v>
      </c>
      <c r="L28" s="23" t="s">
        <v>25</v>
      </c>
      <c r="M28" s="18" t="s">
        <v>26</v>
      </c>
      <c r="N28" s="18">
        <v>2</v>
      </c>
      <c r="O28" s="18" t="s">
        <v>27</v>
      </c>
      <c r="P28" s="21" t="s">
        <v>27</v>
      </c>
      <c r="Q28" s="18" t="s">
        <v>29</v>
      </c>
      <c r="R28" s="22" t="s">
        <v>29</v>
      </c>
    </row>
    <row r="29" spans="1:18" ht="30" customHeight="1" x14ac:dyDescent="0.25">
      <c r="A29" s="16" t="s">
        <v>159</v>
      </c>
      <c r="B29" s="17">
        <v>212978</v>
      </c>
      <c r="C29" s="18" t="s">
        <v>140</v>
      </c>
      <c r="D29" s="19" t="s">
        <v>160</v>
      </c>
      <c r="E29" s="17" t="s">
        <v>94</v>
      </c>
      <c r="F29" s="17">
        <v>1</v>
      </c>
      <c r="G29" s="20">
        <v>44208</v>
      </c>
      <c r="H29" s="20">
        <v>44230</v>
      </c>
      <c r="I29" s="20">
        <v>44230</v>
      </c>
      <c r="J29" s="21" t="s">
        <v>161</v>
      </c>
      <c r="K29" s="18" t="s">
        <v>24</v>
      </c>
      <c r="L29" s="23" t="s">
        <v>37</v>
      </c>
      <c r="M29" s="18" t="s">
        <v>34</v>
      </c>
      <c r="N29" s="18">
        <v>2</v>
      </c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19</v>
      </c>
      <c r="B30" s="17">
        <v>213464</v>
      </c>
      <c r="C30" s="18" t="s">
        <v>20</v>
      </c>
      <c r="D30" s="19" t="s">
        <v>89</v>
      </c>
      <c r="E30" s="17" t="s">
        <v>22</v>
      </c>
      <c r="F30" s="17">
        <v>11</v>
      </c>
      <c r="G30" s="20">
        <v>44208</v>
      </c>
      <c r="H30" s="20">
        <v>44210</v>
      </c>
      <c r="I30" s="20">
        <v>44221</v>
      </c>
      <c r="J30" s="21" t="s">
        <v>162</v>
      </c>
      <c r="K30" s="18" t="s">
        <v>24</v>
      </c>
      <c r="L30" s="23" t="s">
        <v>25</v>
      </c>
      <c r="M30" s="18" t="s">
        <v>26</v>
      </c>
      <c r="N30" s="18">
        <v>4</v>
      </c>
      <c r="O30" s="18" t="s">
        <v>27</v>
      </c>
      <c r="P30" s="21" t="s">
        <v>27</v>
      </c>
      <c r="Q30" s="18" t="s">
        <v>28</v>
      </c>
      <c r="R30" s="22" t="s">
        <v>29</v>
      </c>
    </row>
    <row r="31" spans="1:18" ht="30" customHeight="1" x14ac:dyDescent="0.25">
      <c r="A31" s="16" t="s">
        <v>163</v>
      </c>
      <c r="B31" s="17">
        <v>214878</v>
      </c>
      <c r="C31" s="18" t="s">
        <v>77</v>
      </c>
      <c r="D31" s="19" t="s">
        <v>164</v>
      </c>
      <c r="E31" s="17" t="s">
        <v>79</v>
      </c>
      <c r="F31" s="17">
        <v>1</v>
      </c>
      <c r="G31" s="20">
        <v>44211</v>
      </c>
      <c r="H31" s="20">
        <v>44211</v>
      </c>
      <c r="I31" s="20">
        <v>44211</v>
      </c>
      <c r="J31" s="21" t="s">
        <v>165</v>
      </c>
      <c r="K31" s="18" t="s">
        <v>24</v>
      </c>
      <c r="L31" s="23" t="s">
        <v>25</v>
      </c>
      <c r="M31" s="18" t="s">
        <v>34</v>
      </c>
      <c r="N31" s="18"/>
      <c r="O31" s="18" t="s">
        <v>27</v>
      </c>
      <c r="P31" s="21"/>
      <c r="Q31" s="18" t="s">
        <v>54</v>
      </c>
      <c r="R31" s="22" t="s">
        <v>54</v>
      </c>
    </row>
    <row r="32" spans="1:18" ht="30" customHeight="1" x14ac:dyDescent="0.25">
      <c r="A32" s="16" t="s">
        <v>39</v>
      </c>
      <c r="B32" s="17">
        <v>213425</v>
      </c>
      <c r="C32" s="18" t="s">
        <v>20</v>
      </c>
      <c r="D32" s="19" t="s">
        <v>166</v>
      </c>
      <c r="E32" s="17" t="s">
        <v>46</v>
      </c>
      <c r="F32" s="17">
        <v>3</v>
      </c>
      <c r="G32" s="20">
        <v>44209</v>
      </c>
      <c r="H32" s="20">
        <v>44239</v>
      </c>
      <c r="I32" s="20">
        <v>44257</v>
      </c>
      <c r="J32" s="21" t="s">
        <v>127</v>
      </c>
      <c r="K32" s="18" t="s">
        <v>24</v>
      </c>
      <c r="L32" s="23" t="s">
        <v>58</v>
      </c>
      <c r="M32" s="18" t="s">
        <v>26</v>
      </c>
      <c r="N32" s="18"/>
      <c r="O32" s="18" t="s">
        <v>38</v>
      </c>
      <c r="P32" s="21" t="s">
        <v>38</v>
      </c>
      <c r="Q32" s="18" t="s">
        <v>54</v>
      </c>
      <c r="R32" s="22" t="s">
        <v>54</v>
      </c>
    </row>
    <row r="33" spans="1:18" ht="30" customHeight="1" x14ac:dyDescent="0.25">
      <c r="A33" s="16" t="s">
        <v>39</v>
      </c>
      <c r="B33" s="17">
        <v>213425</v>
      </c>
      <c r="C33" s="18" t="s">
        <v>20</v>
      </c>
      <c r="D33" s="19" t="s">
        <v>166</v>
      </c>
      <c r="E33" s="17" t="s">
        <v>46</v>
      </c>
      <c r="F33" s="17">
        <v>3</v>
      </c>
      <c r="G33" s="20">
        <v>44209</v>
      </c>
      <c r="H33" s="20">
        <v>44239</v>
      </c>
      <c r="I33" s="20">
        <v>44257</v>
      </c>
      <c r="J33" s="21" t="s">
        <v>127</v>
      </c>
      <c r="K33" s="18" t="s">
        <v>24</v>
      </c>
      <c r="L33" s="23" t="s">
        <v>58</v>
      </c>
      <c r="M33" s="18" t="s">
        <v>26</v>
      </c>
      <c r="N33" s="18"/>
      <c r="O33" s="18" t="s">
        <v>38</v>
      </c>
      <c r="P33" s="21" t="s">
        <v>38</v>
      </c>
      <c r="Q33" s="18" t="s">
        <v>54</v>
      </c>
      <c r="R33" s="22" t="s">
        <v>54</v>
      </c>
    </row>
    <row r="34" spans="1:18" ht="30" customHeight="1" x14ac:dyDescent="0.25">
      <c r="A34" s="16" t="s">
        <v>39</v>
      </c>
      <c r="B34" s="17">
        <v>214031</v>
      </c>
      <c r="C34" s="18" t="s">
        <v>20</v>
      </c>
      <c r="D34" s="19" t="s">
        <v>167</v>
      </c>
      <c r="E34" s="17" t="s">
        <v>22</v>
      </c>
      <c r="F34" s="17">
        <v>1</v>
      </c>
      <c r="G34" s="20">
        <v>44208</v>
      </c>
      <c r="H34" s="20">
        <v>44225</v>
      </c>
      <c r="I34" s="20">
        <v>44225</v>
      </c>
      <c r="J34" s="21" t="s">
        <v>168</v>
      </c>
      <c r="K34" s="18" t="s">
        <v>24</v>
      </c>
      <c r="L34" s="23" t="s">
        <v>25</v>
      </c>
      <c r="M34" s="18" t="s">
        <v>26</v>
      </c>
      <c r="N34" s="18"/>
      <c r="O34" s="18" t="s">
        <v>27</v>
      </c>
      <c r="P34" s="21" t="s">
        <v>27</v>
      </c>
      <c r="Q34" s="18" t="s">
        <v>29</v>
      </c>
      <c r="R34" s="22" t="s">
        <v>29</v>
      </c>
    </row>
    <row r="35" spans="1:18" ht="30" customHeight="1" x14ac:dyDescent="0.25">
      <c r="A35" s="16" t="s">
        <v>52</v>
      </c>
      <c r="B35" s="17">
        <v>215475</v>
      </c>
      <c r="C35" s="18" t="s">
        <v>140</v>
      </c>
      <c r="D35" s="19" t="s">
        <v>169</v>
      </c>
      <c r="E35" s="17" t="s">
        <v>102</v>
      </c>
      <c r="F35" s="17">
        <v>2</v>
      </c>
      <c r="G35" s="20">
        <v>44216</v>
      </c>
      <c r="H35" s="20">
        <v>44229</v>
      </c>
      <c r="I35" s="20">
        <v>44229</v>
      </c>
      <c r="J35" s="21"/>
      <c r="K35" s="18" t="s">
        <v>24</v>
      </c>
      <c r="L35" s="23" t="s">
        <v>45</v>
      </c>
      <c r="M35" s="18" t="s">
        <v>26</v>
      </c>
      <c r="N35" s="18"/>
      <c r="O35" s="18" t="s">
        <v>38</v>
      </c>
      <c r="P35" s="21" t="s">
        <v>38</v>
      </c>
      <c r="Q35" s="18" t="s">
        <v>54</v>
      </c>
      <c r="R35" s="22" t="s">
        <v>28</v>
      </c>
    </row>
    <row r="36" spans="1:18" ht="30" customHeight="1" x14ac:dyDescent="0.25">
      <c r="A36" s="16" t="s">
        <v>52</v>
      </c>
      <c r="B36" s="17">
        <v>215475</v>
      </c>
      <c r="C36" s="18" t="s">
        <v>140</v>
      </c>
      <c r="D36" s="19" t="s">
        <v>169</v>
      </c>
      <c r="E36" s="17" t="s">
        <v>170</v>
      </c>
      <c r="F36" s="17">
        <v>1</v>
      </c>
      <c r="G36" s="20">
        <v>44216</v>
      </c>
      <c r="H36" s="20">
        <v>44229</v>
      </c>
      <c r="I36" s="20">
        <v>44229</v>
      </c>
      <c r="J36" s="21"/>
      <c r="K36" s="18" t="s">
        <v>24</v>
      </c>
      <c r="L36" s="23" t="s">
        <v>45</v>
      </c>
      <c r="M36" s="18" t="s">
        <v>26</v>
      </c>
      <c r="N36" s="18"/>
      <c r="O36" s="18" t="s">
        <v>38</v>
      </c>
      <c r="P36" s="21" t="s">
        <v>38</v>
      </c>
      <c r="Q36" s="18" t="s">
        <v>54</v>
      </c>
      <c r="R36" s="22" t="s">
        <v>28</v>
      </c>
    </row>
    <row r="37" spans="1:18" ht="30" customHeight="1" x14ac:dyDescent="0.25">
      <c r="A37" s="16" t="s">
        <v>52</v>
      </c>
      <c r="B37" s="17">
        <v>215475</v>
      </c>
      <c r="C37" s="18" t="s">
        <v>140</v>
      </c>
      <c r="D37" s="19" t="s">
        <v>169</v>
      </c>
      <c r="E37" s="17" t="s">
        <v>142</v>
      </c>
      <c r="F37" s="17">
        <v>1</v>
      </c>
      <c r="G37" s="20">
        <v>44216</v>
      </c>
      <c r="H37" s="20">
        <v>44229</v>
      </c>
      <c r="I37" s="20">
        <v>44229</v>
      </c>
      <c r="J37" s="21"/>
      <c r="K37" s="18" t="s">
        <v>24</v>
      </c>
      <c r="L37" s="23" t="s">
        <v>45</v>
      </c>
      <c r="M37" s="18" t="s">
        <v>26</v>
      </c>
      <c r="N37" s="18"/>
      <c r="O37" s="18" t="s">
        <v>38</v>
      </c>
      <c r="P37" s="21" t="s">
        <v>38</v>
      </c>
      <c r="Q37" s="18" t="s">
        <v>54</v>
      </c>
      <c r="R37" s="22" t="s">
        <v>28</v>
      </c>
    </row>
    <row r="38" spans="1:18" ht="30" customHeight="1" x14ac:dyDescent="0.25">
      <c r="A38" s="16" t="s">
        <v>52</v>
      </c>
      <c r="B38" s="17">
        <v>215475</v>
      </c>
      <c r="C38" s="18" t="s">
        <v>140</v>
      </c>
      <c r="D38" s="19" t="s">
        <v>169</v>
      </c>
      <c r="E38" s="17" t="s">
        <v>94</v>
      </c>
      <c r="F38" s="17">
        <v>1</v>
      </c>
      <c r="G38" s="20">
        <v>44216</v>
      </c>
      <c r="H38" s="20">
        <v>44229</v>
      </c>
      <c r="I38" s="20">
        <v>44229</v>
      </c>
      <c r="J38" s="21" t="s">
        <v>171</v>
      </c>
      <c r="K38" s="18" t="s">
        <v>24</v>
      </c>
      <c r="L38" s="23" t="s">
        <v>45</v>
      </c>
      <c r="M38" s="18" t="s">
        <v>26</v>
      </c>
      <c r="N38" s="18"/>
      <c r="O38" s="18" t="s">
        <v>38</v>
      </c>
      <c r="P38" s="21" t="s">
        <v>38</v>
      </c>
      <c r="Q38" s="18" t="s">
        <v>54</v>
      </c>
      <c r="R38" s="22" t="s">
        <v>28</v>
      </c>
    </row>
    <row r="39" spans="1:18" ht="30" customHeight="1" x14ac:dyDescent="0.25">
      <c r="A39" s="16" t="s">
        <v>52</v>
      </c>
      <c r="B39" s="17">
        <v>215475</v>
      </c>
      <c r="C39" s="18" t="s">
        <v>140</v>
      </c>
      <c r="D39" s="19" t="s">
        <v>169</v>
      </c>
      <c r="E39" s="17" t="s">
        <v>22</v>
      </c>
      <c r="F39" s="17">
        <v>1</v>
      </c>
      <c r="G39" s="20">
        <v>44216</v>
      </c>
      <c r="H39" s="20">
        <v>44229</v>
      </c>
      <c r="I39" s="20">
        <v>44229</v>
      </c>
      <c r="J39" s="21"/>
      <c r="K39" s="18" t="s">
        <v>24</v>
      </c>
      <c r="L39" s="23" t="s">
        <v>58</v>
      </c>
      <c r="M39" s="18" t="s">
        <v>26</v>
      </c>
      <c r="N39" s="18"/>
      <c r="O39" s="18" t="s">
        <v>38</v>
      </c>
      <c r="P39" s="21" t="s">
        <v>38</v>
      </c>
      <c r="Q39" s="18" t="s">
        <v>54</v>
      </c>
      <c r="R39" s="22" t="s">
        <v>28</v>
      </c>
    </row>
    <row r="40" spans="1:18" ht="30" customHeight="1" x14ac:dyDescent="0.25">
      <c r="A40" s="16" t="s">
        <v>52</v>
      </c>
      <c r="B40" s="17">
        <v>215475</v>
      </c>
      <c r="C40" s="18" t="s">
        <v>140</v>
      </c>
      <c r="D40" s="19" t="s">
        <v>169</v>
      </c>
      <c r="E40" s="17" t="s">
        <v>107</v>
      </c>
      <c r="F40" s="17">
        <v>2</v>
      </c>
      <c r="G40" s="20">
        <v>44216</v>
      </c>
      <c r="H40" s="20">
        <v>44229</v>
      </c>
      <c r="I40" s="20">
        <v>44229</v>
      </c>
      <c r="J40" s="21"/>
      <c r="K40" s="18" t="s">
        <v>24</v>
      </c>
      <c r="L40" s="23" t="s">
        <v>58</v>
      </c>
      <c r="M40" s="18" t="s">
        <v>26</v>
      </c>
      <c r="N40" s="18"/>
      <c r="O40" s="18" t="s">
        <v>38</v>
      </c>
      <c r="P40" s="21" t="s">
        <v>38</v>
      </c>
      <c r="Q40" s="18" t="s">
        <v>54</v>
      </c>
      <c r="R40" s="22" t="s">
        <v>28</v>
      </c>
    </row>
    <row r="41" spans="1:18" ht="30" customHeight="1" x14ac:dyDescent="0.25">
      <c r="A41" s="16" t="s">
        <v>52</v>
      </c>
      <c r="B41" s="17">
        <v>215475</v>
      </c>
      <c r="C41" s="18" t="s">
        <v>140</v>
      </c>
      <c r="D41" s="19" t="s">
        <v>169</v>
      </c>
      <c r="E41" s="17" t="s">
        <v>116</v>
      </c>
      <c r="F41" s="17">
        <v>1</v>
      </c>
      <c r="G41" s="20">
        <v>44216</v>
      </c>
      <c r="H41" s="20">
        <v>44229</v>
      </c>
      <c r="I41" s="20">
        <v>44229</v>
      </c>
      <c r="J41" s="21" t="s">
        <v>172</v>
      </c>
      <c r="K41" s="18" t="s">
        <v>24</v>
      </c>
      <c r="L41" s="23" t="s">
        <v>45</v>
      </c>
      <c r="M41" s="18" t="s">
        <v>26</v>
      </c>
      <c r="N41" s="18"/>
      <c r="O41" s="18" t="s">
        <v>38</v>
      </c>
      <c r="P41" s="21" t="s">
        <v>38</v>
      </c>
      <c r="Q41" s="18" t="s">
        <v>54</v>
      </c>
      <c r="R41" s="22" t="s">
        <v>28</v>
      </c>
    </row>
    <row r="42" spans="1:18" ht="30" customHeight="1" x14ac:dyDescent="0.25">
      <c r="A42" s="16" t="s">
        <v>52</v>
      </c>
      <c r="B42" s="17">
        <v>215475</v>
      </c>
      <c r="C42" s="18" t="s">
        <v>20</v>
      </c>
      <c r="D42" s="19" t="s">
        <v>169</v>
      </c>
      <c r="E42" s="17" t="s">
        <v>79</v>
      </c>
      <c r="F42" s="17">
        <v>1</v>
      </c>
      <c r="G42" s="20">
        <v>44216</v>
      </c>
      <c r="H42" s="20">
        <v>44228</v>
      </c>
      <c r="I42" s="20">
        <v>44228</v>
      </c>
      <c r="J42" s="21" t="s">
        <v>173</v>
      </c>
      <c r="K42" s="18" t="s">
        <v>24</v>
      </c>
      <c r="L42" s="23" t="s">
        <v>25</v>
      </c>
      <c r="M42" s="18" t="s">
        <v>26</v>
      </c>
      <c r="N42" s="18"/>
      <c r="O42" s="18" t="s">
        <v>38</v>
      </c>
      <c r="P42" s="21" t="s">
        <v>38</v>
      </c>
      <c r="Q42" s="18" t="s">
        <v>54</v>
      </c>
      <c r="R42" s="22" t="s">
        <v>54</v>
      </c>
    </row>
    <row r="43" spans="1:18" ht="30" customHeight="1" x14ac:dyDescent="0.25">
      <c r="A43" s="16" t="s">
        <v>39</v>
      </c>
      <c r="B43" s="17">
        <v>215708</v>
      </c>
      <c r="C43" s="18" t="s">
        <v>140</v>
      </c>
      <c r="D43" s="19" t="s">
        <v>174</v>
      </c>
      <c r="E43" s="17" t="s">
        <v>175</v>
      </c>
      <c r="F43" s="17">
        <v>1</v>
      </c>
      <c r="G43" s="20">
        <v>44216</v>
      </c>
      <c r="H43" s="20">
        <v>44229</v>
      </c>
      <c r="I43" s="20">
        <v>44229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21" t="s">
        <v>38</v>
      </c>
      <c r="Q43" s="18" t="s">
        <v>54</v>
      </c>
      <c r="R43" s="22" t="s">
        <v>54</v>
      </c>
    </row>
    <row r="44" spans="1:18" ht="30" customHeight="1" x14ac:dyDescent="0.25">
      <c r="A44" s="16" t="s">
        <v>39</v>
      </c>
      <c r="B44" s="17">
        <v>215280</v>
      </c>
      <c r="C44" s="18" t="s">
        <v>20</v>
      </c>
      <c r="D44" s="19" t="s">
        <v>176</v>
      </c>
      <c r="E44" s="17" t="s">
        <v>46</v>
      </c>
      <c r="F44" s="17">
        <v>1</v>
      </c>
      <c r="G44" s="20">
        <v>44245</v>
      </c>
      <c r="H44" s="20">
        <v>44250</v>
      </c>
      <c r="I44" s="20">
        <v>44250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27</v>
      </c>
      <c r="P44" s="21" t="s">
        <v>27</v>
      </c>
      <c r="Q44" s="18" t="s">
        <v>28</v>
      </c>
      <c r="R44" s="22" t="s">
        <v>29</v>
      </c>
    </row>
    <row r="45" spans="1:18" ht="30" customHeight="1" x14ac:dyDescent="0.25">
      <c r="A45" s="16" t="s">
        <v>39</v>
      </c>
      <c r="B45" s="17">
        <v>215280</v>
      </c>
      <c r="C45" s="18" t="s">
        <v>20</v>
      </c>
      <c r="D45" s="19" t="s">
        <v>176</v>
      </c>
      <c r="E45" s="17" t="s">
        <v>22</v>
      </c>
      <c r="F45" s="17">
        <v>1</v>
      </c>
      <c r="G45" s="20">
        <v>44245</v>
      </c>
      <c r="H45" s="20">
        <v>44250</v>
      </c>
      <c r="I45" s="20">
        <v>44250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28</v>
      </c>
      <c r="R45" s="22" t="s">
        <v>29</v>
      </c>
    </row>
    <row r="46" spans="1:18" ht="30" customHeight="1" x14ac:dyDescent="0.25">
      <c r="A46" s="16" t="s">
        <v>39</v>
      </c>
      <c r="B46" s="17">
        <v>215280</v>
      </c>
      <c r="C46" s="18" t="s">
        <v>20</v>
      </c>
      <c r="D46" s="19" t="s">
        <v>176</v>
      </c>
      <c r="E46" s="17" t="s">
        <v>177</v>
      </c>
      <c r="F46" s="17">
        <v>1</v>
      </c>
      <c r="G46" s="20">
        <v>44245</v>
      </c>
      <c r="H46" s="20">
        <v>44230</v>
      </c>
      <c r="I46" s="20">
        <v>44230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28</v>
      </c>
      <c r="R46" s="22" t="s">
        <v>29</v>
      </c>
    </row>
    <row r="47" spans="1:18" ht="30" customHeight="1" x14ac:dyDescent="0.25">
      <c r="A47" s="16" t="s">
        <v>39</v>
      </c>
      <c r="B47" s="17">
        <v>207793</v>
      </c>
      <c r="C47" s="18" t="s">
        <v>20</v>
      </c>
      <c r="D47" s="19" t="s">
        <v>178</v>
      </c>
      <c r="E47" s="17" t="s">
        <v>179</v>
      </c>
      <c r="F47" s="17">
        <v>16</v>
      </c>
      <c r="G47" s="20">
        <v>44176</v>
      </c>
      <c r="H47" s="20">
        <v>44207</v>
      </c>
      <c r="I47" s="20">
        <v>44232</v>
      </c>
      <c r="J47" s="21" t="s">
        <v>180</v>
      </c>
      <c r="K47" s="18" t="s">
        <v>24</v>
      </c>
      <c r="L47" s="23" t="s">
        <v>25</v>
      </c>
      <c r="M47" s="18" t="s">
        <v>26</v>
      </c>
      <c r="N47" s="18"/>
      <c r="O47" s="18" t="s">
        <v>27</v>
      </c>
      <c r="P47" s="18" t="s">
        <v>27</v>
      </c>
      <c r="Q47" s="18" t="s">
        <v>28</v>
      </c>
      <c r="R47" s="22" t="s">
        <v>28</v>
      </c>
    </row>
    <row r="48" spans="1:18" ht="30" customHeight="1" x14ac:dyDescent="0.25">
      <c r="A48" s="16" t="s">
        <v>39</v>
      </c>
      <c r="B48" s="17">
        <v>207793</v>
      </c>
      <c r="C48" s="18" t="s">
        <v>20</v>
      </c>
      <c r="D48" s="19" t="s">
        <v>178</v>
      </c>
      <c r="E48" s="17" t="s">
        <v>181</v>
      </c>
      <c r="F48" s="17">
        <v>16</v>
      </c>
      <c r="G48" s="20">
        <v>44176</v>
      </c>
      <c r="H48" s="20">
        <v>44207</v>
      </c>
      <c r="I48" s="20">
        <v>44232</v>
      </c>
      <c r="J48" s="21" t="s">
        <v>180</v>
      </c>
      <c r="K48" s="18" t="s">
        <v>24</v>
      </c>
      <c r="L48" s="23" t="s">
        <v>25</v>
      </c>
      <c r="M48" s="18" t="s">
        <v>26</v>
      </c>
      <c r="N48" s="18"/>
      <c r="O48" s="18" t="s">
        <v>27</v>
      </c>
      <c r="P48" s="18" t="s">
        <v>27</v>
      </c>
      <c r="Q48" s="18" t="s">
        <v>28</v>
      </c>
      <c r="R48" s="22" t="s">
        <v>28</v>
      </c>
    </row>
    <row r="49" spans="1:18" ht="30" customHeight="1" x14ac:dyDescent="0.25">
      <c r="A49" s="16" t="s">
        <v>182</v>
      </c>
      <c r="B49" s="17" t="s">
        <v>183</v>
      </c>
      <c r="C49" s="18" t="s">
        <v>20</v>
      </c>
      <c r="D49" s="19" t="s">
        <v>184</v>
      </c>
      <c r="E49" s="17" t="s">
        <v>22</v>
      </c>
      <c r="F49" s="17">
        <v>1</v>
      </c>
      <c r="G49" s="20">
        <v>44221</v>
      </c>
      <c r="H49" s="20">
        <v>44206</v>
      </c>
      <c r="I49" s="20">
        <v>44251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27</v>
      </c>
      <c r="P49" s="21" t="s">
        <v>38</v>
      </c>
      <c r="Q49" s="18" t="s">
        <v>185</v>
      </c>
      <c r="R49" s="22" t="s">
        <v>28</v>
      </c>
    </row>
    <row r="50" spans="1:18" ht="30" customHeight="1" x14ac:dyDescent="0.25">
      <c r="A50" s="16" t="s">
        <v>182</v>
      </c>
      <c r="B50" s="17" t="s">
        <v>183</v>
      </c>
      <c r="C50" s="18" t="s">
        <v>20</v>
      </c>
      <c r="D50" s="19" t="s">
        <v>184</v>
      </c>
      <c r="E50" s="17" t="s">
        <v>170</v>
      </c>
      <c r="F50" s="17">
        <v>1</v>
      </c>
      <c r="G50" s="20">
        <v>44221</v>
      </c>
      <c r="H50" s="20">
        <v>44206</v>
      </c>
      <c r="I50" s="20">
        <v>44251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38</v>
      </c>
      <c r="Q50" s="18" t="s">
        <v>185</v>
      </c>
      <c r="R50" s="22" t="s">
        <v>28</v>
      </c>
    </row>
    <row r="51" spans="1:18" ht="30" customHeight="1" x14ac:dyDescent="0.25">
      <c r="A51" s="16" t="s">
        <v>182</v>
      </c>
      <c r="B51" s="17" t="s">
        <v>183</v>
      </c>
      <c r="C51" s="18" t="s">
        <v>140</v>
      </c>
      <c r="D51" s="19" t="s">
        <v>184</v>
      </c>
      <c r="E51" s="17" t="s">
        <v>107</v>
      </c>
      <c r="F51" s="17">
        <v>1</v>
      </c>
      <c r="G51" s="20">
        <v>44221</v>
      </c>
      <c r="H51" s="20">
        <v>44206</v>
      </c>
      <c r="I51" s="20">
        <v>44251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27</v>
      </c>
      <c r="P51" s="21" t="s">
        <v>38</v>
      </c>
      <c r="Q51" s="18" t="s">
        <v>185</v>
      </c>
      <c r="R51" s="22" t="s">
        <v>28</v>
      </c>
    </row>
    <row r="52" spans="1:18" ht="30" customHeight="1" x14ac:dyDescent="0.25">
      <c r="A52" s="16" t="s">
        <v>182</v>
      </c>
      <c r="B52" s="17" t="s">
        <v>183</v>
      </c>
      <c r="C52" s="18" t="s">
        <v>140</v>
      </c>
      <c r="D52" s="19" t="s">
        <v>184</v>
      </c>
      <c r="E52" s="17" t="s">
        <v>46</v>
      </c>
      <c r="F52" s="17">
        <v>1</v>
      </c>
      <c r="G52" s="20">
        <v>44221</v>
      </c>
      <c r="H52" s="20">
        <v>44206</v>
      </c>
      <c r="I52" s="20">
        <v>44251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27</v>
      </c>
      <c r="P52" s="21" t="s">
        <v>38</v>
      </c>
      <c r="Q52" s="18" t="s">
        <v>185</v>
      </c>
      <c r="R52" s="22" t="s">
        <v>28</v>
      </c>
    </row>
    <row r="53" spans="1:18" ht="30" customHeight="1" x14ac:dyDescent="0.25">
      <c r="A53" s="16" t="s">
        <v>182</v>
      </c>
      <c r="B53" s="17" t="s">
        <v>183</v>
      </c>
      <c r="C53" s="18" t="s">
        <v>140</v>
      </c>
      <c r="D53" s="19" t="s">
        <v>184</v>
      </c>
      <c r="E53" s="17" t="s">
        <v>106</v>
      </c>
      <c r="F53" s="17">
        <v>1</v>
      </c>
      <c r="G53" s="20">
        <v>44221</v>
      </c>
      <c r="H53" s="20">
        <v>44206</v>
      </c>
      <c r="I53" s="20">
        <v>44251</v>
      </c>
      <c r="J53" s="21"/>
      <c r="K53" s="18" t="s">
        <v>24</v>
      </c>
      <c r="L53" s="23" t="s">
        <v>58</v>
      </c>
      <c r="M53" s="18" t="s">
        <v>26</v>
      </c>
      <c r="N53" s="18"/>
      <c r="O53" s="18" t="s">
        <v>27</v>
      </c>
      <c r="P53" s="21" t="s">
        <v>38</v>
      </c>
      <c r="Q53" s="18" t="s">
        <v>185</v>
      </c>
      <c r="R53" s="22" t="s">
        <v>28</v>
      </c>
    </row>
    <row r="54" spans="1:18" ht="30" customHeight="1" x14ac:dyDescent="0.25">
      <c r="A54" s="16" t="s">
        <v>182</v>
      </c>
      <c r="B54" s="17" t="s">
        <v>183</v>
      </c>
      <c r="C54" s="18" t="s">
        <v>20</v>
      </c>
      <c r="D54" s="19" t="s">
        <v>184</v>
      </c>
      <c r="E54" s="17" t="s">
        <v>177</v>
      </c>
      <c r="F54" s="17">
        <v>1</v>
      </c>
      <c r="G54" s="20">
        <v>44221</v>
      </c>
      <c r="H54" s="20">
        <v>44206</v>
      </c>
      <c r="I54" s="20">
        <v>44251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27</v>
      </c>
      <c r="P54" s="21" t="s">
        <v>38</v>
      </c>
      <c r="Q54" s="18" t="s">
        <v>185</v>
      </c>
      <c r="R54" s="22" t="s">
        <v>28</v>
      </c>
    </row>
    <row r="55" spans="1:18" ht="30" customHeight="1" x14ac:dyDescent="0.25">
      <c r="A55" s="16" t="s">
        <v>39</v>
      </c>
      <c r="B55" s="17" t="s">
        <v>61</v>
      </c>
      <c r="C55" s="18" t="s">
        <v>140</v>
      </c>
      <c r="D55" s="19" t="s">
        <v>121</v>
      </c>
      <c r="E55" s="17" t="s">
        <v>79</v>
      </c>
      <c r="F55" s="17">
        <v>1</v>
      </c>
      <c r="G55" s="20">
        <v>44222</v>
      </c>
      <c r="H55" s="20">
        <v>44230</v>
      </c>
      <c r="I55" s="20">
        <v>44229</v>
      </c>
      <c r="J55" s="21" t="s">
        <v>186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30</v>
      </c>
      <c r="B56" s="17">
        <v>216522</v>
      </c>
      <c r="C56" s="18" t="s">
        <v>20</v>
      </c>
      <c r="D56" s="19" t="s">
        <v>187</v>
      </c>
      <c r="E56" s="17" t="s">
        <v>22</v>
      </c>
      <c r="F56" s="17">
        <v>1</v>
      </c>
      <c r="G56" s="20">
        <v>44221</v>
      </c>
      <c r="H56" s="20">
        <v>44225</v>
      </c>
      <c r="I56" s="20">
        <v>44225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/>
      <c r="Q56" s="18" t="s">
        <v>54</v>
      </c>
      <c r="R56" s="22" t="s">
        <v>54</v>
      </c>
    </row>
    <row r="57" spans="1:18" ht="30" customHeight="1" x14ac:dyDescent="0.25">
      <c r="A57" s="16" t="s">
        <v>30</v>
      </c>
      <c r="B57" s="17">
        <v>216522</v>
      </c>
      <c r="C57" s="18" t="s">
        <v>20</v>
      </c>
      <c r="D57" s="19" t="s">
        <v>187</v>
      </c>
      <c r="E57" s="17" t="s">
        <v>82</v>
      </c>
      <c r="F57" s="17">
        <v>1</v>
      </c>
      <c r="G57" s="20">
        <v>44221</v>
      </c>
      <c r="H57" s="20">
        <v>44225</v>
      </c>
      <c r="I57" s="20">
        <v>44225</v>
      </c>
      <c r="J57" s="21"/>
      <c r="K57" s="18" t="s">
        <v>24</v>
      </c>
      <c r="L57" s="23" t="s">
        <v>25</v>
      </c>
      <c r="M57" s="18" t="s">
        <v>83</v>
      </c>
      <c r="N57" s="18"/>
      <c r="O57" s="18" t="s">
        <v>27</v>
      </c>
      <c r="P57" s="21"/>
      <c r="Q57" s="18" t="s">
        <v>54</v>
      </c>
      <c r="R57" s="22" t="s">
        <v>54</v>
      </c>
    </row>
    <row r="58" spans="1:18" ht="30" customHeight="1" x14ac:dyDescent="0.25">
      <c r="A58" s="16" t="s">
        <v>30</v>
      </c>
      <c r="B58" s="17">
        <v>216522</v>
      </c>
      <c r="C58" s="18" t="s">
        <v>20</v>
      </c>
      <c r="D58" s="19" t="s">
        <v>187</v>
      </c>
      <c r="E58" s="17" t="s">
        <v>68</v>
      </c>
      <c r="F58" s="17">
        <v>5</v>
      </c>
      <c r="G58" s="20">
        <v>44221</v>
      </c>
      <c r="H58" s="20">
        <v>44225</v>
      </c>
      <c r="I58" s="20">
        <v>44225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/>
      <c r="Q58" s="18" t="s">
        <v>54</v>
      </c>
      <c r="R58" s="22" t="s">
        <v>54</v>
      </c>
    </row>
    <row r="59" spans="1:18" ht="30" customHeight="1" x14ac:dyDescent="0.25">
      <c r="A59" s="16" t="s">
        <v>30</v>
      </c>
      <c r="B59" s="17">
        <v>216522</v>
      </c>
      <c r="C59" s="18" t="s">
        <v>20</v>
      </c>
      <c r="D59" s="19" t="s">
        <v>187</v>
      </c>
      <c r="E59" s="17" t="s">
        <v>124</v>
      </c>
      <c r="F59" s="17">
        <v>1</v>
      </c>
      <c r="G59" s="20">
        <v>44221</v>
      </c>
      <c r="H59" s="20">
        <v>44225</v>
      </c>
      <c r="I59" s="20">
        <v>44225</v>
      </c>
      <c r="J59" s="21"/>
      <c r="K59" s="18" t="s">
        <v>24</v>
      </c>
      <c r="L59" s="23" t="s">
        <v>25</v>
      </c>
      <c r="M59" s="18" t="s">
        <v>26</v>
      </c>
      <c r="N59" s="18"/>
      <c r="O59" s="18" t="s">
        <v>27</v>
      </c>
      <c r="P59" s="21"/>
      <c r="Q59" s="18" t="s">
        <v>54</v>
      </c>
      <c r="R59" s="22" t="s">
        <v>54</v>
      </c>
    </row>
    <row r="60" spans="1:18" ht="30" customHeight="1" x14ac:dyDescent="0.25">
      <c r="A60" s="16" t="s">
        <v>30</v>
      </c>
      <c r="B60" s="17">
        <v>216522</v>
      </c>
      <c r="C60" s="18" t="s">
        <v>20</v>
      </c>
      <c r="D60" s="19" t="s">
        <v>187</v>
      </c>
      <c r="E60" s="17" t="s">
        <v>188</v>
      </c>
      <c r="F60" s="17">
        <v>1</v>
      </c>
      <c r="G60" s="20">
        <v>44221</v>
      </c>
      <c r="H60" s="20">
        <v>44225</v>
      </c>
      <c r="I60" s="20">
        <v>44225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/>
      <c r="Q60" s="18" t="s">
        <v>54</v>
      </c>
      <c r="R60" s="22" t="s">
        <v>54</v>
      </c>
    </row>
    <row r="61" spans="1:18" ht="30" customHeight="1" x14ac:dyDescent="0.25">
      <c r="A61" s="16" t="s">
        <v>30</v>
      </c>
      <c r="B61" s="17">
        <v>216522</v>
      </c>
      <c r="C61" s="18" t="s">
        <v>20</v>
      </c>
      <c r="D61" s="19" t="s">
        <v>187</v>
      </c>
      <c r="E61" s="17" t="s">
        <v>84</v>
      </c>
      <c r="F61" s="17">
        <v>1</v>
      </c>
      <c r="G61" s="20">
        <v>44221</v>
      </c>
      <c r="H61" s="20">
        <v>44225</v>
      </c>
      <c r="I61" s="20">
        <v>44225</v>
      </c>
      <c r="J61" s="21"/>
      <c r="K61" s="18" t="s">
        <v>24</v>
      </c>
      <c r="L61" s="23" t="s">
        <v>37</v>
      </c>
      <c r="M61" s="18"/>
      <c r="N61" s="18"/>
      <c r="O61" s="18" t="s">
        <v>27</v>
      </c>
      <c r="P61" s="21"/>
      <c r="Q61" s="18" t="s">
        <v>54</v>
      </c>
      <c r="R61" s="22" t="s">
        <v>54</v>
      </c>
    </row>
    <row r="62" spans="1:18" ht="30" customHeight="1" x14ac:dyDescent="0.25">
      <c r="A62" s="16" t="s">
        <v>30</v>
      </c>
      <c r="B62" s="17">
        <v>217040</v>
      </c>
      <c r="C62" s="18" t="s">
        <v>20</v>
      </c>
      <c r="D62" s="19" t="s">
        <v>189</v>
      </c>
      <c r="E62" s="17" t="s">
        <v>79</v>
      </c>
      <c r="F62" s="17">
        <v>1</v>
      </c>
      <c r="G62" s="20">
        <v>44223</v>
      </c>
      <c r="H62" s="20">
        <v>44237</v>
      </c>
      <c r="I62" s="20">
        <v>44257</v>
      </c>
      <c r="J62" s="21"/>
      <c r="K62" s="18" t="s">
        <v>24</v>
      </c>
      <c r="L62" s="23" t="s">
        <v>25</v>
      </c>
      <c r="M62" s="18" t="s">
        <v>34</v>
      </c>
      <c r="N62" s="18"/>
      <c r="O62" s="18" t="s">
        <v>38</v>
      </c>
      <c r="P62" s="21" t="s">
        <v>27</v>
      </c>
      <c r="Q62" s="18" t="s">
        <v>29</v>
      </c>
      <c r="R62" s="22" t="s">
        <v>28</v>
      </c>
    </row>
    <row r="63" spans="1:18" ht="30" customHeight="1" x14ac:dyDescent="0.25">
      <c r="A63" s="16" t="s">
        <v>30</v>
      </c>
      <c r="B63" s="17">
        <v>217040</v>
      </c>
      <c r="C63" s="18" t="s">
        <v>20</v>
      </c>
      <c r="D63" s="19" t="s">
        <v>189</v>
      </c>
      <c r="E63" s="17" t="s">
        <v>124</v>
      </c>
      <c r="F63" s="17">
        <v>2</v>
      </c>
      <c r="G63" s="20">
        <v>44223</v>
      </c>
      <c r="H63" s="20">
        <v>44237</v>
      </c>
      <c r="I63" s="20">
        <v>44257</v>
      </c>
      <c r="J63" s="21"/>
      <c r="K63" s="18" t="s">
        <v>24</v>
      </c>
      <c r="L63" s="23" t="s">
        <v>25</v>
      </c>
      <c r="M63" s="18" t="s">
        <v>34</v>
      </c>
      <c r="N63" s="18"/>
      <c r="O63" s="18" t="s">
        <v>38</v>
      </c>
      <c r="P63" s="21" t="s">
        <v>27</v>
      </c>
      <c r="Q63" s="18" t="s">
        <v>29</v>
      </c>
      <c r="R63" s="22" t="s">
        <v>28</v>
      </c>
    </row>
    <row r="64" spans="1:18" ht="30" customHeight="1" x14ac:dyDescent="0.25">
      <c r="A64" s="16" t="s">
        <v>30</v>
      </c>
      <c r="B64" s="17">
        <v>217040</v>
      </c>
      <c r="C64" s="18" t="s">
        <v>20</v>
      </c>
      <c r="D64" s="19" t="s">
        <v>189</v>
      </c>
      <c r="E64" s="17" t="s">
        <v>22</v>
      </c>
      <c r="F64" s="17">
        <v>2</v>
      </c>
      <c r="G64" s="20">
        <v>44223</v>
      </c>
      <c r="H64" s="20">
        <v>44237</v>
      </c>
      <c r="I64" s="20">
        <v>44257</v>
      </c>
      <c r="J64" s="21"/>
      <c r="K64" s="18" t="s">
        <v>24</v>
      </c>
      <c r="L64" s="23" t="s">
        <v>25</v>
      </c>
      <c r="M64" s="18" t="s">
        <v>34</v>
      </c>
      <c r="N64" s="18"/>
      <c r="O64" s="18" t="s">
        <v>38</v>
      </c>
      <c r="P64" s="21" t="s">
        <v>27</v>
      </c>
      <c r="Q64" s="18" t="s">
        <v>29</v>
      </c>
      <c r="R64" s="22" t="s">
        <v>28</v>
      </c>
    </row>
    <row r="65" spans="1:18" ht="30" customHeight="1" x14ac:dyDescent="0.25">
      <c r="A65" s="16" t="s">
        <v>30</v>
      </c>
      <c r="B65" s="17">
        <v>217040</v>
      </c>
      <c r="C65" s="18" t="s">
        <v>20</v>
      </c>
      <c r="D65" s="19" t="s">
        <v>189</v>
      </c>
      <c r="E65" s="17" t="s">
        <v>46</v>
      </c>
      <c r="F65" s="17">
        <v>2</v>
      </c>
      <c r="G65" s="20">
        <v>44223</v>
      </c>
      <c r="H65" s="20">
        <v>44237</v>
      </c>
      <c r="I65" s="20">
        <v>44257</v>
      </c>
      <c r="J65" s="21"/>
      <c r="K65" s="18" t="s">
        <v>24</v>
      </c>
      <c r="L65" s="23" t="s">
        <v>45</v>
      </c>
      <c r="M65" s="18" t="s">
        <v>34</v>
      </c>
      <c r="N65" s="18"/>
      <c r="O65" s="18" t="s">
        <v>38</v>
      </c>
      <c r="P65" s="21" t="s">
        <v>27</v>
      </c>
      <c r="Q65" s="18" t="s">
        <v>29</v>
      </c>
      <c r="R65" s="22" t="s">
        <v>28</v>
      </c>
    </row>
    <row r="66" spans="1:18" ht="30" customHeight="1" x14ac:dyDescent="0.25">
      <c r="A66" s="16" t="s">
        <v>30</v>
      </c>
      <c r="B66" s="17">
        <v>217040</v>
      </c>
      <c r="C66" s="18" t="s">
        <v>20</v>
      </c>
      <c r="D66" s="19" t="s">
        <v>189</v>
      </c>
      <c r="E66" s="17" t="s">
        <v>93</v>
      </c>
      <c r="F66" s="17">
        <v>1</v>
      </c>
      <c r="G66" s="20">
        <v>44223</v>
      </c>
      <c r="H66" s="20">
        <v>44237</v>
      </c>
      <c r="I66" s="20">
        <v>44257</v>
      </c>
      <c r="J66" s="21"/>
      <c r="K66" s="18" t="s">
        <v>24</v>
      </c>
      <c r="L66" s="23" t="s">
        <v>45</v>
      </c>
      <c r="M66" s="18" t="s">
        <v>34</v>
      </c>
      <c r="N66" s="18"/>
      <c r="O66" s="18" t="s">
        <v>38</v>
      </c>
      <c r="P66" s="21" t="s">
        <v>27</v>
      </c>
      <c r="Q66" s="18" t="s">
        <v>29</v>
      </c>
      <c r="R66" s="22" t="s">
        <v>28</v>
      </c>
    </row>
    <row r="67" spans="1:18" ht="30" customHeight="1" x14ac:dyDescent="0.25">
      <c r="A67" s="16" t="s">
        <v>30</v>
      </c>
      <c r="B67" s="17">
        <v>217040</v>
      </c>
      <c r="C67" s="18" t="s">
        <v>190</v>
      </c>
      <c r="D67" s="19" t="s">
        <v>189</v>
      </c>
      <c r="E67" s="17" t="s">
        <v>79</v>
      </c>
      <c r="F67" s="17"/>
      <c r="G67" s="20">
        <v>44223</v>
      </c>
      <c r="H67" s="20">
        <v>44231</v>
      </c>
      <c r="I67" s="20">
        <v>44237</v>
      </c>
      <c r="J67" s="21"/>
      <c r="K67" s="18" t="s">
        <v>24</v>
      </c>
      <c r="L67" s="23" t="s">
        <v>25</v>
      </c>
      <c r="M67" s="18" t="s">
        <v>34</v>
      </c>
      <c r="N67" s="18"/>
      <c r="O67" s="18" t="s">
        <v>38</v>
      </c>
      <c r="P67" s="21" t="s">
        <v>27</v>
      </c>
      <c r="Q67" s="18" t="s">
        <v>29</v>
      </c>
      <c r="R67" s="22" t="s">
        <v>28</v>
      </c>
    </row>
    <row r="68" spans="1:18" ht="30" customHeight="1" x14ac:dyDescent="0.25">
      <c r="A68" s="16" t="s">
        <v>30</v>
      </c>
      <c r="B68" s="17">
        <v>217040</v>
      </c>
      <c r="C68" s="18" t="s">
        <v>62</v>
      </c>
      <c r="D68" s="19" t="s">
        <v>189</v>
      </c>
      <c r="E68" s="17" t="s">
        <v>74</v>
      </c>
      <c r="F68" s="17"/>
      <c r="G68" s="20">
        <v>44223</v>
      </c>
      <c r="H68" s="20">
        <v>44231</v>
      </c>
      <c r="I68" s="20">
        <v>44231</v>
      </c>
      <c r="J68" s="21" t="s">
        <v>191</v>
      </c>
      <c r="K68" s="18" t="s">
        <v>24</v>
      </c>
      <c r="L68" s="23" t="s">
        <v>25</v>
      </c>
      <c r="M68" s="18" t="s">
        <v>34</v>
      </c>
      <c r="N68" s="18"/>
      <c r="O68" s="18"/>
      <c r="P68" s="21"/>
      <c r="Q68" s="18"/>
      <c r="R68" s="22"/>
    </row>
    <row r="69" spans="1:18" ht="30" customHeight="1" x14ac:dyDescent="0.25">
      <c r="A69" s="16" t="s">
        <v>192</v>
      </c>
      <c r="B69" s="17">
        <v>217219</v>
      </c>
      <c r="C69" s="18" t="s">
        <v>20</v>
      </c>
      <c r="D69" s="19" t="s">
        <v>193</v>
      </c>
      <c r="E69" s="17" t="s">
        <v>48</v>
      </c>
      <c r="F69" s="17">
        <v>1</v>
      </c>
      <c r="G69" s="20">
        <v>44213</v>
      </c>
      <c r="H69" s="20">
        <v>44225</v>
      </c>
      <c r="I69" s="20">
        <v>44225</v>
      </c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 t="s">
        <v>38</v>
      </c>
      <c r="Q69" s="18" t="s">
        <v>54</v>
      </c>
      <c r="R69" s="22" t="s">
        <v>54</v>
      </c>
    </row>
    <row r="70" spans="1:18" ht="30" customHeight="1" x14ac:dyDescent="0.25">
      <c r="A70" s="16" t="s">
        <v>159</v>
      </c>
      <c r="B70" s="17">
        <v>217369</v>
      </c>
      <c r="C70" s="18" t="s">
        <v>77</v>
      </c>
      <c r="D70" s="19" t="s">
        <v>194</v>
      </c>
      <c r="E70" s="17" t="s">
        <v>195</v>
      </c>
      <c r="F70" s="17">
        <v>1</v>
      </c>
      <c r="G70" s="20">
        <v>44224</v>
      </c>
      <c r="H70" s="20">
        <v>44225</v>
      </c>
      <c r="I70" s="20">
        <v>44225</v>
      </c>
      <c r="J70" s="21"/>
      <c r="K70" s="18" t="s">
        <v>24</v>
      </c>
      <c r="L70" s="23" t="s">
        <v>37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196</v>
      </c>
      <c r="E71" s="17" t="s">
        <v>79</v>
      </c>
      <c r="F71" s="17">
        <v>1</v>
      </c>
      <c r="G71" s="20">
        <v>44225</v>
      </c>
      <c r="H71" s="20">
        <v>44228</v>
      </c>
      <c r="I71" s="20">
        <v>44228</v>
      </c>
      <c r="J71" s="21" t="s">
        <v>197</v>
      </c>
      <c r="K71" s="18" t="s">
        <v>24</v>
      </c>
      <c r="L71" s="23" t="s">
        <v>37</v>
      </c>
      <c r="M71" s="18" t="s">
        <v>26</v>
      </c>
      <c r="N71" s="18"/>
      <c r="O71" s="18" t="s">
        <v>27</v>
      </c>
      <c r="P71" s="21" t="s">
        <v>27</v>
      </c>
      <c r="Q71" s="18"/>
      <c r="R71" s="22"/>
    </row>
    <row r="72" spans="1:18" ht="30" customHeight="1" x14ac:dyDescent="0.25">
      <c r="A72" s="16" t="s">
        <v>30</v>
      </c>
      <c r="B72" s="17">
        <v>217648</v>
      </c>
      <c r="C72" s="18" t="s">
        <v>77</v>
      </c>
      <c r="D72" s="19" t="s">
        <v>198</v>
      </c>
      <c r="E72" s="17" t="s">
        <v>199</v>
      </c>
      <c r="F72" s="17">
        <v>2</v>
      </c>
      <c r="G72" s="20">
        <v>44225</v>
      </c>
      <c r="H72" s="20">
        <v>44225</v>
      </c>
      <c r="I72" s="20">
        <v>44225</v>
      </c>
      <c r="J72" s="21"/>
      <c r="K72" s="18" t="s">
        <v>24</v>
      </c>
      <c r="L72" s="23" t="s">
        <v>37</v>
      </c>
      <c r="M72" s="18" t="s">
        <v>26</v>
      </c>
      <c r="N72" s="18"/>
      <c r="O72" s="18" t="s">
        <v>38</v>
      </c>
      <c r="P72" s="21"/>
      <c r="Q72" s="18" t="s">
        <v>54</v>
      </c>
      <c r="R72" s="22" t="s">
        <v>54</v>
      </c>
    </row>
    <row r="73" spans="1:18" ht="30" customHeight="1" x14ac:dyDescent="0.25">
      <c r="A73" s="16" t="s">
        <v>39</v>
      </c>
      <c r="B73" s="17" t="s">
        <v>61</v>
      </c>
      <c r="C73" s="18" t="s">
        <v>20</v>
      </c>
      <c r="D73" s="19" t="s">
        <v>200</v>
      </c>
      <c r="E73" s="17" t="s">
        <v>201</v>
      </c>
      <c r="F73" s="17">
        <v>6</v>
      </c>
      <c r="G73" s="20">
        <v>44225</v>
      </c>
      <c r="H73" s="20">
        <v>44235</v>
      </c>
      <c r="I73" s="20">
        <v>44235</v>
      </c>
      <c r="J73" s="21" t="s">
        <v>202</v>
      </c>
      <c r="K73" s="18" t="s">
        <v>24</v>
      </c>
      <c r="L73" s="23" t="s">
        <v>25</v>
      </c>
      <c r="M73" s="18" t="s">
        <v>26</v>
      </c>
      <c r="N73" s="18"/>
      <c r="O73" s="18" t="s">
        <v>27</v>
      </c>
      <c r="P73" s="21" t="s">
        <v>27</v>
      </c>
      <c r="Q73" s="18"/>
      <c r="R73" s="22"/>
    </row>
    <row r="74" spans="1:18" ht="30" customHeight="1" x14ac:dyDescent="0.25">
      <c r="A74" s="16" t="s">
        <v>39</v>
      </c>
      <c r="B74" s="17" t="s">
        <v>61</v>
      </c>
      <c r="C74" s="18" t="s">
        <v>20</v>
      </c>
      <c r="D74" s="19" t="s">
        <v>200</v>
      </c>
      <c r="E74" s="17" t="s">
        <v>79</v>
      </c>
      <c r="F74" s="17">
        <v>1</v>
      </c>
      <c r="G74" s="20">
        <v>44225</v>
      </c>
      <c r="H74" s="20">
        <v>44235</v>
      </c>
      <c r="I74" s="20">
        <v>44235</v>
      </c>
      <c r="J74" s="21" t="s">
        <v>202</v>
      </c>
      <c r="K74" s="18" t="s">
        <v>24</v>
      </c>
      <c r="L74" s="23" t="s">
        <v>25</v>
      </c>
      <c r="M74" s="18" t="s">
        <v>26</v>
      </c>
      <c r="N74" s="18"/>
      <c r="O74" s="18" t="s">
        <v>27</v>
      </c>
      <c r="P74" s="21" t="s">
        <v>27</v>
      </c>
      <c r="Q74" s="18"/>
      <c r="R74" s="22"/>
    </row>
    <row r="75" spans="1:18" ht="30" customHeight="1" x14ac:dyDescent="0.25">
      <c r="A75" s="16" t="s">
        <v>35</v>
      </c>
      <c r="B75" s="17">
        <v>217815</v>
      </c>
      <c r="C75" s="18" t="s">
        <v>20</v>
      </c>
      <c r="D75" s="19" t="s">
        <v>203</v>
      </c>
      <c r="E75" s="17" t="s">
        <v>46</v>
      </c>
      <c r="F75" s="17">
        <v>1</v>
      </c>
      <c r="G75" s="20">
        <v>44225</v>
      </c>
      <c r="H75" s="20">
        <v>44236</v>
      </c>
      <c r="I75" s="20">
        <v>44238</v>
      </c>
      <c r="J75" s="21"/>
      <c r="K75" s="18" t="s">
        <v>24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29</v>
      </c>
      <c r="R75" s="22" t="s">
        <v>29</v>
      </c>
    </row>
    <row r="76" spans="1:18" ht="30" customHeight="1" x14ac:dyDescent="0.25">
      <c r="A76" s="16" t="s">
        <v>35</v>
      </c>
      <c r="B76" s="17">
        <v>217815</v>
      </c>
      <c r="C76" s="18" t="s">
        <v>20</v>
      </c>
      <c r="D76" s="19" t="s">
        <v>203</v>
      </c>
      <c r="E76" s="17" t="s">
        <v>22</v>
      </c>
      <c r="F76" s="17">
        <v>1</v>
      </c>
      <c r="G76" s="20">
        <v>44225</v>
      </c>
      <c r="H76" s="20">
        <v>44236</v>
      </c>
      <c r="I76" s="20">
        <v>44238</v>
      </c>
      <c r="J76" s="21"/>
      <c r="K76" s="18" t="s">
        <v>24</v>
      </c>
      <c r="L76" s="23" t="s">
        <v>25</v>
      </c>
      <c r="M76" s="18" t="s">
        <v>26</v>
      </c>
      <c r="N76" s="18"/>
      <c r="O76" s="18" t="s">
        <v>27</v>
      </c>
      <c r="P76" s="21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35</v>
      </c>
      <c r="B77" s="17">
        <v>217444</v>
      </c>
      <c r="C77" s="18" t="s">
        <v>20</v>
      </c>
      <c r="D77" s="19" t="s">
        <v>204</v>
      </c>
      <c r="E77" s="17" t="s">
        <v>46</v>
      </c>
      <c r="F77" s="17">
        <v>1</v>
      </c>
      <c r="G77" s="20">
        <v>44225</v>
      </c>
      <c r="H77" s="20">
        <v>44245</v>
      </c>
      <c r="I77" s="20">
        <v>44249</v>
      </c>
      <c r="J77" s="21"/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35</v>
      </c>
      <c r="B78" s="17">
        <v>217444</v>
      </c>
      <c r="C78" s="18" t="s">
        <v>20</v>
      </c>
      <c r="D78" s="19" t="s">
        <v>204</v>
      </c>
      <c r="E78" s="17" t="s">
        <v>22</v>
      </c>
      <c r="F78" s="17">
        <v>1</v>
      </c>
      <c r="G78" s="20">
        <v>44225</v>
      </c>
      <c r="H78" s="20">
        <v>44245</v>
      </c>
      <c r="I78" s="20">
        <v>44249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29</v>
      </c>
      <c r="R78" s="22" t="s">
        <v>29</v>
      </c>
    </row>
    <row r="79" spans="1:18" ht="30" customHeight="1" x14ac:dyDescent="0.25">
      <c r="A79" s="16" t="s">
        <v>35</v>
      </c>
      <c r="B79" s="17">
        <v>217440</v>
      </c>
      <c r="C79" s="18" t="s">
        <v>20</v>
      </c>
      <c r="D79" s="19" t="s">
        <v>205</v>
      </c>
      <c r="E79" s="17" t="s">
        <v>46</v>
      </c>
      <c r="F79" s="17">
        <v>1</v>
      </c>
      <c r="G79" s="20">
        <v>44225</v>
      </c>
      <c r="H79" s="20">
        <v>44239</v>
      </c>
      <c r="I79" s="20">
        <v>44239</v>
      </c>
      <c r="J79" s="21"/>
      <c r="K79" s="18" t="s">
        <v>24</v>
      </c>
      <c r="L79" s="23" t="s">
        <v>25</v>
      </c>
      <c r="M79" s="18" t="s">
        <v>26</v>
      </c>
      <c r="N79" s="18"/>
      <c r="O79" s="18" t="s">
        <v>27</v>
      </c>
      <c r="P79" s="21" t="s">
        <v>27</v>
      </c>
      <c r="Q79" s="18" t="s">
        <v>29</v>
      </c>
      <c r="R79" s="22" t="s">
        <v>29</v>
      </c>
    </row>
    <row r="80" spans="1:18" ht="30" customHeight="1" x14ac:dyDescent="0.25">
      <c r="A80" s="16" t="s">
        <v>35</v>
      </c>
      <c r="B80" s="17">
        <v>217440</v>
      </c>
      <c r="C80" s="18" t="s">
        <v>20</v>
      </c>
      <c r="D80" s="19" t="s">
        <v>205</v>
      </c>
      <c r="E80" s="17" t="s">
        <v>22</v>
      </c>
      <c r="F80" s="17">
        <v>1</v>
      </c>
      <c r="G80" s="20">
        <v>44225</v>
      </c>
      <c r="H80" s="20">
        <v>44239</v>
      </c>
      <c r="I80" s="20">
        <v>44239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27</v>
      </c>
      <c r="P80" s="21" t="s">
        <v>27</v>
      </c>
      <c r="Q80" s="18" t="s">
        <v>29</v>
      </c>
      <c r="R80" s="22" t="s">
        <v>29</v>
      </c>
    </row>
    <row r="81" spans="1:18" ht="30" customHeight="1" x14ac:dyDescent="0.25">
      <c r="A81" s="16" t="s">
        <v>132</v>
      </c>
      <c r="B81" s="17">
        <v>213775</v>
      </c>
      <c r="C81" s="18" t="s">
        <v>20</v>
      </c>
      <c r="D81" s="19" t="s">
        <v>206</v>
      </c>
      <c r="E81" s="17" t="s">
        <v>22</v>
      </c>
      <c r="F81" s="17">
        <v>1</v>
      </c>
      <c r="G81" s="20">
        <v>44223</v>
      </c>
      <c r="H81" s="20">
        <v>44235</v>
      </c>
      <c r="I81" s="20">
        <v>44235</v>
      </c>
      <c r="J81" s="21"/>
      <c r="K81" s="18" t="s">
        <v>24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 t="s">
        <v>54</v>
      </c>
      <c r="R81" s="22" t="s">
        <v>54</v>
      </c>
    </row>
    <row r="82" spans="1:18" ht="30" customHeight="1" x14ac:dyDescent="0.25">
      <c r="A82" s="16" t="s">
        <v>132</v>
      </c>
      <c r="B82" s="17">
        <v>213775</v>
      </c>
      <c r="C82" s="18" t="s">
        <v>140</v>
      </c>
      <c r="D82" s="19" t="s">
        <v>206</v>
      </c>
      <c r="E82" s="17" t="s">
        <v>46</v>
      </c>
      <c r="F82" s="17">
        <v>1</v>
      </c>
      <c r="G82" s="20">
        <v>44223</v>
      </c>
      <c r="H82" s="20">
        <v>44235</v>
      </c>
      <c r="I82" s="20">
        <v>44235</v>
      </c>
      <c r="J82" s="21"/>
      <c r="K82" s="18" t="s">
        <v>24</v>
      </c>
      <c r="L82" s="23" t="s">
        <v>58</v>
      </c>
      <c r="M82" s="18" t="s">
        <v>26</v>
      </c>
      <c r="N82" s="18"/>
      <c r="O82" s="18" t="s">
        <v>38</v>
      </c>
      <c r="P82" s="21" t="s">
        <v>38</v>
      </c>
      <c r="Q82" s="18" t="s">
        <v>54</v>
      </c>
      <c r="R82" s="22" t="s">
        <v>54</v>
      </c>
    </row>
    <row r="83" spans="1:18" ht="30" customHeight="1" x14ac:dyDescent="0.25">
      <c r="A83" s="16" t="s">
        <v>132</v>
      </c>
      <c r="B83" s="17">
        <v>213775</v>
      </c>
      <c r="C83" s="18" t="s">
        <v>140</v>
      </c>
      <c r="D83" s="19" t="s">
        <v>206</v>
      </c>
      <c r="E83" s="17" t="s">
        <v>106</v>
      </c>
      <c r="F83" s="17">
        <v>1</v>
      </c>
      <c r="G83" s="20">
        <v>44223</v>
      </c>
      <c r="H83" s="20">
        <v>44235</v>
      </c>
      <c r="I83" s="20">
        <v>44235</v>
      </c>
      <c r="J83" s="21"/>
      <c r="K83" s="18" t="s">
        <v>24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54</v>
      </c>
    </row>
    <row r="84" spans="1:18" ht="30" customHeight="1" x14ac:dyDescent="0.25">
      <c r="A84" s="16" t="s">
        <v>132</v>
      </c>
      <c r="B84" s="17">
        <v>213775</v>
      </c>
      <c r="C84" s="18" t="s">
        <v>140</v>
      </c>
      <c r="D84" s="19" t="s">
        <v>206</v>
      </c>
      <c r="E84" s="17" t="s">
        <v>107</v>
      </c>
      <c r="F84" s="17">
        <v>1</v>
      </c>
      <c r="G84" s="20">
        <v>44223</v>
      </c>
      <c r="H84" s="20">
        <v>44235</v>
      </c>
      <c r="I84" s="20">
        <v>44235</v>
      </c>
      <c r="J84" s="21"/>
      <c r="K84" s="18" t="s">
        <v>24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54</v>
      </c>
    </row>
    <row r="85" spans="1:18" ht="30" customHeight="1" x14ac:dyDescent="0.25">
      <c r="A85" s="16" t="s">
        <v>132</v>
      </c>
      <c r="B85" s="17">
        <v>213775</v>
      </c>
      <c r="C85" s="18" t="s">
        <v>20</v>
      </c>
      <c r="D85" s="19" t="s">
        <v>206</v>
      </c>
      <c r="E85" s="17" t="s">
        <v>170</v>
      </c>
      <c r="F85" s="17">
        <v>1</v>
      </c>
      <c r="G85" s="20">
        <v>44223</v>
      </c>
      <c r="H85" s="20">
        <v>44235</v>
      </c>
      <c r="I85" s="20">
        <v>44235</v>
      </c>
      <c r="J85" s="21"/>
      <c r="K85" s="18" t="s">
        <v>24</v>
      </c>
      <c r="L85" s="23" t="s">
        <v>58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132</v>
      </c>
      <c r="B86" s="17">
        <v>213775</v>
      </c>
      <c r="C86" s="18" t="s">
        <v>20</v>
      </c>
      <c r="D86" s="19" t="s">
        <v>206</v>
      </c>
      <c r="E86" s="17" t="s">
        <v>67</v>
      </c>
      <c r="F86" s="17">
        <v>1</v>
      </c>
      <c r="G86" s="20">
        <v>44223</v>
      </c>
      <c r="H86" s="20">
        <v>44235</v>
      </c>
      <c r="I86" s="20">
        <v>44235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30</v>
      </c>
      <c r="B87" s="17">
        <v>214435</v>
      </c>
      <c r="C87" s="18" t="s">
        <v>140</v>
      </c>
      <c r="D87" s="19" t="s">
        <v>207</v>
      </c>
      <c r="E87" s="17" t="s">
        <v>22</v>
      </c>
      <c r="F87" s="17">
        <v>8</v>
      </c>
      <c r="G87" s="20">
        <v>44210</v>
      </c>
      <c r="H87" s="20">
        <v>44230</v>
      </c>
      <c r="I87" s="20">
        <v>44229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54</v>
      </c>
      <c r="R87" s="22" t="s">
        <v>185</v>
      </c>
    </row>
    <row r="88" spans="1:18" ht="30" customHeight="1" x14ac:dyDescent="0.25">
      <c r="A88" s="16" t="s">
        <v>30</v>
      </c>
      <c r="B88" s="17">
        <v>214435</v>
      </c>
      <c r="C88" s="18" t="s">
        <v>140</v>
      </c>
      <c r="D88" s="19" t="s">
        <v>207</v>
      </c>
      <c r="E88" s="17" t="s">
        <v>46</v>
      </c>
      <c r="F88" s="17">
        <v>8</v>
      </c>
      <c r="G88" s="20">
        <v>44210</v>
      </c>
      <c r="H88" s="20">
        <v>44230</v>
      </c>
      <c r="I88" s="20">
        <v>44229</v>
      </c>
      <c r="J88" s="21"/>
      <c r="K88" s="18" t="s">
        <v>24</v>
      </c>
      <c r="L88" s="23" t="s">
        <v>58</v>
      </c>
      <c r="M88" s="18" t="s">
        <v>26</v>
      </c>
      <c r="N88" s="18"/>
      <c r="O88" s="18" t="s">
        <v>38</v>
      </c>
      <c r="P88" s="21" t="s">
        <v>38</v>
      </c>
      <c r="Q88" s="18" t="s">
        <v>54</v>
      </c>
      <c r="R88" s="22" t="s">
        <v>185</v>
      </c>
    </row>
    <row r="89" spans="1:18" ht="30" customHeight="1" x14ac:dyDescent="0.25">
      <c r="A89" s="16" t="s">
        <v>76</v>
      </c>
      <c r="B89" s="17">
        <v>217958</v>
      </c>
      <c r="C89" s="18" t="s">
        <v>20</v>
      </c>
      <c r="D89" s="19" t="s">
        <v>208</v>
      </c>
      <c r="E89" s="17" t="s">
        <v>46</v>
      </c>
      <c r="F89" s="17">
        <v>1</v>
      </c>
      <c r="G89" s="20">
        <v>44228</v>
      </c>
      <c r="H89" s="20">
        <v>44235</v>
      </c>
      <c r="I89" s="20">
        <v>44245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76</v>
      </c>
      <c r="B90" s="17">
        <v>217958</v>
      </c>
      <c r="C90" s="18" t="s">
        <v>20</v>
      </c>
      <c r="D90" s="19" t="s">
        <v>208</v>
      </c>
      <c r="E90" s="17" t="s">
        <v>107</v>
      </c>
      <c r="F90" s="17">
        <v>1</v>
      </c>
      <c r="G90" s="20">
        <v>44228</v>
      </c>
      <c r="H90" s="20">
        <v>44235</v>
      </c>
      <c r="I90" s="20">
        <v>44245</v>
      </c>
      <c r="J90" s="21"/>
      <c r="K90" s="18" t="s">
        <v>24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76</v>
      </c>
      <c r="B91" s="17">
        <v>217958</v>
      </c>
      <c r="C91" s="18" t="s">
        <v>20</v>
      </c>
      <c r="D91" s="19" t="s">
        <v>208</v>
      </c>
      <c r="E91" s="17" t="s">
        <v>153</v>
      </c>
      <c r="F91" s="17">
        <v>3</v>
      </c>
      <c r="G91" s="20">
        <v>44228</v>
      </c>
      <c r="H91" s="20">
        <v>44235</v>
      </c>
      <c r="I91" s="20">
        <v>44245</v>
      </c>
      <c r="J91" s="21"/>
      <c r="K91" s="18" t="s">
        <v>24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30" customHeight="1" x14ac:dyDescent="0.25">
      <c r="A92" s="16" t="s">
        <v>76</v>
      </c>
      <c r="B92" s="17">
        <v>217958</v>
      </c>
      <c r="C92" s="18" t="s">
        <v>20</v>
      </c>
      <c r="D92" s="19" t="s">
        <v>208</v>
      </c>
      <c r="E92" s="17" t="s">
        <v>69</v>
      </c>
      <c r="F92" s="17">
        <v>1</v>
      </c>
      <c r="G92" s="20">
        <v>44228</v>
      </c>
      <c r="H92" s="20">
        <v>44235</v>
      </c>
      <c r="I92" s="20">
        <v>44245</v>
      </c>
      <c r="J92" s="21"/>
      <c r="K92" s="18" t="s">
        <v>24</v>
      </c>
      <c r="L92" s="23" t="s">
        <v>25</v>
      </c>
      <c r="M92" s="18" t="s">
        <v>26</v>
      </c>
      <c r="N92" s="18"/>
      <c r="O92" s="18" t="s">
        <v>27</v>
      </c>
      <c r="P92" s="21" t="s">
        <v>27</v>
      </c>
      <c r="Q92" s="18" t="s">
        <v>28</v>
      </c>
      <c r="R92" s="22" t="s">
        <v>54</v>
      </c>
    </row>
    <row r="93" spans="1:18" ht="30" customHeight="1" x14ac:dyDescent="0.25">
      <c r="A93" s="16" t="s">
        <v>52</v>
      </c>
      <c r="B93" s="17">
        <v>194539</v>
      </c>
      <c r="C93" s="18" t="s">
        <v>140</v>
      </c>
      <c r="D93" s="19" t="s">
        <v>209</v>
      </c>
      <c r="E93" s="17" t="s">
        <v>46</v>
      </c>
      <c r="F93" s="17">
        <v>1</v>
      </c>
      <c r="G93" s="20">
        <v>44111</v>
      </c>
      <c r="H93" s="20">
        <v>44547</v>
      </c>
      <c r="I93" s="20">
        <v>44547</v>
      </c>
      <c r="J93" s="21" t="s">
        <v>210</v>
      </c>
      <c r="K93" s="18" t="s">
        <v>24</v>
      </c>
      <c r="L93" s="23" t="s">
        <v>25</v>
      </c>
      <c r="M93" s="18" t="s">
        <v>34</v>
      </c>
      <c r="N93" s="18">
        <v>2</v>
      </c>
      <c r="O93" s="18" t="s">
        <v>27</v>
      </c>
      <c r="P93" s="21" t="s">
        <v>27</v>
      </c>
      <c r="Q93" s="18" t="s">
        <v>54</v>
      </c>
      <c r="R93" s="22" t="s">
        <v>28</v>
      </c>
    </row>
    <row r="94" spans="1:18" ht="30" customHeight="1" x14ac:dyDescent="0.25">
      <c r="A94" s="16" t="s">
        <v>52</v>
      </c>
      <c r="B94" s="17">
        <v>194539</v>
      </c>
      <c r="C94" s="18" t="s">
        <v>140</v>
      </c>
      <c r="D94" s="19" t="s">
        <v>209</v>
      </c>
      <c r="E94" s="17" t="s">
        <v>22</v>
      </c>
      <c r="F94" s="17">
        <v>1</v>
      </c>
      <c r="G94" s="20">
        <v>44111</v>
      </c>
      <c r="H94" s="20">
        <v>44547</v>
      </c>
      <c r="I94" s="20">
        <v>44547</v>
      </c>
      <c r="J94" s="21" t="s">
        <v>210</v>
      </c>
      <c r="K94" s="18" t="s">
        <v>24</v>
      </c>
      <c r="L94" s="23" t="s">
        <v>25</v>
      </c>
      <c r="M94" s="18" t="s">
        <v>34</v>
      </c>
      <c r="N94" s="18">
        <v>2</v>
      </c>
      <c r="O94" s="18" t="s">
        <v>27</v>
      </c>
      <c r="P94" s="21" t="s">
        <v>27</v>
      </c>
      <c r="Q94" s="18" t="s">
        <v>54</v>
      </c>
      <c r="R94" s="22" t="s">
        <v>28</v>
      </c>
    </row>
    <row r="95" spans="1:18" ht="30" customHeight="1" x14ac:dyDescent="0.25">
      <c r="A95" s="16" t="s">
        <v>52</v>
      </c>
      <c r="B95" s="17">
        <v>194539</v>
      </c>
      <c r="C95" s="18" t="s">
        <v>140</v>
      </c>
      <c r="D95" s="19" t="s">
        <v>209</v>
      </c>
      <c r="E95" s="17" t="s">
        <v>104</v>
      </c>
      <c r="F95" s="17">
        <v>1</v>
      </c>
      <c r="G95" s="20">
        <v>44111</v>
      </c>
      <c r="H95" s="20">
        <v>44547</v>
      </c>
      <c r="I95" s="20">
        <v>44547</v>
      </c>
      <c r="J95" s="21" t="s">
        <v>210</v>
      </c>
      <c r="K95" s="18" t="s">
        <v>24</v>
      </c>
      <c r="L95" s="23" t="s">
        <v>25</v>
      </c>
      <c r="M95" s="18" t="s">
        <v>34</v>
      </c>
      <c r="N95" s="18">
        <v>2</v>
      </c>
      <c r="O95" s="18" t="s">
        <v>27</v>
      </c>
      <c r="P95" s="21" t="s">
        <v>27</v>
      </c>
      <c r="Q95" s="18" t="s">
        <v>54</v>
      </c>
      <c r="R95" s="22" t="s">
        <v>28</v>
      </c>
    </row>
    <row r="96" spans="1:18" ht="30" customHeight="1" x14ac:dyDescent="0.25">
      <c r="A96" s="16" t="s">
        <v>52</v>
      </c>
      <c r="B96" s="17">
        <v>194539</v>
      </c>
      <c r="C96" s="18" t="s">
        <v>140</v>
      </c>
      <c r="D96" s="19" t="s">
        <v>209</v>
      </c>
      <c r="E96" s="17" t="s">
        <v>111</v>
      </c>
      <c r="F96" s="17">
        <v>1</v>
      </c>
      <c r="G96" s="20">
        <v>44111</v>
      </c>
      <c r="H96" s="20">
        <v>44547</v>
      </c>
      <c r="I96" s="20">
        <v>44547</v>
      </c>
      <c r="J96" s="21" t="s">
        <v>210</v>
      </c>
      <c r="K96" s="18" t="s">
        <v>24</v>
      </c>
      <c r="L96" s="23" t="s">
        <v>25</v>
      </c>
      <c r="M96" s="18" t="s">
        <v>34</v>
      </c>
      <c r="N96" s="18">
        <v>2</v>
      </c>
      <c r="O96" s="18" t="s">
        <v>27</v>
      </c>
      <c r="P96" s="21" t="s">
        <v>27</v>
      </c>
      <c r="Q96" s="18" t="s">
        <v>54</v>
      </c>
      <c r="R96" s="22" t="s">
        <v>28</v>
      </c>
    </row>
    <row r="97" spans="1:18" ht="30" customHeight="1" x14ac:dyDescent="0.25">
      <c r="A97" s="16" t="s">
        <v>39</v>
      </c>
      <c r="B97" s="17">
        <v>217854</v>
      </c>
      <c r="C97" s="18" t="s">
        <v>20</v>
      </c>
      <c r="D97" s="19" t="s">
        <v>211</v>
      </c>
      <c r="E97" s="17" t="s">
        <v>124</v>
      </c>
      <c r="F97" s="17">
        <v>1</v>
      </c>
      <c r="G97" s="20">
        <v>44225</v>
      </c>
      <c r="H97" s="20">
        <v>44249</v>
      </c>
      <c r="I97" s="20">
        <v>44249</v>
      </c>
      <c r="J97" s="21"/>
      <c r="K97" s="18" t="s">
        <v>24</v>
      </c>
      <c r="L97" s="23" t="s">
        <v>25</v>
      </c>
      <c r="M97" s="18" t="s">
        <v>26</v>
      </c>
      <c r="N97" s="18"/>
      <c r="O97" s="18" t="s">
        <v>27</v>
      </c>
      <c r="P97" s="21" t="s">
        <v>27</v>
      </c>
      <c r="Q97" s="18" t="s">
        <v>29</v>
      </c>
      <c r="R97" s="22" t="s">
        <v>29</v>
      </c>
    </row>
    <row r="98" spans="1:18" ht="30" customHeight="1" x14ac:dyDescent="0.25">
      <c r="A98" s="16" t="s">
        <v>39</v>
      </c>
      <c r="B98" s="17">
        <v>217854</v>
      </c>
      <c r="C98" s="18" t="s">
        <v>20</v>
      </c>
      <c r="D98" s="19" t="s">
        <v>211</v>
      </c>
      <c r="E98" s="17" t="s">
        <v>127</v>
      </c>
      <c r="F98" s="17">
        <v>1</v>
      </c>
      <c r="G98" s="20">
        <v>44225</v>
      </c>
      <c r="H98" s="20">
        <v>44249</v>
      </c>
      <c r="I98" s="20">
        <v>44249</v>
      </c>
      <c r="J98" s="21"/>
      <c r="K98" s="18" t="s">
        <v>24</v>
      </c>
      <c r="L98" s="23" t="s">
        <v>25</v>
      </c>
      <c r="M98" s="18" t="s">
        <v>26</v>
      </c>
      <c r="N98" s="18"/>
      <c r="O98" s="18" t="s">
        <v>27</v>
      </c>
      <c r="P98" s="21" t="s">
        <v>27</v>
      </c>
      <c r="Q98" s="18" t="s">
        <v>29</v>
      </c>
      <c r="R98" s="22" t="s">
        <v>29</v>
      </c>
    </row>
    <row r="99" spans="1:18" ht="30" customHeight="1" x14ac:dyDescent="0.25">
      <c r="A99" s="16" t="s">
        <v>39</v>
      </c>
      <c r="B99" s="17">
        <v>217962</v>
      </c>
      <c r="C99" s="18" t="s">
        <v>20</v>
      </c>
      <c r="D99" s="19" t="s">
        <v>212</v>
      </c>
      <c r="E99" s="17" t="s">
        <v>22</v>
      </c>
      <c r="F99" s="17">
        <v>1</v>
      </c>
      <c r="G99" s="20">
        <v>44228</v>
      </c>
      <c r="H99" s="20">
        <v>44236</v>
      </c>
      <c r="I99" s="20">
        <v>44236</v>
      </c>
      <c r="J99" s="21"/>
      <c r="K99" s="18" t="s">
        <v>24</v>
      </c>
      <c r="L99" s="23" t="s">
        <v>25</v>
      </c>
      <c r="M99" s="18" t="s">
        <v>213</v>
      </c>
      <c r="N99" s="18">
        <v>1</v>
      </c>
      <c r="O99" s="18" t="s">
        <v>27</v>
      </c>
      <c r="P99" s="21" t="s">
        <v>38</v>
      </c>
      <c r="Q99" s="18" t="s">
        <v>28</v>
      </c>
      <c r="R99" s="22" t="s">
        <v>54</v>
      </c>
    </row>
    <row r="100" spans="1:18" ht="30" customHeight="1" x14ac:dyDescent="0.25">
      <c r="A100" s="16" t="s">
        <v>39</v>
      </c>
      <c r="B100" s="17">
        <v>217962</v>
      </c>
      <c r="C100" s="18" t="s">
        <v>20</v>
      </c>
      <c r="D100" s="19" t="s">
        <v>212</v>
      </c>
      <c r="E100" s="17" t="s">
        <v>46</v>
      </c>
      <c r="F100" s="17">
        <v>1</v>
      </c>
      <c r="G100" s="20">
        <v>44228</v>
      </c>
      <c r="H100" s="20">
        <v>44237</v>
      </c>
      <c r="I100" s="20">
        <v>44237</v>
      </c>
      <c r="J100" s="21"/>
      <c r="K100" s="18" t="s">
        <v>24</v>
      </c>
      <c r="L100" s="23" t="s">
        <v>45</v>
      </c>
      <c r="M100" s="18" t="s">
        <v>213</v>
      </c>
      <c r="N100" s="18"/>
      <c r="O100" s="18" t="s">
        <v>27</v>
      </c>
      <c r="P100" s="21" t="s">
        <v>38</v>
      </c>
      <c r="Q100" s="18" t="s">
        <v>28</v>
      </c>
      <c r="R100" s="22" t="s">
        <v>54</v>
      </c>
    </row>
    <row r="101" spans="1:18" ht="30" customHeight="1" x14ac:dyDescent="0.25">
      <c r="A101" s="16" t="s">
        <v>39</v>
      </c>
      <c r="B101" s="17">
        <v>217962</v>
      </c>
      <c r="C101" s="18" t="s">
        <v>20</v>
      </c>
      <c r="D101" s="19" t="s">
        <v>212</v>
      </c>
      <c r="E101" s="17" t="s">
        <v>124</v>
      </c>
      <c r="F101" s="17">
        <v>1</v>
      </c>
      <c r="G101" s="20">
        <v>44228</v>
      </c>
      <c r="H101" s="20">
        <v>44237</v>
      </c>
      <c r="I101" s="20">
        <v>44237</v>
      </c>
      <c r="J101" s="21"/>
      <c r="K101" s="18" t="s">
        <v>24</v>
      </c>
      <c r="L101" s="23" t="s">
        <v>25</v>
      </c>
      <c r="M101" s="18" t="s">
        <v>213</v>
      </c>
      <c r="N101" s="18"/>
      <c r="O101" s="18" t="s">
        <v>27</v>
      </c>
      <c r="P101" s="21" t="s">
        <v>38</v>
      </c>
      <c r="Q101" s="18" t="s">
        <v>28</v>
      </c>
      <c r="R101" s="22" t="s">
        <v>54</v>
      </c>
    </row>
    <row r="102" spans="1:18" ht="30" customHeight="1" x14ac:dyDescent="0.25">
      <c r="A102" s="16" t="s">
        <v>182</v>
      </c>
      <c r="B102" s="17">
        <v>218138</v>
      </c>
      <c r="C102" s="18" t="s">
        <v>140</v>
      </c>
      <c r="D102" s="19" t="s">
        <v>214</v>
      </c>
      <c r="E102" s="17" t="s">
        <v>142</v>
      </c>
      <c r="F102" s="17">
        <v>2</v>
      </c>
      <c r="G102" s="20">
        <v>44228</v>
      </c>
      <c r="H102" s="20">
        <v>44232</v>
      </c>
      <c r="I102" s="20">
        <v>44230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182</v>
      </c>
      <c r="B103" s="17">
        <v>218138</v>
      </c>
      <c r="C103" s="18" t="s">
        <v>140</v>
      </c>
      <c r="D103" s="19" t="s">
        <v>214</v>
      </c>
      <c r="E103" s="17" t="s">
        <v>94</v>
      </c>
      <c r="F103" s="17">
        <v>5</v>
      </c>
      <c r="G103" s="20">
        <v>44228</v>
      </c>
      <c r="H103" s="20">
        <v>44232</v>
      </c>
      <c r="I103" s="20">
        <v>44230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130</v>
      </c>
      <c r="B104" s="17">
        <v>218164</v>
      </c>
      <c r="C104" s="18" t="s">
        <v>77</v>
      </c>
      <c r="D104" s="19" t="s">
        <v>215</v>
      </c>
      <c r="E104" s="17" t="s">
        <v>79</v>
      </c>
      <c r="F104" s="17">
        <v>1</v>
      </c>
      <c r="G104" s="20">
        <v>44228</v>
      </c>
      <c r="H104" s="20">
        <v>44229</v>
      </c>
      <c r="I104" s="20">
        <v>44229</v>
      </c>
      <c r="J104" s="21"/>
      <c r="K104" s="18" t="s">
        <v>24</v>
      </c>
      <c r="L104" s="23" t="s">
        <v>37</v>
      </c>
      <c r="M104" s="18" t="s">
        <v>34</v>
      </c>
      <c r="N104" s="18"/>
      <c r="O104" s="18" t="s">
        <v>38</v>
      </c>
      <c r="P104" s="21"/>
      <c r="Q104" s="18" t="s">
        <v>54</v>
      </c>
      <c r="R104" s="22" t="s">
        <v>28</v>
      </c>
    </row>
    <row r="105" spans="1:18" ht="30" customHeight="1" x14ac:dyDescent="0.25">
      <c r="A105" s="16" t="s">
        <v>76</v>
      </c>
      <c r="B105" s="17">
        <v>218168</v>
      </c>
      <c r="C105" s="18" t="s">
        <v>140</v>
      </c>
      <c r="D105" s="19" t="s">
        <v>216</v>
      </c>
      <c r="E105" s="17" t="s">
        <v>22</v>
      </c>
      <c r="F105" s="17">
        <v>1</v>
      </c>
      <c r="G105" s="20">
        <v>44228</v>
      </c>
      <c r="H105" s="20">
        <v>44232</v>
      </c>
      <c r="I105" s="20">
        <v>44231</v>
      </c>
      <c r="J105" s="21" t="s">
        <v>217</v>
      </c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76</v>
      </c>
      <c r="B106" s="17">
        <v>218168</v>
      </c>
      <c r="C106" s="18" t="s">
        <v>140</v>
      </c>
      <c r="D106" s="19" t="s">
        <v>216</v>
      </c>
      <c r="E106" s="17" t="s">
        <v>46</v>
      </c>
      <c r="F106" s="17">
        <v>1</v>
      </c>
      <c r="G106" s="20">
        <v>44228</v>
      </c>
      <c r="H106" s="20">
        <v>44232</v>
      </c>
      <c r="I106" s="20">
        <v>44231</v>
      </c>
      <c r="J106" s="21" t="s">
        <v>217</v>
      </c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 t="s">
        <v>38</v>
      </c>
      <c r="Q106" s="18" t="s">
        <v>54</v>
      </c>
      <c r="R106" s="22" t="s">
        <v>28</v>
      </c>
    </row>
    <row r="107" spans="1:18" ht="30" customHeight="1" x14ac:dyDescent="0.25">
      <c r="A107" s="16" t="s">
        <v>76</v>
      </c>
      <c r="B107" s="17">
        <v>218168</v>
      </c>
      <c r="C107" s="18" t="s">
        <v>140</v>
      </c>
      <c r="D107" s="19" t="s">
        <v>216</v>
      </c>
      <c r="E107" s="17" t="s">
        <v>107</v>
      </c>
      <c r="F107" s="17">
        <v>2</v>
      </c>
      <c r="G107" s="20">
        <v>44228</v>
      </c>
      <c r="H107" s="20">
        <v>44232</v>
      </c>
      <c r="I107" s="20">
        <v>44231</v>
      </c>
      <c r="J107" s="21" t="s">
        <v>217</v>
      </c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 t="s">
        <v>28</v>
      </c>
    </row>
    <row r="108" spans="1:18" ht="30" customHeight="1" x14ac:dyDescent="0.25">
      <c r="A108" s="16" t="s">
        <v>87</v>
      </c>
      <c r="B108" s="17">
        <v>218298</v>
      </c>
      <c r="C108" s="18" t="s">
        <v>140</v>
      </c>
      <c r="D108" s="19" t="s">
        <v>218</v>
      </c>
      <c r="E108" s="17" t="s">
        <v>219</v>
      </c>
      <c r="F108" s="17">
        <v>1</v>
      </c>
      <c r="G108" s="20">
        <v>44229</v>
      </c>
      <c r="H108" s="20"/>
      <c r="I108" s="20">
        <v>44236</v>
      </c>
      <c r="J108" s="21" t="s">
        <v>220</v>
      </c>
      <c r="K108" s="18" t="s">
        <v>24</v>
      </c>
      <c r="L108" s="23" t="s">
        <v>58</v>
      </c>
      <c r="M108" s="18" t="s">
        <v>26</v>
      </c>
      <c r="N108" s="18">
        <v>2</v>
      </c>
      <c r="O108" s="18" t="s">
        <v>38</v>
      </c>
      <c r="P108" s="21" t="s">
        <v>38</v>
      </c>
      <c r="Q108" s="18" t="s">
        <v>185</v>
      </c>
      <c r="R108" s="22" t="s">
        <v>28</v>
      </c>
    </row>
    <row r="109" spans="1:18" ht="30" customHeight="1" x14ac:dyDescent="0.25">
      <c r="A109" s="16" t="s">
        <v>87</v>
      </c>
      <c r="B109" s="17">
        <v>218298</v>
      </c>
      <c r="C109" s="18" t="s">
        <v>140</v>
      </c>
      <c r="D109" s="19" t="s">
        <v>218</v>
      </c>
      <c r="E109" s="17" t="s">
        <v>46</v>
      </c>
      <c r="F109" s="17">
        <v>1</v>
      </c>
      <c r="G109" s="20">
        <v>44229</v>
      </c>
      <c r="H109" s="20"/>
      <c r="I109" s="20">
        <v>44246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 t="s">
        <v>38</v>
      </c>
      <c r="Q109" s="18" t="s">
        <v>28</v>
      </c>
      <c r="R109" s="22" t="s">
        <v>28</v>
      </c>
    </row>
    <row r="110" spans="1:18" ht="30" customHeight="1" x14ac:dyDescent="0.25">
      <c r="A110" s="16" t="s">
        <v>87</v>
      </c>
      <c r="B110" s="17">
        <v>218298</v>
      </c>
      <c r="C110" s="18" t="s">
        <v>140</v>
      </c>
      <c r="D110" s="19" t="s">
        <v>218</v>
      </c>
      <c r="E110" s="17" t="s">
        <v>22</v>
      </c>
      <c r="F110" s="17">
        <v>1</v>
      </c>
      <c r="G110" s="20">
        <v>44229</v>
      </c>
      <c r="H110" s="20"/>
      <c r="I110" s="20">
        <v>44246</v>
      </c>
      <c r="J110" s="21"/>
      <c r="K110" s="18" t="s">
        <v>24</v>
      </c>
      <c r="L110" s="23" t="s">
        <v>58</v>
      </c>
      <c r="M110" s="18" t="s">
        <v>26</v>
      </c>
      <c r="N110" s="18">
        <v>1</v>
      </c>
      <c r="O110" s="18" t="s">
        <v>38</v>
      </c>
      <c r="P110" s="21" t="s">
        <v>38</v>
      </c>
      <c r="Q110" s="18" t="s">
        <v>28</v>
      </c>
      <c r="R110" s="22" t="s">
        <v>28</v>
      </c>
    </row>
    <row r="111" spans="1:18" ht="30" customHeight="1" x14ac:dyDescent="0.25">
      <c r="A111" s="16" t="s">
        <v>87</v>
      </c>
      <c r="B111" s="17">
        <v>218298</v>
      </c>
      <c r="C111" s="18" t="s">
        <v>140</v>
      </c>
      <c r="D111" s="19" t="s">
        <v>218</v>
      </c>
      <c r="E111" s="17" t="s">
        <v>102</v>
      </c>
      <c r="F111" s="17">
        <v>1</v>
      </c>
      <c r="G111" s="20">
        <v>44249</v>
      </c>
      <c r="H111" s="20"/>
      <c r="I111" s="20">
        <v>44249</v>
      </c>
      <c r="J111" s="21" t="s">
        <v>221</v>
      </c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 t="s">
        <v>38</v>
      </c>
      <c r="Q111" s="18" t="s">
        <v>28</v>
      </c>
      <c r="R111" s="22" t="s">
        <v>28</v>
      </c>
    </row>
    <row r="112" spans="1:18" ht="30" customHeight="1" x14ac:dyDescent="0.25">
      <c r="A112" s="16" t="s">
        <v>87</v>
      </c>
      <c r="B112" s="17">
        <v>218298</v>
      </c>
      <c r="C112" s="18" t="s">
        <v>140</v>
      </c>
      <c r="D112" s="19" t="s">
        <v>218</v>
      </c>
      <c r="E112" s="17" t="s">
        <v>102</v>
      </c>
      <c r="F112" s="17">
        <v>1</v>
      </c>
      <c r="G112" s="20">
        <v>44251</v>
      </c>
      <c r="H112" s="20"/>
      <c r="I112" s="20">
        <v>44251</v>
      </c>
      <c r="J112" s="21" t="s">
        <v>222</v>
      </c>
      <c r="K112" s="18" t="s">
        <v>24</v>
      </c>
      <c r="L112" s="23" t="s">
        <v>58</v>
      </c>
      <c r="M112" s="18" t="s">
        <v>26</v>
      </c>
      <c r="N112" s="18">
        <v>1</v>
      </c>
      <c r="O112" s="18" t="s">
        <v>38</v>
      </c>
      <c r="P112" s="21" t="s">
        <v>38</v>
      </c>
      <c r="Q112" s="18" t="s">
        <v>28</v>
      </c>
      <c r="R112" s="22" t="s">
        <v>28</v>
      </c>
    </row>
    <row r="113" spans="1:18" ht="30" customHeight="1" x14ac:dyDescent="0.25">
      <c r="A113" s="16" t="s">
        <v>87</v>
      </c>
      <c r="B113" s="17">
        <v>218298</v>
      </c>
      <c r="C113" s="18" t="s">
        <v>140</v>
      </c>
      <c r="D113" s="19" t="s">
        <v>218</v>
      </c>
      <c r="E113" s="17" t="s">
        <v>69</v>
      </c>
      <c r="F113" s="17">
        <v>1</v>
      </c>
      <c r="G113" s="20">
        <v>44229</v>
      </c>
      <c r="H113" s="20"/>
      <c r="I113" s="20">
        <v>44246</v>
      </c>
      <c r="J113" s="21"/>
      <c r="K113" s="18" t="s">
        <v>24</v>
      </c>
      <c r="L113" s="23" t="s">
        <v>58</v>
      </c>
      <c r="M113" s="18" t="s">
        <v>26</v>
      </c>
      <c r="N113" s="18">
        <v>1</v>
      </c>
      <c r="O113" s="18" t="s">
        <v>38</v>
      </c>
      <c r="P113" s="21" t="s">
        <v>38</v>
      </c>
      <c r="Q113" s="18" t="s">
        <v>28</v>
      </c>
      <c r="R113" s="22" t="s">
        <v>28</v>
      </c>
    </row>
    <row r="114" spans="1:18" ht="30" customHeight="1" x14ac:dyDescent="0.25">
      <c r="A114" s="16" t="s">
        <v>132</v>
      </c>
      <c r="B114" s="17">
        <v>218244</v>
      </c>
      <c r="C114" s="18" t="s">
        <v>140</v>
      </c>
      <c r="D114" s="19" t="s">
        <v>223</v>
      </c>
      <c r="E114" s="17" t="s">
        <v>106</v>
      </c>
      <c r="F114" s="17">
        <v>1</v>
      </c>
      <c r="G114" s="20">
        <v>44229</v>
      </c>
      <c r="H114" s="20">
        <v>44235</v>
      </c>
      <c r="I114" s="20">
        <v>44231</v>
      </c>
      <c r="J114" s="21" t="s">
        <v>224</v>
      </c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 t="s">
        <v>225</v>
      </c>
      <c r="Q114" s="18" t="s">
        <v>54</v>
      </c>
      <c r="R114" s="22" t="s">
        <v>54</v>
      </c>
    </row>
    <row r="115" spans="1:18" ht="30" customHeight="1" x14ac:dyDescent="0.25">
      <c r="A115" s="16" t="s">
        <v>132</v>
      </c>
      <c r="B115" s="17">
        <v>218244</v>
      </c>
      <c r="C115" s="18" t="s">
        <v>140</v>
      </c>
      <c r="D115" s="19" t="s">
        <v>223</v>
      </c>
      <c r="E115" s="17" t="s">
        <v>107</v>
      </c>
      <c r="F115" s="17">
        <v>1</v>
      </c>
      <c r="G115" s="20">
        <v>44229</v>
      </c>
      <c r="H115" s="20">
        <v>44235</v>
      </c>
      <c r="I115" s="20">
        <v>44231</v>
      </c>
      <c r="J115" s="21" t="s">
        <v>224</v>
      </c>
      <c r="K115" s="18" t="s">
        <v>24</v>
      </c>
      <c r="L115" s="23" t="s">
        <v>58</v>
      </c>
      <c r="M115" s="18" t="s">
        <v>26</v>
      </c>
      <c r="N115" s="18"/>
      <c r="O115" s="18" t="s">
        <v>38</v>
      </c>
      <c r="P115" s="21" t="s">
        <v>225</v>
      </c>
      <c r="Q115" s="18" t="s">
        <v>54</v>
      </c>
      <c r="R115" s="22" t="s">
        <v>54</v>
      </c>
    </row>
    <row r="116" spans="1:18" ht="30" customHeight="1" x14ac:dyDescent="0.25">
      <c r="A116" s="16" t="s">
        <v>132</v>
      </c>
      <c r="B116" s="17">
        <v>218244</v>
      </c>
      <c r="C116" s="18" t="s">
        <v>140</v>
      </c>
      <c r="D116" s="19" t="s">
        <v>223</v>
      </c>
      <c r="E116" s="17" t="s">
        <v>69</v>
      </c>
      <c r="F116" s="17">
        <v>1</v>
      </c>
      <c r="G116" s="20">
        <v>44229</v>
      </c>
      <c r="H116" s="20">
        <v>44235</v>
      </c>
      <c r="I116" s="20">
        <v>44231</v>
      </c>
      <c r="J116" s="21" t="s">
        <v>224</v>
      </c>
      <c r="K116" s="18" t="s">
        <v>24</v>
      </c>
      <c r="L116" s="23" t="s">
        <v>58</v>
      </c>
      <c r="M116" s="18" t="s">
        <v>26</v>
      </c>
      <c r="N116" s="18"/>
      <c r="O116" s="18" t="s">
        <v>38</v>
      </c>
      <c r="P116" s="21" t="s">
        <v>225</v>
      </c>
      <c r="Q116" s="18" t="s">
        <v>54</v>
      </c>
      <c r="R116" s="22" t="s">
        <v>54</v>
      </c>
    </row>
    <row r="117" spans="1:18" ht="30" customHeight="1" x14ac:dyDescent="0.25">
      <c r="A117" s="16" t="s">
        <v>39</v>
      </c>
      <c r="B117" s="17">
        <v>218560</v>
      </c>
      <c r="C117" s="18" t="s">
        <v>140</v>
      </c>
      <c r="D117" s="19" t="s">
        <v>226</v>
      </c>
      <c r="E117" s="17" t="s">
        <v>227</v>
      </c>
      <c r="F117" s="17">
        <v>1</v>
      </c>
      <c r="G117" s="20">
        <v>44229</v>
      </c>
      <c r="H117" s="20"/>
      <c r="I117" s="20">
        <v>44235</v>
      </c>
      <c r="J117" s="21"/>
      <c r="K117" s="18" t="s">
        <v>24</v>
      </c>
      <c r="L117" s="23" t="s">
        <v>58</v>
      </c>
      <c r="M117" s="18" t="s">
        <v>26</v>
      </c>
      <c r="N117" s="18"/>
      <c r="O117" s="18" t="s">
        <v>38</v>
      </c>
      <c r="P117" s="21" t="s">
        <v>38</v>
      </c>
      <c r="Q117" s="18" t="s">
        <v>54</v>
      </c>
      <c r="R117" s="22" t="s">
        <v>54</v>
      </c>
    </row>
    <row r="118" spans="1:18" ht="30" customHeight="1" x14ac:dyDescent="0.25">
      <c r="A118" s="16" t="s">
        <v>39</v>
      </c>
      <c r="B118" s="17">
        <v>218747</v>
      </c>
      <c r="C118" s="18" t="s">
        <v>20</v>
      </c>
      <c r="D118" s="19" t="s">
        <v>228</v>
      </c>
      <c r="E118" s="17" t="s">
        <v>46</v>
      </c>
      <c r="F118" s="17">
        <v>2</v>
      </c>
      <c r="G118" s="20">
        <v>44230</v>
      </c>
      <c r="H118" s="20">
        <v>44230</v>
      </c>
      <c r="I118" s="20">
        <v>44239</v>
      </c>
      <c r="J118" s="21"/>
      <c r="K118" s="18" t="s">
        <v>24</v>
      </c>
      <c r="L118" s="23" t="s">
        <v>58</v>
      </c>
      <c r="M118" s="18" t="s">
        <v>26</v>
      </c>
      <c r="N118" s="18">
        <v>2</v>
      </c>
      <c r="O118" s="18" t="s">
        <v>27</v>
      </c>
      <c r="P118" s="21" t="s">
        <v>38</v>
      </c>
      <c r="Q118" s="18" t="s">
        <v>54</v>
      </c>
      <c r="R118" s="22" t="s">
        <v>29</v>
      </c>
    </row>
    <row r="119" spans="1:18" ht="30" customHeight="1" x14ac:dyDescent="0.25">
      <c r="A119" s="16" t="s">
        <v>39</v>
      </c>
      <c r="B119" s="17">
        <v>218747</v>
      </c>
      <c r="C119" s="18" t="s">
        <v>20</v>
      </c>
      <c r="D119" s="19" t="s">
        <v>228</v>
      </c>
      <c r="E119" s="17" t="s">
        <v>22</v>
      </c>
      <c r="F119" s="17">
        <v>2</v>
      </c>
      <c r="G119" s="20">
        <v>44230</v>
      </c>
      <c r="H119" s="20">
        <v>44230</v>
      </c>
      <c r="I119" s="20">
        <v>44239</v>
      </c>
      <c r="J119" s="21"/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27</v>
      </c>
      <c r="P119" s="21" t="s">
        <v>38</v>
      </c>
      <c r="Q119" s="18" t="s">
        <v>54</v>
      </c>
      <c r="R119" s="22" t="s">
        <v>29</v>
      </c>
    </row>
    <row r="120" spans="1:18" ht="30" customHeight="1" x14ac:dyDescent="0.25">
      <c r="A120" s="16" t="s">
        <v>39</v>
      </c>
      <c r="B120" s="17">
        <v>218654</v>
      </c>
      <c r="C120" s="18" t="s">
        <v>20</v>
      </c>
      <c r="D120" s="19" t="s">
        <v>229</v>
      </c>
      <c r="E120" s="17" t="s">
        <v>22</v>
      </c>
      <c r="F120" s="17">
        <v>1</v>
      </c>
      <c r="G120" s="20">
        <v>44230</v>
      </c>
      <c r="H120" s="20">
        <v>44237</v>
      </c>
      <c r="I120" s="20">
        <v>44238</v>
      </c>
      <c r="J120" s="21"/>
      <c r="K120" s="18" t="s">
        <v>24</v>
      </c>
      <c r="L120" s="23" t="s">
        <v>25</v>
      </c>
      <c r="M120" s="18" t="s">
        <v>26</v>
      </c>
      <c r="N120" s="18"/>
      <c r="O120" s="18" t="s">
        <v>27</v>
      </c>
      <c r="P120" s="21" t="s">
        <v>27</v>
      </c>
      <c r="Q120" s="18" t="s">
        <v>54</v>
      </c>
      <c r="R120" s="22" t="s">
        <v>29</v>
      </c>
    </row>
    <row r="121" spans="1:18" ht="30" customHeight="1" x14ac:dyDescent="0.25">
      <c r="A121" s="16" t="s">
        <v>39</v>
      </c>
      <c r="B121" s="17">
        <v>218654</v>
      </c>
      <c r="C121" s="18" t="s">
        <v>20</v>
      </c>
      <c r="D121" s="19" t="s">
        <v>229</v>
      </c>
      <c r="E121" s="17" t="s">
        <v>124</v>
      </c>
      <c r="F121" s="17">
        <v>1</v>
      </c>
      <c r="G121" s="20">
        <v>44230</v>
      </c>
      <c r="H121" s="20">
        <v>44237</v>
      </c>
      <c r="I121" s="20">
        <v>44238</v>
      </c>
      <c r="J121" s="21"/>
      <c r="K121" s="18" t="s">
        <v>24</v>
      </c>
      <c r="L121" s="23" t="s">
        <v>25</v>
      </c>
      <c r="M121" s="18" t="s">
        <v>26</v>
      </c>
      <c r="N121" s="18"/>
      <c r="O121" s="18" t="s">
        <v>27</v>
      </c>
      <c r="P121" s="21" t="s">
        <v>27</v>
      </c>
      <c r="Q121" s="18" t="s">
        <v>54</v>
      </c>
      <c r="R121" s="22" t="s">
        <v>29</v>
      </c>
    </row>
    <row r="122" spans="1:18" ht="30" customHeight="1" x14ac:dyDescent="0.25">
      <c r="A122" s="16" t="s">
        <v>130</v>
      </c>
      <c r="B122" s="17">
        <v>218655</v>
      </c>
      <c r="C122" s="18" t="s">
        <v>77</v>
      </c>
      <c r="D122" s="19" t="s">
        <v>230</v>
      </c>
      <c r="E122" s="17" t="s">
        <v>79</v>
      </c>
      <c r="F122" s="17">
        <v>1</v>
      </c>
      <c r="G122" s="20">
        <v>44230</v>
      </c>
      <c r="H122" s="20">
        <v>44250</v>
      </c>
      <c r="I122" s="20">
        <v>44250</v>
      </c>
      <c r="J122" s="21"/>
      <c r="K122" s="18" t="s">
        <v>24</v>
      </c>
      <c r="L122" s="23" t="s">
        <v>37</v>
      </c>
      <c r="M122" s="18" t="s">
        <v>213</v>
      </c>
      <c r="N122" s="18"/>
      <c r="O122" s="18" t="s">
        <v>38</v>
      </c>
      <c r="P122" s="21"/>
      <c r="Q122" s="18" t="s">
        <v>54</v>
      </c>
      <c r="R122" s="22" t="s">
        <v>29</v>
      </c>
    </row>
    <row r="123" spans="1:18" ht="30" customHeight="1" x14ac:dyDescent="0.25">
      <c r="A123" s="16" t="s">
        <v>49</v>
      </c>
      <c r="B123" s="17">
        <v>218585</v>
      </c>
      <c r="C123" s="18" t="s">
        <v>140</v>
      </c>
      <c r="D123" s="19" t="s">
        <v>231</v>
      </c>
      <c r="E123" s="17" t="s">
        <v>69</v>
      </c>
      <c r="F123" s="17">
        <v>2</v>
      </c>
      <c r="G123" s="20">
        <v>44257</v>
      </c>
      <c r="H123" s="20">
        <v>44230</v>
      </c>
      <c r="I123" s="20">
        <v>44230</v>
      </c>
      <c r="J123" s="21"/>
      <c r="K123" s="18" t="s">
        <v>24</v>
      </c>
      <c r="L123" s="23" t="s">
        <v>58</v>
      </c>
      <c r="M123" s="18" t="s">
        <v>26</v>
      </c>
      <c r="N123" s="18"/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customHeight="1" x14ac:dyDescent="0.25">
      <c r="A124" s="16" t="s">
        <v>39</v>
      </c>
      <c r="B124" s="17">
        <v>218878</v>
      </c>
      <c r="C124" s="18" t="s">
        <v>140</v>
      </c>
      <c r="D124" s="19" t="s">
        <v>232</v>
      </c>
      <c r="E124" s="17" t="s">
        <v>157</v>
      </c>
      <c r="F124" s="17">
        <v>1</v>
      </c>
      <c r="G124" s="20">
        <v>44230</v>
      </c>
      <c r="H124" s="20">
        <v>44232</v>
      </c>
      <c r="I124" s="20">
        <v>44231</v>
      </c>
      <c r="J124" s="21" t="s">
        <v>233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customHeight="1" x14ac:dyDescent="0.25">
      <c r="A125" s="16" t="s">
        <v>72</v>
      </c>
      <c r="B125" s="17">
        <v>215614</v>
      </c>
      <c r="C125" s="18" t="s">
        <v>140</v>
      </c>
      <c r="D125" s="19" t="s">
        <v>234</v>
      </c>
      <c r="E125" s="17" t="s">
        <v>134</v>
      </c>
      <c r="F125" s="17">
        <v>4</v>
      </c>
      <c r="G125" s="20">
        <v>44216</v>
      </c>
      <c r="H125" s="20">
        <v>44232</v>
      </c>
      <c r="I125" s="20">
        <v>44232</v>
      </c>
      <c r="J125" s="21"/>
      <c r="K125" s="18" t="s">
        <v>24</v>
      </c>
      <c r="L125" s="23" t="s">
        <v>58</v>
      </c>
      <c r="M125" s="18" t="s">
        <v>26</v>
      </c>
      <c r="N125" s="18"/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219301</v>
      </c>
      <c r="C126" s="18" t="s">
        <v>140</v>
      </c>
      <c r="D126" s="19" t="s">
        <v>235</v>
      </c>
      <c r="E126" s="17" t="s">
        <v>236</v>
      </c>
      <c r="F126" s="17">
        <v>1</v>
      </c>
      <c r="G126" s="20">
        <v>44231</v>
      </c>
      <c r="H126" s="20">
        <v>44232</v>
      </c>
      <c r="I126" s="20">
        <v>44232</v>
      </c>
      <c r="J126" s="21"/>
      <c r="K126" s="18" t="s">
        <v>24</v>
      </c>
      <c r="L126" s="23" t="s">
        <v>37</v>
      </c>
      <c r="M126" s="18"/>
      <c r="N126" s="18"/>
      <c r="O126" s="18" t="s">
        <v>38</v>
      </c>
      <c r="P126" s="21" t="s">
        <v>38</v>
      </c>
      <c r="Q126" s="18" t="s">
        <v>28</v>
      </c>
      <c r="R126" s="22" t="s">
        <v>54</v>
      </c>
    </row>
    <row r="127" spans="1:18" ht="30" customHeight="1" x14ac:dyDescent="0.25">
      <c r="A127" s="16" t="s">
        <v>87</v>
      </c>
      <c r="B127" s="17">
        <v>219145</v>
      </c>
      <c r="C127" s="18" t="s">
        <v>62</v>
      </c>
      <c r="D127" s="19" t="s">
        <v>237</v>
      </c>
      <c r="E127" s="17" t="s">
        <v>74</v>
      </c>
      <c r="F127" s="17"/>
      <c r="G127" s="20">
        <v>44232</v>
      </c>
      <c r="H127" s="20">
        <v>44238</v>
      </c>
      <c r="I127" s="20">
        <v>44238</v>
      </c>
      <c r="J127" s="21" t="s">
        <v>238</v>
      </c>
      <c r="K127" s="18" t="s">
        <v>24</v>
      </c>
      <c r="L127" s="23" t="s">
        <v>25</v>
      </c>
      <c r="M127" s="18" t="s">
        <v>74</v>
      </c>
      <c r="N127" s="18"/>
      <c r="O127" s="18"/>
      <c r="P127" s="21"/>
      <c r="Q127" s="18"/>
      <c r="R127" s="22"/>
    </row>
    <row r="128" spans="1:18" ht="30" customHeight="1" x14ac:dyDescent="0.25">
      <c r="A128" s="16" t="s">
        <v>76</v>
      </c>
      <c r="B128" s="17">
        <v>219270</v>
      </c>
      <c r="C128" s="18" t="s">
        <v>20</v>
      </c>
      <c r="D128" s="19" t="s">
        <v>239</v>
      </c>
      <c r="E128" s="17" t="s">
        <v>46</v>
      </c>
      <c r="F128" s="17">
        <v>1</v>
      </c>
      <c r="G128" s="20">
        <v>44231</v>
      </c>
      <c r="H128" s="20">
        <v>44239</v>
      </c>
      <c r="I128" s="20">
        <v>44277</v>
      </c>
      <c r="J128" s="21"/>
      <c r="K128" s="18" t="s">
        <v>24</v>
      </c>
      <c r="L128" s="23" t="s">
        <v>25</v>
      </c>
      <c r="M128" s="18" t="s">
        <v>26</v>
      </c>
      <c r="N128" s="18"/>
      <c r="O128" s="18" t="s">
        <v>27</v>
      </c>
      <c r="P128" s="21" t="s">
        <v>27</v>
      </c>
      <c r="Q128" s="18" t="s">
        <v>54</v>
      </c>
      <c r="R128" s="22" t="s">
        <v>29</v>
      </c>
    </row>
    <row r="129" spans="1:18" ht="30" customHeight="1" x14ac:dyDescent="0.25">
      <c r="A129" s="16" t="s">
        <v>76</v>
      </c>
      <c r="B129" s="17">
        <v>219270</v>
      </c>
      <c r="C129" s="18" t="s">
        <v>20</v>
      </c>
      <c r="D129" s="19" t="s">
        <v>239</v>
      </c>
      <c r="E129" s="17" t="s">
        <v>102</v>
      </c>
      <c r="F129" s="17">
        <v>1</v>
      </c>
      <c r="G129" s="20">
        <v>44231</v>
      </c>
      <c r="H129" s="20">
        <v>44239</v>
      </c>
      <c r="I129" s="20">
        <v>44277</v>
      </c>
      <c r="J129" s="21"/>
      <c r="K129" s="18" t="s">
        <v>24</v>
      </c>
      <c r="L129" s="23" t="s">
        <v>25</v>
      </c>
      <c r="M129" s="18" t="s">
        <v>26</v>
      </c>
      <c r="N129" s="18">
        <v>1</v>
      </c>
      <c r="O129" s="18" t="s">
        <v>27</v>
      </c>
      <c r="P129" s="21" t="s">
        <v>27</v>
      </c>
      <c r="Q129" s="18" t="s">
        <v>54</v>
      </c>
      <c r="R129" s="22" t="s">
        <v>29</v>
      </c>
    </row>
    <row r="130" spans="1:18" ht="30" customHeight="1" x14ac:dyDescent="0.25">
      <c r="A130" s="16" t="s">
        <v>76</v>
      </c>
      <c r="B130" s="17">
        <v>219270</v>
      </c>
      <c r="C130" s="18" t="s">
        <v>20</v>
      </c>
      <c r="D130" s="19" t="s">
        <v>239</v>
      </c>
      <c r="E130" s="17" t="s">
        <v>22</v>
      </c>
      <c r="F130" s="17">
        <v>1</v>
      </c>
      <c r="G130" s="20">
        <v>44231</v>
      </c>
      <c r="H130" s="20">
        <v>44239</v>
      </c>
      <c r="I130" s="20">
        <v>44277</v>
      </c>
      <c r="J130" s="21"/>
      <c r="K130" s="18" t="s">
        <v>24</v>
      </c>
      <c r="L130" s="23" t="s">
        <v>25</v>
      </c>
      <c r="M130" s="18" t="s">
        <v>26</v>
      </c>
      <c r="N130" s="18">
        <v>1</v>
      </c>
      <c r="O130" s="18" t="s">
        <v>27</v>
      </c>
      <c r="P130" s="21" t="s">
        <v>27</v>
      </c>
      <c r="Q130" s="18" t="s">
        <v>54</v>
      </c>
      <c r="R130" s="22" t="s">
        <v>29</v>
      </c>
    </row>
    <row r="131" spans="1:18" ht="30" customHeight="1" x14ac:dyDescent="0.25">
      <c r="A131" s="16" t="s">
        <v>76</v>
      </c>
      <c r="B131" s="17">
        <v>219270</v>
      </c>
      <c r="C131" s="18" t="s">
        <v>140</v>
      </c>
      <c r="D131" s="19" t="s">
        <v>239</v>
      </c>
      <c r="E131" s="17" t="s">
        <v>46</v>
      </c>
      <c r="F131" s="17">
        <v>16</v>
      </c>
      <c r="G131" s="20">
        <v>44246</v>
      </c>
      <c r="H131" s="20">
        <v>44249</v>
      </c>
      <c r="I131" s="20">
        <v>44277</v>
      </c>
      <c r="J131" s="21"/>
      <c r="K131" s="18" t="s">
        <v>24</v>
      </c>
      <c r="L131" s="23" t="s">
        <v>45</v>
      </c>
      <c r="M131" s="18" t="s">
        <v>26</v>
      </c>
      <c r="N131" s="18">
        <v>1</v>
      </c>
      <c r="O131" s="18" t="s">
        <v>27</v>
      </c>
      <c r="P131" s="21" t="s">
        <v>27</v>
      </c>
      <c r="Q131" s="18" t="s">
        <v>54</v>
      </c>
      <c r="R131" s="22" t="s">
        <v>29</v>
      </c>
    </row>
    <row r="132" spans="1:18" ht="30" customHeight="1" x14ac:dyDescent="0.25">
      <c r="A132" s="16" t="s">
        <v>39</v>
      </c>
      <c r="B132" s="17">
        <v>219580</v>
      </c>
      <c r="C132" s="18" t="s">
        <v>140</v>
      </c>
      <c r="D132" s="19" t="s">
        <v>240</v>
      </c>
      <c r="E132" s="17" t="s">
        <v>84</v>
      </c>
      <c r="F132" s="17">
        <v>1</v>
      </c>
      <c r="G132" s="20">
        <v>44232</v>
      </c>
      <c r="H132" s="20">
        <v>44235</v>
      </c>
      <c r="I132" s="20">
        <v>44235</v>
      </c>
      <c r="J132" s="21"/>
      <c r="K132" s="18" t="s">
        <v>24</v>
      </c>
      <c r="L132" s="23" t="s">
        <v>37</v>
      </c>
      <c r="M132" s="18"/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customHeight="1" x14ac:dyDescent="0.25">
      <c r="A133" s="16" t="s">
        <v>30</v>
      </c>
      <c r="B133" s="17">
        <v>219533</v>
      </c>
      <c r="C133" s="18" t="s">
        <v>140</v>
      </c>
      <c r="D133" s="19" t="s">
        <v>241</v>
      </c>
      <c r="E133" s="17" t="s">
        <v>102</v>
      </c>
      <c r="F133" s="17">
        <v>1</v>
      </c>
      <c r="G133" s="20">
        <v>44232</v>
      </c>
      <c r="H133" s="20">
        <v>44236</v>
      </c>
      <c r="I133" s="20">
        <v>44236</v>
      </c>
      <c r="J133" s="21" t="s">
        <v>242</v>
      </c>
      <c r="K133" s="18" t="s">
        <v>24</v>
      </c>
      <c r="L133" s="23" t="s">
        <v>58</v>
      </c>
      <c r="M133" s="18" t="s">
        <v>26</v>
      </c>
      <c r="N133" s="18"/>
      <c r="O133" s="18" t="s">
        <v>38</v>
      </c>
      <c r="P133" s="21" t="s">
        <v>38</v>
      </c>
      <c r="Q133" s="18" t="s">
        <v>54</v>
      </c>
      <c r="R133" s="22" t="s">
        <v>54</v>
      </c>
    </row>
    <row r="134" spans="1:18" ht="30" customHeight="1" x14ac:dyDescent="0.25">
      <c r="A134" s="16" t="s">
        <v>76</v>
      </c>
      <c r="B134" s="17">
        <v>220060</v>
      </c>
      <c r="C134" s="18" t="s">
        <v>140</v>
      </c>
      <c r="D134" s="19" t="s">
        <v>243</v>
      </c>
      <c r="E134" s="17" t="s">
        <v>46</v>
      </c>
      <c r="F134" s="17">
        <v>1</v>
      </c>
      <c r="G134" s="20">
        <v>44235</v>
      </c>
      <c r="H134" s="20">
        <v>44236</v>
      </c>
      <c r="I134" s="20">
        <v>44236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22" t="s">
        <v>54</v>
      </c>
    </row>
    <row r="135" spans="1:18" ht="30" customHeight="1" x14ac:dyDescent="0.25">
      <c r="A135" s="16" t="s">
        <v>76</v>
      </c>
      <c r="B135" s="17">
        <v>220060</v>
      </c>
      <c r="C135" s="18" t="s">
        <v>140</v>
      </c>
      <c r="D135" s="19" t="s">
        <v>243</v>
      </c>
      <c r="E135" s="17" t="s">
        <v>69</v>
      </c>
      <c r="F135" s="17">
        <v>1</v>
      </c>
      <c r="G135" s="20">
        <v>44235</v>
      </c>
      <c r="H135" s="20">
        <v>44236</v>
      </c>
      <c r="I135" s="20">
        <v>44236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22" t="s">
        <v>54</v>
      </c>
    </row>
    <row r="136" spans="1:18" ht="30" customHeight="1" x14ac:dyDescent="0.25">
      <c r="A136" s="16" t="s">
        <v>72</v>
      </c>
      <c r="B136" s="17">
        <v>219834</v>
      </c>
      <c r="C136" s="18" t="s">
        <v>20</v>
      </c>
      <c r="D136" s="19" t="s">
        <v>244</v>
      </c>
      <c r="E136" s="17" t="s">
        <v>68</v>
      </c>
      <c r="F136" s="17">
        <v>4</v>
      </c>
      <c r="G136" s="20">
        <v>44235</v>
      </c>
      <c r="H136" s="20">
        <v>44246</v>
      </c>
      <c r="I136" s="20">
        <v>44251</v>
      </c>
      <c r="J136" s="21"/>
      <c r="K136" s="18" t="s">
        <v>24</v>
      </c>
      <c r="L136" s="23" t="s">
        <v>58</v>
      </c>
      <c r="M136" s="18" t="s">
        <v>26</v>
      </c>
      <c r="N136" s="18"/>
      <c r="O136" s="18" t="s">
        <v>27</v>
      </c>
      <c r="P136" s="21" t="s">
        <v>38</v>
      </c>
      <c r="Q136" s="18" t="s">
        <v>54</v>
      </c>
      <c r="R136" s="22" t="s">
        <v>29</v>
      </c>
    </row>
    <row r="137" spans="1:18" ht="30" customHeight="1" x14ac:dyDescent="0.25">
      <c r="A137" s="16" t="s">
        <v>72</v>
      </c>
      <c r="B137" s="17">
        <v>219834</v>
      </c>
      <c r="C137" s="18" t="s">
        <v>20</v>
      </c>
      <c r="D137" s="19" t="s">
        <v>244</v>
      </c>
      <c r="E137" s="17" t="s">
        <v>22</v>
      </c>
      <c r="F137" s="17">
        <v>1</v>
      </c>
      <c r="G137" s="20">
        <v>44235</v>
      </c>
      <c r="H137" s="20">
        <v>44246</v>
      </c>
      <c r="I137" s="20">
        <v>44251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27</v>
      </c>
      <c r="P137" s="21" t="s">
        <v>38</v>
      </c>
      <c r="Q137" s="18" t="s">
        <v>54</v>
      </c>
      <c r="R137" s="22" t="s">
        <v>29</v>
      </c>
    </row>
    <row r="138" spans="1:18" ht="30" customHeight="1" x14ac:dyDescent="0.25">
      <c r="A138" s="16" t="s">
        <v>72</v>
      </c>
      <c r="B138" s="17">
        <v>219834</v>
      </c>
      <c r="C138" s="18" t="s">
        <v>20</v>
      </c>
      <c r="D138" s="19" t="s">
        <v>244</v>
      </c>
      <c r="E138" s="17" t="s">
        <v>153</v>
      </c>
      <c r="F138" s="17">
        <v>4</v>
      </c>
      <c r="G138" s="20">
        <v>44235</v>
      </c>
      <c r="H138" s="20">
        <v>44246</v>
      </c>
      <c r="I138" s="20">
        <v>44251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27</v>
      </c>
      <c r="P138" s="21" t="s">
        <v>38</v>
      </c>
      <c r="Q138" s="18" t="s">
        <v>54</v>
      </c>
      <c r="R138" s="22" t="s">
        <v>29</v>
      </c>
    </row>
    <row r="139" spans="1:18" ht="30" customHeight="1" x14ac:dyDescent="0.25">
      <c r="A139" s="16" t="s">
        <v>72</v>
      </c>
      <c r="B139" s="17">
        <v>219834</v>
      </c>
      <c r="C139" s="18" t="s">
        <v>20</v>
      </c>
      <c r="D139" s="19" t="s">
        <v>244</v>
      </c>
      <c r="E139" s="17" t="s">
        <v>46</v>
      </c>
      <c r="F139" s="17">
        <v>1</v>
      </c>
      <c r="G139" s="20">
        <v>44235</v>
      </c>
      <c r="H139" s="20">
        <v>44246</v>
      </c>
      <c r="I139" s="20">
        <v>44251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27</v>
      </c>
      <c r="P139" s="21" t="s">
        <v>38</v>
      </c>
      <c r="Q139" s="18" t="s">
        <v>54</v>
      </c>
      <c r="R139" s="22" t="s">
        <v>29</v>
      </c>
    </row>
    <row r="140" spans="1:18" ht="30" customHeight="1" x14ac:dyDescent="0.25">
      <c r="A140" s="16" t="s">
        <v>72</v>
      </c>
      <c r="B140" s="17">
        <v>219834</v>
      </c>
      <c r="C140" s="18" t="s">
        <v>20</v>
      </c>
      <c r="D140" s="19" t="s">
        <v>244</v>
      </c>
      <c r="E140" s="17" t="s">
        <v>84</v>
      </c>
      <c r="F140" s="17">
        <v>4</v>
      </c>
      <c r="G140" s="20">
        <v>44235</v>
      </c>
      <c r="H140" s="20">
        <v>44246</v>
      </c>
      <c r="I140" s="20">
        <v>44251</v>
      </c>
      <c r="J140" s="21"/>
      <c r="K140" s="18" t="s">
        <v>24</v>
      </c>
      <c r="L140" s="23" t="s">
        <v>37</v>
      </c>
      <c r="M140" s="18" t="s">
        <v>26</v>
      </c>
      <c r="N140" s="18"/>
      <c r="O140" s="18" t="s">
        <v>27</v>
      </c>
      <c r="P140" s="21" t="s">
        <v>38</v>
      </c>
      <c r="Q140" s="18" t="s">
        <v>54</v>
      </c>
      <c r="R140" s="22" t="s">
        <v>29</v>
      </c>
    </row>
    <row r="141" spans="1:18" ht="30" customHeight="1" x14ac:dyDescent="0.25">
      <c r="A141" s="16" t="s">
        <v>76</v>
      </c>
      <c r="B141" s="17">
        <v>220270</v>
      </c>
      <c r="C141" s="18" t="s">
        <v>140</v>
      </c>
      <c r="D141" s="19" t="s">
        <v>245</v>
      </c>
      <c r="E141" s="17" t="s">
        <v>22</v>
      </c>
      <c r="F141" s="17">
        <v>2</v>
      </c>
      <c r="G141" s="20">
        <v>44236</v>
      </c>
      <c r="H141" s="20">
        <v>44238</v>
      </c>
      <c r="I141" s="20">
        <v>44237</v>
      </c>
      <c r="J141" s="21" t="s">
        <v>246</v>
      </c>
      <c r="K141" s="18" t="s">
        <v>24</v>
      </c>
      <c r="L141" s="23" t="s">
        <v>58</v>
      </c>
      <c r="M141" s="18" t="s">
        <v>26</v>
      </c>
      <c r="N141" s="18"/>
      <c r="O141" s="18" t="s">
        <v>38</v>
      </c>
      <c r="P141" s="21" t="s">
        <v>38</v>
      </c>
      <c r="Q141" s="18" t="s">
        <v>54</v>
      </c>
      <c r="R141" s="22" t="s">
        <v>54</v>
      </c>
    </row>
    <row r="142" spans="1:18" ht="30" customHeight="1" x14ac:dyDescent="0.25">
      <c r="A142" s="16" t="s">
        <v>39</v>
      </c>
      <c r="B142" s="17" t="s">
        <v>247</v>
      </c>
      <c r="C142" s="18" t="s">
        <v>140</v>
      </c>
      <c r="D142" s="19" t="s">
        <v>121</v>
      </c>
      <c r="E142" s="17" t="s">
        <v>22</v>
      </c>
      <c r="F142" s="17">
        <v>2</v>
      </c>
      <c r="G142" s="20">
        <v>44237</v>
      </c>
      <c r="H142" s="20">
        <v>44237</v>
      </c>
      <c r="I142" s="20">
        <v>44237</v>
      </c>
      <c r="J142" s="21"/>
      <c r="K142" s="18" t="s">
        <v>24</v>
      </c>
      <c r="L142" s="23" t="s">
        <v>58</v>
      </c>
      <c r="M142" s="18" t="s">
        <v>26</v>
      </c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customHeight="1" x14ac:dyDescent="0.25">
      <c r="A143" s="16" t="s">
        <v>132</v>
      </c>
      <c r="B143" s="17">
        <v>220677</v>
      </c>
      <c r="C143" s="18" t="s">
        <v>140</v>
      </c>
      <c r="D143" s="19" t="s">
        <v>248</v>
      </c>
      <c r="E143" s="17" t="s">
        <v>105</v>
      </c>
      <c r="F143" s="17">
        <v>1</v>
      </c>
      <c r="G143" s="20">
        <v>44237</v>
      </c>
      <c r="H143" s="20">
        <v>44237</v>
      </c>
      <c r="I143" s="20">
        <v>44237</v>
      </c>
      <c r="J143" s="21"/>
      <c r="K143" s="18" t="s">
        <v>24</v>
      </c>
      <c r="L143" s="23" t="s">
        <v>25</v>
      </c>
      <c r="M143" s="18" t="s">
        <v>26</v>
      </c>
      <c r="N143" s="18">
        <v>1</v>
      </c>
      <c r="O143" s="18" t="s">
        <v>27</v>
      </c>
      <c r="P143" s="21"/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>
        <v>220471</v>
      </c>
      <c r="C144" s="18" t="s">
        <v>140</v>
      </c>
      <c r="D144" s="19" t="s">
        <v>249</v>
      </c>
      <c r="E144" s="17" t="s">
        <v>22</v>
      </c>
      <c r="F144" s="17">
        <v>3</v>
      </c>
      <c r="G144" s="20">
        <v>44237</v>
      </c>
      <c r="H144" s="20">
        <v>44238</v>
      </c>
      <c r="I144" s="20">
        <v>44238</v>
      </c>
      <c r="J144" s="21"/>
      <c r="K144" s="18" t="s">
        <v>24</v>
      </c>
      <c r="L144" s="23" t="s">
        <v>58</v>
      </c>
      <c r="M144" s="18" t="s">
        <v>26</v>
      </c>
      <c r="N144" s="18"/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customHeight="1" x14ac:dyDescent="0.25">
      <c r="A145" s="16" t="s">
        <v>132</v>
      </c>
      <c r="B145" s="17">
        <v>220400</v>
      </c>
      <c r="C145" s="18" t="s">
        <v>140</v>
      </c>
      <c r="D145" s="19" t="s">
        <v>250</v>
      </c>
      <c r="E145" s="17" t="s">
        <v>134</v>
      </c>
      <c r="F145" s="17">
        <v>1</v>
      </c>
      <c r="G145" s="20">
        <v>44236</v>
      </c>
      <c r="H145" s="20">
        <v>44238</v>
      </c>
      <c r="I145" s="20">
        <v>44238</v>
      </c>
      <c r="J145" s="21"/>
      <c r="K145" s="18" t="s">
        <v>24</v>
      </c>
      <c r="L145" s="23" t="s">
        <v>58</v>
      </c>
      <c r="M145" s="18" t="s">
        <v>26</v>
      </c>
      <c r="N145" s="18"/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customHeight="1" x14ac:dyDescent="0.25">
      <c r="A146" s="16" t="s">
        <v>52</v>
      </c>
      <c r="B146" s="17">
        <v>220530</v>
      </c>
      <c r="C146" s="18" t="s">
        <v>77</v>
      </c>
      <c r="D146" s="19" t="s">
        <v>251</v>
      </c>
      <c r="E146" s="17"/>
      <c r="F146" s="17">
        <v>1</v>
      </c>
      <c r="G146" s="20">
        <v>44237</v>
      </c>
      <c r="H146" s="20">
        <v>44253</v>
      </c>
      <c r="I146" s="20">
        <v>44253</v>
      </c>
      <c r="J146" s="21"/>
      <c r="K146" s="18" t="s">
        <v>24</v>
      </c>
      <c r="L146" s="23" t="s">
        <v>37</v>
      </c>
      <c r="M146" s="18" t="s">
        <v>26</v>
      </c>
      <c r="N146" s="18"/>
      <c r="O146" s="18" t="s">
        <v>38</v>
      </c>
      <c r="P146" s="21" t="s">
        <v>27</v>
      </c>
      <c r="Q146" s="18" t="s">
        <v>54</v>
      </c>
      <c r="R146" s="22" t="s">
        <v>54</v>
      </c>
    </row>
    <row r="147" spans="1:18" ht="30" customHeight="1" x14ac:dyDescent="0.25">
      <c r="A147" s="16" t="s">
        <v>39</v>
      </c>
      <c r="B147" s="17" t="s">
        <v>247</v>
      </c>
      <c r="C147" s="18" t="s">
        <v>20</v>
      </c>
      <c r="D147" s="19" t="s">
        <v>252</v>
      </c>
      <c r="E147" s="17" t="s">
        <v>107</v>
      </c>
      <c r="F147" s="17"/>
      <c r="G147" s="20">
        <v>44237</v>
      </c>
      <c r="H147" s="20">
        <v>44246</v>
      </c>
      <c r="I147" s="20">
        <v>44246</v>
      </c>
      <c r="J147" s="21"/>
      <c r="K147" s="18" t="s">
        <v>24</v>
      </c>
      <c r="L147" s="23" t="s">
        <v>25</v>
      </c>
      <c r="M147" s="18" t="s">
        <v>34</v>
      </c>
      <c r="N147" s="18">
        <v>1</v>
      </c>
      <c r="O147" s="18" t="s">
        <v>38</v>
      </c>
      <c r="P147" s="21" t="s">
        <v>38</v>
      </c>
      <c r="Q147" s="18" t="s">
        <v>28</v>
      </c>
      <c r="R147" s="22" t="s">
        <v>54</v>
      </c>
    </row>
    <row r="148" spans="1:18" ht="30" customHeight="1" x14ac:dyDescent="0.25">
      <c r="A148" s="16" t="s">
        <v>39</v>
      </c>
      <c r="B148" s="17" t="s">
        <v>247</v>
      </c>
      <c r="C148" s="18" t="s">
        <v>20</v>
      </c>
      <c r="D148" s="19" t="s">
        <v>252</v>
      </c>
      <c r="E148" s="17" t="s">
        <v>106</v>
      </c>
      <c r="F148" s="17"/>
      <c r="G148" s="20">
        <v>44237</v>
      </c>
      <c r="H148" s="20">
        <v>44246</v>
      </c>
      <c r="I148" s="20">
        <v>44246</v>
      </c>
      <c r="J148" s="21"/>
      <c r="K148" s="18" t="s">
        <v>24</v>
      </c>
      <c r="L148" s="23" t="s">
        <v>25</v>
      </c>
      <c r="M148" s="18" t="s">
        <v>34</v>
      </c>
      <c r="N148" s="18">
        <v>1</v>
      </c>
      <c r="O148" s="18" t="s">
        <v>38</v>
      </c>
      <c r="P148" s="21" t="s">
        <v>38</v>
      </c>
      <c r="Q148" s="18" t="s">
        <v>28</v>
      </c>
      <c r="R148" s="22" t="s">
        <v>54</v>
      </c>
    </row>
    <row r="149" spans="1:18" ht="30" customHeight="1" x14ac:dyDescent="0.25">
      <c r="A149" s="16" t="s">
        <v>39</v>
      </c>
      <c r="B149" s="17" t="s">
        <v>247</v>
      </c>
      <c r="C149" s="18" t="s">
        <v>20</v>
      </c>
      <c r="D149" s="19" t="s">
        <v>253</v>
      </c>
      <c r="E149" s="17" t="s">
        <v>181</v>
      </c>
      <c r="F149" s="17">
        <v>20</v>
      </c>
      <c r="G149" s="20">
        <v>44238</v>
      </c>
      <c r="H149" s="20">
        <v>44238</v>
      </c>
      <c r="I149" s="20">
        <v>44238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27</v>
      </c>
      <c r="P149" s="21" t="s">
        <v>27</v>
      </c>
      <c r="Q149" s="18"/>
      <c r="R149" s="22"/>
    </row>
    <row r="150" spans="1:18" ht="30" customHeight="1" x14ac:dyDescent="0.25">
      <c r="A150" s="16" t="s">
        <v>87</v>
      </c>
      <c r="B150" s="17">
        <v>220687</v>
      </c>
      <c r="C150" s="18" t="s">
        <v>140</v>
      </c>
      <c r="D150" s="19" t="s">
        <v>254</v>
      </c>
      <c r="E150" s="17" t="s">
        <v>41</v>
      </c>
      <c r="F150" s="17">
        <v>1</v>
      </c>
      <c r="G150" s="20">
        <v>44237</v>
      </c>
      <c r="H150" s="20">
        <v>44238</v>
      </c>
      <c r="I150" s="20">
        <v>44238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customHeight="1" x14ac:dyDescent="0.25">
      <c r="A151" s="16" t="s">
        <v>72</v>
      </c>
      <c r="B151" s="17">
        <v>221109</v>
      </c>
      <c r="C151" s="18" t="s">
        <v>140</v>
      </c>
      <c r="D151" s="19" t="s">
        <v>255</v>
      </c>
      <c r="E151" s="17" t="s">
        <v>69</v>
      </c>
      <c r="F151" s="17">
        <v>1</v>
      </c>
      <c r="G151" s="20">
        <v>44239</v>
      </c>
      <c r="H151" s="20">
        <v>44239</v>
      </c>
      <c r="I151" s="20">
        <v>44239</v>
      </c>
      <c r="J151" s="21"/>
      <c r="K151" s="18" t="s">
        <v>24</v>
      </c>
      <c r="L151" s="23" t="s">
        <v>37</v>
      </c>
      <c r="M151" s="18" t="s">
        <v>26</v>
      </c>
      <c r="N151" s="18"/>
      <c r="O151" s="18" t="s">
        <v>38</v>
      </c>
      <c r="P151" s="21" t="s">
        <v>38</v>
      </c>
      <c r="Q151" s="18" t="s">
        <v>185</v>
      </c>
      <c r="R151" s="22" t="s">
        <v>28</v>
      </c>
    </row>
    <row r="152" spans="1:18" ht="30" customHeight="1" x14ac:dyDescent="0.25">
      <c r="A152" s="16" t="s">
        <v>256</v>
      </c>
      <c r="B152" s="17">
        <v>221137</v>
      </c>
      <c r="C152" s="18" t="s">
        <v>140</v>
      </c>
      <c r="D152" s="19" t="s">
        <v>257</v>
      </c>
      <c r="E152" s="17" t="s">
        <v>236</v>
      </c>
      <c r="F152" s="17">
        <v>11</v>
      </c>
      <c r="G152" s="20">
        <v>44239</v>
      </c>
      <c r="H152" s="20">
        <v>44239</v>
      </c>
      <c r="I152" s="20">
        <v>44239</v>
      </c>
      <c r="J152" s="21"/>
      <c r="K152" s="18" t="s">
        <v>24</v>
      </c>
      <c r="L152" s="23" t="s">
        <v>37</v>
      </c>
      <c r="M152" s="18" t="s">
        <v>26</v>
      </c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39</v>
      </c>
      <c r="B153" s="17" t="s">
        <v>247</v>
      </c>
      <c r="C153" s="18" t="s">
        <v>140</v>
      </c>
      <c r="D153" s="19" t="s">
        <v>258</v>
      </c>
      <c r="E153" s="17" t="s">
        <v>22</v>
      </c>
      <c r="F153" s="17">
        <v>1</v>
      </c>
      <c r="G153" s="20">
        <v>44244</v>
      </c>
      <c r="H153" s="20">
        <v>44244</v>
      </c>
      <c r="I153" s="20">
        <v>44244</v>
      </c>
      <c r="J153" s="21"/>
      <c r="K153" s="18" t="s">
        <v>24</v>
      </c>
      <c r="L153" s="23" t="s">
        <v>58</v>
      </c>
      <c r="M153" s="18" t="s">
        <v>26</v>
      </c>
      <c r="N153" s="18"/>
      <c r="O153" s="18" t="s">
        <v>38</v>
      </c>
      <c r="P153" s="21" t="s">
        <v>38</v>
      </c>
      <c r="Q153" s="18" t="s">
        <v>54</v>
      </c>
      <c r="R153" s="22" t="s">
        <v>54</v>
      </c>
    </row>
    <row r="154" spans="1:18" ht="30" customHeight="1" x14ac:dyDescent="0.25">
      <c r="A154" s="16" t="s">
        <v>159</v>
      </c>
      <c r="B154" s="17">
        <v>221219</v>
      </c>
      <c r="C154" s="18" t="s">
        <v>140</v>
      </c>
      <c r="D154" s="19" t="s">
        <v>259</v>
      </c>
      <c r="E154" s="17" t="s">
        <v>147</v>
      </c>
      <c r="F154" s="17">
        <v>1</v>
      </c>
      <c r="G154" s="20">
        <v>44239</v>
      </c>
      <c r="H154" s="20">
        <v>44245</v>
      </c>
      <c r="I154" s="20">
        <v>44244</v>
      </c>
      <c r="J154" s="21"/>
      <c r="K154" s="18" t="s">
        <v>24</v>
      </c>
      <c r="L154" s="23" t="s">
        <v>58</v>
      </c>
      <c r="M154" s="18" t="s">
        <v>26</v>
      </c>
      <c r="N154" s="18"/>
      <c r="O154" s="18" t="s">
        <v>38</v>
      </c>
      <c r="P154" s="21" t="s">
        <v>38</v>
      </c>
      <c r="Q154" s="18" t="s">
        <v>28</v>
      </c>
      <c r="R154" s="22" t="s">
        <v>28</v>
      </c>
    </row>
    <row r="155" spans="1:18" ht="30" customHeight="1" x14ac:dyDescent="0.25">
      <c r="A155" s="16" t="s">
        <v>39</v>
      </c>
      <c r="B155" s="17">
        <v>221305</v>
      </c>
      <c r="C155" s="18" t="s">
        <v>140</v>
      </c>
      <c r="D155" s="19" t="s">
        <v>260</v>
      </c>
      <c r="E155" s="17" t="s">
        <v>107</v>
      </c>
      <c r="F155" s="17">
        <v>4</v>
      </c>
      <c r="G155" s="20">
        <v>44239</v>
      </c>
      <c r="H155" s="20">
        <v>44252</v>
      </c>
      <c r="I155" s="20">
        <v>44245</v>
      </c>
      <c r="J155" s="21"/>
      <c r="K155" s="18" t="s">
        <v>24</v>
      </c>
      <c r="L155" s="23" t="s">
        <v>58</v>
      </c>
      <c r="M155" s="18" t="s">
        <v>26</v>
      </c>
      <c r="N155" s="18"/>
      <c r="O155" s="18" t="s">
        <v>38</v>
      </c>
      <c r="P155" s="21" t="s">
        <v>38</v>
      </c>
      <c r="Q155" s="18" t="s">
        <v>29</v>
      </c>
      <c r="R155" s="22" t="s">
        <v>54</v>
      </c>
    </row>
    <row r="156" spans="1:18" ht="30" customHeight="1" x14ac:dyDescent="0.25">
      <c r="A156" s="16" t="s">
        <v>39</v>
      </c>
      <c r="B156" s="17" t="s">
        <v>247</v>
      </c>
      <c r="C156" s="18" t="s">
        <v>140</v>
      </c>
      <c r="D156" s="19" t="s">
        <v>261</v>
      </c>
      <c r="E156" s="17" t="s">
        <v>46</v>
      </c>
      <c r="F156" s="17">
        <v>2</v>
      </c>
      <c r="G156" s="20">
        <v>44245</v>
      </c>
      <c r="H156" s="20">
        <v>44245</v>
      </c>
      <c r="I156" s="20">
        <v>44245</v>
      </c>
      <c r="J156" s="21" t="s">
        <v>262</v>
      </c>
      <c r="K156" s="18" t="s">
        <v>24</v>
      </c>
      <c r="L156" s="23" t="s">
        <v>58</v>
      </c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customHeight="1" x14ac:dyDescent="0.25">
      <c r="A157" s="16" t="s">
        <v>39</v>
      </c>
      <c r="B157" s="17" t="s">
        <v>247</v>
      </c>
      <c r="C157" s="18" t="s">
        <v>20</v>
      </c>
      <c r="D157" s="19" t="s">
        <v>263</v>
      </c>
      <c r="E157" s="17" t="s">
        <v>227</v>
      </c>
      <c r="F157" s="17">
        <v>1</v>
      </c>
      <c r="G157" s="20">
        <v>44245</v>
      </c>
      <c r="H157" s="20"/>
      <c r="I157" s="20">
        <v>44245</v>
      </c>
      <c r="J157" s="21"/>
      <c r="K157" s="18" t="s">
        <v>24</v>
      </c>
      <c r="L157" s="23" t="s">
        <v>58</v>
      </c>
      <c r="M157" s="18" t="s">
        <v>26</v>
      </c>
      <c r="N157" s="18"/>
      <c r="O157" s="18" t="s">
        <v>38</v>
      </c>
      <c r="P157" s="21"/>
      <c r="Q157" s="18" t="s">
        <v>54</v>
      </c>
      <c r="R157" s="22" t="s">
        <v>54</v>
      </c>
    </row>
    <row r="158" spans="1:18" ht="30" customHeight="1" x14ac:dyDescent="0.25">
      <c r="A158" s="16" t="s">
        <v>52</v>
      </c>
      <c r="B158" s="17">
        <v>222057</v>
      </c>
      <c r="C158" s="18" t="s">
        <v>140</v>
      </c>
      <c r="D158" s="19" t="s">
        <v>264</v>
      </c>
      <c r="E158" s="17" t="s">
        <v>22</v>
      </c>
      <c r="F158" s="17">
        <v>1</v>
      </c>
      <c r="G158" s="20">
        <v>44246</v>
      </c>
      <c r="H158" s="20">
        <v>44246</v>
      </c>
      <c r="I158" s="20">
        <v>44246</v>
      </c>
      <c r="J158" s="21"/>
      <c r="K158" s="18" t="s">
        <v>24</v>
      </c>
      <c r="L158" s="23" t="s">
        <v>58</v>
      </c>
      <c r="M158" s="18" t="s">
        <v>26</v>
      </c>
      <c r="N158" s="18"/>
      <c r="O158" s="18" t="s">
        <v>38</v>
      </c>
      <c r="P158" s="21"/>
      <c r="Q158" s="18" t="s">
        <v>54</v>
      </c>
      <c r="R158" s="22" t="s">
        <v>54</v>
      </c>
    </row>
    <row r="159" spans="1:18" ht="30" customHeight="1" x14ac:dyDescent="0.25">
      <c r="A159" s="16" t="s">
        <v>39</v>
      </c>
      <c r="B159" s="17">
        <v>222064</v>
      </c>
      <c r="C159" s="18" t="s">
        <v>20</v>
      </c>
      <c r="D159" s="19" t="s">
        <v>265</v>
      </c>
      <c r="E159" s="17" t="s">
        <v>22</v>
      </c>
      <c r="F159" s="17">
        <v>1</v>
      </c>
      <c r="G159" s="20">
        <v>44246</v>
      </c>
      <c r="H159" s="20">
        <v>44250</v>
      </c>
      <c r="I159" s="20">
        <v>44250</v>
      </c>
      <c r="J159" s="21"/>
      <c r="K159" s="18" t="s">
        <v>24</v>
      </c>
      <c r="L159" s="23" t="s">
        <v>45</v>
      </c>
      <c r="M159" s="18" t="s">
        <v>26</v>
      </c>
      <c r="N159" s="18"/>
      <c r="O159" s="18" t="s">
        <v>38</v>
      </c>
      <c r="P159" s="21" t="s">
        <v>27</v>
      </c>
      <c r="Q159" s="18" t="s">
        <v>54</v>
      </c>
      <c r="R159" s="22" t="s">
        <v>54</v>
      </c>
    </row>
    <row r="160" spans="1:18" ht="30" customHeight="1" x14ac:dyDescent="0.25">
      <c r="A160" s="16" t="s">
        <v>39</v>
      </c>
      <c r="B160" s="17">
        <v>222064</v>
      </c>
      <c r="C160" s="18" t="s">
        <v>20</v>
      </c>
      <c r="D160" s="19" t="s">
        <v>265</v>
      </c>
      <c r="E160" s="17" t="s">
        <v>82</v>
      </c>
      <c r="F160" s="17">
        <v>1</v>
      </c>
      <c r="G160" s="20">
        <v>44246</v>
      </c>
      <c r="H160" s="20">
        <v>44250</v>
      </c>
      <c r="I160" s="20">
        <v>44250</v>
      </c>
      <c r="J160" s="21"/>
      <c r="K160" s="18" t="s">
        <v>24</v>
      </c>
      <c r="L160" s="23" t="s">
        <v>45</v>
      </c>
      <c r="M160" s="18" t="s">
        <v>26</v>
      </c>
      <c r="N160" s="18"/>
      <c r="O160" s="18" t="s">
        <v>38</v>
      </c>
      <c r="P160" s="21" t="s">
        <v>27</v>
      </c>
      <c r="Q160" s="18" t="s">
        <v>54</v>
      </c>
      <c r="R160" s="22" t="s">
        <v>54</v>
      </c>
    </row>
    <row r="161" spans="1:18" ht="30" customHeight="1" x14ac:dyDescent="0.25">
      <c r="A161" s="16" t="s">
        <v>39</v>
      </c>
      <c r="B161" s="17">
        <v>222064</v>
      </c>
      <c r="C161" s="18" t="s">
        <v>20</v>
      </c>
      <c r="D161" s="19" t="s">
        <v>265</v>
      </c>
      <c r="E161" s="17" t="s">
        <v>68</v>
      </c>
      <c r="F161" s="17">
        <v>5</v>
      </c>
      <c r="G161" s="20">
        <v>44246</v>
      </c>
      <c r="H161" s="20">
        <v>44250</v>
      </c>
      <c r="I161" s="20">
        <v>44250</v>
      </c>
      <c r="J161" s="21"/>
      <c r="K161" s="18" t="s">
        <v>24</v>
      </c>
      <c r="L161" s="23" t="s">
        <v>45</v>
      </c>
      <c r="M161" s="18" t="s">
        <v>26</v>
      </c>
      <c r="N161" s="18"/>
      <c r="O161" s="18" t="s">
        <v>38</v>
      </c>
      <c r="P161" s="21" t="s">
        <v>27</v>
      </c>
      <c r="Q161" s="18" t="s">
        <v>54</v>
      </c>
      <c r="R161" s="22" t="s">
        <v>54</v>
      </c>
    </row>
    <row r="162" spans="1:18" ht="30" customHeight="1" x14ac:dyDescent="0.25">
      <c r="A162" s="16" t="s">
        <v>159</v>
      </c>
      <c r="B162" s="17">
        <v>222194</v>
      </c>
      <c r="C162" s="18" t="s">
        <v>140</v>
      </c>
      <c r="D162" s="19" t="s">
        <v>266</v>
      </c>
      <c r="E162" s="17" t="s">
        <v>41</v>
      </c>
      <c r="F162" s="17">
        <v>1</v>
      </c>
      <c r="G162" s="20">
        <v>44246</v>
      </c>
      <c r="H162" s="20">
        <v>44253</v>
      </c>
      <c r="I162" s="20">
        <v>44253</v>
      </c>
      <c r="J162" s="21"/>
      <c r="K162" s="18" t="s">
        <v>24</v>
      </c>
      <c r="L162" s="23" t="s">
        <v>58</v>
      </c>
      <c r="M162" s="18" t="s">
        <v>26</v>
      </c>
      <c r="N162" s="18">
        <v>1</v>
      </c>
      <c r="O162" s="18" t="s">
        <v>38</v>
      </c>
      <c r="P162" s="21" t="s">
        <v>38</v>
      </c>
      <c r="Q162" s="18" t="s">
        <v>28</v>
      </c>
      <c r="R162" s="22" t="s">
        <v>54</v>
      </c>
    </row>
    <row r="163" spans="1:18" ht="30" customHeight="1" x14ac:dyDescent="0.25">
      <c r="A163" s="16" t="s">
        <v>159</v>
      </c>
      <c r="B163" s="17">
        <v>222194</v>
      </c>
      <c r="C163" s="18" t="s">
        <v>140</v>
      </c>
      <c r="D163" s="19" t="s">
        <v>266</v>
      </c>
      <c r="E163" s="17" t="s">
        <v>107</v>
      </c>
      <c r="F163" s="17">
        <v>2</v>
      </c>
      <c r="G163" s="20">
        <v>44246</v>
      </c>
      <c r="H163" s="20">
        <v>44253</v>
      </c>
      <c r="I163" s="20">
        <v>44253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28</v>
      </c>
      <c r="R163" s="22" t="s">
        <v>54</v>
      </c>
    </row>
    <row r="164" spans="1:18" ht="30" customHeight="1" x14ac:dyDescent="0.25">
      <c r="A164" s="16" t="s">
        <v>159</v>
      </c>
      <c r="B164" s="17">
        <v>222194</v>
      </c>
      <c r="C164" s="18" t="s">
        <v>140</v>
      </c>
      <c r="D164" s="19" t="s">
        <v>266</v>
      </c>
      <c r="E164" s="17" t="s">
        <v>46</v>
      </c>
      <c r="F164" s="17">
        <v>1</v>
      </c>
      <c r="G164" s="20">
        <v>44246</v>
      </c>
      <c r="H164" s="20">
        <v>44253</v>
      </c>
      <c r="I164" s="20">
        <v>44253</v>
      </c>
      <c r="J164" s="21"/>
      <c r="K164" s="18" t="s">
        <v>24</v>
      </c>
      <c r="L164" s="23" t="s">
        <v>58</v>
      </c>
      <c r="M164" s="18" t="s">
        <v>26</v>
      </c>
      <c r="N164" s="18">
        <v>1</v>
      </c>
      <c r="O164" s="18" t="s">
        <v>38</v>
      </c>
      <c r="P164" s="21" t="s">
        <v>38</v>
      </c>
      <c r="Q164" s="18" t="s">
        <v>28</v>
      </c>
      <c r="R164" s="22" t="s">
        <v>54</v>
      </c>
    </row>
    <row r="165" spans="1:18" ht="30" customHeight="1" x14ac:dyDescent="0.25">
      <c r="A165" s="16" t="s">
        <v>159</v>
      </c>
      <c r="B165" s="17">
        <v>222194</v>
      </c>
      <c r="C165" s="18" t="s">
        <v>140</v>
      </c>
      <c r="D165" s="19" t="s">
        <v>266</v>
      </c>
      <c r="E165" s="17" t="s">
        <v>83</v>
      </c>
      <c r="F165" s="17">
        <v>1</v>
      </c>
      <c r="G165" s="20">
        <v>44246</v>
      </c>
      <c r="H165" s="20">
        <v>44253</v>
      </c>
      <c r="I165" s="20">
        <v>44253</v>
      </c>
      <c r="J165" s="21"/>
      <c r="K165" s="18" t="s">
        <v>24</v>
      </c>
      <c r="L165" s="23" t="s">
        <v>37</v>
      </c>
      <c r="M165" s="18" t="s">
        <v>26</v>
      </c>
      <c r="N165" s="18">
        <v>1</v>
      </c>
      <c r="O165" s="18" t="s">
        <v>38</v>
      </c>
      <c r="P165" s="21" t="s">
        <v>38</v>
      </c>
      <c r="Q165" s="18" t="s">
        <v>28</v>
      </c>
      <c r="R165" s="22" t="s">
        <v>54</v>
      </c>
    </row>
    <row r="166" spans="1:18" ht="30" customHeight="1" x14ac:dyDescent="0.25">
      <c r="A166" s="16" t="s">
        <v>39</v>
      </c>
      <c r="B166" s="17" t="s">
        <v>247</v>
      </c>
      <c r="C166" s="18" t="s">
        <v>140</v>
      </c>
      <c r="D166" s="19" t="s">
        <v>258</v>
      </c>
      <c r="E166" s="17" t="s">
        <v>22</v>
      </c>
      <c r="F166" s="17">
        <v>2</v>
      </c>
      <c r="G166" s="20">
        <v>44249</v>
      </c>
      <c r="H166" s="20">
        <v>44251</v>
      </c>
      <c r="I166" s="20">
        <v>44251</v>
      </c>
      <c r="J166" s="21" t="s">
        <v>267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76</v>
      </c>
      <c r="B167" s="17">
        <v>222575</v>
      </c>
      <c r="C167" s="18" t="s">
        <v>20</v>
      </c>
      <c r="D167" s="19" t="s">
        <v>268</v>
      </c>
      <c r="E167" s="17" t="s">
        <v>269</v>
      </c>
      <c r="F167" s="17">
        <v>2</v>
      </c>
      <c r="G167" s="20">
        <v>44249</v>
      </c>
      <c r="H167" s="20">
        <v>44251</v>
      </c>
      <c r="I167" s="20">
        <v>44253</v>
      </c>
      <c r="J167" s="21"/>
      <c r="K167" s="18" t="s">
        <v>24</v>
      </c>
      <c r="L167" s="23" t="s">
        <v>58</v>
      </c>
      <c r="M167" s="18" t="s">
        <v>26</v>
      </c>
      <c r="N167" s="18">
        <v>1</v>
      </c>
      <c r="O167" s="18" t="s">
        <v>27</v>
      </c>
      <c r="P167" s="21" t="s">
        <v>27</v>
      </c>
      <c r="Q167" s="18" t="s">
        <v>54</v>
      </c>
      <c r="R167" s="22" t="s">
        <v>29</v>
      </c>
    </row>
    <row r="168" spans="1:18" ht="30" customHeight="1" x14ac:dyDescent="0.25">
      <c r="A168" s="16" t="s">
        <v>49</v>
      </c>
      <c r="B168" s="17">
        <v>222682</v>
      </c>
      <c r="C168" s="18" t="s">
        <v>140</v>
      </c>
      <c r="D168" s="19" t="s">
        <v>270</v>
      </c>
      <c r="E168" s="17" t="s">
        <v>22</v>
      </c>
      <c r="F168" s="17">
        <v>1</v>
      </c>
      <c r="G168" s="20">
        <v>44249</v>
      </c>
      <c r="H168" s="20">
        <v>44250</v>
      </c>
      <c r="I168" s="20">
        <v>44250</v>
      </c>
      <c r="J168" s="21" t="s">
        <v>271</v>
      </c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 t="s">
        <v>54</v>
      </c>
      <c r="R168" s="22" t="s">
        <v>54</v>
      </c>
    </row>
  </sheetData>
  <phoneticPr fontId="18" type="noConversion"/>
  <conditionalFormatting sqref="A2:R168">
    <cfRule type="expression" dxfId="851" priority="76">
      <formula>$K2="CANCELADO"</formula>
    </cfRule>
    <cfRule type="expression" dxfId="850" priority="77">
      <formula>$K2="STAND-BY"</formula>
    </cfRule>
    <cfRule type="expression" dxfId="849" priority="78">
      <formula>$K2="AGUARDANDO APROVAÇÃO"</formula>
    </cfRule>
    <cfRule type="expression" dxfId="848" priority="79">
      <formula>$K2="OK"</formula>
    </cfRule>
    <cfRule type="expression" dxfId="847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102" workbookViewId="0">
      <selection activeCell="A4" sqref="A4:XFD154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hidden="1" customHeight="1" x14ac:dyDescent="0.25">
      <c r="A2" s="16" t="s">
        <v>30</v>
      </c>
      <c r="B2" s="17">
        <v>204406</v>
      </c>
      <c r="C2" s="18" t="s">
        <v>20</v>
      </c>
      <c r="D2" s="19" t="s">
        <v>272</v>
      </c>
      <c r="E2" s="17" t="s">
        <v>33</v>
      </c>
      <c r="F2" s="17">
        <v>2</v>
      </c>
      <c r="G2" s="20">
        <v>44526</v>
      </c>
      <c r="H2" s="20">
        <v>44221</v>
      </c>
      <c r="I2" s="20">
        <v>44266</v>
      </c>
      <c r="J2" s="21" t="s">
        <v>273</v>
      </c>
      <c r="K2" s="18" t="s">
        <v>24</v>
      </c>
      <c r="L2" s="23" t="s">
        <v>25</v>
      </c>
      <c r="M2" s="18" t="s">
        <v>34</v>
      </c>
      <c r="N2" s="18">
        <v>2</v>
      </c>
      <c r="O2" s="18" t="s">
        <v>27</v>
      </c>
      <c r="P2" s="21"/>
      <c r="Q2" s="18"/>
      <c r="R2" s="22"/>
    </row>
    <row r="3" spans="1:18" ht="30" hidden="1" customHeight="1" x14ac:dyDescent="0.25">
      <c r="A3" s="16" t="s">
        <v>30</v>
      </c>
      <c r="B3" s="17">
        <v>204405</v>
      </c>
      <c r="C3" s="18" t="s">
        <v>20</v>
      </c>
      <c r="D3" s="19" t="s">
        <v>274</v>
      </c>
      <c r="E3" s="17" t="s">
        <v>33</v>
      </c>
      <c r="F3" s="17">
        <v>0</v>
      </c>
      <c r="G3" s="20">
        <v>44168</v>
      </c>
      <c r="H3" s="20">
        <v>44226</v>
      </c>
      <c r="I3" s="20">
        <v>44266</v>
      </c>
      <c r="J3" s="21" t="s">
        <v>275</v>
      </c>
      <c r="K3" s="18" t="s">
        <v>24</v>
      </c>
      <c r="L3" s="23" t="s">
        <v>25</v>
      </c>
      <c r="M3" s="18" t="s">
        <v>34</v>
      </c>
      <c r="N3" s="18"/>
      <c r="O3" s="18" t="s">
        <v>27</v>
      </c>
      <c r="P3" s="21"/>
      <c r="Q3" s="18" t="s">
        <v>29</v>
      </c>
      <c r="R3" s="22" t="s">
        <v>54</v>
      </c>
    </row>
    <row r="4" spans="1:18" ht="30" customHeight="1" x14ac:dyDescent="0.25">
      <c r="A4" s="16" t="s">
        <v>39</v>
      </c>
      <c r="B4" s="17">
        <v>214857</v>
      </c>
      <c r="C4" s="18" t="s">
        <v>20</v>
      </c>
      <c r="D4" s="19" t="s">
        <v>154</v>
      </c>
      <c r="E4" s="17" t="s">
        <v>22</v>
      </c>
      <c r="F4" s="17">
        <v>5</v>
      </c>
      <c r="G4" s="20">
        <v>44214</v>
      </c>
      <c r="H4" s="20">
        <v>44256</v>
      </c>
      <c r="I4" s="20">
        <v>44277</v>
      </c>
      <c r="J4" s="21"/>
      <c r="K4" s="18" t="s">
        <v>24</v>
      </c>
      <c r="L4" s="23" t="s">
        <v>25</v>
      </c>
      <c r="M4" s="18" t="s">
        <v>26</v>
      </c>
      <c r="N4" s="18">
        <v>2</v>
      </c>
      <c r="O4" s="18" t="s">
        <v>27</v>
      </c>
      <c r="P4" s="21" t="s">
        <v>27</v>
      </c>
      <c r="Q4" s="18" t="s">
        <v>54</v>
      </c>
      <c r="R4" s="22" t="s">
        <v>54</v>
      </c>
    </row>
    <row r="5" spans="1:18" ht="30" customHeight="1" x14ac:dyDescent="0.25">
      <c r="A5" s="16" t="s">
        <v>39</v>
      </c>
      <c r="B5" s="17">
        <v>214857</v>
      </c>
      <c r="C5" s="18" t="s">
        <v>20</v>
      </c>
      <c r="D5" s="19" t="s">
        <v>154</v>
      </c>
      <c r="E5" s="17" t="s">
        <v>46</v>
      </c>
      <c r="F5" s="17">
        <v>5</v>
      </c>
      <c r="G5" s="20">
        <v>44214</v>
      </c>
      <c r="H5" s="20">
        <v>44256</v>
      </c>
      <c r="I5" s="20">
        <v>44277</v>
      </c>
      <c r="J5" s="21"/>
      <c r="K5" s="18" t="s">
        <v>24</v>
      </c>
      <c r="L5" s="23" t="s">
        <v>45</v>
      </c>
      <c r="M5" s="18" t="s">
        <v>26</v>
      </c>
      <c r="N5" s="18">
        <v>2</v>
      </c>
      <c r="O5" s="18" t="s">
        <v>27</v>
      </c>
      <c r="P5" s="21" t="s">
        <v>27</v>
      </c>
      <c r="Q5" s="18" t="s">
        <v>54</v>
      </c>
      <c r="R5" s="22" t="s">
        <v>54</v>
      </c>
    </row>
    <row r="6" spans="1:18" ht="30" customHeight="1" x14ac:dyDescent="0.25">
      <c r="A6" s="16" t="s">
        <v>39</v>
      </c>
      <c r="B6" s="17">
        <v>214857</v>
      </c>
      <c r="C6" s="18" t="s">
        <v>20</v>
      </c>
      <c r="D6" s="19" t="s">
        <v>154</v>
      </c>
      <c r="E6" s="17" t="s">
        <v>177</v>
      </c>
      <c r="F6" s="17">
        <v>5</v>
      </c>
      <c r="G6" s="20">
        <v>44214</v>
      </c>
      <c r="H6" s="20">
        <v>44256</v>
      </c>
      <c r="I6" s="20">
        <v>44277</v>
      </c>
      <c r="J6" s="21"/>
      <c r="K6" s="18" t="s">
        <v>24</v>
      </c>
      <c r="L6" s="23" t="s">
        <v>45</v>
      </c>
      <c r="M6" s="18" t="s">
        <v>26</v>
      </c>
      <c r="N6" s="18">
        <v>2</v>
      </c>
      <c r="O6" s="18" t="s">
        <v>27</v>
      </c>
      <c r="P6" s="21" t="s">
        <v>27</v>
      </c>
      <c r="Q6" s="18" t="s">
        <v>54</v>
      </c>
      <c r="R6" s="22" t="s">
        <v>54</v>
      </c>
    </row>
    <row r="7" spans="1:18" ht="30" customHeight="1" x14ac:dyDescent="0.25">
      <c r="A7" s="16" t="s">
        <v>39</v>
      </c>
      <c r="B7" s="17">
        <v>214857</v>
      </c>
      <c r="C7" s="18" t="s">
        <v>20</v>
      </c>
      <c r="D7" s="19" t="s">
        <v>154</v>
      </c>
      <c r="E7" s="17" t="s">
        <v>127</v>
      </c>
      <c r="F7" s="17">
        <v>1</v>
      </c>
      <c r="G7" s="20">
        <v>44214</v>
      </c>
      <c r="H7" s="20">
        <v>44256</v>
      </c>
      <c r="I7" s="20">
        <v>44277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 t="s">
        <v>27</v>
      </c>
      <c r="Q7" s="18" t="s">
        <v>54</v>
      </c>
      <c r="R7" s="22" t="s">
        <v>54</v>
      </c>
    </row>
    <row r="8" spans="1:18" ht="30" customHeight="1" x14ac:dyDescent="0.25">
      <c r="A8" s="16" t="s">
        <v>39</v>
      </c>
      <c r="B8" s="17">
        <v>214857</v>
      </c>
      <c r="C8" s="18" t="s">
        <v>20</v>
      </c>
      <c r="D8" s="19" t="s">
        <v>154</v>
      </c>
      <c r="E8" s="17" t="s">
        <v>55</v>
      </c>
      <c r="F8" s="17">
        <v>1</v>
      </c>
      <c r="G8" s="20">
        <v>44214</v>
      </c>
      <c r="H8" s="20">
        <v>44256</v>
      </c>
      <c r="I8" s="20">
        <v>44277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 t="s">
        <v>27</v>
      </c>
      <c r="Q8" s="18" t="s">
        <v>54</v>
      </c>
      <c r="R8" s="22" t="s">
        <v>54</v>
      </c>
    </row>
    <row r="9" spans="1:18" ht="30" customHeight="1" x14ac:dyDescent="0.25">
      <c r="A9" s="16" t="s">
        <v>39</v>
      </c>
      <c r="B9" s="17">
        <v>214857</v>
      </c>
      <c r="C9" s="18" t="s">
        <v>20</v>
      </c>
      <c r="D9" s="19" t="s">
        <v>154</v>
      </c>
      <c r="E9" s="17" t="s">
        <v>175</v>
      </c>
      <c r="F9" s="17">
        <v>1</v>
      </c>
      <c r="G9" s="20">
        <v>44214</v>
      </c>
      <c r="H9" s="20">
        <v>44256</v>
      </c>
      <c r="I9" s="20">
        <v>44277</v>
      </c>
      <c r="J9" s="21" t="s">
        <v>276</v>
      </c>
      <c r="K9" s="18" t="s">
        <v>24</v>
      </c>
      <c r="L9" s="23" t="s">
        <v>45</v>
      </c>
      <c r="M9" s="18" t="s">
        <v>26</v>
      </c>
      <c r="N9" s="18">
        <v>2</v>
      </c>
      <c r="O9" s="18" t="s">
        <v>27</v>
      </c>
      <c r="P9" s="21" t="s">
        <v>27</v>
      </c>
      <c r="Q9" s="18" t="s">
        <v>54</v>
      </c>
      <c r="R9" s="22" t="s">
        <v>54</v>
      </c>
    </row>
    <row r="10" spans="1:18" ht="30" customHeight="1" x14ac:dyDescent="0.25">
      <c r="A10" s="16" t="s">
        <v>39</v>
      </c>
      <c r="B10" s="17">
        <v>214857</v>
      </c>
      <c r="C10" s="18" t="s">
        <v>20</v>
      </c>
      <c r="D10" s="19" t="s">
        <v>154</v>
      </c>
      <c r="E10" s="17" t="s">
        <v>124</v>
      </c>
      <c r="F10" s="17">
        <v>1</v>
      </c>
      <c r="G10" s="20">
        <v>44214</v>
      </c>
      <c r="H10" s="20">
        <v>44223</v>
      </c>
      <c r="I10" s="20">
        <v>44223</v>
      </c>
      <c r="J10" s="21"/>
      <c r="K10" s="18" t="s">
        <v>24</v>
      </c>
      <c r="L10" s="23" t="s">
        <v>45</v>
      </c>
      <c r="M10" s="18" t="s">
        <v>26</v>
      </c>
      <c r="N10" s="18">
        <v>1</v>
      </c>
      <c r="O10" s="18" t="s">
        <v>27</v>
      </c>
      <c r="P10" s="21" t="s">
        <v>27</v>
      </c>
      <c r="Q10" s="18" t="s">
        <v>54</v>
      </c>
      <c r="R10" s="22" t="s">
        <v>54</v>
      </c>
    </row>
    <row r="11" spans="1:18" ht="30" customHeight="1" x14ac:dyDescent="0.25">
      <c r="A11" s="16" t="s">
        <v>39</v>
      </c>
      <c r="B11" s="17">
        <v>214857</v>
      </c>
      <c r="C11" s="18" t="s">
        <v>20</v>
      </c>
      <c r="D11" s="19" t="s">
        <v>154</v>
      </c>
      <c r="E11" s="17" t="s">
        <v>111</v>
      </c>
      <c r="F11" s="17"/>
      <c r="G11" s="20">
        <v>44214</v>
      </c>
      <c r="H11" s="20">
        <v>44223</v>
      </c>
      <c r="I11" s="20">
        <v>44223</v>
      </c>
      <c r="J11" s="21" t="s">
        <v>277</v>
      </c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 t="s">
        <v>27</v>
      </c>
      <c r="Q11" s="18" t="s">
        <v>54</v>
      </c>
      <c r="R11" s="22" t="s">
        <v>54</v>
      </c>
    </row>
    <row r="12" spans="1:18" ht="30" customHeight="1" x14ac:dyDescent="0.25">
      <c r="A12" s="16" t="s">
        <v>39</v>
      </c>
      <c r="B12" s="17">
        <v>214857</v>
      </c>
      <c r="C12" s="18" t="s">
        <v>20</v>
      </c>
      <c r="D12" s="19" t="s">
        <v>154</v>
      </c>
      <c r="E12" s="17" t="s">
        <v>278</v>
      </c>
      <c r="F12" s="17"/>
      <c r="G12" s="20">
        <v>44214</v>
      </c>
      <c r="H12" s="20">
        <v>44223</v>
      </c>
      <c r="I12" s="20">
        <v>44277</v>
      </c>
      <c r="J12" s="21"/>
      <c r="K12" s="18" t="s">
        <v>24</v>
      </c>
      <c r="L12" s="23" t="s">
        <v>25</v>
      </c>
      <c r="M12" s="18" t="s">
        <v>34</v>
      </c>
      <c r="N12" s="18"/>
      <c r="O12" s="18" t="s">
        <v>27</v>
      </c>
      <c r="P12" s="21" t="s">
        <v>27</v>
      </c>
      <c r="Q12" s="18" t="s">
        <v>54</v>
      </c>
      <c r="R12" s="22" t="s">
        <v>54</v>
      </c>
    </row>
    <row r="13" spans="1:18" ht="30" customHeight="1" x14ac:dyDescent="0.25">
      <c r="A13" s="16" t="s">
        <v>39</v>
      </c>
      <c r="B13" s="17">
        <v>214857</v>
      </c>
      <c r="C13" s="18" t="s">
        <v>20</v>
      </c>
      <c r="D13" s="19" t="s">
        <v>154</v>
      </c>
      <c r="E13" s="17" t="s">
        <v>127</v>
      </c>
      <c r="F13" s="17"/>
      <c r="G13" s="20">
        <v>44271</v>
      </c>
      <c r="H13" s="20">
        <v>44271</v>
      </c>
      <c r="I13" s="20">
        <v>44277</v>
      </c>
      <c r="J13" s="21" t="s">
        <v>276</v>
      </c>
      <c r="K13" s="18" t="s">
        <v>24</v>
      </c>
      <c r="L13" s="23" t="s">
        <v>25</v>
      </c>
      <c r="M13" s="18" t="s">
        <v>34</v>
      </c>
      <c r="N13" s="18"/>
      <c r="O13" s="18" t="s">
        <v>27</v>
      </c>
      <c r="P13" s="21" t="s">
        <v>27</v>
      </c>
      <c r="Q13" s="18" t="s">
        <v>54</v>
      </c>
      <c r="R13" s="22" t="s">
        <v>54</v>
      </c>
    </row>
    <row r="14" spans="1:18" ht="30" customHeight="1" x14ac:dyDescent="0.25">
      <c r="A14" s="16" t="s">
        <v>39</v>
      </c>
      <c r="B14" s="17">
        <v>214139</v>
      </c>
      <c r="C14" s="18" t="s">
        <v>20</v>
      </c>
      <c r="D14" s="19" t="s">
        <v>279</v>
      </c>
      <c r="E14" s="17" t="s">
        <v>98</v>
      </c>
      <c r="F14" s="17">
        <v>31</v>
      </c>
      <c r="G14" s="20">
        <v>44209</v>
      </c>
      <c r="H14" s="20">
        <v>44245</v>
      </c>
      <c r="I14" s="20"/>
      <c r="J14" s="21" t="s">
        <v>280</v>
      </c>
      <c r="K14" s="18" t="s">
        <v>281</v>
      </c>
      <c r="L14" s="23" t="s">
        <v>25</v>
      </c>
      <c r="M14" s="18" t="s">
        <v>26</v>
      </c>
      <c r="N14" s="18"/>
      <c r="O14" s="18" t="s">
        <v>27</v>
      </c>
      <c r="P14" s="21" t="s">
        <v>27</v>
      </c>
      <c r="Q14" s="18" t="s">
        <v>29</v>
      </c>
      <c r="R14" s="22" t="s">
        <v>29</v>
      </c>
    </row>
    <row r="15" spans="1:18" ht="30" customHeight="1" x14ac:dyDescent="0.25">
      <c r="A15" s="16" t="s">
        <v>39</v>
      </c>
      <c r="B15" s="17">
        <v>214139</v>
      </c>
      <c r="C15" s="18" t="s">
        <v>20</v>
      </c>
      <c r="D15" s="19" t="s">
        <v>279</v>
      </c>
      <c r="E15" s="17" t="s">
        <v>98</v>
      </c>
      <c r="F15" s="17">
        <v>27</v>
      </c>
      <c r="G15" s="20">
        <v>44249</v>
      </c>
      <c r="H15" s="20">
        <v>44251</v>
      </c>
      <c r="I15" s="20"/>
      <c r="J15" s="21" t="s">
        <v>282</v>
      </c>
      <c r="K15" s="18" t="s">
        <v>24</v>
      </c>
      <c r="L15" s="23" t="s">
        <v>25</v>
      </c>
      <c r="M15" s="18" t="s">
        <v>26</v>
      </c>
      <c r="N15" s="18"/>
      <c r="O15" s="18" t="s">
        <v>27</v>
      </c>
      <c r="P15" s="21" t="s">
        <v>27</v>
      </c>
      <c r="Q15" s="18" t="s">
        <v>29</v>
      </c>
      <c r="R15" s="22" t="s">
        <v>29</v>
      </c>
    </row>
    <row r="16" spans="1:18" ht="30" hidden="1" customHeight="1" x14ac:dyDescent="0.25">
      <c r="A16" s="16" t="s">
        <v>30</v>
      </c>
      <c r="B16" s="17">
        <v>213697</v>
      </c>
      <c r="C16" s="18" t="s">
        <v>20</v>
      </c>
      <c r="D16" s="19" t="s">
        <v>283</v>
      </c>
      <c r="E16" s="17" t="s">
        <v>111</v>
      </c>
      <c r="F16" s="17">
        <v>10</v>
      </c>
      <c r="G16" s="20">
        <v>44207</v>
      </c>
      <c r="H16" s="20">
        <v>44230</v>
      </c>
      <c r="I16" s="20">
        <v>44265</v>
      </c>
      <c r="J16" s="21" t="s">
        <v>284</v>
      </c>
      <c r="K16" s="18" t="s">
        <v>24</v>
      </c>
      <c r="L16" s="23" t="s">
        <v>25</v>
      </c>
      <c r="M16" s="18" t="s">
        <v>34</v>
      </c>
      <c r="N16" s="18"/>
      <c r="O16" s="18" t="s">
        <v>27</v>
      </c>
      <c r="P16" s="21" t="s">
        <v>27</v>
      </c>
      <c r="Q16" s="18" t="s">
        <v>29</v>
      </c>
      <c r="R16" s="22" t="s">
        <v>185</v>
      </c>
    </row>
    <row r="17" spans="1:18" ht="30" hidden="1" customHeight="1" x14ac:dyDescent="0.25">
      <c r="A17" s="16" t="s">
        <v>30</v>
      </c>
      <c r="B17" s="17">
        <v>213697</v>
      </c>
      <c r="C17" s="18" t="s">
        <v>20</v>
      </c>
      <c r="D17" s="19" t="s">
        <v>283</v>
      </c>
      <c r="E17" s="17" t="s">
        <v>115</v>
      </c>
      <c r="F17" s="17">
        <v>14</v>
      </c>
      <c r="G17" s="20">
        <v>44207</v>
      </c>
      <c r="H17" s="20">
        <v>44230</v>
      </c>
      <c r="I17" s="20">
        <v>44265</v>
      </c>
      <c r="J17" s="21"/>
      <c r="K17" s="18" t="s">
        <v>24</v>
      </c>
      <c r="L17" s="23" t="s">
        <v>25</v>
      </c>
      <c r="M17" s="18" t="s">
        <v>34</v>
      </c>
      <c r="N17" s="18"/>
      <c r="O17" s="18" t="s">
        <v>27</v>
      </c>
      <c r="P17" s="21" t="s">
        <v>27</v>
      </c>
      <c r="Q17" s="18" t="s">
        <v>29</v>
      </c>
      <c r="R17" s="22" t="s">
        <v>185</v>
      </c>
    </row>
    <row r="18" spans="1:18" ht="30" hidden="1" customHeight="1" x14ac:dyDescent="0.25">
      <c r="A18" s="16" t="s">
        <v>30</v>
      </c>
      <c r="B18" s="17">
        <v>213697</v>
      </c>
      <c r="C18" s="18" t="s">
        <v>20</v>
      </c>
      <c r="D18" s="19" t="s">
        <v>283</v>
      </c>
      <c r="E18" s="17" t="s">
        <v>236</v>
      </c>
      <c r="F18" s="17">
        <v>2</v>
      </c>
      <c r="G18" s="20">
        <v>44207</v>
      </c>
      <c r="H18" s="20">
        <v>44230</v>
      </c>
      <c r="I18" s="20">
        <v>44265</v>
      </c>
      <c r="J18" s="21"/>
      <c r="K18" s="18" t="s">
        <v>24</v>
      </c>
      <c r="L18" s="23" t="s">
        <v>25</v>
      </c>
      <c r="M18" s="18" t="s">
        <v>34</v>
      </c>
      <c r="N18" s="18"/>
      <c r="O18" s="18" t="s">
        <v>27</v>
      </c>
      <c r="P18" s="21" t="s">
        <v>27</v>
      </c>
      <c r="Q18" s="18" t="s">
        <v>29</v>
      </c>
      <c r="R18" s="22" t="s">
        <v>185</v>
      </c>
    </row>
    <row r="19" spans="1:18" ht="30" hidden="1" customHeight="1" x14ac:dyDescent="0.25">
      <c r="A19" s="16" t="s">
        <v>30</v>
      </c>
      <c r="B19" s="17">
        <v>213697</v>
      </c>
      <c r="C19" s="18" t="s">
        <v>20</v>
      </c>
      <c r="D19" s="19" t="s">
        <v>283</v>
      </c>
      <c r="E19" s="17" t="s">
        <v>84</v>
      </c>
      <c r="F19" s="17">
        <v>1</v>
      </c>
      <c r="G19" s="20">
        <v>44207</v>
      </c>
      <c r="H19" s="20">
        <v>44232</v>
      </c>
      <c r="I19" s="20">
        <v>44265</v>
      </c>
      <c r="J19" s="21"/>
      <c r="K19" s="18" t="s">
        <v>24</v>
      </c>
      <c r="L19" s="23" t="s">
        <v>25</v>
      </c>
      <c r="M19" s="18" t="s">
        <v>34</v>
      </c>
      <c r="N19" s="18"/>
      <c r="O19" s="18" t="s">
        <v>27</v>
      </c>
      <c r="P19" s="21" t="s">
        <v>27</v>
      </c>
      <c r="Q19" s="18" t="s">
        <v>29</v>
      </c>
      <c r="R19" s="22" t="s">
        <v>185</v>
      </c>
    </row>
    <row r="20" spans="1:18" ht="30" hidden="1" customHeight="1" x14ac:dyDescent="0.25">
      <c r="A20" s="16" t="s">
        <v>30</v>
      </c>
      <c r="B20" s="17">
        <v>213697</v>
      </c>
      <c r="C20" s="18" t="s">
        <v>20</v>
      </c>
      <c r="D20" s="19" t="s">
        <v>283</v>
      </c>
      <c r="E20" s="17" t="s">
        <v>79</v>
      </c>
      <c r="F20" s="17">
        <v>2</v>
      </c>
      <c r="G20" s="20">
        <v>44207</v>
      </c>
      <c r="H20" s="20">
        <v>44230</v>
      </c>
      <c r="I20" s="20">
        <v>44265</v>
      </c>
      <c r="J20" s="21"/>
      <c r="K20" s="18" t="s">
        <v>24</v>
      </c>
      <c r="L20" s="23" t="s">
        <v>25</v>
      </c>
      <c r="M20" s="18" t="s">
        <v>34</v>
      </c>
      <c r="N20" s="18"/>
      <c r="O20" s="18" t="s">
        <v>27</v>
      </c>
      <c r="P20" s="21" t="s">
        <v>27</v>
      </c>
      <c r="Q20" s="18" t="s">
        <v>29</v>
      </c>
      <c r="R20" s="22" t="s">
        <v>185</v>
      </c>
    </row>
    <row r="21" spans="1:18" ht="30" customHeight="1" x14ac:dyDescent="0.25">
      <c r="A21" s="16" t="s">
        <v>39</v>
      </c>
      <c r="B21" s="17">
        <v>218050</v>
      </c>
      <c r="C21" s="18" t="s">
        <v>20</v>
      </c>
      <c r="D21" s="19" t="s">
        <v>285</v>
      </c>
      <c r="E21" s="17" t="s">
        <v>157</v>
      </c>
      <c r="F21" s="17">
        <v>1</v>
      </c>
      <c r="G21" s="20">
        <v>44228</v>
      </c>
      <c r="H21" s="20">
        <v>44246</v>
      </c>
      <c r="I21" s="20">
        <v>44267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286</v>
      </c>
      <c r="R21" s="22" t="s">
        <v>286</v>
      </c>
    </row>
    <row r="22" spans="1:18" ht="30" hidden="1" customHeight="1" x14ac:dyDescent="0.25">
      <c r="A22" s="16" t="s">
        <v>52</v>
      </c>
      <c r="B22" s="17">
        <v>212488</v>
      </c>
      <c r="C22" s="18" t="s">
        <v>20</v>
      </c>
      <c r="D22" s="19" t="s">
        <v>53</v>
      </c>
      <c r="E22" s="17" t="s">
        <v>55</v>
      </c>
      <c r="F22" s="17">
        <v>6</v>
      </c>
      <c r="G22" s="20">
        <v>44229</v>
      </c>
      <c r="H22" s="20">
        <v>44229</v>
      </c>
      <c r="I22" s="20">
        <v>44267</v>
      </c>
      <c r="J22" s="21"/>
      <c r="K22" s="18" t="s">
        <v>24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185</v>
      </c>
      <c r="R22" s="57" t="s">
        <v>286</v>
      </c>
    </row>
    <row r="23" spans="1:18" ht="30" hidden="1" customHeight="1" x14ac:dyDescent="0.25">
      <c r="A23" s="16" t="s">
        <v>72</v>
      </c>
      <c r="B23" s="17">
        <v>218831</v>
      </c>
      <c r="C23" s="18" t="s">
        <v>20</v>
      </c>
      <c r="D23" s="19" t="s">
        <v>287</v>
      </c>
      <c r="E23" s="17" t="s">
        <v>94</v>
      </c>
      <c r="F23" s="17">
        <v>2</v>
      </c>
      <c r="G23" s="20">
        <v>44230</v>
      </c>
      <c r="H23" s="20">
        <v>44265</v>
      </c>
      <c r="I23" s="20">
        <v>44267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 t="s">
        <v>38</v>
      </c>
      <c r="Q23" s="18" t="s">
        <v>54</v>
      </c>
      <c r="R23" s="22" t="s">
        <v>29</v>
      </c>
    </row>
    <row r="24" spans="1:18" ht="30" hidden="1" customHeight="1" x14ac:dyDescent="0.25">
      <c r="A24" s="16" t="s">
        <v>72</v>
      </c>
      <c r="B24" s="17">
        <v>218831</v>
      </c>
      <c r="C24" s="18" t="s">
        <v>20</v>
      </c>
      <c r="D24" s="19" t="s">
        <v>287</v>
      </c>
      <c r="E24" s="17" t="s">
        <v>288</v>
      </c>
      <c r="F24" s="17">
        <v>2</v>
      </c>
      <c r="G24" s="20">
        <v>44230</v>
      </c>
      <c r="H24" s="20">
        <v>44265</v>
      </c>
      <c r="I24" s="20">
        <v>44267</v>
      </c>
      <c r="J24" s="21"/>
      <c r="K24" s="18" t="s">
        <v>24</v>
      </c>
      <c r="L24" s="23" t="s">
        <v>58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hidden="1" customHeight="1" x14ac:dyDescent="0.25">
      <c r="A25" s="16" t="s">
        <v>72</v>
      </c>
      <c r="B25" s="17">
        <v>218831</v>
      </c>
      <c r="C25" s="18" t="s">
        <v>20</v>
      </c>
      <c r="D25" s="19" t="s">
        <v>287</v>
      </c>
      <c r="E25" s="17" t="s">
        <v>115</v>
      </c>
      <c r="F25" s="17">
        <v>15</v>
      </c>
      <c r="G25" s="20">
        <v>44230</v>
      </c>
      <c r="H25" s="20">
        <v>44265</v>
      </c>
      <c r="I25" s="20">
        <v>44267</v>
      </c>
      <c r="J25" s="21"/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hidden="1" customHeight="1" x14ac:dyDescent="0.25">
      <c r="A26" s="16" t="s">
        <v>72</v>
      </c>
      <c r="B26" s="17">
        <v>218831</v>
      </c>
      <c r="C26" s="18" t="s">
        <v>20</v>
      </c>
      <c r="D26" s="19" t="s">
        <v>287</v>
      </c>
      <c r="E26" s="17" t="s">
        <v>79</v>
      </c>
      <c r="F26" s="17">
        <v>1</v>
      </c>
      <c r="G26" s="20">
        <v>44230</v>
      </c>
      <c r="H26" s="20">
        <v>44265</v>
      </c>
      <c r="I26" s="20">
        <v>44267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 t="s">
        <v>29</v>
      </c>
    </row>
    <row r="27" spans="1:18" ht="30" hidden="1" customHeight="1" x14ac:dyDescent="0.25">
      <c r="A27" s="16" t="s">
        <v>159</v>
      </c>
      <c r="B27" s="17">
        <v>219310</v>
      </c>
      <c r="C27" s="18" t="s">
        <v>140</v>
      </c>
      <c r="D27" s="19" t="s">
        <v>289</v>
      </c>
      <c r="E27" s="17" t="s">
        <v>227</v>
      </c>
      <c r="F27" s="17">
        <v>1</v>
      </c>
      <c r="G27" s="20">
        <v>44231</v>
      </c>
      <c r="H27" s="20">
        <v>44257</v>
      </c>
      <c r="I27" s="20">
        <v>44257</v>
      </c>
      <c r="J27" s="21" t="s">
        <v>290</v>
      </c>
      <c r="K27" s="18" t="s">
        <v>24</v>
      </c>
      <c r="L27" s="23" t="s">
        <v>58</v>
      </c>
      <c r="M27" s="18" t="s">
        <v>26</v>
      </c>
      <c r="N27" s="18">
        <v>1</v>
      </c>
      <c r="O27" s="18" t="s">
        <v>38</v>
      </c>
      <c r="P27" s="21" t="s">
        <v>38</v>
      </c>
      <c r="Q27" s="18" t="s">
        <v>54</v>
      </c>
      <c r="R27" s="22" t="s">
        <v>54</v>
      </c>
    </row>
    <row r="28" spans="1:18" ht="30" customHeight="1" x14ac:dyDescent="0.25">
      <c r="A28" s="16" t="s">
        <v>39</v>
      </c>
      <c r="B28" s="17">
        <v>220651</v>
      </c>
      <c r="C28" s="18" t="s">
        <v>20</v>
      </c>
      <c r="D28" s="19" t="s">
        <v>252</v>
      </c>
      <c r="E28" s="17" t="s">
        <v>79</v>
      </c>
      <c r="F28" s="17">
        <v>1</v>
      </c>
      <c r="G28" s="20">
        <v>44237</v>
      </c>
      <c r="H28" s="20">
        <v>44238</v>
      </c>
      <c r="I28" s="20"/>
      <c r="J28" s="21"/>
      <c r="K28" s="18" t="s">
        <v>24</v>
      </c>
      <c r="L28" s="23" t="s">
        <v>37</v>
      </c>
      <c r="M28" s="18" t="s">
        <v>34</v>
      </c>
      <c r="N28" s="18"/>
      <c r="O28" s="18" t="s">
        <v>38</v>
      </c>
      <c r="P28" s="21" t="s">
        <v>38</v>
      </c>
      <c r="Q28" s="18" t="s">
        <v>28</v>
      </c>
      <c r="R28" s="22" t="s">
        <v>54</v>
      </c>
    </row>
    <row r="29" spans="1:18" ht="30" customHeight="1" x14ac:dyDescent="0.25">
      <c r="A29" s="16" t="s">
        <v>39</v>
      </c>
      <c r="B29" s="17">
        <v>220651</v>
      </c>
      <c r="C29" s="18" t="s">
        <v>20</v>
      </c>
      <c r="D29" s="19" t="s">
        <v>252</v>
      </c>
      <c r="E29" s="17" t="s">
        <v>22</v>
      </c>
      <c r="F29" s="17">
        <v>1</v>
      </c>
      <c r="G29" s="20">
        <v>44237</v>
      </c>
      <c r="H29" s="20">
        <v>44246</v>
      </c>
      <c r="I29" s="20"/>
      <c r="J29" s="21"/>
      <c r="K29" s="18" t="s">
        <v>24</v>
      </c>
      <c r="L29" s="23" t="s">
        <v>25</v>
      </c>
      <c r="M29" s="18" t="s">
        <v>34</v>
      </c>
      <c r="N29" s="18">
        <v>1</v>
      </c>
      <c r="O29" s="18" t="s">
        <v>38</v>
      </c>
      <c r="P29" s="21" t="s">
        <v>38</v>
      </c>
      <c r="Q29" s="18" t="s">
        <v>28</v>
      </c>
      <c r="R29" s="22" t="s">
        <v>54</v>
      </c>
    </row>
    <row r="30" spans="1:18" ht="30" customHeight="1" x14ac:dyDescent="0.25">
      <c r="A30" s="16" t="s">
        <v>39</v>
      </c>
      <c r="B30" s="17">
        <v>220651</v>
      </c>
      <c r="C30" s="18" t="s">
        <v>20</v>
      </c>
      <c r="D30" s="19" t="s">
        <v>252</v>
      </c>
      <c r="E30" s="17" t="s">
        <v>46</v>
      </c>
      <c r="F30" s="17">
        <v>2</v>
      </c>
      <c r="G30" s="20">
        <v>44237</v>
      </c>
      <c r="H30" s="20">
        <v>44246</v>
      </c>
      <c r="I30" s="20"/>
      <c r="J30" s="21"/>
      <c r="K30" s="18" t="s">
        <v>24</v>
      </c>
      <c r="L30" s="23" t="s">
        <v>25</v>
      </c>
      <c r="M30" s="18" t="s">
        <v>34</v>
      </c>
      <c r="N30" s="18">
        <v>1</v>
      </c>
      <c r="O30" s="18" t="s">
        <v>38</v>
      </c>
      <c r="P30" s="21" t="s">
        <v>38</v>
      </c>
      <c r="Q30" s="18" t="s">
        <v>28</v>
      </c>
      <c r="R30" s="22" t="s">
        <v>54</v>
      </c>
    </row>
    <row r="31" spans="1:18" ht="30" customHeight="1" x14ac:dyDescent="0.25">
      <c r="A31" s="16" t="s">
        <v>39</v>
      </c>
      <c r="B31" s="17">
        <v>220651</v>
      </c>
      <c r="C31" s="18" t="s">
        <v>20</v>
      </c>
      <c r="D31" s="19" t="s">
        <v>252</v>
      </c>
      <c r="E31" s="17" t="s">
        <v>177</v>
      </c>
      <c r="F31" s="17">
        <v>1</v>
      </c>
      <c r="G31" s="20">
        <v>44237</v>
      </c>
      <c r="H31" s="20">
        <v>44246</v>
      </c>
      <c r="I31" s="20"/>
      <c r="J31" s="21"/>
      <c r="K31" s="18" t="s">
        <v>24</v>
      </c>
      <c r="L31" s="23" t="s">
        <v>25</v>
      </c>
      <c r="M31" s="18" t="s">
        <v>34</v>
      </c>
      <c r="N31" s="18"/>
      <c r="O31" s="18" t="s">
        <v>38</v>
      </c>
      <c r="P31" s="21" t="s">
        <v>38</v>
      </c>
      <c r="Q31" s="18" t="s">
        <v>28</v>
      </c>
      <c r="R31" s="22" t="s">
        <v>54</v>
      </c>
    </row>
    <row r="32" spans="1:18" ht="30" customHeight="1" x14ac:dyDescent="0.25">
      <c r="A32" s="16" t="s">
        <v>39</v>
      </c>
      <c r="B32" s="17">
        <v>220651</v>
      </c>
      <c r="C32" s="18" t="s">
        <v>20</v>
      </c>
      <c r="D32" s="19" t="s">
        <v>252</v>
      </c>
      <c r="E32" s="17" t="s">
        <v>93</v>
      </c>
      <c r="F32" s="17">
        <v>1</v>
      </c>
      <c r="G32" s="20">
        <v>44237</v>
      </c>
      <c r="H32" s="20">
        <v>44246</v>
      </c>
      <c r="I32" s="20"/>
      <c r="J32" s="21"/>
      <c r="K32" s="18" t="s">
        <v>24</v>
      </c>
      <c r="L32" s="23" t="s">
        <v>25</v>
      </c>
      <c r="M32" s="18" t="s">
        <v>34</v>
      </c>
      <c r="N32" s="18">
        <v>1</v>
      </c>
      <c r="O32" s="18" t="s">
        <v>38</v>
      </c>
      <c r="P32" s="21" t="s">
        <v>38</v>
      </c>
      <c r="Q32" s="18" t="s">
        <v>28</v>
      </c>
      <c r="R32" s="22" t="s">
        <v>54</v>
      </c>
    </row>
    <row r="33" spans="1:18" ht="30" hidden="1" customHeight="1" x14ac:dyDescent="0.25">
      <c r="A33" s="16" t="s">
        <v>35</v>
      </c>
      <c r="B33" s="17">
        <v>207087</v>
      </c>
      <c r="C33" s="18" t="s">
        <v>20</v>
      </c>
      <c r="D33" s="19" t="s">
        <v>291</v>
      </c>
      <c r="E33" s="17" t="s">
        <v>98</v>
      </c>
      <c r="F33" s="17">
        <v>134</v>
      </c>
      <c r="G33" s="20">
        <v>44245</v>
      </c>
      <c r="H33" s="20">
        <v>44266</v>
      </c>
      <c r="I33" s="20">
        <v>44277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38</v>
      </c>
      <c r="P33" s="21" t="s">
        <v>27</v>
      </c>
      <c r="Q33" s="18" t="s">
        <v>54</v>
      </c>
      <c r="R33" s="22" t="s">
        <v>54</v>
      </c>
    </row>
    <row r="34" spans="1:18" ht="30" hidden="1" customHeight="1" x14ac:dyDescent="0.25">
      <c r="A34" s="16" t="s">
        <v>72</v>
      </c>
      <c r="B34" s="17">
        <v>221731</v>
      </c>
      <c r="C34" s="18" t="s">
        <v>20</v>
      </c>
      <c r="D34" s="19" t="s">
        <v>292</v>
      </c>
      <c r="E34" s="17" t="s">
        <v>79</v>
      </c>
      <c r="F34" s="17"/>
      <c r="G34" s="20">
        <v>44245</v>
      </c>
      <c r="H34" s="20">
        <v>44245</v>
      </c>
      <c r="I34" s="20">
        <v>44245</v>
      </c>
      <c r="J34" s="21"/>
      <c r="K34" s="18" t="s">
        <v>24</v>
      </c>
      <c r="L34" s="23" t="s">
        <v>58</v>
      </c>
      <c r="M34" s="18" t="s">
        <v>26</v>
      </c>
      <c r="N34" s="18"/>
      <c r="O34" s="18" t="s">
        <v>38</v>
      </c>
      <c r="P34" s="21" t="s">
        <v>38</v>
      </c>
      <c r="Q34" s="18" t="s">
        <v>29</v>
      </c>
      <c r="R34" s="18" t="s">
        <v>29</v>
      </c>
    </row>
    <row r="35" spans="1:18" ht="30" hidden="1" customHeight="1" x14ac:dyDescent="0.25">
      <c r="A35" s="16" t="s">
        <v>72</v>
      </c>
      <c r="B35" s="17">
        <v>221731</v>
      </c>
      <c r="C35" s="18" t="s">
        <v>20</v>
      </c>
      <c r="D35" s="19" t="s">
        <v>292</v>
      </c>
      <c r="E35" s="17" t="s">
        <v>93</v>
      </c>
      <c r="F35" s="17">
        <v>8</v>
      </c>
      <c r="G35" s="20">
        <v>44245</v>
      </c>
      <c r="H35" s="20">
        <v>44259</v>
      </c>
      <c r="I35" s="20">
        <v>44259</v>
      </c>
      <c r="J35" s="21"/>
      <c r="K35" s="18" t="s">
        <v>24</v>
      </c>
      <c r="L35" s="23" t="s">
        <v>58</v>
      </c>
      <c r="M35" s="18" t="s">
        <v>26</v>
      </c>
      <c r="N35" s="18"/>
      <c r="O35" s="18" t="s">
        <v>38</v>
      </c>
      <c r="P35" s="21" t="s">
        <v>38</v>
      </c>
      <c r="Q35" s="18" t="s">
        <v>29</v>
      </c>
      <c r="R35" s="18" t="s">
        <v>29</v>
      </c>
    </row>
    <row r="36" spans="1:18" ht="30" hidden="1" customHeight="1" x14ac:dyDescent="0.25">
      <c r="A36" s="16" t="s">
        <v>72</v>
      </c>
      <c r="B36" s="17">
        <v>221731</v>
      </c>
      <c r="C36" s="18" t="s">
        <v>20</v>
      </c>
      <c r="D36" s="19" t="s">
        <v>292</v>
      </c>
      <c r="E36" s="17" t="s">
        <v>115</v>
      </c>
      <c r="F36" s="17">
        <v>1</v>
      </c>
      <c r="G36" s="20">
        <v>44245</v>
      </c>
      <c r="H36" s="20">
        <v>44259</v>
      </c>
      <c r="I36" s="20">
        <v>44259</v>
      </c>
      <c r="J36" s="21"/>
      <c r="K36" s="18" t="s">
        <v>24</v>
      </c>
      <c r="L36" s="23" t="s">
        <v>58</v>
      </c>
      <c r="M36" s="18" t="s">
        <v>26</v>
      </c>
      <c r="N36" s="18"/>
      <c r="O36" s="18" t="s">
        <v>38</v>
      </c>
      <c r="P36" s="21" t="s">
        <v>38</v>
      </c>
      <c r="Q36" s="18" t="s">
        <v>29</v>
      </c>
      <c r="R36" s="18" t="s">
        <v>29</v>
      </c>
    </row>
    <row r="37" spans="1:18" ht="30" customHeight="1" x14ac:dyDescent="0.25">
      <c r="A37" s="16" t="s">
        <v>39</v>
      </c>
      <c r="B37" s="17">
        <v>222353</v>
      </c>
      <c r="C37" s="18" t="s">
        <v>20</v>
      </c>
      <c r="D37" s="19" t="s">
        <v>293</v>
      </c>
      <c r="E37" s="17" t="s">
        <v>179</v>
      </c>
      <c r="F37" s="17">
        <v>4</v>
      </c>
      <c r="G37" s="20">
        <v>44246</v>
      </c>
      <c r="H37" s="20">
        <v>44250</v>
      </c>
      <c r="I37" s="20">
        <v>44279</v>
      </c>
      <c r="J37" s="21"/>
      <c r="K37" s="18" t="s">
        <v>24</v>
      </c>
      <c r="L37" s="23" t="s">
        <v>25</v>
      </c>
      <c r="M37" s="18" t="s">
        <v>26</v>
      </c>
      <c r="N37" s="18"/>
      <c r="O37" s="18" t="s">
        <v>27</v>
      </c>
      <c r="P37" s="21" t="s">
        <v>27</v>
      </c>
      <c r="Q37" s="18" t="s">
        <v>54</v>
      </c>
      <c r="R37" s="22" t="s">
        <v>185</v>
      </c>
    </row>
    <row r="38" spans="1:18" ht="30" hidden="1" customHeight="1" x14ac:dyDescent="0.25">
      <c r="A38" s="16" t="s">
        <v>76</v>
      </c>
      <c r="B38" s="17">
        <v>222560</v>
      </c>
      <c r="C38" s="18" t="s">
        <v>20</v>
      </c>
      <c r="D38" s="19" t="s">
        <v>294</v>
      </c>
      <c r="E38" s="17" t="s">
        <v>22</v>
      </c>
      <c r="F38" s="17">
        <v>1</v>
      </c>
      <c r="G38" s="20">
        <v>44249</v>
      </c>
      <c r="H38" s="20">
        <v>44258</v>
      </c>
      <c r="I38" s="20">
        <v>44258</v>
      </c>
      <c r="J38" s="21"/>
      <c r="K38" s="18" t="s">
        <v>24</v>
      </c>
      <c r="L38" s="23" t="s">
        <v>25</v>
      </c>
      <c r="M38" s="18" t="s">
        <v>26</v>
      </c>
      <c r="N38" s="18">
        <v>2</v>
      </c>
      <c r="O38" s="18" t="s">
        <v>27</v>
      </c>
      <c r="P38" s="21" t="s">
        <v>27</v>
      </c>
      <c r="Q38" s="18" t="s">
        <v>286</v>
      </c>
      <c r="R38" s="22" t="s">
        <v>54</v>
      </c>
    </row>
    <row r="39" spans="1:18" ht="30" hidden="1" customHeight="1" x14ac:dyDescent="0.25">
      <c r="A39" s="16" t="s">
        <v>76</v>
      </c>
      <c r="B39" s="17">
        <v>222560</v>
      </c>
      <c r="C39" s="18" t="s">
        <v>20</v>
      </c>
      <c r="D39" s="19" t="s">
        <v>294</v>
      </c>
      <c r="E39" s="17" t="s">
        <v>104</v>
      </c>
      <c r="F39" s="17">
        <v>2</v>
      </c>
      <c r="G39" s="20">
        <v>44249</v>
      </c>
      <c r="H39" s="20">
        <v>44258</v>
      </c>
      <c r="I39" s="20">
        <v>44258</v>
      </c>
      <c r="J39" s="21" t="s">
        <v>295</v>
      </c>
      <c r="K39" s="18" t="s">
        <v>24</v>
      </c>
      <c r="L39" s="23" t="s">
        <v>45</v>
      </c>
      <c r="M39" s="18" t="s">
        <v>26</v>
      </c>
      <c r="N39" s="18">
        <v>2</v>
      </c>
      <c r="O39" s="18" t="s">
        <v>27</v>
      </c>
      <c r="P39" s="21" t="s">
        <v>27</v>
      </c>
      <c r="Q39" s="18" t="s">
        <v>286</v>
      </c>
      <c r="R39" s="22" t="s">
        <v>54</v>
      </c>
    </row>
    <row r="40" spans="1:18" ht="30" hidden="1" customHeight="1" x14ac:dyDescent="0.25">
      <c r="A40" s="16" t="s">
        <v>76</v>
      </c>
      <c r="B40" s="17">
        <v>222560</v>
      </c>
      <c r="C40" s="18" t="s">
        <v>20</v>
      </c>
      <c r="D40" s="19" t="s">
        <v>294</v>
      </c>
      <c r="E40" s="17" t="s">
        <v>46</v>
      </c>
      <c r="F40" s="17">
        <v>1</v>
      </c>
      <c r="G40" s="20">
        <v>44249</v>
      </c>
      <c r="H40" s="20">
        <v>44258</v>
      </c>
      <c r="I40" s="20">
        <v>44258</v>
      </c>
      <c r="J40" s="21"/>
      <c r="K40" s="18" t="s">
        <v>24</v>
      </c>
      <c r="L40" s="23" t="s">
        <v>45</v>
      </c>
      <c r="M40" s="18" t="s">
        <v>26</v>
      </c>
      <c r="N40" s="18">
        <v>2</v>
      </c>
      <c r="O40" s="18" t="s">
        <v>27</v>
      </c>
      <c r="P40" s="21" t="s">
        <v>27</v>
      </c>
      <c r="Q40" s="18" t="s">
        <v>286</v>
      </c>
      <c r="R40" s="22" t="s">
        <v>54</v>
      </c>
    </row>
    <row r="41" spans="1:18" ht="30" hidden="1" customHeight="1" x14ac:dyDescent="0.25">
      <c r="A41" s="16" t="s">
        <v>76</v>
      </c>
      <c r="B41" s="17">
        <v>222560</v>
      </c>
      <c r="C41" s="18" t="s">
        <v>20</v>
      </c>
      <c r="D41" s="19" t="s">
        <v>294</v>
      </c>
      <c r="E41" s="17" t="s">
        <v>107</v>
      </c>
      <c r="F41" s="17">
        <v>1</v>
      </c>
      <c r="G41" s="20">
        <v>44249</v>
      </c>
      <c r="H41" s="20">
        <v>44258</v>
      </c>
      <c r="I41" s="20">
        <v>44258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 t="s">
        <v>27</v>
      </c>
      <c r="Q41" s="18" t="s">
        <v>286</v>
      </c>
      <c r="R41" s="22" t="s">
        <v>54</v>
      </c>
    </row>
    <row r="42" spans="1:18" ht="30" hidden="1" customHeight="1" x14ac:dyDescent="0.25">
      <c r="A42" s="16" t="s">
        <v>76</v>
      </c>
      <c r="B42" s="17">
        <v>222560</v>
      </c>
      <c r="C42" s="18" t="s">
        <v>20</v>
      </c>
      <c r="D42" s="19" t="s">
        <v>294</v>
      </c>
      <c r="E42" s="17" t="s">
        <v>106</v>
      </c>
      <c r="F42" s="17">
        <v>1</v>
      </c>
      <c r="G42" s="20">
        <v>44249</v>
      </c>
      <c r="H42" s="20">
        <v>44258</v>
      </c>
      <c r="I42" s="20">
        <v>44258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 t="s">
        <v>27</v>
      </c>
      <c r="Q42" s="18" t="s">
        <v>286</v>
      </c>
      <c r="R42" s="22" t="s">
        <v>54</v>
      </c>
    </row>
    <row r="43" spans="1:18" ht="30" hidden="1" customHeight="1" x14ac:dyDescent="0.25">
      <c r="A43" s="16" t="s">
        <v>76</v>
      </c>
      <c r="B43" s="17">
        <v>222560</v>
      </c>
      <c r="C43" s="18" t="s">
        <v>20</v>
      </c>
      <c r="D43" s="19" t="s">
        <v>294</v>
      </c>
      <c r="E43" s="17" t="s">
        <v>177</v>
      </c>
      <c r="F43" s="17">
        <v>1</v>
      </c>
      <c r="G43" s="20">
        <v>44249</v>
      </c>
      <c r="H43" s="20">
        <v>44258</v>
      </c>
      <c r="I43" s="20">
        <v>44258</v>
      </c>
      <c r="J43" s="21"/>
      <c r="K43" s="18" t="s">
        <v>24</v>
      </c>
      <c r="L43" s="23" t="s">
        <v>45</v>
      </c>
      <c r="M43" s="18" t="s">
        <v>26</v>
      </c>
      <c r="N43" s="18">
        <v>2</v>
      </c>
      <c r="O43" s="18" t="s">
        <v>27</v>
      </c>
      <c r="P43" s="21" t="s">
        <v>27</v>
      </c>
      <c r="Q43" s="18" t="s">
        <v>286</v>
      </c>
      <c r="R43" s="22" t="s">
        <v>54</v>
      </c>
    </row>
    <row r="44" spans="1:18" ht="30" hidden="1" customHeight="1" x14ac:dyDescent="0.25">
      <c r="A44" s="16" t="s">
        <v>76</v>
      </c>
      <c r="B44" s="17">
        <v>222560</v>
      </c>
      <c r="C44" s="18" t="s">
        <v>20</v>
      </c>
      <c r="D44" s="19" t="s">
        <v>294</v>
      </c>
      <c r="E44" s="17" t="s">
        <v>69</v>
      </c>
      <c r="F44" s="17">
        <v>2</v>
      </c>
      <c r="G44" s="20">
        <v>44249</v>
      </c>
      <c r="H44" s="20">
        <v>44258</v>
      </c>
      <c r="I44" s="20">
        <v>44258</v>
      </c>
      <c r="J44" s="21" t="s">
        <v>296</v>
      </c>
      <c r="K44" s="18" t="s">
        <v>24</v>
      </c>
      <c r="L44" s="23" t="s">
        <v>45</v>
      </c>
      <c r="M44" s="18" t="s">
        <v>26</v>
      </c>
      <c r="N44" s="18"/>
      <c r="O44" s="18" t="s">
        <v>27</v>
      </c>
      <c r="P44" s="21" t="s">
        <v>27</v>
      </c>
      <c r="Q44" s="18" t="s">
        <v>286</v>
      </c>
      <c r="R44" s="22" t="s">
        <v>54</v>
      </c>
    </row>
    <row r="45" spans="1:18" ht="30" hidden="1" customHeight="1" x14ac:dyDescent="0.25">
      <c r="A45" s="16" t="s">
        <v>132</v>
      </c>
      <c r="B45" s="17">
        <v>223344</v>
      </c>
      <c r="C45" s="18" t="s">
        <v>20</v>
      </c>
      <c r="D45" s="19" t="s">
        <v>297</v>
      </c>
      <c r="E45" s="17" t="s">
        <v>82</v>
      </c>
      <c r="F45" s="17">
        <v>1</v>
      </c>
      <c r="G45" s="20">
        <v>44251</v>
      </c>
      <c r="H45" s="20">
        <v>44259</v>
      </c>
      <c r="I45" s="20">
        <v>44259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29</v>
      </c>
      <c r="R45" s="22" t="s">
        <v>29</v>
      </c>
    </row>
    <row r="46" spans="1:18" ht="30" hidden="1" customHeight="1" x14ac:dyDescent="0.25">
      <c r="A46" s="16" t="s">
        <v>132</v>
      </c>
      <c r="B46" s="17">
        <v>223344</v>
      </c>
      <c r="C46" s="18" t="s">
        <v>20</v>
      </c>
      <c r="D46" s="19" t="s">
        <v>297</v>
      </c>
      <c r="E46" s="17" t="s">
        <v>106</v>
      </c>
      <c r="F46" s="17">
        <v>1</v>
      </c>
      <c r="G46" s="20">
        <v>44251</v>
      </c>
      <c r="H46" s="20">
        <v>44259</v>
      </c>
      <c r="I46" s="20">
        <v>44259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29</v>
      </c>
      <c r="R46" s="22" t="s">
        <v>29</v>
      </c>
    </row>
    <row r="47" spans="1:18" ht="30" hidden="1" customHeight="1" x14ac:dyDescent="0.25">
      <c r="A47" s="16" t="s">
        <v>132</v>
      </c>
      <c r="B47" s="17">
        <v>223344</v>
      </c>
      <c r="C47" s="18" t="s">
        <v>20</v>
      </c>
      <c r="D47" s="19" t="s">
        <v>297</v>
      </c>
      <c r="E47" s="17" t="s">
        <v>153</v>
      </c>
      <c r="F47" s="17">
        <v>3</v>
      </c>
      <c r="G47" s="20">
        <v>44251</v>
      </c>
      <c r="H47" s="20">
        <v>44259</v>
      </c>
      <c r="I47" s="20">
        <v>44259</v>
      </c>
      <c r="J47" s="21"/>
      <c r="K47" s="18" t="s">
        <v>24</v>
      </c>
      <c r="L47" s="23" t="s">
        <v>58</v>
      </c>
      <c r="M47" s="18" t="s">
        <v>26</v>
      </c>
      <c r="N47" s="18"/>
      <c r="O47" s="18" t="s">
        <v>27</v>
      </c>
      <c r="P47" s="21" t="s">
        <v>27</v>
      </c>
      <c r="Q47" s="18" t="s">
        <v>29</v>
      </c>
      <c r="R47" s="22" t="s">
        <v>29</v>
      </c>
    </row>
    <row r="48" spans="1:18" ht="30" hidden="1" customHeight="1" x14ac:dyDescent="0.25">
      <c r="A48" s="16" t="s">
        <v>132</v>
      </c>
      <c r="B48" s="17">
        <v>223344</v>
      </c>
      <c r="C48" s="18" t="s">
        <v>20</v>
      </c>
      <c r="D48" s="19" t="s">
        <v>297</v>
      </c>
      <c r="E48" s="17" t="s">
        <v>22</v>
      </c>
      <c r="F48" s="17">
        <v>1</v>
      </c>
      <c r="G48" s="20">
        <v>44251</v>
      </c>
      <c r="H48" s="20">
        <v>44259</v>
      </c>
      <c r="I48" s="20">
        <v>44259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27</v>
      </c>
      <c r="P48" s="21" t="s">
        <v>27</v>
      </c>
      <c r="Q48" s="18" t="s">
        <v>29</v>
      </c>
      <c r="R48" s="22" t="s">
        <v>29</v>
      </c>
    </row>
    <row r="49" spans="1:18" ht="30" hidden="1" customHeight="1" x14ac:dyDescent="0.25">
      <c r="A49" s="16" t="s">
        <v>49</v>
      </c>
      <c r="B49" s="17">
        <v>223491</v>
      </c>
      <c r="C49" s="18" t="s">
        <v>20</v>
      </c>
      <c r="D49" s="19" t="s">
        <v>298</v>
      </c>
      <c r="E49" s="17" t="s">
        <v>175</v>
      </c>
      <c r="F49" s="17">
        <v>1</v>
      </c>
      <c r="G49" s="20">
        <v>44252</v>
      </c>
      <c r="H49" s="20">
        <v>44253</v>
      </c>
      <c r="I49" s="20">
        <v>44258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38</v>
      </c>
      <c r="P49" s="21" t="s">
        <v>38</v>
      </c>
      <c r="Q49" s="18" t="s">
        <v>54</v>
      </c>
      <c r="R49" s="22" t="s">
        <v>29</v>
      </c>
    </row>
    <row r="50" spans="1:18" ht="30" hidden="1" customHeight="1" x14ac:dyDescent="0.25">
      <c r="A50" s="16" t="s">
        <v>60</v>
      </c>
      <c r="B50" s="17" t="s">
        <v>247</v>
      </c>
      <c r="C50" s="18" t="s">
        <v>20</v>
      </c>
      <c r="D50" s="19" t="s">
        <v>299</v>
      </c>
      <c r="E50" s="17" t="s">
        <v>46</v>
      </c>
      <c r="F50" s="17">
        <v>1</v>
      </c>
      <c r="G50" s="20">
        <v>44252</v>
      </c>
      <c r="H50" s="20">
        <v>44256</v>
      </c>
      <c r="I50" s="20">
        <v>44256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38</v>
      </c>
      <c r="P50" s="21"/>
      <c r="Q50" s="18"/>
      <c r="R50" s="22"/>
    </row>
    <row r="51" spans="1:18" ht="30" hidden="1" customHeight="1" x14ac:dyDescent="0.25">
      <c r="A51" s="16" t="s">
        <v>60</v>
      </c>
      <c r="B51" s="17" t="s">
        <v>247</v>
      </c>
      <c r="C51" s="18" t="s">
        <v>20</v>
      </c>
      <c r="D51" s="19" t="s">
        <v>299</v>
      </c>
      <c r="E51" s="17" t="s">
        <v>22</v>
      </c>
      <c r="F51" s="17">
        <v>1</v>
      </c>
      <c r="G51" s="20">
        <v>44252</v>
      </c>
      <c r="H51" s="20">
        <v>44256</v>
      </c>
      <c r="I51" s="20">
        <v>44256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38</v>
      </c>
      <c r="P51" s="21"/>
      <c r="Q51" s="18"/>
      <c r="R51" s="22"/>
    </row>
    <row r="52" spans="1:18" ht="30" hidden="1" customHeight="1" x14ac:dyDescent="0.25">
      <c r="A52" s="16" t="s">
        <v>60</v>
      </c>
      <c r="B52" s="17" t="s">
        <v>247</v>
      </c>
      <c r="C52" s="18" t="s">
        <v>20</v>
      </c>
      <c r="D52" s="19" t="s">
        <v>299</v>
      </c>
      <c r="E52" s="17" t="s">
        <v>177</v>
      </c>
      <c r="F52" s="17">
        <v>1</v>
      </c>
      <c r="G52" s="20">
        <v>44252</v>
      </c>
      <c r="H52" s="20">
        <v>44256</v>
      </c>
      <c r="I52" s="20">
        <v>44256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/>
      <c r="Q52" s="18"/>
      <c r="R52" s="22"/>
    </row>
    <row r="53" spans="1:18" ht="30" hidden="1" customHeight="1" x14ac:dyDescent="0.25">
      <c r="A53" s="16" t="s">
        <v>300</v>
      </c>
      <c r="B53" s="17">
        <v>225556</v>
      </c>
      <c r="C53" s="18" t="s">
        <v>77</v>
      </c>
      <c r="D53" s="19" t="s">
        <v>301</v>
      </c>
      <c r="E53" s="17" t="s">
        <v>302</v>
      </c>
      <c r="F53" s="17"/>
      <c r="G53" s="20">
        <v>44253</v>
      </c>
      <c r="H53" s="20">
        <v>44284</v>
      </c>
      <c r="I53" s="20"/>
      <c r="J53" s="21" t="s">
        <v>303</v>
      </c>
      <c r="K53" s="18" t="s">
        <v>24</v>
      </c>
      <c r="L53" s="23" t="s">
        <v>25</v>
      </c>
      <c r="M53" s="18" t="s">
        <v>83</v>
      </c>
      <c r="N53" s="18"/>
      <c r="O53" s="18" t="s">
        <v>27</v>
      </c>
      <c r="P53" s="21"/>
      <c r="Q53" s="18"/>
      <c r="R53" s="22"/>
    </row>
    <row r="54" spans="1:18" ht="30" hidden="1" customHeight="1" x14ac:dyDescent="0.25">
      <c r="A54" s="16" t="s">
        <v>76</v>
      </c>
      <c r="B54" s="17">
        <v>224224</v>
      </c>
      <c r="C54" s="18" t="s">
        <v>20</v>
      </c>
      <c r="D54" s="19" t="s">
        <v>304</v>
      </c>
      <c r="E54" s="17" t="s">
        <v>69</v>
      </c>
      <c r="F54" s="17">
        <v>1</v>
      </c>
      <c r="G54" s="20">
        <v>44256</v>
      </c>
      <c r="H54" s="20">
        <v>44264</v>
      </c>
      <c r="I54" s="20">
        <v>44265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hidden="1" customHeight="1" x14ac:dyDescent="0.25">
      <c r="A55" s="16" t="s">
        <v>132</v>
      </c>
      <c r="B55" s="17">
        <v>224240</v>
      </c>
      <c r="C55" s="18" t="s">
        <v>20</v>
      </c>
      <c r="D55" s="19" t="s">
        <v>305</v>
      </c>
      <c r="E55" s="17" t="s">
        <v>105</v>
      </c>
      <c r="F55" s="17">
        <v>1</v>
      </c>
      <c r="G55" s="20">
        <v>44256</v>
      </c>
      <c r="H55" s="20">
        <v>44259</v>
      </c>
      <c r="I55" s="20">
        <v>44260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27</v>
      </c>
      <c r="P55" s="21" t="s">
        <v>38</v>
      </c>
      <c r="Q55" s="18" t="s">
        <v>29</v>
      </c>
      <c r="R55" s="18" t="s">
        <v>29</v>
      </c>
    </row>
    <row r="56" spans="1:18" ht="30" hidden="1" customHeight="1" x14ac:dyDescent="0.25">
      <c r="A56" s="16" t="s">
        <v>132</v>
      </c>
      <c r="B56" s="17">
        <v>224240</v>
      </c>
      <c r="C56" s="18" t="s">
        <v>20</v>
      </c>
      <c r="D56" s="19" t="s">
        <v>305</v>
      </c>
      <c r="E56" s="17" t="s">
        <v>106</v>
      </c>
      <c r="F56" s="17">
        <v>1</v>
      </c>
      <c r="G56" s="20">
        <v>44256</v>
      </c>
      <c r="H56" s="20">
        <v>44259</v>
      </c>
      <c r="I56" s="20">
        <v>44260</v>
      </c>
      <c r="J56" s="21"/>
      <c r="K56" s="18" t="s">
        <v>24</v>
      </c>
      <c r="L56" s="23" t="s">
        <v>58</v>
      </c>
      <c r="M56" s="18" t="s">
        <v>26</v>
      </c>
      <c r="N56" s="18"/>
      <c r="O56" s="18" t="s">
        <v>27</v>
      </c>
      <c r="P56" s="21" t="s">
        <v>38</v>
      </c>
      <c r="Q56" s="18" t="s">
        <v>29</v>
      </c>
      <c r="R56" s="18" t="s">
        <v>29</v>
      </c>
    </row>
    <row r="57" spans="1:18" ht="30" hidden="1" customHeight="1" x14ac:dyDescent="0.25">
      <c r="A57" s="16" t="s">
        <v>132</v>
      </c>
      <c r="B57" s="17">
        <v>224240</v>
      </c>
      <c r="C57" s="18" t="s">
        <v>20</v>
      </c>
      <c r="D57" s="19" t="s">
        <v>305</v>
      </c>
      <c r="E57" s="17" t="s">
        <v>115</v>
      </c>
      <c r="F57" s="17">
        <v>1</v>
      </c>
      <c r="G57" s="20">
        <v>44256</v>
      </c>
      <c r="H57" s="20">
        <v>44259</v>
      </c>
      <c r="I57" s="20">
        <v>44260</v>
      </c>
      <c r="J57" s="21"/>
      <c r="K57" s="18" t="s">
        <v>24</v>
      </c>
      <c r="L57" s="23" t="s">
        <v>58</v>
      </c>
      <c r="M57" s="18" t="s">
        <v>26</v>
      </c>
      <c r="N57" s="18"/>
      <c r="O57" s="18" t="s">
        <v>27</v>
      </c>
      <c r="P57" s="21" t="s">
        <v>38</v>
      </c>
      <c r="Q57" s="18" t="s">
        <v>29</v>
      </c>
      <c r="R57" s="18" t="s">
        <v>29</v>
      </c>
    </row>
    <row r="58" spans="1:18" ht="30" hidden="1" customHeight="1" x14ac:dyDescent="0.25">
      <c r="A58" s="16" t="s">
        <v>49</v>
      </c>
      <c r="B58" s="17">
        <v>224044</v>
      </c>
      <c r="C58" s="18" t="s">
        <v>20</v>
      </c>
      <c r="D58" s="19" t="s">
        <v>306</v>
      </c>
      <c r="E58" s="17" t="s">
        <v>116</v>
      </c>
      <c r="F58" s="17">
        <v>1</v>
      </c>
      <c r="G58" s="20">
        <v>44253</v>
      </c>
      <c r="H58" s="20">
        <v>44257</v>
      </c>
      <c r="I58" s="20">
        <v>44266</v>
      </c>
      <c r="J58" s="21"/>
      <c r="K58" s="18" t="s">
        <v>24</v>
      </c>
      <c r="L58" s="23" t="s">
        <v>58</v>
      </c>
      <c r="M58" s="18" t="s">
        <v>26</v>
      </c>
      <c r="N58" s="18"/>
      <c r="O58" s="18" t="s">
        <v>38</v>
      </c>
      <c r="P58" s="21" t="s">
        <v>38</v>
      </c>
      <c r="Q58" s="18" t="s">
        <v>28</v>
      </c>
      <c r="R58" s="22" t="s">
        <v>286</v>
      </c>
    </row>
    <row r="59" spans="1:18" ht="30" hidden="1" customHeight="1" x14ac:dyDescent="0.25">
      <c r="A59" s="16" t="s">
        <v>159</v>
      </c>
      <c r="B59" s="17">
        <v>223728</v>
      </c>
      <c r="C59" s="18" t="s">
        <v>20</v>
      </c>
      <c r="D59" s="19" t="s">
        <v>307</v>
      </c>
      <c r="E59" s="17" t="s">
        <v>41</v>
      </c>
      <c r="F59" s="17">
        <v>3</v>
      </c>
      <c r="G59" s="20">
        <v>44256</v>
      </c>
      <c r="H59" s="20">
        <v>44256</v>
      </c>
      <c r="I59" s="20">
        <v>44256</v>
      </c>
      <c r="J59" s="21" t="s">
        <v>308</v>
      </c>
      <c r="K59" s="18" t="s">
        <v>24</v>
      </c>
      <c r="L59" s="23" t="s">
        <v>45</v>
      </c>
      <c r="M59" s="18" t="s">
        <v>26</v>
      </c>
      <c r="N59" s="18"/>
      <c r="O59" s="18" t="s">
        <v>38</v>
      </c>
      <c r="P59" s="21" t="s">
        <v>27</v>
      </c>
      <c r="Q59" s="18" t="s">
        <v>185</v>
      </c>
      <c r="R59" s="22" t="s">
        <v>54</v>
      </c>
    </row>
    <row r="60" spans="1:18" ht="30" hidden="1" customHeight="1" x14ac:dyDescent="0.25">
      <c r="A60" s="16" t="s">
        <v>159</v>
      </c>
      <c r="B60" s="17">
        <v>223728</v>
      </c>
      <c r="C60" s="18" t="s">
        <v>20</v>
      </c>
      <c r="D60" s="19" t="s">
        <v>307</v>
      </c>
      <c r="E60" s="17" t="s">
        <v>181</v>
      </c>
      <c r="F60" s="17">
        <v>1</v>
      </c>
      <c r="G60" s="20">
        <v>44256</v>
      </c>
      <c r="H60" s="20">
        <v>44257</v>
      </c>
      <c r="I60" s="20">
        <v>44257</v>
      </c>
      <c r="J60" s="21" t="s">
        <v>309</v>
      </c>
      <c r="K60" s="18" t="s">
        <v>24</v>
      </c>
      <c r="L60" s="23" t="s">
        <v>45</v>
      </c>
      <c r="M60" s="18" t="s">
        <v>26</v>
      </c>
      <c r="N60" s="18"/>
      <c r="O60" s="18" t="s">
        <v>38</v>
      </c>
      <c r="P60" s="21" t="s">
        <v>27</v>
      </c>
      <c r="Q60" s="18" t="s">
        <v>185</v>
      </c>
      <c r="R60" s="22" t="s">
        <v>54</v>
      </c>
    </row>
    <row r="61" spans="1:18" ht="30" hidden="1" customHeight="1" x14ac:dyDescent="0.25">
      <c r="A61" s="16" t="s">
        <v>159</v>
      </c>
      <c r="B61" s="17">
        <v>223728</v>
      </c>
      <c r="C61" s="18" t="s">
        <v>20</v>
      </c>
      <c r="D61" s="19" t="s">
        <v>307</v>
      </c>
      <c r="E61" s="17" t="s">
        <v>179</v>
      </c>
      <c r="F61" s="17">
        <v>1</v>
      </c>
      <c r="G61" s="20">
        <v>44256</v>
      </c>
      <c r="H61" s="20">
        <v>44257</v>
      </c>
      <c r="I61" s="20">
        <v>44257</v>
      </c>
      <c r="J61" s="21" t="s">
        <v>309</v>
      </c>
      <c r="K61" s="18" t="s">
        <v>24</v>
      </c>
      <c r="L61" s="23" t="s">
        <v>45</v>
      </c>
      <c r="M61" s="18" t="s">
        <v>26</v>
      </c>
      <c r="N61" s="18"/>
      <c r="O61" s="18" t="s">
        <v>38</v>
      </c>
      <c r="P61" s="21" t="s">
        <v>27</v>
      </c>
      <c r="Q61" s="18" t="s">
        <v>185</v>
      </c>
      <c r="R61" s="22" t="s">
        <v>54</v>
      </c>
    </row>
    <row r="62" spans="1:18" ht="30" hidden="1" customHeight="1" x14ac:dyDescent="0.25">
      <c r="A62" s="16" t="s">
        <v>163</v>
      </c>
      <c r="B62" s="17">
        <v>224347</v>
      </c>
      <c r="C62" s="18" t="s">
        <v>20</v>
      </c>
      <c r="D62" s="19" t="s">
        <v>310</v>
      </c>
      <c r="E62" s="17" t="s">
        <v>22</v>
      </c>
      <c r="F62" s="17">
        <v>1</v>
      </c>
      <c r="G62" s="20">
        <v>44256</v>
      </c>
      <c r="H62" s="20">
        <v>44258</v>
      </c>
      <c r="I62" s="20">
        <v>44274</v>
      </c>
      <c r="J62" s="21"/>
      <c r="K62" s="18" t="s">
        <v>24</v>
      </c>
      <c r="L62" s="23" t="s">
        <v>58</v>
      </c>
      <c r="M62" s="18" t="s">
        <v>26</v>
      </c>
      <c r="N62" s="18"/>
      <c r="O62" s="18" t="s">
        <v>38</v>
      </c>
      <c r="P62" s="21" t="s">
        <v>27</v>
      </c>
      <c r="Q62" s="18" t="s">
        <v>54</v>
      </c>
      <c r="R62" s="22" t="s">
        <v>54</v>
      </c>
    </row>
    <row r="63" spans="1:18" ht="30" hidden="1" customHeight="1" x14ac:dyDescent="0.25">
      <c r="A63" s="16" t="s">
        <v>163</v>
      </c>
      <c r="B63" s="17">
        <v>224347</v>
      </c>
      <c r="C63" s="18" t="s">
        <v>20</v>
      </c>
      <c r="D63" s="19" t="s">
        <v>310</v>
      </c>
      <c r="E63" s="17" t="s">
        <v>69</v>
      </c>
      <c r="F63" s="17">
        <v>1</v>
      </c>
      <c r="G63" s="20">
        <v>44256</v>
      </c>
      <c r="H63" s="20">
        <v>44258</v>
      </c>
      <c r="I63" s="20">
        <v>44274</v>
      </c>
      <c r="J63" s="21" t="s">
        <v>224</v>
      </c>
      <c r="K63" s="18" t="s">
        <v>24</v>
      </c>
      <c r="L63" s="23" t="s">
        <v>58</v>
      </c>
      <c r="M63" s="18" t="s">
        <v>26</v>
      </c>
      <c r="N63" s="18"/>
      <c r="O63" s="18" t="s">
        <v>38</v>
      </c>
      <c r="P63" s="21" t="s">
        <v>27</v>
      </c>
      <c r="Q63" s="18" t="s">
        <v>54</v>
      </c>
      <c r="R63" s="18" t="s">
        <v>54</v>
      </c>
    </row>
    <row r="64" spans="1:18" ht="30" hidden="1" customHeight="1" x14ac:dyDescent="0.25">
      <c r="A64" s="16" t="s">
        <v>163</v>
      </c>
      <c r="B64" s="17">
        <v>224347</v>
      </c>
      <c r="C64" s="18" t="s">
        <v>20</v>
      </c>
      <c r="D64" s="19" t="s">
        <v>310</v>
      </c>
      <c r="E64" s="17" t="s">
        <v>46</v>
      </c>
      <c r="F64" s="17">
        <v>1</v>
      </c>
      <c r="G64" s="20">
        <v>44256</v>
      </c>
      <c r="H64" s="20">
        <v>44258</v>
      </c>
      <c r="I64" s="20">
        <v>44274</v>
      </c>
      <c r="J64" s="21"/>
      <c r="K64" s="18" t="s">
        <v>24</v>
      </c>
      <c r="L64" s="23" t="s">
        <v>58</v>
      </c>
      <c r="M64" s="18" t="s">
        <v>26</v>
      </c>
      <c r="N64" s="18"/>
      <c r="O64" s="18" t="s">
        <v>38</v>
      </c>
      <c r="P64" s="21" t="s">
        <v>27</v>
      </c>
      <c r="Q64" s="18" t="s">
        <v>54</v>
      </c>
      <c r="R64" s="18" t="s">
        <v>54</v>
      </c>
    </row>
    <row r="65" spans="1:35" ht="30" hidden="1" customHeight="1" x14ac:dyDescent="0.25">
      <c r="A65" s="16" t="s">
        <v>163</v>
      </c>
      <c r="B65" s="17">
        <v>224347</v>
      </c>
      <c r="C65" s="18" t="s">
        <v>20</v>
      </c>
      <c r="D65" s="19" t="s">
        <v>310</v>
      </c>
      <c r="E65" s="17" t="s">
        <v>177</v>
      </c>
      <c r="F65" s="17">
        <v>1</v>
      </c>
      <c r="G65" s="20">
        <v>44256</v>
      </c>
      <c r="H65" s="20">
        <v>44258</v>
      </c>
      <c r="I65" s="20">
        <v>44274</v>
      </c>
      <c r="J65" s="21"/>
      <c r="K65" s="18" t="s">
        <v>24</v>
      </c>
      <c r="L65" s="23" t="s">
        <v>58</v>
      </c>
      <c r="M65" s="18" t="s">
        <v>26</v>
      </c>
      <c r="N65" s="18"/>
      <c r="O65" s="18" t="s">
        <v>38</v>
      </c>
      <c r="P65" s="21" t="s">
        <v>27</v>
      </c>
      <c r="Q65" s="18" t="s">
        <v>54</v>
      </c>
      <c r="R65" s="18" t="s">
        <v>54</v>
      </c>
    </row>
    <row r="66" spans="1:35" ht="30" hidden="1" customHeight="1" x14ac:dyDescent="0.25">
      <c r="A66" s="16" t="s">
        <v>132</v>
      </c>
      <c r="B66" s="17">
        <v>224540</v>
      </c>
      <c r="C66" s="18" t="s">
        <v>20</v>
      </c>
      <c r="D66" s="19" t="s">
        <v>311</v>
      </c>
      <c r="E66" s="17" t="s">
        <v>111</v>
      </c>
      <c r="F66" s="17">
        <v>1</v>
      </c>
      <c r="G66" s="20">
        <v>44257</v>
      </c>
      <c r="H66" s="20">
        <v>44258</v>
      </c>
      <c r="I66" s="20">
        <v>44258</v>
      </c>
      <c r="J66" s="21" t="s">
        <v>312</v>
      </c>
      <c r="K66" s="18" t="s">
        <v>24</v>
      </c>
      <c r="L66" s="23" t="s">
        <v>58</v>
      </c>
      <c r="M66" s="18" t="s">
        <v>26</v>
      </c>
      <c r="N66" s="18"/>
      <c r="O66" s="18" t="s">
        <v>38</v>
      </c>
      <c r="P66" s="21" t="s">
        <v>38</v>
      </c>
      <c r="Q66" s="18" t="s">
        <v>29</v>
      </c>
      <c r="R66" s="22" t="s">
        <v>29</v>
      </c>
    </row>
    <row r="67" spans="1:35" ht="30" hidden="1" customHeight="1" x14ac:dyDescent="0.25">
      <c r="A67" s="16" t="s">
        <v>132</v>
      </c>
      <c r="B67" s="17">
        <v>224540</v>
      </c>
      <c r="C67" s="18" t="s">
        <v>20</v>
      </c>
      <c r="D67" s="19" t="s">
        <v>311</v>
      </c>
      <c r="E67" s="17" t="s">
        <v>115</v>
      </c>
      <c r="F67" s="17">
        <v>1</v>
      </c>
      <c r="G67" s="20">
        <v>44257</v>
      </c>
      <c r="H67" s="20">
        <v>44258</v>
      </c>
      <c r="I67" s="20">
        <v>44258</v>
      </c>
      <c r="J67" s="21" t="s">
        <v>312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29</v>
      </c>
      <c r="R67" s="22" t="s">
        <v>29</v>
      </c>
    </row>
    <row r="68" spans="1:35" ht="30" hidden="1" customHeight="1" x14ac:dyDescent="0.25">
      <c r="A68" s="16" t="s">
        <v>192</v>
      </c>
      <c r="B68" s="17">
        <v>224644</v>
      </c>
      <c r="C68" s="18" t="s">
        <v>20</v>
      </c>
      <c r="D68" s="19" t="s">
        <v>313</v>
      </c>
      <c r="E68" s="17" t="s">
        <v>84</v>
      </c>
      <c r="F68" s="17"/>
      <c r="G68" s="20">
        <v>44257</v>
      </c>
      <c r="H68" s="20">
        <v>44258</v>
      </c>
      <c r="I68" s="20">
        <v>44258</v>
      </c>
      <c r="J68" s="21" t="s">
        <v>314</v>
      </c>
      <c r="K68" s="18" t="s">
        <v>24</v>
      </c>
      <c r="L68" s="23" t="s">
        <v>37</v>
      </c>
      <c r="M68" s="18" t="s">
        <v>26</v>
      </c>
      <c r="N68" s="18"/>
      <c r="O68" s="18" t="s">
        <v>38</v>
      </c>
      <c r="P68" s="21" t="s">
        <v>27</v>
      </c>
      <c r="Q68" s="18" t="s">
        <v>29</v>
      </c>
      <c r="R68" s="22" t="s">
        <v>29</v>
      </c>
    </row>
    <row r="69" spans="1:35" ht="30" hidden="1" customHeight="1" x14ac:dyDescent="0.25">
      <c r="A69" s="16" t="s">
        <v>130</v>
      </c>
      <c r="B69" s="17">
        <v>224688</v>
      </c>
      <c r="C69" s="18" t="s">
        <v>77</v>
      </c>
      <c r="D69" s="19" t="s">
        <v>315</v>
      </c>
      <c r="E69" s="17" t="s">
        <v>84</v>
      </c>
      <c r="F69" s="17">
        <v>1</v>
      </c>
      <c r="G69" s="20">
        <v>44257</v>
      </c>
      <c r="H69" s="20">
        <v>44258</v>
      </c>
      <c r="I69" s="20"/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/>
      <c r="Q69" s="18"/>
      <c r="R69" s="22"/>
    </row>
    <row r="70" spans="1:35" ht="30" hidden="1" customHeight="1" x14ac:dyDescent="0.25">
      <c r="A70" s="16" t="s">
        <v>35</v>
      </c>
      <c r="B70" s="17">
        <v>224701</v>
      </c>
      <c r="C70" s="18" t="s">
        <v>77</v>
      </c>
      <c r="D70" s="19" t="s">
        <v>316</v>
      </c>
      <c r="E70" s="17" t="s">
        <v>302</v>
      </c>
      <c r="F70" s="17"/>
      <c r="G70" s="20">
        <v>44257</v>
      </c>
      <c r="H70" s="20">
        <v>44287</v>
      </c>
      <c r="I70" s="20"/>
      <c r="J70" s="21" t="s">
        <v>317</v>
      </c>
      <c r="K70" s="18" t="s">
        <v>24</v>
      </c>
      <c r="L70" s="23" t="s">
        <v>25</v>
      </c>
      <c r="M70" s="18" t="s">
        <v>74</v>
      </c>
      <c r="N70" s="18"/>
      <c r="O70" s="18" t="s">
        <v>27</v>
      </c>
      <c r="P70" s="21"/>
      <c r="Q70" s="18"/>
      <c r="R70" s="22"/>
    </row>
    <row r="71" spans="1:35" ht="30" hidden="1" customHeight="1" x14ac:dyDescent="0.25">
      <c r="A71" s="16" t="s">
        <v>87</v>
      </c>
      <c r="B71" s="17">
        <v>219145</v>
      </c>
      <c r="C71" s="18" t="s">
        <v>20</v>
      </c>
      <c r="D71" s="19" t="s">
        <v>237</v>
      </c>
      <c r="E71" s="17" t="s">
        <v>83</v>
      </c>
      <c r="F71" s="17"/>
      <c r="G71" s="20">
        <v>44232</v>
      </c>
      <c r="H71" s="20">
        <v>44259</v>
      </c>
      <c r="I71" s="20">
        <v>44259</v>
      </c>
      <c r="J71" s="21" t="s">
        <v>318</v>
      </c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54</v>
      </c>
      <c r="R71" s="22" t="s">
        <v>54</v>
      </c>
    </row>
    <row r="72" spans="1:35" ht="30" hidden="1" customHeight="1" x14ac:dyDescent="0.25">
      <c r="A72" s="16" t="s">
        <v>72</v>
      </c>
      <c r="B72" s="17">
        <v>222964</v>
      </c>
      <c r="C72" s="18" t="s">
        <v>140</v>
      </c>
      <c r="D72" s="19" t="s">
        <v>319</v>
      </c>
      <c r="E72" s="17" t="s">
        <v>227</v>
      </c>
      <c r="F72" s="17">
        <v>1</v>
      </c>
      <c r="G72" s="20">
        <v>44250</v>
      </c>
      <c r="H72" s="20">
        <v>44258</v>
      </c>
      <c r="I72" s="20">
        <v>44256</v>
      </c>
      <c r="J72" s="21"/>
      <c r="K72" s="18" t="s">
        <v>24</v>
      </c>
      <c r="L72" s="23" t="s">
        <v>58</v>
      </c>
      <c r="M72" s="18" t="s">
        <v>26</v>
      </c>
      <c r="N72" s="18">
        <v>1</v>
      </c>
      <c r="O72" s="18" t="s">
        <v>38</v>
      </c>
      <c r="P72" s="21" t="s">
        <v>38</v>
      </c>
      <c r="Q72" s="18" t="s">
        <v>54</v>
      </c>
      <c r="R72" s="22" t="s">
        <v>54</v>
      </c>
    </row>
    <row r="73" spans="1:35" ht="30" hidden="1" customHeight="1" x14ac:dyDescent="0.25">
      <c r="A73" s="16" t="s">
        <v>192</v>
      </c>
      <c r="B73" s="17" t="s">
        <v>247</v>
      </c>
      <c r="C73" s="18" t="s">
        <v>140</v>
      </c>
      <c r="D73" s="19" t="s">
        <v>319</v>
      </c>
      <c r="E73" s="17" t="s">
        <v>227</v>
      </c>
      <c r="F73" s="17">
        <v>1</v>
      </c>
      <c r="G73" s="20">
        <v>44257</v>
      </c>
      <c r="H73" s="20">
        <v>44260</v>
      </c>
      <c r="I73" s="20">
        <v>44264</v>
      </c>
      <c r="J73" s="21"/>
      <c r="K73" s="18" t="s">
        <v>24</v>
      </c>
      <c r="L73" s="23" t="s">
        <v>58</v>
      </c>
      <c r="M73" s="18" t="s">
        <v>26</v>
      </c>
      <c r="N73" s="18">
        <v>1</v>
      </c>
      <c r="O73" s="18" t="s">
        <v>38</v>
      </c>
      <c r="P73" s="21" t="s">
        <v>38</v>
      </c>
      <c r="Q73" s="18" t="s">
        <v>54</v>
      </c>
      <c r="R73" s="22" t="s">
        <v>54</v>
      </c>
    </row>
    <row r="74" spans="1:35" ht="30" hidden="1" customHeight="1" x14ac:dyDescent="0.25">
      <c r="A74" s="16" t="s">
        <v>30</v>
      </c>
      <c r="B74" s="17" t="s">
        <v>247</v>
      </c>
      <c r="C74" s="18" t="s">
        <v>140</v>
      </c>
      <c r="D74" s="19" t="s">
        <v>319</v>
      </c>
      <c r="E74" s="17" t="s">
        <v>227</v>
      </c>
      <c r="F74" s="17">
        <v>1</v>
      </c>
      <c r="G74" s="20">
        <v>44257</v>
      </c>
      <c r="H74" s="20">
        <v>44263</v>
      </c>
      <c r="I74" s="20">
        <v>44265</v>
      </c>
      <c r="J74" s="21" t="s">
        <v>290</v>
      </c>
      <c r="K74" s="18" t="s">
        <v>24</v>
      </c>
      <c r="L74" s="23" t="s">
        <v>58</v>
      </c>
      <c r="M74" s="18" t="s">
        <v>26</v>
      </c>
      <c r="N74" s="18">
        <v>2</v>
      </c>
      <c r="O74" s="18" t="s">
        <v>38</v>
      </c>
      <c r="P74" s="21" t="s">
        <v>38</v>
      </c>
      <c r="Q74" s="18" t="s">
        <v>54</v>
      </c>
      <c r="R74" s="22" t="s">
        <v>54</v>
      </c>
    </row>
    <row r="75" spans="1:35" ht="30" hidden="1" customHeight="1" x14ac:dyDescent="0.25">
      <c r="A75" s="16" t="s">
        <v>132</v>
      </c>
      <c r="B75" s="17">
        <v>224937</v>
      </c>
      <c r="C75" s="18" t="s">
        <v>140</v>
      </c>
      <c r="D75" s="19" t="s">
        <v>320</v>
      </c>
      <c r="E75" s="17" t="s">
        <v>134</v>
      </c>
      <c r="F75" s="17">
        <v>3</v>
      </c>
      <c r="G75" s="20">
        <v>44258</v>
      </c>
      <c r="H75" s="20">
        <v>44263</v>
      </c>
      <c r="I75" s="20">
        <v>44258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29</v>
      </c>
      <c r="R75" s="22" t="s">
        <v>29</v>
      </c>
    </row>
    <row r="76" spans="1:35" ht="30" hidden="1" customHeight="1" x14ac:dyDescent="0.25">
      <c r="A76" s="16" t="s">
        <v>52</v>
      </c>
      <c r="B76" s="17">
        <v>224946</v>
      </c>
      <c r="C76" s="18" t="s">
        <v>20</v>
      </c>
      <c r="D76" s="19" t="s">
        <v>321</v>
      </c>
      <c r="E76" s="17" t="s">
        <v>199</v>
      </c>
      <c r="F76" s="17"/>
      <c r="G76" s="20">
        <v>44258</v>
      </c>
      <c r="H76" s="20">
        <v>44258</v>
      </c>
      <c r="I76" s="20">
        <v>44258</v>
      </c>
      <c r="J76" s="21" t="s">
        <v>322</v>
      </c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29</v>
      </c>
    </row>
    <row r="77" spans="1:35" ht="30" customHeight="1" x14ac:dyDescent="0.25">
      <c r="A77" s="16" t="s">
        <v>39</v>
      </c>
      <c r="B77" s="17" t="s">
        <v>247</v>
      </c>
      <c r="C77" s="18" t="s">
        <v>140</v>
      </c>
      <c r="D77" s="19" t="s">
        <v>323</v>
      </c>
      <c r="E77" s="17" t="s">
        <v>22</v>
      </c>
      <c r="F77" s="17">
        <v>2</v>
      </c>
      <c r="G77" s="20">
        <v>44258</v>
      </c>
      <c r="H77" s="20">
        <v>44258</v>
      </c>
      <c r="I77" s="20">
        <v>44258</v>
      </c>
      <c r="J77" s="21"/>
      <c r="K77" s="18" t="s">
        <v>24</v>
      </c>
      <c r="L77" s="23"/>
      <c r="M77" s="18" t="s">
        <v>26</v>
      </c>
      <c r="N77" s="18"/>
      <c r="O77" s="18" t="s">
        <v>38</v>
      </c>
      <c r="P77" s="21" t="s">
        <v>38</v>
      </c>
      <c r="Q77" s="18" t="s">
        <v>54</v>
      </c>
      <c r="R77" s="22"/>
    </row>
    <row r="78" spans="1:35" ht="30" customHeight="1" x14ac:dyDescent="0.25">
      <c r="A78" s="16" t="s">
        <v>39</v>
      </c>
      <c r="B78" s="17" t="s">
        <v>247</v>
      </c>
      <c r="C78" s="18" t="s">
        <v>20</v>
      </c>
      <c r="D78" s="19" t="s">
        <v>324</v>
      </c>
      <c r="E78" s="17" t="s">
        <v>33</v>
      </c>
      <c r="F78" s="17">
        <v>3</v>
      </c>
      <c r="G78" s="20">
        <v>44263</v>
      </c>
      <c r="H78" s="20">
        <v>44264</v>
      </c>
      <c r="I78" s="20">
        <v>44265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38</v>
      </c>
      <c r="P78" s="21" t="s">
        <v>27</v>
      </c>
      <c r="Q78" s="18"/>
      <c r="R78" s="22"/>
    </row>
    <row r="79" spans="1:35" ht="30" customHeight="1" x14ac:dyDescent="0.25">
      <c r="A79" s="16" t="s">
        <v>39</v>
      </c>
      <c r="B79" s="17" t="s">
        <v>247</v>
      </c>
      <c r="C79" s="18" t="s">
        <v>20</v>
      </c>
      <c r="D79" s="19" t="s">
        <v>324</v>
      </c>
      <c r="E79" s="17" t="s">
        <v>22</v>
      </c>
      <c r="F79" s="17">
        <v>3</v>
      </c>
      <c r="G79" s="20">
        <v>44263</v>
      </c>
      <c r="H79" s="20">
        <v>44264</v>
      </c>
      <c r="I79" s="20">
        <v>44265</v>
      </c>
      <c r="J79" s="21"/>
      <c r="K79" s="18" t="s">
        <v>24</v>
      </c>
      <c r="L79" s="23" t="s">
        <v>25</v>
      </c>
      <c r="M79" s="18" t="s">
        <v>26</v>
      </c>
      <c r="N79" s="18">
        <v>4</v>
      </c>
      <c r="O79" s="18" t="s">
        <v>38</v>
      </c>
      <c r="P79" s="21" t="s">
        <v>27</v>
      </c>
      <c r="Q79" s="18"/>
      <c r="R79" s="22"/>
      <c r="S79" s="17"/>
      <c r="T79" s="18"/>
      <c r="U79" s="19"/>
      <c r="V79" s="17"/>
      <c r="W79" s="17"/>
      <c r="X79" s="20"/>
      <c r="Y79" s="20"/>
      <c r="Z79" s="20"/>
      <c r="AA79" s="21"/>
      <c r="AB79" s="18"/>
      <c r="AC79" s="23"/>
      <c r="AD79" s="18"/>
      <c r="AE79" s="18"/>
      <c r="AF79" s="18"/>
      <c r="AG79" s="21"/>
      <c r="AH79" s="18"/>
      <c r="AI79" s="22"/>
    </row>
    <row r="80" spans="1:35" ht="30" customHeight="1" x14ac:dyDescent="0.25">
      <c r="A80" s="16" t="s">
        <v>39</v>
      </c>
      <c r="B80" s="17" t="s">
        <v>247</v>
      </c>
      <c r="C80" s="18" t="s">
        <v>20</v>
      </c>
      <c r="D80" s="19" t="s">
        <v>324</v>
      </c>
      <c r="E80" s="17" t="s">
        <v>79</v>
      </c>
      <c r="F80" s="17">
        <v>1</v>
      </c>
      <c r="G80" s="20">
        <v>44263</v>
      </c>
      <c r="H80" s="20">
        <v>44264</v>
      </c>
      <c r="I80" s="20">
        <v>44265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38</v>
      </c>
      <c r="P80" s="21" t="s">
        <v>27</v>
      </c>
      <c r="Q80" s="18"/>
      <c r="R80" s="22"/>
    </row>
    <row r="81" spans="1:18" ht="30" customHeight="1" x14ac:dyDescent="0.25">
      <c r="A81" s="16" t="s">
        <v>39</v>
      </c>
      <c r="B81" s="17" t="s">
        <v>247</v>
      </c>
      <c r="C81" s="18" t="s">
        <v>20</v>
      </c>
      <c r="D81" s="19" t="s">
        <v>324</v>
      </c>
      <c r="E81" s="17" t="s">
        <v>127</v>
      </c>
      <c r="F81" s="17">
        <v>1</v>
      </c>
      <c r="G81" s="20">
        <v>44263</v>
      </c>
      <c r="H81" s="20">
        <v>44264</v>
      </c>
      <c r="I81" s="20">
        <v>44265</v>
      </c>
      <c r="J81" s="21"/>
      <c r="K81" s="18" t="s">
        <v>24</v>
      </c>
      <c r="L81" s="23" t="s">
        <v>25</v>
      </c>
      <c r="M81" s="18" t="s">
        <v>26</v>
      </c>
      <c r="N81" s="18"/>
      <c r="O81" s="18" t="s">
        <v>38</v>
      </c>
      <c r="P81" s="21" t="s">
        <v>27</v>
      </c>
      <c r="Q81" s="18"/>
      <c r="R81" s="22"/>
    </row>
    <row r="82" spans="1:18" ht="30" customHeight="1" x14ac:dyDescent="0.25">
      <c r="A82" s="16" t="s">
        <v>39</v>
      </c>
      <c r="B82" s="17" t="s">
        <v>247</v>
      </c>
      <c r="C82" s="18" t="s">
        <v>20</v>
      </c>
      <c r="D82" s="19" t="s">
        <v>324</v>
      </c>
      <c r="E82" s="17" t="s">
        <v>115</v>
      </c>
      <c r="F82" s="17">
        <v>10</v>
      </c>
      <c r="G82" s="20">
        <v>44263</v>
      </c>
      <c r="H82" s="20">
        <v>44264</v>
      </c>
      <c r="I82" s="20">
        <v>44265</v>
      </c>
      <c r="J82" s="21"/>
      <c r="K82" s="18" t="s">
        <v>24</v>
      </c>
      <c r="L82" s="23" t="s">
        <v>25</v>
      </c>
      <c r="M82" s="18" t="s">
        <v>26</v>
      </c>
      <c r="N82" s="18"/>
      <c r="O82" s="18" t="s">
        <v>38</v>
      </c>
      <c r="P82" s="21" t="s">
        <v>27</v>
      </c>
      <c r="Q82" s="18"/>
      <c r="R82" s="22"/>
    </row>
    <row r="83" spans="1:18" ht="30" customHeight="1" x14ac:dyDescent="0.25">
      <c r="A83" s="16" t="s">
        <v>39</v>
      </c>
      <c r="B83" s="17" t="s">
        <v>247</v>
      </c>
      <c r="C83" s="18" t="s">
        <v>20</v>
      </c>
      <c r="D83" s="19" t="s">
        <v>324</v>
      </c>
      <c r="E83" s="17" t="s">
        <v>111</v>
      </c>
      <c r="F83" s="17">
        <v>4</v>
      </c>
      <c r="G83" s="20">
        <v>44263</v>
      </c>
      <c r="H83" s="20">
        <v>44264</v>
      </c>
      <c r="I83" s="20">
        <v>44265</v>
      </c>
      <c r="J83" s="21" t="s">
        <v>325</v>
      </c>
      <c r="K83" s="18" t="s">
        <v>24</v>
      </c>
      <c r="L83" s="23" t="s">
        <v>25</v>
      </c>
      <c r="M83" s="18" t="s">
        <v>26</v>
      </c>
      <c r="N83" s="18"/>
      <c r="O83" s="18" t="s">
        <v>38</v>
      </c>
      <c r="P83" s="21" t="s">
        <v>27</v>
      </c>
      <c r="Q83" s="18"/>
      <c r="R83" s="22"/>
    </row>
    <row r="84" spans="1:18" ht="30" customHeight="1" x14ac:dyDescent="0.25">
      <c r="A84" s="16" t="s">
        <v>39</v>
      </c>
      <c r="B84" s="17" t="s">
        <v>247</v>
      </c>
      <c r="C84" s="18" t="s">
        <v>20</v>
      </c>
      <c r="D84" s="19" t="s">
        <v>324</v>
      </c>
      <c r="E84" s="17" t="s">
        <v>110</v>
      </c>
      <c r="F84" s="17">
        <v>2</v>
      </c>
      <c r="G84" s="20">
        <v>44263</v>
      </c>
      <c r="H84" s="20">
        <v>44264</v>
      </c>
      <c r="I84" s="20">
        <v>44265</v>
      </c>
      <c r="J84" s="21"/>
      <c r="K84" s="18" t="s">
        <v>24</v>
      </c>
      <c r="L84" s="23" t="s">
        <v>25</v>
      </c>
      <c r="M84" s="18" t="s">
        <v>26</v>
      </c>
      <c r="N84" s="18"/>
      <c r="O84" s="18" t="s">
        <v>38</v>
      </c>
      <c r="P84" s="21" t="s">
        <v>27</v>
      </c>
      <c r="Q84" s="18"/>
      <c r="R84" s="22"/>
    </row>
    <row r="85" spans="1:18" ht="30" hidden="1" customHeight="1" x14ac:dyDescent="0.25">
      <c r="A85" s="16" t="s">
        <v>159</v>
      </c>
      <c r="B85" s="17">
        <v>225813</v>
      </c>
      <c r="C85" s="18" t="s">
        <v>77</v>
      </c>
      <c r="D85" s="19" t="s">
        <v>326</v>
      </c>
      <c r="E85" s="17" t="s">
        <v>79</v>
      </c>
      <c r="F85" s="17"/>
      <c r="G85" s="20">
        <v>44263</v>
      </c>
      <c r="H85" s="20">
        <v>44263</v>
      </c>
      <c r="I85" s="20">
        <v>44263</v>
      </c>
      <c r="J85" s="21"/>
      <c r="K85" s="18" t="s">
        <v>24</v>
      </c>
      <c r="L85" s="23" t="s">
        <v>37</v>
      </c>
      <c r="M85" s="18" t="s">
        <v>327</v>
      </c>
      <c r="N85" s="18"/>
      <c r="O85" s="18" t="s">
        <v>38</v>
      </c>
      <c r="P85" s="21"/>
      <c r="Q85" s="18" t="s">
        <v>54</v>
      </c>
      <c r="R85" s="22" t="s">
        <v>54</v>
      </c>
    </row>
    <row r="86" spans="1:18" ht="30" hidden="1" customHeight="1" x14ac:dyDescent="0.25">
      <c r="A86" s="16" t="s">
        <v>30</v>
      </c>
      <c r="B86" s="17">
        <v>225021</v>
      </c>
      <c r="C86" s="18" t="s">
        <v>20</v>
      </c>
      <c r="D86" s="19" t="s">
        <v>328</v>
      </c>
      <c r="E86" s="17" t="s">
        <v>46</v>
      </c>
      <c r="F86" s="17">
        <v>1</v>
      </c>
      <c r="G86" s="20">
        <v>44258</v>
      </c>
      <c r="H86" s="20">
        <v>44260</v>
      </c>
      <c r="I86" s="20">
        <v>44260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28</v>
      </c>
      <c r="R86" s="22" t="s">
        <v>54</v>
      </c>
    </row>
    <row r="87" spans="1:18" ht="30" hidden="1" customHeight="1" x14ac:dyDescent="0.25">
      <c r="A87" s="16" t="s">
        <v>30</v>
      </c>
      <c r="B87" s="17">
        <v>225021</v>
      </c>
      <c r="C87" s="18" t="s">
        <v>20</v>
      </c>
      <c r="D87" s="19" t="s">
        <v>328</v>
      </c>
      <c r="E87" s="17" t="s">
        <v>22</v>
      </c>
      <c r="F87" s="17">
        <v>1</v>
      </c>
      <c r="G87" s="20">
        <v>44258</v>
      </c>
      <c r="H87" s="20">
        <v>44260</v>
      </c>
      <c r="I87" s="20">
        <v>44260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28</v>
      </c>
      <c r="R87" s="22" t="s">
        <v>54</v>
      </c>
    </row>
    <row r="88" spans="1:18" ht="30" hidden="1" customHeight="1" x14ac:dyDescent="0.25">
      <c r="A88" s="16" t="s">
        <v>30</v>
      </c>
      <c r="B88" s="17">
        <v>225021</v>
      </c>
      <c r="C88" s="18" t="s">
        <v>20</v>
      </c>
      <c r="D88" s="19" t="s">
        <v>328</v>
      </c>
      <c r="E88" s="17" t="s">
        <v>177</v>
      </c>
      <c r="F88" s="17">
        <v>1</v>
      </c>
      <c r="G88" s="20">
        <v>44258</v>
      </c>
      <c r="H88" s="20">
        <v>44260</v>
      </c>
      <c r="I88" s="20">
        <v>44260</v>
      </c>
      <c r="J88" s="21"/>
      <c r="K88" s="18" t="s">
        <v>24</v>
      </c>
      <c r="L88" s="23" t="s">
        <v>25</v>
      </c>
      <c r="M88" s="18" t="s">
        <v>26</v>
      </c>
      <c r="N88" s="18"/>
      <c r="O88" s="18" t="s">
        <v>38</v>
      </c>
      <c r="P88" s="21" t="s">
        <v>38</v>
      </c>
      <c r="Q88" s="18" t="s">
        <v>28</v>
      </c>
      <c r="R88" s="22" t="s">
        <v>54</v>
      </c>
    </row>
    <row r="89" spans="1:18" ht="30" hidden="1" customHeight="1" x14ac:dyDescent="0.25">
      <c r="A89" s="16" t="s">
        <v>30</v>
      </c>
      <c r="B89" s="17">
        <v>225021</v>
      </c>
      <c r="C89" s="18" t="s">
        <v>20</v>
      </c>
      <c r="D89" s="19" t="s">
        <v>328</v>
      </c>
      <c r="E89" s="17" t="s">
        <v>84</v>
      </c>
      <c r="F89" s="17">
        <v>1</v>
      </c>
      <c r="G89" s="20">
        <v>44258</v>
      </c>
      <c r="H89" s="20">
        <v>44260</v>
      </c>
      <c r="I89" s="20">
        <v>44260</v>
      </c>
      <c r="J89" s="21"/>
      <c r="K89" s="18" t="s">
        <v>24</v>
      </c>
      <c r="L89" s="23" t="s">
        <v>37</v>
      </c>
      <c r="M89" s="18" t="s">
        <v>26</v>
      </c>
      <c r="N89" s="18"/>
      <c r="O89" s="18" t="s">
        <v>38</v>
      </c>
      <c r="P89" s="21" t="s">
        <v>38</v>
      </c>
      <c r="Q89" s="18" t="s">
        <v>28</v>
      </c>
      <c r="R89" s="22" t="s">
        <v>54</v>
      </c>
    </row>
    <row r="90" spans="1:18" ht="30" hidden="1" customHeight="1" x14ac:dyDescent="0.25">
      <c r="A90" s="16" t="s">
        <v>30</v>
      </c>
      <c r="B90" s="17">
        <v>225140</v>
      </c>
      <c r="C90" s="18" t="s">
        <v>77</v>
      </c>
      <c r="D90" s="19" t="s">
        <v>329</v>
      </c>
      <c r="E90" s="17" t="s">
        <v>83</v>
      </c>
      <c r="F90" s="17">
        <v>1</v>
      </c>
      <c r="G90" s="20">
        <v>44259</v>
      </c>
      <c r="H90" s="20">
        <v>44259</v>
      </c>
      <c r="I90" s="20"/>
      <c r="J90" s="21"/>
      <c r="K90" s="18" t="s">
        <v>24</v>
      </c>
      <c r="L90" s="23" t="s">
        <v>37</v>
      </c>
      <c r="M90" s="18" t="s">
        <v>83</v>
      </c>
      <c r="N90" s="18"/>
      <c r="O90" s="18" t="s">
        <v>38</v>
      </c>
      <c r="P90" s="21"/>
      <c r="Q90" s="18" t="s">
        <v>54</v>
      </c>
      <c r="R90" s="22"/>
    </row>
    <row r="91" spans="1:18" ht="30" customHeight="1" x14ac:dyDescent="0.25">
      <c r="A91" s="16" t="s">
        <v>39</v>
      </c>
      <c r="B91" s="17">
        <v>225803</v>
      </c>
      <c r="C91" s="18" t="s">
        <v>20</v>
      </c>
      <c r="D91" s="56" t="s">
        <v>330</v>
      </c>
      <c r="E91" s="17" t="s">
        <v>46</v>
      </c>
      <c r="F91" s="17">
        <v>1</v>
      </c>
      <c r="G91" s="20">
        <v>44263</v>
      </c>
      <c r="H91" s="20">
        <v>44263</v>
      </c>
      <c r="I91" s="20">
        <v>44263</v>
      </c>
      <c r="J91" s="21"/>
      <c r="K91" s="18" t="s">
        <v>24</v>
      </c>
      <c r="L91" s="23" t="s">
        <v>58</v>
      </c>
      <c r="M91" s="18" t="s">
        <v>26</v>
      </c>
      <c r="N91" s="18"/>
      <c r="O91" s="18" t="s">
        <v>38</v>
      </c>
      <c r="P91" s="21" t="s">
        <v>38</v>
      </c>
      <c r="Q91" s="18" t="s">
        <v>29</v>
      </c>
      <c r="R91" s="22" t="s">
        <v>29</v>
      </c>
    </row>
    <row r="92" spans="1:18" ht="30" hidden="1" customHeight="1" x14ac:dyDescent="0.25">
      <c r="A92" s="16" t="s">
        <v>163</v>
      </c>
      <c r="B92" s="17">
        <v>225556</v>
      </c>
      <c r="C92" s="18" t="s">
        <v>140</v>
      </c>
      <c r="D92" s="19" t="s">
        <v>331</v>
      </c>
      <c r="E92" s="17" t="s">
        <v>236</v>
      </c>
      <c r="F92" s="17">
        <v>2</v>
      </c>
      <c r="G92" s="20">
        <v>44260</v>
      </c>
      <c r="H92" s="20"/>
      <c r="I92" s="20">
        <v>44264</v>
      </c>
      <c r="J92" s="21"/>
      <c r="K92" s="18" t="s">
        <v>24</v>
      </c>
      <c r="L92" s="23" t="s">
        <v>37</v>
      </c>
      <c r="M92" s="18" t="s">
        <v>26</v>
      </c>
      <c r="N92" s="18"/>
      <c r="O92" s="18" t="s">
        <v>38</v>
      </c>
      <c r="P92" s="21" t="s">
        <v>38</v>
      </c>
      <c r="Q92" s="18" t="s">
        <v>54</v>
      </c>
      <c r="R92" s="22" t="s">
        <v>54</v>
      </c>
    </row>
    <row r="93" spans="1:18" ht="30" hidden="1" customHeight="1" x14ac:dyDescent="0.25">
      <c r="A93" s="16" t="s">
        <v>72</v>
      </c>
      <c r="B93" s="17">
        <v>225809</v>
      </c>
      <c r="C93" s="18" t="s">
        <v>20</v>
      </c>
      <c r="D93" s="19" t="s">
        <v>332</v>
      </c>
      <c r="E93" s="17" t="s">
        <v>46</v>
      </c>
      <c r="F93" s="17">
        <v>1</v>
      </c>
      <c r="G93" s="20">
        <v>44263</v>
      </c>
      <c r="H93" s="20">
        <v>44267</v>
      </c>
      <c r="I93" s="20">
        <v>44267</v>
      </c>
      <c r="J93" s="21"/>
      <c r="K93" s="18" t="s">
        <v>24</v>
      </c>
      <c r="L93" s="23" t="s">
        <v>58</v>
      </c>
      <c r="M93" s="18" t="s">
        <v>26</v>
      </c>
      <c r="N93" s="18"/>
      <c r="O93" s="18" t="s">
        <v>38</v>
      </c>
      <c r="P93" s="21" t="s">
        <v>38</v>
      </c>
      <c r="Q93" s="18" t="s">
        <v>54</v>
      </c>
      <c r="R93" s="22" t="s">
        <v>29</v>
      </c>
    </row>
    <row r="94" spans="1:18" ht="30" hidden="1" customHeight="1" x14ac:dyDescent="0.25">
      <c r="A94" s="16" t="s">
        <v>72</v>
      </c>
      <c r="B94" s="17">
        <v>225809</v>
      </c>
      <c r="C94" s="18" t="s">
        <v>20</v>
      </c>
      <c r="D94" s="56" t="s">
        <v>332</v>
      </c>
      <c r="E94" s="17" t="s">
        <v>69</v>
      </c>
      <c r="F94" s="17">
        <v>2</v>
      </c>
      <c r="G94" s="20">
        <v>44263</v>
      </c>
      <c r="H94" s="20">
        <v>44267</v>
      </c>
      <c r="I94" s="20">
        <v>44267</v>
      </c>
      <c r="J94" s="21"/>
      <c r="K94" s="18" t="s">
        <v>24</v>
      </c>
      <c r="L94" s="23" t="s">
        <v>58</v>
      </c>
      <c r="M94" s="18" t="s">
        <v>26</v>
      </c>
      <c r="N94" s="18"/>
      <c r="O94" s="18" t="s">
        <v>38</v>
      </c>
      <c r="P94" s="21" t="s">
        <v>38</v>
      </c>
      <c r="Q94" s="18" t="s">
        <v>54</v>
      </c>
      <c r="R94" s="22" t="s">
        <v>29</v>
      </c>
    </row>
    <row r="95" spans="1:18" ht="30" hidden="1" customHeight="1" x14ac:dyDescent="0.25">
      <c r="A95" s="16" t="s">
        <v>72</v>
      </c>
      <c r="B95" s="17">
        <v>225809</v>
      </c>
      <c r="C95" s="18" t="s">
        <v>20</v>
      </c>
      <c r="D95" s="56" t="s">
        <v>332</v>
      </c>
      <c r="E95" s="17" t="s">
        <v>82</v>
      </c>
      <c r="F95" s="17">
        <v>1</v>
      </c>
      <c r="G95" s="20">
        <v>44263</v>
      </c>
      <c r="H95" s="20">
        <v>44267</v>
      </c>
      <c r="I95" s="20">
        <v>44267</v>
      </c>
      <c r="J95" s="21"/>
      <c r="K95" s="18" t="s">
        <v>24</v>
      </c>
      <c r="L95" s="23" t="s">
        <v>58</v>
      </c>
      <c r="M95" s="18" t="s">
        <v>26</v>
      </c>
      <c r="N95" s="18"/>
      <c r="O95" s="18" t="s">
        <v>38</v>
      </c>
      <c r="P95" s="21" t="s">
        <v>38</v>
      </c>
      <c r="Q95" s="18" t="s">
        <v>54</v>
      </c>
      <c r="R95" s="22" t="s">
        <v>29</v>
      </c>
    </row>
    <row r="96" spans="1:18" ht="30" hidden="1" customHeight="1" x14ac:dyDescent="0.25">
      <c r="A96" s="16" t="s">
        <v>72</v>
      </c>
      <c r="B96" s="17">
        <v>225809</v>
      </c>
      <c r="C96" s="18" t="s">
        <v>20</v>
      </c>
      <c r="D96" s="56" t="s">
        <v>332</v>
      </c>
      <c r="E96" s="17" t="s">
        <v>68</v>
      </c>
      <c r="F96" s="17">
        <v>6</v>
      </c>
      <c r="G96" s="20">
        <v>44263</v>
      </c>
      <c r="H96" s="20">
        <v>44267</v>
      </c>
      <c r="I96" s="20">
        <v>44267</v>
      </c>
      <c r="J96" s="21"/>
      <c r="K96" s="18" t="s">
        <v>24</v>
      </c>
      <c r="L96" s="23" t="s">
        <v>58</v>
      </c>
      <c r="M96" s="18" t="s">
        <v>26</v>
      </c>
      <c r="N96" s="18"/>
      <c r="O96" s="18" t="s">
        <v>38</v>
      </c>
      <c r="P96" s="21" t="s">
        <v>38</v>
      </c>
      <c r="Q96" s="18" t="s">
        <v>54</v>
      </c>
      <c r="R96" s="22" t="s">
        <v>29</v>
      </c>
    </row>
    <row r="97" spans="1:18" ht="30" hidden="1" customHeight="1" x14ac:dyDescent="0.25">
      <c r="A97" s="16" t="s">
        <v>72</v>
      </c>
      <c r="B97" s="17">
        <v>225809</v>
      </c>
      <c r="C97" s="18" t="s">
        <v>20</v>
      </c>
      <c r="D97" s="56" t="s">
        <v>332</v>
      </c>
      <c r="E97" s="17" t="s">
        <v>153</v>
      </c>
      <c r="F97" s="17">
        <v>2</v>
      </c>
      <c r="G97" s="20">
        <v>44263</v>
      </c>
      <c r="H97" s="20">
        <v>44267</v>
      </c>
      <c r="I97" s="20">
        <v>44267</v>
      </c>
      <c r="J97" s="21"/>
      <c r="K97" s="18" t="s">
        <v>24</v>
      </c>
      <c r="L97" s="23" t="s">
        <v>58</v>
      </c>
      <c r="M97" s="18" t="s">
        <v>26</v>
      </c>
      <c r="N97" s="18"/>
      <c r="O97" s="18" t="s">
        <v>38</v>
      </c>
      <c r="P97" s="21" t="s">
        <v>38</v>
      </c>
      <c r="Q97" s="18" t="s">
        <v>54</v>
      </c>
      <c r="R97" s="22" t="s">
        <v>29</v>
      </c>
    </row>
    <row r="98" spans="1:18" ht="30" hidden="1" customHeight="1" x14ac:dyDescent="0.25">
      <c r="A98" s="16" t="s">
        <v>72</v>
      </c>
      <c r="B98" s="17">
        <v>225809</v>
      </c>
      <c r="C98" s="18" t="s">
        <v>20</v>
      </c>
      <c r="D98" s="56" t="s">
        <v>332</v>
      </c>
      <c r="E98" s="17" t="s">
        <v>177</v>
      </c>
      <c r="F98" s="17">
        <v>1</v>
      </c>
      <c r="G98" s="20">
        <v>44263</v>
      </c>
      <c r="H98" s="20">
        <v>44267</v>
      </c>
      <c r="I98" s="20">
        <v>44267</v>
      </c>
      <c r="J98" s="21"/>
      <c r="K98" s="18" t="s">
        <v>24</v>
      </c>
      <c r="L98" s="23" t="s">
        <v>58</v>
      </c>
      <c r="M98" s="18" t="s">
        <v>26</v>
      </c>
      <c r="N98" s="18"/>
      <c r="O98" s="18" t="s">
        <v>38</v>
      </c>
      <c r="P98" s="21" t="s">
        <v>38</v>
      </c>
      <c r="Q98" s="18" t="s">
        <v>54</v>
      </c>
      <c r="R98" s="22" t="s">
        <v>29</v>
      </c>
    </row>
    <row r="99" spans="1:18" ht="30" customHeight="1" x14ac:dyDescent="0.25">
      <c r="A99" s="16" t="s">
        <v>39</v>
      </c>
      <c r="B99" s="17">
        <v>226199</v>
      </c>
      <c r="C99" s="18" t="s">
        <v>77</v>
      </c>
      <c r="D99" s="19" t="s">
        <v>333</v>
      </c>
      <c r="E99" s="17" t="s">
        <v>79</v>
      </c>
      <c r="F99" s="17"/>
      <c r="G99" s="20">
        <v>44264</v>
      </c>
      <c r="H99" s="20">
        <v>44273</v>
      </c>
      <c r="I99" s="20">
        <v>44273</v>
      </c>
      <c r="J99" s="21" t="s">
        <v>334</v>
      </c>
      <c r="K99" s="18" t="s">
        <v>24</v>
      </c>
      <c r="L99" s="23" t="s">
        <v>37</v>
      </c>
      <c r="M99" s="18" t="s">
        <v>34</v>
      </c>
      <c r="N99" s="18"/>
      <c r="O99" s="18" t="s">
        <v>27</v>
      </c>
      <c r="P99" s="21"/>
      <c r="Q99" s="18"/>
      <c r="R99" s="22"/>
    </row>
    <row r="100" spans="1:18" ht="30" customHeight="1" x14ac:dyDescent="0.25">
      <c r="A100" s="16" t="s">
        <v>39</v>
      </c>
      <c r="B100" s="17">
        <v>226199</v>
      </c>
      <c r="C100" s="18" t="s">
        <v>140</v>
      </c>
      <c r="D100" s="19" t="s">
        <v>333</v>
      </c>
      <c r="E100" s="17" t="s">
        <v>46</v>
      </c>
      <c r="F100" s="17">
        <v>1</v>
      </c>
      <c r="G100" s="20">
        <v>44264</v>
      </c>
      <c r="H100" s="20">
        <v>44274</v>
      </c>
      <c r="I100" s="20">
        <v>44274</v>
      </c>
      <c r="J100" s="21"/>
      <c r="K100" s="18" t="s">
        <v>24</v>
      </c>
      <c r="L100" s="23" t="s">
        <v>58</v>
      </c>
      <c r="M100" s="18" t="s">
        <v>26</v>
      </c>
      <c r="N100" s="18"/>
      <c r="O100" s="18" t="s">
        <v>38</v>
      </c>
      <c r="P100" s="21" t="s">
        <v>38</v>
      </c>
      <c r="Q100" s="18" t="s">
        <v>29</v>
      </c>
      <c r="R100" s="18" t="s">
        <v>29</v>
      </c>
    </row>
    <row r="101" spans="1:18" ht="30" customHeight="1" x14ac:dyDescent="0.25">
      <c r="A101" s="16" t="s">
        <v>39</v>
      </c>
      <c r="B101" s="17">
        <v>226199</v>
      </c>
      <c r="C101" s="18" t="s">
        <v>140</v>
      </c>
      <c r="D101" s="19" t="s">
        <v>333</v>
      </c>
      <c r="E101" s="17" t="s">
        <v>22</v>
      </c>
      <c r="F101" s="17">
        <v>1</v>
      </c>
      <c r="G101" s="20">
        <v>44264</v>
      </c>
      <c r="H101" s="20">
        <v>44274</v>
      </c>
      <c r="I101" s="20">
        <v>44274</v>
      </c>
      <c r="J101" s="21"/>
      <c r="K101" s="18" t="s">
        <v>24</v>
      </c>
      <c r="L101" s="23" t="s">
        <v>58</v>
      </c>
      <c r="M101" s="18" t="s">
        <v>26</v>
      </c>
      <c r="N101" s="18"/>
      <c r="O101" s="18" t="s">
        <v>38</v>
      </c>
      <c r="P101" s="21" t="s">
        <v>38</v>
      </c>
      <c r="Q101" s="18" t="s">
        <v>29</v>
      </c>
      <c r="R101" s="18" t="s">
        <v>29</v>
      </c>
    </row>
    <row r="102" spans="1:18" ht="30" customHeight="1" x14ac:dyDescent="0.25">
      <c r="A102" s="16" t="s">
        <v>39</v>
      </c>
      <c r="B102" s="17">
        <v>226199</v>
      </c>
      <c r="C102" s="18" t="s">
        <v>20</v>
      </c>
      <c r="D102" s="19" t="s">
        <v>333</v>
      </c>
      <c r="E102" s="17" t="s">
        <v>46</v>
      </c>
      <c r="F102" s="17">
        <v>2</v>
      </c>
      <c r="G102" s="20">
        <v>44264</v>
      </c>
      <c r="H102" s="20">
        <v>44278</v>
      </c>
      <c r="I102" s="20">
        <v>44278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29</v>
      </c>
      <c r="R102" s="18" t="s">
        <v>29</v>
      </c>
    </row>
    <row r="103" spans="1:18" ht="30" customHeight="1" x14ac:dyDescent="0.25">
      <c r="A103" s="16" t="s">
        <v>39</v>
      </c>
      <c r="B103" s="17">
        <v>226199</v>
      </c>
      <c r="C103" s="18" t="s">
        <v>20</v>
      </c>
      <c r="D103" s="19" t="s">
        <v>333</v>
      </c>
      <c r="E103" s="17" t="s">
        <v>22</v>
      </c>
      <c r="F103" s="17">
        <v>2</v>
      </c>
      <c r="G103" s="20">
        <v>44264</v>
      </c>
      <c r="H103" s="20">
        <v>44278</v>
      </c>
      <c r="I103" s="20">
        <v>44278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29</v>
      </c>
      <c r="R103" s="18" t="s">
        <v>29</v>
      </c>
    </row>
    <row r="104" spans="1:18" ht="30" customHeight="1" x14ac:dyDescent="0.25">
      <c r="A104" s="16" t="s">
        <v>39</v>
      </c>
      <c r="B104" s="17">
        <v>226199</v>
      </c>
      <c r="C104" s="18" t="s">
        <v>20</v>
      </c>
      <c r="D104" s="19" t="s">
        <v>333</v>
      </c>
      <c r="E104" s="17" t="s">
        <v>177</v>
      </c>
      <c r="F104" s="17">
        <v>3</v>
      </c>
      <c r="G104" s="20">
        <v>44264</v>
      </c>
      <c r="H104" s="20">
        <v>44278</v>
      </c>
      <c r="I104" s="20">
        <v>44278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29</v>
      </c>
      <c r="R104" s="18" t="s">
        <v>29</v>
      </c>
    </row>
    <row r="105" spans="1:18" ht="30" customHeight="1" x14ac:dyDescent="0.25">
      <c r="A105" s="16" t="s">
        <v>39</v>
      </c>
      <c r="B105" s="17">
        <v>226199</v>
      </c>
      <c r="C105" s="18" t="s">
        <v>20</v>
      </c>
      <c r="D105" s="19" t="s">
        <v>333</v>
      </c>
      <c r="E105" s="17" t="s">
        <v>93</v>
      </c>
      <c r="F105" s="17">
        <v>2</v>
      </c>
      <c r="G105" s="20">
        <v>44264</v>
      </c>
      <c r="H105" s="20">
        <v>44278</v>
      </c>
      <c r="I105" s="20">
        <v>44278</v>
      </c>
      <c r="J105" s="21"/>
      <c r="K105" s="18" t="s">
        <v>24</v>
      </c>
      <c r="L105" s="23" t="s">
        <v>45</v>
      </c>
      <c r="M105" s="18" t="s">
        <v>26</v>
      </c>
      <c r="N105" s="18"/>
      <c r="O105" s="18" t="s">
        <v>38</v>
      </c>
      <c r="P105" s="21" t="s">
        <v>38</v>
      </c>
      <c r="Q105" s="18" t="s">
        <v>29</v>
      </c>
      <c r="R105" s="18" t="s">
        <v>29</v>
      </c>
    </row>
    <row r="106" spans="1:18" ht="30" customHeight="1" x14ac:dyDescent="0.25">
      <c r="A106" s="16" t="s">
        <v>39</v>
      </c>
      <c r="B106" s="17">
        <v>226199</v>
      </c>
      <c r="C106" s="18" t="s">
        <v>20</v>
      </c>
      <c r="D106" s="19" t="s">
        <v>333</v>
      </c>
      <c r="E106" s="17" t="s">
        <v>94</v>
      </c>
      <c r="F106" s="17">
        <v>3</v>
      </c>
      <c r="G106" s="20">
        <v>44264</v>
      </c>
      <c r="H106" s="20">
        <v>44278</v>
      </c>
      <c r="I106" s="20">
        <v>44278</v>
      </c>
      <c r="J106" s="21"/>
      <c r="K106" s="18" t="s">
        <v>24</v>
      </c>
      <c r="L106" s="23" t="s">
        <v>45</v>
      </c>
      <c r="M106" s="18" t="s">
        <v>26</v>
      </c>
      <c r="N106" s="18"/>
      <c r="O106" s="18" t="s">
        <v>38</v>
      </c>
      <c r="P106" s="21" t="s">
        <v>38</v>
      </c>
      <c r="Q106" s="18" t="s">
        <v>29</v>
      </c>
      <c r="R106" s="18" t="s">
        <v>29</v>
      </c>
    </row>
    <row r="107" spans="1:18" ht="30" customHeight="1" x14ac:dyDescent="0.25">
      <c r="A107" s="16" t="s">
        <v>39</v>
      </c>
      <c r="B107" s="17" t="s">
        <v>247</v>
      </c>
      <c r="C107" s="18" t="s">
        <v>140</v>
      </c>
      <c r="D107" s="19" t="s">
        <v>323</v>
      </c>
      <c r="E107" s="17" t="s">
        <v>22</v>
      </c>
      <c r="F107" s="17">
        <v>2</v>
      </c>
      <c r="G107" s="20">
        <v>44265</v>
      </c>
      <c r="H107" s="20">
        <v>44265</v>
      </c>
      <c r="I107" s="20">
        <v>44265</v>
      </c>
      <c r="J107" s="21"/>
      <c r="K107" s="18" t="s">
        <v>24</v>
      </c>
      <c r="L107" s="23"/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/>
    </row>
    <row r="108" spans="1:18" ht="30" customHeight="1" x14ac:dyDescent="0.25">
      <c r="A108" s="16" t="s">
        <v>39</v>
      </c>
      <c r="B108" s="17">
        <v>226571</v>
      </c>
      <c r="C108" s="18" t="s">
        <v>20</v>
      </c>
      <c r="D108" s="19" t="s">
        <v>335</v>
      </c>
      <c r="E108" s="17" t="s">
        <v>181</v>
      </c>
      <c r="F108" s="17">
        <v>9</v>
      </c>
      <c r="G108" s="20">
        <v>44265</v>
      </c>
      <c r="H108" s="20">
        <v>44271</v>
      </c>
      <c r="I108" s="20">
        <v>44277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 t="s">
        <v>27</v>
      </c>
      <c r="Q108" s="18" t="s">
        <v>29</v>
      </c>
      <c r="R108" s="18" t="s">
        <v>29</v>
      </c>
    </row>
    <row r="109" spans="1:18" ht="30" customHeight="1" x14ac:dyDescent="0.25">
      <c r="A109" s="16" t="s">
        <v>39</v>
      </c>
      <c r="B109" s="17">
        <v>226571</v>
      </c>
      <c r="C109" s="18" t="s">
        <v>20</v>
      </c>
      <c r="D109" s="19" t="s">
        <v>335</v>
      </c>
      <c r="E109" s="17" t="s">
        <v>181</v>
      </c>
      <c r="F109" s="17">
        <v>2</v>
      </c>
      <c r="G109" s="20">
        <v>44277</v>
      </c>
      <c r="H109" s="20">
        <v>44277</v>
      </c>
      <c r="I109" s="20">
        <v>44278</v>
      </c>
      <c r="J109" s="21"/>
      <c r="K109" s="18" t="s">
        <v>24</v>
      </c>
      <c r="L109" s="23" t="s">
        <v>58</v>
      </c>
      <c r="M109" s="18" t="s">
        <v>26</v>
      </c>
      <c r="N109" s="18">
        <v>1</v>
      </c>
      <c r="O109" s="18" t="s">
        <v>38</v>
      </c>
      <c r="P109" s="21" t="s">
        <v>27</v>
      </c>
      <c r="Q109" s="18" t="s">
        <v>29</v>
      </c>
      <c r="R109" s="18" t="s">
        <v>29</v>
      </c>
    </row>
    <row r="110" spans="1:18" ht="30" customHeight="1" x14ac:dyDescent="0.25">
      <c r="A110" s="16" t="s">
        <v>39</v>
      </c>
      <c r="B110" s="17">
        <v>226571</v>
      </c>
      <c r="C110" s="18" t="s">
        <v>20</v>
      </c>
      <c r="D110" s="19" t="s">
        <v>335</v>
      </c>
      <c r="E110" s="17" t="s">
        <v>115</v>
      </c>
      <c r="F110" s="17">
        <v>3</v>
      </c>
      <c r="G110" s="20">
        <v>44277</v>
      </c>
      <c r="H110" s="20">
        <v>44277</v>
      </c>
      <c r="I110" s="20">
        <v>44278</v>
      </c>
      <c r="J110" s="21"/>
      <c r="K110" s="18" t="s">
        <v>24</v>
      </c>
      <c r="L110" s="23" t="s">
        <v>25</v>
      </c>
      <c r="M110" s="18" t="s">
        <v>26</v>
      </c>
      <c r="N110" s="18"/>
      <c r="O110" s="18" t="s">
        <v>38</v>
      </c>
      <c r="P110" s="21" t="s">
        <v>27</v>
      </c>
      <c r="Q110" s="18" t="s">
        <v>29</v>
      </c>
      <c r="R110" s="18" t="s">
        <v>29</v>
      </c>
    </row>
    <row r="111" spans="1:18" ht="30" customHeight="1" x14ac:dyDescent="0.25">
      <c r="A111" s="16" t="s">
        <v>39</v>
      </c>
      <c r="B111" s="17">
        <v>226571</v>
      </c>
      <c r="C111" s="18" t="s">
        <v>20</v>
      </c>
      <c r="D111" s="19" t="s">
        <v>335</v>
      </c>
      <c r="E111" s="17" t="s">
        <v>127</v>
      </c>
      <c r="F111" s="17">
        <v>1</v>
      </c>
      <c r="G111" s="20">
        <v>44278</v>
      </c>
      <c r="H111" s="20">
        <v>44278</v>
      </c>
      <c r="I111" s="20">
        <v>44278</v>
      </c>
      <c r="J111" s="21"/>
      <c r="K111" s="18" t="s">
        <v>24</v>
      </c>
      <c r="L111" s="23" t="s">
        <v>25</v>
      </c>
      <c r="M111" s="18" t="s">
        <v>26</v>
      </c>
      <c r="N111" s="18"/>
      <c r="O111" s="18" t="s">
        <v>38</v>
      </c>
      <c r="P111" s="21" t="s">
        <v>27</v>
      </c>
      <c r="Q111" s="18" t="s">
        <v>29</v>
      </c>
      <c r="R111" s="18" t="s">
        <v>29</v>
      </c>
    </row>
    <row r="112" spans="1:18" ht="30" hidden="1" customHeight="1" x14ac:dyDescent="0.25">
      <c r="A112" s="16" t="s">
        <v>132</v>
      </c>
      <c r="B112" s="17">
        <v>227058</v>
      </c>
      <c r="C112" s="18" t="s">
        <v>140</v>
      </c>
      <c r="D112" s="19" t="s">
        <v>336</v>
      </c>
      <c r="E112" s="17" t="s">
        <v>134</v>
      </c>
      <c r="F112" s="17">
        <v>1</v>
      </c>
      <c r="G112" s="20">
        <v>44267</v>
      </c>
      <c r="H112" s="20">
        <v>44271</v>
      </c>
      <c r="I112" s="20">
        <v>44271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 t="s">
        <v>38</v>
      </c>
      <c r="Q112" s="18" t="s">
        <v>54</v>
      </c>
      <c r="R112" s="22" t="s">
        <v>54</v>
      </c>
    </row>
    <row r="113" spans="1:18" ht="30" hidden="1" customHeight="1" x14ac:dyDescent="0.25">
      <c r="A113" s="16" t="s">
        <v>76</v>
      </c>
      <c r="B113" s="17">
        <v>227531</v>
      </c>
      <c r="C113" s="18" t="s">
        <v>20</v>
      </c>
      <c r="D113" s="58" t="s">
        <v>337</v>
      </c>
      <c r="E113" s="17" t="s">
        <v>105</v>
      </c>
      <c r="F113" s="17">
        <v>2</v>
      </c>
      <c r="G113" s="20">
        <v>44270</v>
      </c>
      <c r="H113" s="20">
        <v>44270</v>
      </c>
      <c r="I113" s="20">
        <v>44270</v>
      </c>
      <c r="J113" s="21"/>
      <c r="K113" s="18" t="s">
        <v>24</v>
      </c>
      <c r="L113" s="23" t="s">
        <v>25</v>
      </c>
      <c r="M113" s="18" t="s">
        <v>26</v>
      </c>
      <c r="N113" s="18"/>
      <c r="O113" s="18" t="s">
        <v>27</v>
      </c>
      <c r="P113" s="21" t="s">
        <v>27</v>
      </c>
      <c r="Q113" s="18" t="s">
        <v>54</v>
      </c>
      <c r="R113" s="18" t="s">
        <v>54</v>
      </c>
    </row>
    <row r="114" spans="1:18" ht="30" hidden="1" customHeight="1" x14ac:dyDescent="0.25">
      <c r="A114" s="16" t="s">
        <v>76</v>
      </c>
      <c r="B114" s="17">
        <v>227531</v>
      </c>
      <c r="C114" s="18" t="s">
        <v>20</v>
      </c>
      <c r="D114" s="58" t="s">
        <v>337</v>
      </c>
      <c r="E114" s="17" t="s">
        <v>84</v>
      </c>
      <c r="F114" s="17">
        <v>2</v>
      </c>
      <c r="G114" s="20">
        <v>44270</v>
      </c>
      <c r="H114" s="20">
        <v>44270</v>
      </c>
      <c r="I114" s="20">
        <v>44270</v>
      </c>
      <c r="J114" s="21"/>
      <c r="K114" s="18" t="s">
        <v>24</v>
      </c>
      <c r="L114" s="23" t="s">
        <v>25</v>
      </c>
      <c r="M114" s="18" t="s">
        <v>26</v>
      </c>
      <c r="N114" s="18"/>
      <c r="O114" s="18" t="s">
        <v>27</v>
      </c>
      <c r="P114" s="21" t="s">
        <v>27</v>
      </c>
      <c r="Q114" s="18" t="s">
        <v>54</v>
      </c>
      <c r="R114" s="18" t="s">
        <v>54</v>
      </c>
    </row>
    <row r="115" spans="1:18" ht="30" hidden="1" customHeight="1" x14ac:dyDescent="0.25">
      <c r="A115" s="16" t="s">
        <v>30</v>
      </c>
      <c r="B115" s="17">
        <v>227189</v>
      </c>
      <c r="C115" s="18" t="s">
        <v>77</v>
      </c>
      <c r="D115" s="19" t="s">
        <v>338</v>
      </c>
      <c r="E115" s="17"/>
      <c r="F115" s="17"/>
      <c r="G115" s="20">
        <v>44267</v>
      </c>
      <c r="H115" s="20">
        <v>44281</v>
      </c>
      <c r="I115" s="20">
        <v>44281</v>
      </c>
      <c r="J115" s="21" t="s">
        <v>339</v>
      </c>
      <c r="K115" s="18" t="s">
        <v>24</v>
      </c>
      <c r="L115" s="23" t="s">
        <v>25</v>
      </c>
      <c r="M115" s="18" t="s">
        <v>34</v>
      </c>
      <c r="N115" s="18"/>
      <c r="O115" s="18" t="s">
        <v>27</v>
      </c>
      <c r="P115" s="21"/>
      <c r="Q115" s="18"/>
      <c r="R115" s="22"/>
    </row>
    <row r="116" spans="1:18" ht="30" hidden="1" customHeight="1" x14ac:dyDescent="0.25">
      <c r="A116" s="16" t="s">
        <v>30</v>
      </c>
      <c r="B116" s="17">
        <v>227235</v>
      </c>
      <c r="C116" s="18" t="s">
        <v>77</v>
      </c>
      <c r="D116" s="19" t="s">
        <v>340</v>
      </c>
      <c r="E116" s="17" t="s">
        <v>151</v>
      </c>
      <c r="F116" s="17"/>
      <c r="G116" s="20">
        <v>44270</v>
      </c>
      <c r="H116" s="20">
        <v>44271</v>
      </c>
      <c r="I116" s="20">
        <v>44271</v>
      </c>
      <c r="J116" s="21" t="s">
        <v>341</v>
      </c>
      <c r="K116" s="18" t="s">
        <v>24</v>
      </c>
      <c r="L116" s="23" t="s">
        <v>37</v>
      </c>
      <c r="M116" s="18" t="s">
        <v>26</v>
      </c>
      <c r="N116" s="18"/>
      <c r="O116" s="18" t="s">
        <v>27</v>
      </c>
      <c r="P116" s="21"/>
      <c r="Q116" s="18"/>
      <c r="R116" s="22"/>
    </row>
    <row r="117" spans="1:18" ht="30" customHeight="1" x14ac:dyDescent="0.25">
      <c r="A117" s="16" t="s">
        <v>39</v>
      </c>
      <c r="B117" s="17">
        <v>227231</v>
      </c>
      <c r="C117" s="18" t="s">
        <v>77</v>
      </c>
      <c r="D117" s="19" t="s">
        <v>342</v>
      </c>
      <c r="E117" s="17" t="s">
        <v>74</v>
      </c>
      <c r="F117" s="17"/>
      <c r="G117" s="20">
        <v>44267</v>
      </c>
      <c r="H117" s="20">
        <v>44281</v>
      </c>
      <c r="I117" s="20">
        <v>44280</v>
      </c>
      <c r="J117" s="21" t="s">
        <v>343</v>
      </c>
      <c r="K117" s="18" t="s">
        <v>24</v>
      </c>
      <c r="L117" s="23" t="s">
        <v>25</v>
      </c>
      <c r="M117" s="18" t="s">
        <v>26</v>
      </c>
      <c r="N117" s="18"/>
      <c r="O117" s="18" t="s">
        <v>27</v>
      </c>
      <c r="P117" s="21"/>
      <c r="Q117" s="18"/>
      <c r="R117" s="22"/>
    </row>
    <row r="118" spans="1:18" ht="30" hidden="1" customHeight="1" x14ac:dyDescent="0.25">
      <c r="A118" s="16" t="s">
        <v>72</v>
      </c>
      <c r="B118" s="59">
        <v>227477</v>
      </c>
      <c r="C118" s="18" t="s">
        <v>140</v>
      </c>
      <c r="D118" s="19" t="s">
        <v>344</v>
      </c>
      <c r="E118" s="17" t="s">
        <v>345</v>
      </c>
      <c r="F118" s="17">
        <v>1</v>
      </c>
      <c r="G118" s="20">
        <v>44270</v>
      </c>
      <c r="H118" s="20">
        <v>44271</v>
      </c>
      <c r="I118" s="20">
        <v>44271</v>
      </c>
      <c r="J118" s="21"/>
      <c r="K118" s="18" t="s">
        <v>24</v>
      </c>
      <c r="L118" s="23" t="s">
        <v>37</v>
      </c>
      <c r="M118" s="18" t="s">
        <v>26</v>
      </c>
      <c r="N118" s="18"/>
      <c r="O118" s="18" t="s">
        <v>38</v>
      </c>
      <c r="P118" s="21" t="s">
        <v>346</v>
      </c>
      <c r="Q118" s="18" t="s">
        <v>54</v>
      </c>
      <c r="R118" s="22" t="s">
        <v>54</v>
      </c>
    </row>
    <row r="119" spans="1:18" ht="30" hidden="1" customHeight="1" x14ac:dyDescent="0.25">
      <c r="A119" s="16" t="s">
        <v>132</v>
      </c>
      <c r="B119" s="25">
        <v>227806</v>
      </c>
      <c r="C119" s="18" t="s">
        <v>140</v>
      </c>
      <c r="D119" s="19" t="s">
        <v>347</v>
      </c>
      <c r="E119" s="17" t="s">
        <v>41</v>
      </c>
      <c r="F119" s="17">
        <v>3</v>
      </c>
      <c r="G119" s="20">
        <v>44271</v>
      </c>
      <c r="H119" s="20">
        <v>44274</v>
      </c>
      <c r="I119" s="20">
        <v>44273</v>
      </c>
      <c r="J119" s="21" t="s">
        <v>348</v>
      </c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38</v>
      </c>
      <c r="P119" s="21" t="s">
        <v>38</v>
      </c>
      <c r="Q119" s="18" t="s">
        <v>54</v>
      </c>
      <c r="R119" s="22" t="s">
        <v>54</v>
      </c>
    </row>
    <row r="120" spans="1:18" ht="30" hidden="1" customHeight="1" x14ac:dyDescent="0.25">
      <c r="A120" s="16" t="s">
        <v>132</v>
      </c>
      <c r="B120" s="25">
        <v>227806</v>
      </c>
      <c r="C120" s="18" t="s">
        <v>140</v>
      </c>
      <c r="D120" s="19" t="s">
        <v>347</v>
      </c>
      <c r="E120" s="17" t="s">
        <v>106</v>
      </c>
      <c r="F120" s="17">
        <v>1</v>
      </c>
      <c r="G120" s="20">
        <v>44271</v>
      </c>
      <c r="H120" s="20">
        <v>44274</v>
      </c>
      <c r="I120" s="20">
        <v>44273</v>
      </c>
      <c r="J120" s="21" t="s">
        <v>349</v>
      </c>
      <c r="K120" s="18" t="s">
        <v>24</v>
      </c>
      <c r="L120" s="23" t="s">
        <v>58</v>
      </c>
      <c r="M120" s="18" t="s">
        <v>26</v>
      </c>
      <c r="N120" s="18">
        <v>1</v>
      </c>
      <c r="O120" s="18" t="s">
        <v>38</v>
      </c>
      <c r="P120" s="21" t="s">
        <v>38</v>
      </c>
      <c r="Q120" s="18" t="s">
        <v>54</v>
      </c>
      <c r="R120" s="22" t="s">
        <v>54</v>
      </c>
    </row>
    <row r="121" spans="1:18" ht="30" hidden="1" customHeight="1" x14ac:dyDescent="0.25">
      <c r="A121" s="16" t="s">
        <v>132</v>
      </c>
      <c r="B121" s="25">
        <v>227806</v>
      </c>
      <c r="C121" s="18" t="s">
        <v>140</v>
      </c>
      <c r="D121" s="19" t="s">
        <v>347</v>
      </c>
      <c r="E121" s="17" t="s">
        <v>102</v>
      </c>
      <c r="F121" s="17">
        <v>1</v>
      </c>
      <c r="G121" s="20">
        <v>44271</v>
      </c>
      <c r="H121" s="20">
        <v>44274</v>
      </c>
      <c r="I121" s="20">
        <v>44273</v>
      </c>
      <c r="J121" s="21" t="s">
        <v>350</v>
      </c>
      <c r="K121" s="18" t="s">
        <v>24</v>
      </c>
      <c r="L121" s="23" t="s">
        <v>58</v>
      </c>
      <c r="M121" s="18" t="s">
        <v>26</v>
      </c>
      <c r="N121" s="18">
        <v>2</v>
      </c>
      <c r="O121" s="18" t="s">
        <v>38</v>
      </c>
      <c r="P121" s="21" t="s">
        <v>38</v>
      </c>
      <c r="Q121" s="18" t="s">
        <v>54</v>
      </c>
      <c r="R121" s="22" t="s">
        <v>54</v>
      </c>
    </row>
    <row r="122" spans="1:18" ht="30" hidden="1" customHeight="1" x14ac:dyDescent="0.25">
      <c r="A122" s="16" t="s">
        <v>132</v>
      </c>
      <c r="B122" s="25">
        <v>227806</v>
      </c>
      <c r="C122" s="18" t="s">
        <v>140</v>
      </c>
      <c r="D122" s="19" t="s">
        <v>347</v>
      </c>
      <c r="E122" s="17" t="s">
        <v>110</v>
      </c>
      <c r="F122" s="17">
        <v>1</v>
      </c>
      <c r="G122" s="20">
        <v>44274</v>
      </c>
      <c r="H122" s="20">
        <v>44274</v>
      </c>
      <c r="I122" s="20">
        <v>44273</v>
      </c>
      <c r="J122" s="21"/>
      <c r="K122" s="18" t="s">
        <v>24</v>
      </c>
      <c r="L122" s="23" t="s">
        <v>58</v>
      </c>
      <c r="M122" s="18" t="s">
        <v>26</v>
      </c>
      <c r="N122" s="18"/>
      <c r="O122" s="18" t="s">
        <v>38</v>
      </c>
      <c r="P122" s="21" t="s">
        <v>38</v>
      </c>
      <c r="Q122" s="18" t="s">
        <v>54</v>
      </c>
      <c r="R122" s="22" t="s">
        <v>54</v>
      </c>
    </row>
    <row r="123" spans="1:18" ht="30" hidden="1" customHeight="1" x14ac:dyDescent="0.25">
      <c r="A123" s="16" t="s">
        <v>132</v>
      </c>
      <c r="B123" s="25">
        <v>227806</v>
      </c>
      <c r="C123" s="18" t="s">
        <v>140</v>
      </c>
      <c r="D123" s="19" t="s">
        <v>347</v>
      </c>
      <c r="E123" s="17" t="s">
        <v>67</v>
      </c>
      <c r="F123" s="17">
        <v>1</v>
      </c>
      <c r="G123" s="20">
        <v>44271</v>
      </c>
      <c r="H123" s="20">
        <v>44274</v>
      </c>
      <c r="I123" s="20">
        <v>44273</v>
      </c>
      <c r="J123" s="21" t="s">
        <v>351</v>
      </c>
      <c r="K123" s="18" t="s">
        <v>24</v>
      </c>
      <c r="L123" s="23" t="s">
        <v>58</v>
      </c>
      <c r="M123" s="18" t="s">
        <v>26</v>
      </c>
      <c r="N123" s="18">
        <v>2</v>
      </c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hidden="1" customHeight="1" x14ac:dyDescent="0.25">
      <c r="A124" s="16" t="s">
        <v>132</v>
      </c>
      <c r="B124" s="25">
        <v>227806</v>
      </c>
      <c r="C124" s="18" t="s">
        <v>140</v>
      </c>
      <c r="D124" s="19" t="s">
        <v>347</v>
      </c>
      <c r="E124" s="17" t="s">
        <v>83</v>
      </c>
      <c r="F124" s="17">
        <v>1</v>
      </c>
      <c r="G124" s="20">
        <v>44271</v>
      </c>
      <c r="H124" s="20">
        <v>44274</v>
      </c>
      <c r="I124" s="20">
        <v>44273</v>
      </c>
      <c r="J124" s="21" t="s">
        <v>348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hidden="1" customHeight="1" x14ac:dyDescent="0.25">
      <c r="A125" s="24" t="s">
        <v>130</v>
      </c>
      <c r="B125" s="25">
        <v>227914</v>
      </c>
      <c r="C125" s="26" t="s">
        <v>77</v>
      </c>
      <c r="D125" s="27" t="s">
        <v>352</v>
      </c>
      <c r="E125" s="25" t="s">
        <v>71</v>
      </c>
      <c r="F125" s="25"/>
      <c r="G125" s="20">
        <v>44271</v>
      </c>
      <c r="H125" s="20">
        <v>44271</v>
      </c>
      <c r="I125" s="20">
        <v>44271</v>
      </c>
      <c r="J125" s="28"/>
      <c r="K125" s="26" t="s">
        <v>24</v>
      </c>
      <c r="L125" s="29" t="s">
        <v>37</v>
      </c>
      <c r="M125" s="26" t="s">
        <v>26</v>
      </c>
      <c r="N125" s="26"/>
      <c r="O125" s="26" t="s">
        <v>38</v>
      </c>
      <c r="P125" s="28"/>
      <c r="Q125" s="26" t="s">
        <v>54</v>
      </c>
      <c r="R125" s="30" t="s">
        <v>54</v>
      </c>
    </row>
    <row r="126" spans="1:18" ht="30" hidden="1" customHeight="1" x14ac:dyDescent="0.25">
      <c r="A126" s="16" t="s">
        <v>130</v>
      </c>
      <c r="B126" s="17">
        <v>227914</v>
      </c>
      <c r="C126" s="18" t="s">
        <v>77</v>
      </c>
      <c r="D126" s="19" t="s">
        <v>352</v>
      </c>
      <c r="E126" s="17" t="s">
        <v>22</v>
      </c>
      <c r="F126" s="17"/>
      <c r="G126" s="20">
        <v>44271</v>
      </c>
      <c r="H126" s="20">
        <v>44271</v>
      </c>
      <c r="I126" s="20">
        <v>44271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/>
      <c r="Q126" s="18" t="s">
        <v>54</v>
      </c>
      <c r="R126" s="22" t="s">
        <v>54</v>
      </c>
    </row>
    <row r="127" spans="1:18" ht="30" hidden="1" customHeight="1" x14ac:dyDescent="0.25">
      <c r="A127" s="16" t="s">
        <v>130</v>
      </c>
      <c r="B127" s="17">
        <v>227792</v>
      </c>
      <c r="C127" s="18" t="s">
        <v>77</v>
      </c>
      <c r="D127" s="19" t="s">
        <v>353</v>
      </c>
      <c r="E127" s="17" t="s">
        <v>83</v>
      </c>
      <c r="F127" s="17"/>
      <c r="G127" s="20">
        <v>44271</v>
      </c>
      <c r="H127" s="20">
        <v>44271</v>
      </c>
      <c r="I127" s="20">
        <v>44271</v>
      </c>
      <c r="J127" s="21"/>
      <c r="K127" s="18" t="s">
        <v>24</v>
      </c>
      <c r="L127" s="23" t="s">
        <v>37</v>
      </c>
      <c r="M127" s="18" t="s">
        <v>83</v>
      </c>
      <c r="N127" s="18"/>
      <c r="O127" s="18" t="s">
        <v>38</v>
      </c>
      <c r="P127" s="21"/>
      <c r="Q127" s="18" t="s">
        <v>54</v>
      </c>
      <c r="R127" s="22" t="s">
        <v>54</v>
      </c>
    </row>
    <row r="128" spans="1:18" ht="30" hidden="1" customHeight="1" x14ac:dyDescent="0.25">
      <c r="A128" s="16" t="s">
        <v>182</v>
      </c>
      <c r="B128" s="17">
        <v>225825</v>
      </c>
      <c r="C128" s="18" t="s">
        <v>140</v>
      </c>
      <c r="D128" s="19" t="s">
        <v>354</v>
      </c>
      <c r="E128" s="17" t="s">
        <v>94</v>
      </c>
      <c r="F128" s="17">
        <v>1</v>
      </c>
      <c r="G128" s="20">
        <v>44263</v>
      </c>
      <c r="H128" s="20">
        <v>44272</v>
      </c>
      <c r="I128" s="20">
        <v>44272</v>
      </c>
      <c r="J128" s="21"/>
      <c r="K128" s="18" t="s">
        <v>24</v>
      </c>
      <c r="L128" s="23" t="s">
        <v>58</v>
      </c>
      <c r="M128" s="18" t="s">
        <v>26</v>
      </c>
      <c r="N128" s="18">
        <v>1</v>
      </c>
      <c r="O128" s="18" t="s">
        <v>38</v>
      </c>
      <c r="P128" s="21" t="s">
        <v>38</v>
      </c>
      <c r="Q128" s="18" t="s">
        <v>54</v>
      </c>
      <c r="R128" s="22" t="s">
        <v>28</v>
      </c>
    </row>
    <row r="129" spans="1:18" ht="30" customHeight="1" x14ac:dyDescent="0.25">
      <c r="A129" s="16" t="s">
        <v>39</v>
      </c>
      <c r="B129" s="17" t="s">
        <v>247</v>
      </c>
      <c r="C129" s="18" t="s">
        <v>140</v>
      </c>
      <c r="D129" s="19" t="s">
        <v>323</v>
      </c>
      <c r="E129" s="17" t="s">
        <v>22</v>
      </c>
      <c r="F129" s="17">
        <v>2</v>
      </c>
      <c r="G129" s="20">
        <v>44272</v>
      </c>
      <c r="H129" s="20">
        <v>44272</v>
      </c>
      <c r="I129" s="20">
        <v>44272</v>
      </c>
      <c r="J129" s="21"/>
      <c r="K129" s="18" t="s">
        <v>24</v>
      </c>
      <c r="L129" s="23"/>
      <c r="M129" s="18" t="s">
        <v>26</v>
      </c>
      <c r="N129" s="18"/>
      <c r="O129" s="18" t="s">
        <v>38</v>
      </c>
      <c r="P129" s="21" t="s">
        <v>38</v>
      </c>
      <c r="Q129" s="18" t="s">
        <v>54</v>
      </c>
      <c r="R129" s="22"/>
    </row>
    <row r="130" spans="1:18" ht="30" hidden="1" customHeight="1" x14ac:dyDescent="0.25">
      <c r="A130" s="16" t="s">
        <v>159</v>
      </c>
      <c r="B130" s="17">
        <v>228171</v>
      </c>
      <c r="C130" s="18" t="s">
        <v>140</v>
      </c>
      <c r="D130" s="19" t="s">
        <v>355</v>
      </c>
      <c r="E130" s="17" t="s">
        <v>79</v>
      </c>
      <c r="F130" s="17">
        <v>1</v>
      </c>
      <c r="G130" s="20">
        <v>44272</v>
      </c>
      <c r="H130" s="20"/>
      <c r="I130" s="20">
        <v>44273</v>
      </c>
      <c r="J130" s="21" t="s">
        <v>356</v>
      </c>
      <c r="K130" s="18" t="s">
        <v>24</v>
      </c>
      <c r="L130" s="23" t="s">
        <v>37</v>
      </c>
      <c r="M130" s="18" t="s">
        <v>26</v>
      </c>
      <c r="N130" s="18"/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39</v>
      </c>
      <c r="B131" s="17" t="s">
        <v>247</v>
      </c>
      <c r="C131" s="18" t="s">
        <v>77</v>
      </c>
      <c r="D131" s="19" t="s">
        <v>357</v>
      </c>
      <c r="E131" s="17" t="s">
        <v>74</v>
      </c>
      <c r="F131" s="17"/>
      <c r="G131" s="20">
        <v>44273</v>
      </c>
      <c r="H131" s="20">
        <v>44286</v>
      </c>
      <c r="I131" s="20">
        <v>44278</v>
      </c>
      <c r="J131" s="21" t="s">
        <v>358</v>
      </c>
      <c r="K131" s="18" t="s">
        <v>24</v>
      </c>
      <c r="L131" s="23"/>
      <c r="M131" s="18"/>
      <c r="N131" s="18"/>
      <c r="O131" s="18"/>
      <c r="P131" s="21"/>
      <c r="Q131" s="18"/>
      <c r="R131" s="22"/>
    </row>
    <row r="132" spans="1:18" ht="30" hidden="1" customHeight="1" x14ac:dyDescent="0.25">
      <c r="A132" s="16" t="s">
        <v>30</v>
      </c>
      <c r="B132" s="17">
        <v>228481</v>
      </c>
      <c r="C132" s="18" t="s">
        <v>140</v>
      </c>
      <c r="D132" s="19" t="s">
        <v>359</v>
      </c>
      <c r="E132" s="17" t="s">
        <v>48</v>
      </c>
      <c r="F132" s="17">
        <v>1</v>
      </c>
      <c r="G132" s="20">
        <v>44273</v>
      </c>
      <c r="H132" s="20">
        <v>44277</v>
      </c>
      <c r="I132" s="20">
        <v>44277</v>
      </c>
      <c r="J132" s="21"/>
      <c r="K132" s="18" t="s">
        <v>24</v>
      </c>
      <c r="L132" s="23" t="s">
        <v>45</v>
      </c>
      <c r="M132" s="18" t="s">
        <v>26</v>
      </c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hidden="1" customHeight="1" x14ac:dyDescent="0.25">
      <c r="A133" s="16" t="s">
        <v>76</v>
      </c>
      <c r="B133" s="17">
        <v>228555</v>
      </c>
      <c r="C133" s="18" t="s">
        <v>140</v>
      </c>
      <c r="D133" s="19" t="s">
        <v>360</v>
      </c>
      <c r="E133" s="17" t="s">
        <v>67</v>
      </c>
      <c r="F133" s="17">
        <v>1</v>
      </c>
      <c r="G133" s="20">
        <v>44273</v>
      </c>
      <c r="H133" s="20">
        <v>44278</v>
      </c>
      <c r="I133" s="20">
        <v>44277</v>
      </c>
      <c r="J133" s="21"/>
      <c r="K133" s="18" t="s">
        <v>24</v>
      </c>
      <c r="L133" s="23" t="s">
        <v>58</v>
      </c>
      <c r="M133" s="18" t="s">
        <v>26</v>
      </c>
      <c r="N133" s="18">
        <v>1</v>
      </c>
      <c r="O133" s="18" t="s">
        <v>38</v>
      </c>
      <c r="P133" s="21" t="s">
        <v>38</v>
      </c>
      <c r="Q133" s="18" t="s">
        <v>54</v>
      </c>
      <c r="R133" s="18" t="s">
        <v>54</v>
      </c>
    </row>
    <row r="134" spans="1:18" ht="30" hidden="1" customHeight="1" x14ac:dyDescent="0.25">
      <c r="A134" s="16" t="s">
        <v>76</v>
      </c>
      <c r="B134" s="17">
        <v>228555</v>
      </c>
      <c r="C134" s="18" t="s">
        <v>140</v>
      </c>
      <c r="D134" s="19" t="s">
        <v>360</v>
      </c>
      <c r="E134" s="17" t="s">
        <v>107</v>
      </c>
      <c r="F134" s="17">
        <v>1</v>
      </c>
      <c r="G134" s="20">
        <v>44273</v>
      </c>
      <c r="H134" s="20">
        <v>44278</v>
      </c>
      <c r="I134" s="20">
        <v>44277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18" t="s">
        <v>54</v>
      </c>
    </row>
    <row r="135" spans="1:18" ht="30" hidden="1" customHeight="1" x14ac:dyDescent="0.25">
      <c r="A135" s="16" t="s">
        <v>76</v>
      </c>
      <c r="B135" s="17">
        <v>228555</v>
      </c>
      <c r="C135" s="18" t="s">
        <v>140</v>
      </c>
      <c r="D135" s="19" t="s">
        <v>360</v>
      </c>
      <c r="E135" s="17" t="s">
        <v>46</v>
      </c>
      <c r="F135" s="17">
        <v>1</v>
      </c>
      <c r="G135" s="20">
        <v>44273</v>
      </c>
      <c r="H135" s="20">
        <v>44278</v>
      </c>
      <c r="I135" s="20">
        <v>44277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18" t="s">
        <v>54</v>
      </c>
    </row>
    <row r="136" spans="1:18" ht="30" hidden="1" customHeight="1" x14ac:dyDescent="0.25">
      <c r="A136" s="16" t="s">
        <v>76</v>
      </c>
      <c r="B136" s="17">
        <v>228555</v>
      </c>
      <c r="C136" s="18" t="s">
        <v>140</v>
      </c>
      <c r="D136" s="19" t="s">
        <v>360</v>
      </c>
      <c r="E136" s="17" t="s">
        <v>41</v>
      </c>
      <c r="F136" s="17">
        <v>3</v>
      </c>
      <c r="G136" s="20">
        <v>44273</v>
      </c>
      <c r="H136" s="20">
        <v>44278</v>
      </c>
      <c r="I136" s="20">
        <v>44277</v>
      </c>
      <c r="J136" s="21"/>
      <c r="K136" s="18" t="s">
        <v>24</v>
      </c>
      <c r="L136" s="23" t="s">
        <v>58</v>
      </c>
      <c r="M136" s="18" t="s">
        <v>26</v>
      </c>
      <c r="N136" s="18">
        <v>1</v>
      </c>
      <c r="O136" s="18" t="s">
        <v>38</v>
      </c>
      <c r="P136" s="21" t="s">
        <v>38</v>
      </c>
      <c r="Q136" s="18" t="s">
        <v>54</v>
      </c>
      <c r="R136" s="18" t="s">
        <v>54</v>
      </c>
    </row>
    <row r="137" spans="1:18" ht="30" hidden="1" customHeight="1" x14ac:dyDescent="0.25">
      <c r="A137" s="16" t="s">
        <v>361</v>
      </c>
      <c r="B137" s="17">
        <v>227997</v>
      </c>
      <c r="C137" s="18" t="s">
        <v>140</v>
      </c>
      <c r="D137" s="19" t="s">
        <v>362</v>
      </c>
      <c r="E137" s="17" t="s">
        <v>68</v>
      </c>
      <c r="F137" s="17">
        <v>3</v>
      </c>
      <c r="G137" s="20">
        <v>44272</v>
      </c>
      <c r="H137" s="20"/>
      <c r="I137" s="20">
        <v>44274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38</v>
      </c>
      <c r="P137" s="21" t="s">
        <v>38</v>
      </c>
      <c r="Q137" s="18" t="s">
        <v>28</v>
      </c>
      <c r="R137" s="22" t="s">
        <v>54</v>
      </c>
    </row>
    <row r="138" spans="1:18" ht="30" hidden="1" customHeight="1" x14ac:dyDescent="0.25">
      <c r="A138" s="16" t="s">
        <v>361</v>
      </c>
      <c r="B138" s="17">
        <v>227997</v>
      </c>
      <c r="C138" s="18" t="s">
        <v>140</v>
      </c>
      <c r="D138" s="19" t="s">
        <v>362</v>
      </c>
      <c r="E138" s="17" t="s">
        <v>153</v>
      </c>
      <c r="F138" s="17">
        <v>3</v>
      </c>
      <c r="G138" s="20">
        <v>44272</v>
      </c>
      <c r="H138" s="20"/>
      <c r="I138" s="20">
        <v>44274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38</v>
      </c>
      <c r="P138" s="21" t="s">
        <v>38</v>
      </c>
      <c r="Q138" s="18" t="s">
        <v>28</v>
      </c>
      <c r="R138" s="22" t="s">
        <v>54</v>
      </c>
    </row>
    <row r="139" spans="1:18" ht="30" hidden="1" customHeight="1" x14ac:dyDescent="0.25">
      <c r="A139" s="16" t="s">
        <v>30</v>
      </c>
      <c r="B139" s="17">
        <v>228629</v>
      </c>
      <c r="C139" s="18" t="s">
        <v>140</v>
      </c>
      <c r="D139" s="19" t="s">
        <v>363</v>
      </c>
      <c r="E139" s="17" t="s">
        <v>48</v>
      </c>
      <c r="F139" s="17">
        <v>1</v>
      </c>
      <c r="G139" s="20">
        <v>44274</v>
      </c>
      <c r="H139" s="20">
        <v>44278</v>
      </c>
      <c r="I139" s="20">
        <v>44278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38</v>
      </c>
      <c r="P139" s="21" t="s">
        <v>38</v>
      </c>
      <c r="Q139" s="18" t="s">
        <v>54</v>
      </c>
      <c r="R139" s="22" t="s">
        <v>54</v>
      </c>
    </row>
    <row r="140" spans="1:18" ht="30" hidden="1" customHeight="1" x14ac:dyDescent="0.25">
      <c r="A140" s="16" t="s">
        <v>30</v>
      </c>
      <c r="B140" s="17">
        <v>228690</v>
      </c>
      <c r="C140" s="18" t="s">
        <v>20</v>
      </c>
      <c r="D140" s="56" t="s">
        <v>364</v>
      </c>
      <c r="E140" s="17" t="s">
        <v>79</v>
      </c>
      <c r="F140" s="17"/>
      <c r="G140" s="20">
        <v>44274</v>
      </c>
      <c r="H140" s="20">
        <v>44277</v>
      </c>
      <c r="I140" s="20">
        <v>44279</v>
      </c>
      <c r="J140" s="21"/>
      <c r="K140" s="18" t="s">
        <v>24</v>
      </c>
      <c r="L140" s="23" t="s">
        <v>37</v>
      </c>
      <c r="M140" s="18" t="s">
        <v>34</v>
      </c>
      <c r="N140" s="18"/>
      <c r="O140" s="18" t="s">
        <v>38</v>
      </c>
      <c r="P140" s="21" t="s">
        <v>27</v>
      </c>
      <c r="Q140" s="18" t="s">
        <v>28</v>
      </c>
      <c r="R140" s="22" t="s">
        <v>54</v>
      </c>
    </row>
    <row r="141" spans="1:18" ht="30" hidden="1" customHeight="1" x14ac:dyDescent="0.25">
      <c r="A141" s="16" t="s">
        <v>30</v>
      </c>
      <c r="B141" s="17">
        <v>229153</v>
      </c>
      <c r="C141" s="18" t="s">
        <v>20</v>
      </c>
      <c r="D141" s="19" t="s">
        <v>365</v>
      </c>
      <c r="E141" s="17" t="s">
        <v>98</v>
      </c>
      <c r="F141" s="17">
        <v>1</v>
      </c>
      <c r="G141" s="20">
        <v>44278</v>
      </c>
      <c r="H141" s="20">
        <v>44278</v>
      </c>
      <c r="I141" s="20">
        <v>44278</v>
      </c>
      <c r="J141" s="21"/>
      <c r="K141" s="18" t="s">
        <v>24</v>
      </c>
      <c r="L141" s="23" t="s">
        <v>37</v>
      </c>
      <c r="M141" s="18" t="s">
        <v>26</v>
      </c>
      <c r="N141" s="18"/>
      <c r="O141" s="18" t="s">
        <v>27</v>
      </c>
      <c r="P141" s="21" t="s">
        <v>27</v>
      </c>
      <c r="Q141" s="18" t="s">
        <v>29</v>
      </c>
      <c r="R141" s="22" t="s">
        <v>29</v>
      </c>
    </row>
    <row r="142" spans="1:18" ht="30" hidden="1" customHeight="1" x14ac:dyDescent="0.25">
      <c r="A142" s="16" t="s">
        <v>163</v>
      </c>
      <c r="B142" s="17" t="s">
        <v>247</v>
      </c>
      <c r="C142" s="18" t="s">
        <v>140</v>
      </c>
      <c r="D142" s="19" t="s">
        <v>366</v>
      </c>
      <c r="E142" s="17" t="s">
        <v>227</v>
      </c>
      <c r="F142" s="17">
        <v>1</v>
      </c>
      <c r="G142" s="20">
        <v>44263</v>
      </c>
      <c r="H142" s="20">
        <v>44274</v>
      </c>
      <c r="I142" s="20">
        <v>44274</v>
      </c>
      <c r="J142" s="21"/>
      <c r="K142" s="18" t="s">
        <v>24</v>
      </c>
      <c r="L142" s="23" t="s">
        <v>58</v>
      </c>
      <c r="M142" s="18"/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hidden="1" customHeight="1" x14ac:dyDescent="0.25">
      <c r="A143" s="16" t="s">
        <v>256</v>
      </c>
      <c r="B143" s="17" t="s">
        <v>247</v>
      </c>
      <c r="C143" s="18" t="s">
        <v>140</v>
      </c>
      <c r="D143" s="19" t="s">
        <v>366</v>
      </c>
      <c r="E143" s="17" t="s">
        <v>227</v>
      </c>
      <c r="F143" s="17">
        <v>1</v>
      </c>
      <c r="G143" s="20">
        <v>44263</v>
      </c>
      <c r="H143" s="20">
        <v>44271</v>
      </c>
      <c r="I143" s="20">
        <v>44273</v>
      </c>
      <c r="J143" s="21"/>
      <c r="K143" s="18" t="s">
        <v>24</v>
      </c>
      <c r="L143" s="23" t="s">
        <v>58</v>
      </c>
      <c r="M143" s="18"/>
      <c r="N143" s="18">
        <v>1</v>
      </c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hidden="1" customHeight="1" x14ac:dyDescent="0.25">
      <c r="A144" s="16" t="s">
        <v>130</v>
      </c>
      <c r="B144" s="17" t="s">
        <v>247</v>
      </c>
      <c r="C144" s="18" t="s">
        <v>140</v>
      </c>
      <c r="D144" s="19" t="s">
        <v>366</v>
      </c>
      <c r="E144" s="17" t="s">
        <v>227</v>
      </c>
      <c r="F144" s="17">
        <v>1</v>
      </c>
      <c r="G144" s="20">
        <v>44263</v>
      </c>
      <c r="H144" s="20">
        <v>44272</v>
      </c>
      <c r="I144" s="20">
        <v>44277</v>
      </c>
      <c r="J144" s="21"/>
      <c r="K144" s="18" t="s">
        <v>24</v>
      </c>
      <c r="L144" s="23" t="s">
        <v>58</v>
      </c>
      <c r="M144" s="18"/>
      <c r="N144" s="18">
        <v>1</v>
      </c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hidden="1" customHeight="1" x14ac:dyDescent="0.25">
      <c r="A145" s="16" t="s">
        <v>87</v>
      </c>
      <c r="B145" s="17" t="s">
        <v>247</v>
      </c>
      <c r="C145" s="18" t="s">
        <v>140</v>
      </c>
      <c r="D145" s="19" t="s">
        <v>366</v>
      </c>
      <c r="E145" s="17" t="s">
        <v>227</v>
      </c>
      <c r="F145" s="17">
        <v>1</v>
      </c>
      <c r="G145" s="20">
        <v>44270</v>
      </c>
      <c r="H145" s="20">
        <v>44278</v>
      </c>
      <c r="I145" s="20">
        <v>44278</v>
      </c>
      <c r="J145" s="21"/>
      <c r="K145" s="18" t="s">
        <v>24</v>
      </c>
      <c r="L145" s="23" t="s">
        <v>58</v>
      </c>
      <c r="M145" s="18"/>
      <c r="N145" s="18">
        <v>1</v>
      </c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hidden="1" customHeight="1" x14ac:dyDescent="0.25">
      <c r="A146" s="16" t="s">
        <v>72</v>
      </c>
      <c r="B146" s="17">
        <v>225891</v>
      </c>
      <c r="C146" s="18" t="s">
        <v>77</v>
      </c>
      <c r="D146" s="56" t="s">
        <v>367</v>
      </c>
      <c r="E146" s="17" t="s">
        <v>59</v>
      </c>
      <c r="F146" s="17"/>
      <c r="G146" s="20">
        <v>44263</v>
      </c>
      <c r="H146" s="20">
        <v>44284</v>
      </c>
      <c r="I146" s="20">
        <v>44284</v>
      </c>
      <c r="J146" s="21" t="s">
        <v>343</v>
      </c>
      <c r="K146" s="18" t="s">
        <v>24</v>
      </c>
      <c r="L146" s="23"/>
      <c r="M146" s="18"/>
      <c r="N146" s="18"/>
      <c r="O146" s="18" t="s">
        <v>27</v>
      </c>
      <c r="P146" s="21"/>
      <c r="Q146" s="18"/>
      <c r="R146" s="22"/>
    </row>
    <row r="147" spans="1:18" ht="30" hidden="1" customHeight="1" x14ac:dyDescent="0.25">
      <c r="A147" s="16" t="s">
        <v>30</v>
      </c>
      <c r="B147" s="17">
        <v>229225</v>
      </c>
      <c r="C147" s="18" t="s">
        <v>20</v>
      </c>
      <c r="D147" s="56" t="s">
        <v>368</v>
      </c>
      <c r="E147" s="17" t="s">
        <v>105</v>
      </c>
      <c r="F147" s="17">
        <v>3</v>
      </c>
      <c r="G147" s="20">
        <v>44278</v>
      </c>
      <c r="H147" s="20">
        <v>44279</v>
      </c>
      <c r="I147" s="20">
        <v>44279</v>
      </c>
      <c r="J147" s="21"/>
      <c r="K147" s="18" t="s">
        <v>24</v>
      </c>
      <c r="L147" s="23" t="s">
        <v>58</v>
      </c>
      <c r="M147" s="18" t="s">
        <v>26</v>
      </c>
      <c r="N147" s="18"/>
      <c r="O147" s="18" t="s">
        <v>38</v>
      </c>
      <c r="P147" s="21" t="s">
        <v>27</v>
      </c>
      <c r="Q147" s="18" t="s">
        <v>29</v>
      </c>
      <c r="R147" s="22" t="s">
        <v>29</v>
      </c>
    </row>
    <row r="148" spans="1:18" ht="30" hidden="1" customHeight="1" x14ac:dyDescent="0.25">
      <c r="A148" s="16" t="s">
        <v>76</v>
      </c>
      <c r="B148" s="17">
        <v>229365</v>
      </c>
      <c r="C148" s="18" t="s">
        <v>140</v>
      </c>
      <c r="D148" s="56" t="s">
        <v>369</v>
      </c>
      <c r="E148" s="17" t="s">
        <v>102</v>
      </c>
      <c r="F148" s="17">
        <v>1</v>
      </c>
      <c r="G148" s="20">
        <v>44278</v>
      </c>
      <c r="H148" s="20">
        <v>44281</v>
      </c>
      <c r="I148" s="20">
        <v>44280</v>
      </c>
      <c r="J148" s="21" t="s">
        <v>370</v>
      </c>
      <c r="K148" s="18" t="s">
        <v>24</v>
      </c>
      <c r="L148" s="23" t="s">
        <v>58</v>
      </c>
      <c r="M148" s="18" t="s">
        <v>26</v>
      </c>
      <c r="N148" s="18"/>
      <c r="O148" s="18" t="s">
        <v>38</v>
      </c>
      <c r="P148" s="21" t="s">
        <v>38</v>
      </c>
      <c r="Q148" s="18" t="s">
        <v>54</v>
      </c>
      <c r="R148" s="22" t="s">
        <v>54</v>
      </c>
    </row>
    <row r="149" spans="1:18" ht="30" hidden="1" customHeight="1" x14ac:dyDescent="0.25">
      <c r="A149" s="16" t="s">
        <v>76</v>
      </c>
      <c r="B149" s="17">
        <v>229365</v>
      </c>
      <c r="C149" s="18" t="s">
        <v>140</v>
      </c>
      <c r="D149" s="56" t="s">
        <v>369</v>
      </c>
      <c r="E149" s="17" t="s">
        <v>107</v>
      </c>
      <c r="F149" s="17">
        <v>1</v>
      </c>
      <c r="G149" s="20">
        <v>44278</v>
      </c>
      <c r="H149" s="20">
        <v>44281</v>
      </c>
      <c r="I149" s="20">
        <v>44280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hidden="1" customHeight="1" x14ac:dyDescent="0.25">
      <c r="A150" s="16" t="s">
        <v>76</v>
      </c>
      <c r="B150" s="17">
        <v>229365</v>
      </c>
      <c r="C150" s="18" t="s">
        <v>140</v>
      </c>
      <c r="D150" s="56" t="s">
        <v>369</v>
      </c>
      <c r="E150" s="17" t="s">
        <v>46</v>
      </c>
      <c r="F150" s="17">
        <v>1</v>
      </c>
      <c r="G150" s="20">
        <v>44278</v>
      </c>
      <c r="H150" s="20">
        <v>44281</v>
      </c>
      <c r="I150" s="20">
        <v>44280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hidden="1" customHeight="1" x14ac:dyDescent="0.25">
      <c r="A151" s="16" t="s">
        <v>182</v>
      </c>
      <c r="B151" s="17">
        <v>230054</v>
      </c>
      <c r="C151" s="18" t="s">
        <v>140</v>
      </c>
      <c r="D151" s="56" t="s">
        <v>371</v>
      </c>
      <c r="E151" s="17" t="s">
        <v>151</v>
      </c>
      <c r="F151" s="17">
        <v>1</v>
      </c>
      <c r="G151" s="20">
        <v>44280</v>
      </c>
      <c r="H151" s="20">
        <v>44281</v>
      </c>
      <c r="I151" s="20">
        <v>44281</v>
      </c>
      <c r="J151" s="21"/>
      <c r="K151" s="18" t="s">
        <v>24</v>
      </c>
      <c r="L151" s="23" t="s">
        <v>25</v>
      </c>
      <c r="M151" s="18" t="s">
        <v>26</v>
      </c>
      <c r="N151" s="18"/>
      <c r="O151" s="18" t="s">
        <v>27</v>
      </c>
      <c r="P151" s="21" t="s">
        <v>27</v>
      </c>
      <c r="Q151" s="18" t="s">
        <v>54</v>
      </c>
      <c r="R151" s="22" t="s">
        <v>54</v>
      </c>
    </row>
    <row r="152" spans="1:18" ht="30" hidden="1" customHeight="1" x14ac:dyDescent="0.25">
      <c r="A152" s="16" t="s">
        <v>76</v>
      </c>
      <c r="B152" s="17">
        <v>229366</v>
      </c>
      <c r="C152" s="18" t="s">
        <v>140</v>
      </c>
      <c r="D152" s="56" t="s">
        <v>372</v>
      </c>
      <c r="E152" s="17" t="s">
        <v>22</v>
      </c>
      <c r="F152" s="17">
        <v>1</v>
      </c>
      <c r="G152" s="20">
        <v>44278</v>
      </c>
      <c r="H152" s="20"/>
      <c r="I152" s="20">
        <v>44281</v>
      </c>
      <c r="J152" s="21"/>
      <c r="K152" s="18" t="s">
        <v>24</v>
      </c>
      <c r="L152" s="23" t="s">
        <v>58</v>
      </c>
      <c r="M152" s="18"/>
      <c r="N152" s="18">
        <v>2</v>
      </c>
      <c r="O152" s="18" t="s">
        <v>38</v>
      </c>
      <c r="P152" s="21" t="s">
        <v>38</v>
      </c>
      <c r="Q152" s="18" t="s">
        <v>28</v>
      </c>
      <c r="R152" s="22" t="s">
        <v>54</v>
      </c>
    </row>
    <row r="153" spans="1:18" ht="30" hidden="1" customHeight="1" x14ac:dyDescent="0.25">
      <c r="A153" s="16" t="s">
        <v>300</v>
      </c>
      <c r="B153" s="17">
        <v>230598</v>
      </c>
      <c r="C153" s="18" t="s">
        <v>77</v>
      </c>
      <c r="D153" s="56" t="s">
        <v>373</v>
      </c>
      <c r="E153" s="17" t="s">
        <v>79</v>
      </c>
      <c r="F153" s="17">
        <v>3</v>
      </c>
      <c r="G153" s="20">
        <v>44284</v>
      </c>
      <c r="H153" s="20">
        <v>44284</v>
      </c>
      <c r="I153" s="20">
        <v>44284</v>
      </c>
      <c r="J153" s="21" t="s">
        <v>374</v>
      </c>
      <c r="K153" s="18" t="s">
        <v>24</v>
      </c>
      <c r="L153" s="23" t="s">
        <v>37</v>
      </c>
      <c r="M153" s="18" t="s">
        <v>34</v>
      </c>
      <c r="N153" s="18"/>
      <c r="O153" s="18" t="s">
        <v>38</v>
      </c>
      <c r="P153" s="21"/>
      <c r="Q153" s="18"/>
      <c r="R153" s="22"/>
    </row>
    <row r="154" spans="1:18" ht="30" customHeight="1" x14ac:dyDescent="0.25">
      <c r="A154" s="16" t="s">
        <v>39</v>
      </c>
      <c r="B154" s="17" t="s">
        <v>247</v>
      </c>
      <c r="C154" s="18" t="s">
        <v>140</v>
      </c>
      <c r="D154" s="19" t="s">
        <v>323</v>
      </c>
      <c r="E154" s="17" t="s">
        <v>22</v>
      </c>
      <c r="F154" s="17">
        <v>1</v>
      </c>
      <c r="G154" s="20">
        <v>44286</v>
      </c>
      <c r="H154" s="20">
        <v>44286</v>
      </c>
      <c r="I154" s="20">
        <v>44286</v>
      </c>
      <c r="J154" s="21"/>
      <c r="K154" s="18" t="s">
        <v>24</v>
      </c>
      <c r="L154" s="23"/>
      <c r="M154" s="18" t="s">
        <v>26</v>
      </c>
      <c r="N154" s="18"/>
      <c r="O154" s="18" t="s">
        <v>38</v>
      </c>
      <c r="P154" s="21" t="s">
        <v>38</v>
      </c>
      <c r="Q154" s="18" t="s">
        <v>54</v>
      </c>
      <c r="R154" s="22"/>
    </row>
    <row r="155" spans="1:18" ht="30" hidden="1" customHeight="1" x14ac:dyDescent="0.25">
      <c r="A155" s="16" t="s">
        <v>52</v>
      </c>
      <c r="B155" s="17">
        <v>231144</v>
      </c>
      <c r="C155" s="18" t="s">
        <v>77</v>
      </c>
      <c r="D155" s="56" t="s">
        <v>375</v>
      </c>
      <c r="E155" s="17" t="s">
        <v>83</v>
      </c>
      <c r="F155" s="17"/>
      <c r="G155" s="20"/>
      <c r="H155" s="20"/>
      <c r="I155" s="20"/>
      <c r="J155" s="21" t="s">
        <v>376</v>
      </c>
      <c r="K155" s="18" t="s">
        <v>24</v>
      </c>
      <c r="L155" s="23" t="s">
        <v>37</v>
      </c>
      <c r="M155" s="18"/>
      <c r="N155" s="18"/>
      <c r="O155" s="18"/>
      <c r="P155" s="21"/>
      <c r="Q155" s="18"/>
      <c r="R155" s="22"/>
    </row>
    <row r="156" spans="1:18" ht="30" hidden="1" customHeight="1" x14ac:dyDescent="0.25">
      <c r="A156" s="16" t="s">
        <v>361</v>
      </c>
      <c r="B156" s="17" t="s">
        <v>247</v>
      </c>
      <c r="C156" s="18" t="s">
        <v>140</v>
      </c>
      <c r="D156" s="56" t="s">
        <v>366</v>
      </c>
      <c r="E156" s="17" t="s">
        <v>227</v>
      </c>
      <c r="F156" s="17">
        <v>1</v>
      </c>
      <c r="G156" s="20">
        <v>44272</v>
      </c>
      <c r="H156" s="20">
        <v>44280</v>
      </c>
      <c r="I156" s="20">
        <v>44281</v>
      </c>
      <c r="J156" s="21"/>
      <c r="K156" s="18" t="s">
        <v>24</v>
      </c>
      <c r="L156" s="23"/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hidden="1" customHeight="1" x14ac:dyDescent="0.25">
      <c r="A157" s="16" t="s">
        <v>132</v>
      </c>
      <c r="B157" s="17" t="s">
        <v>247</v>
      </c>
      <c r="C157" s="18" t="s">
        <v>140</v>
      </c>
      <c r="D157" s="56" t="s">
        <v>366</v>
      </c>
      <c r="E157" s="17" t="s">
        <v>227</v>
      </c>
      <c r="F157" s="17">
        <v>1</v>
      </c>
      <c r="G157" s="20">
        <v>44277</v>
      </c>
      <c r="H157" s="20">
        <v>44285</v>
      </c>
      <c r="I157" s="20">
        <v>44284</v>
      </c>
      <c r="J157" s="21"/>
      <c r="K157" s="18" t="s">
        <v>24</v>
      </c>
      <c r="L157" s="23"/>
      <c r="M157" s="18" t="s">
        <v>26</v>
      </c>
      <c r="N157" s="18"/>
      <c r="O157" s="18" t="s">
        <v>38</v>
      </c>
      <c r="P157" s="21" t="s">
        <v>38</v>
      </c>
      <c r="Q157" s="18" t="s">
        <v>54</v>
      </c>
      <c r="R157" s="22" t="s">
        <v>54</v>
      </c>
    </row>
  </sheetData>
  <conditionalFormatting sqref="A93:H93 J93:R93 A113:C113 E113:H113 A116:R117 C118:R119 A118:A119 A127:F127 J127:P127 L98:O98 R98 K93:K98 P94:Q98 A98:J98 A100:D100 A86:R92 J113:Q113 F100:H100 A107:R112 J100 L100:R100 A150:P150 A120:R121 A122:H124 J122:R124 A155:R157 A151:R152 O147 A146:R146 A128:R130 A125:R125 A2:R78">
    <cfRule type="expression" dxfId="823" priority="951">
      <formula>$K2="CANCELADO"</formula>
    </cfRule>
    <cfRule type="expression" dxfId="822" priority="952">
      <formula>$K2="STAND-BY"</formula>
    </cfRule>
    <cfRule type="expression" dxfId="821" priority="953">
      <formula>$K2="AGUARDANDO APROVAÇÃO"</formula>
    </cfRule>
    <cfRule type="expression" dxfId="820" priority="954">
      <formula>$K2="OK"</formula>
    </cfRule>
    <cfRule type="expression" dxfId="819" priority="955">
      <formula>AND((TODAY()-$H2)&gt;0,$H2&lt;&gt;"",$I2="")=TRUE</formula>
    </cfRule>
  </conditionalFormatting>
  <conditionalFormatting sqref="A94:G95 L94:O95 R94:R95">
    <cfRule type="expression" dxfId="818" priority="891">
      <formula>$K94="CANCELADO"</formula>
    </cfRule>
    <cfRule type="expression" dxfId="817" priority="892">
      <formula>$K94="STAND-BY"</formula>
    </cfRule>
    <cfRule type="expression" dxfId="816" priority="893">
      <formula>$K94="AGUARDANDO APROVAÇÃO"</formula>
    </cfRule>
    <cfRule type="expression" dxfId="815" priority="894">
      <formula>$K94="OK"</formula>
    </cfRule>
    <cfRule type="expression" dxfId="814" priority="895">
      <formula>AND((TODAY()-$H94)&gt;0,$H94&lt;&gt;"",$I94="")=TRUE</formula>
    </cfRule>
  </conditionalFormatting>
  <conditionalFormatting sqref="J94:J95">
    <cfRule type="expression" dxfId="813" priority="886">
      <formula>$K94="CANCELADO"</formula>
    </cfRule>
    <cfRule type="expression" dxfId="812" priority="887">
      <formula>$K94="STAND-BY"</formula>
    </cfRule>
    <cfRule type="expression" dxfId="811" priority="888">
      <formula>$K94="AGUARDANDO APROVAÇÃO"</formula>
    </cfRule>
    <cfRule type="expression" dxfId="810" priority="889">
      <formula>$K94="OK"</formula>
    </cfRule>
    <cfRule type="expression" dxfId="809" priority="890">
      <formula>AND((TODAY()-$H94)&gt;0,$H94&lt;&gt;"",$I94="")=TRUE</formula>
    </cfRule>
  </conditionalFormatting>
  <conditionalFormatting sqref="H94:H95">
    <cfRule type="expression" dxfId="808" priority="881">
      <formula>$K94="CANCELADO"</formula>
    </cfRule>
    <cfRule type="expression" dxfId="807" priority="882">
      <formula>$K94="STAND-BY"</formula>
    </cfRule>
    <cfRule type="expression" dxfId="806" priority="883">
      <formula>$K94="AGUARDANDO APROVAÇÃO"</formula>
    </cfRule>
    <cfRule type="expression" dxfId="805" priority="884">
      <formula>$K94="OK"</formula>
    </cfRule>
    <cfRule type="expression" dxfId="804" priority="885">
      <formula>AND((TODAY()-$H94)&gt;0,$H94&lt;&gt;"",$I94="")=TRUE</formula>
    </cfRule>
  </conditionalFormatting>
  <conditionalFormatting sqref="S79:AI79">
    <cfRule type="expression" dxfId="803" priority="876">
      <formula>$K79="CANCELADO"</formula>
    </cfRule>
    <cfRule type="expression" dxfId="802" priority="877">
      <formula>$K79="STAND-BY"</formula>
    </cfRule>
    <cfRule type="expression" dxfId="801" priority="878">
      <formula>$K79="AGUARDANDO APROVAÇÃO"</formula>
    </cfRule>
    <cfRule type="expression" dxfId="800" priority="879">
      <formula>$K79="OK"</formula>
    </cfRule>
    <cfRule type="expression" dxfId="799" priority="880">
      <formula>AND((TODAY()-$H79)&gt;0,$H79&lt;&gt;"",$I79="")=TRUE</formula>
    </cfRule>
  </conditionalFormatting>
  <conditionalFormatting sqref="A79:H79 J79:R79">
    <cfRule type="expression" dxfId="798" priority="871">
      <formula>$K79="CANCELADO"</formula>
    </cfRule>
    <cfRule type="expression" dxfId="797" priority="872">
      <formula>$K79="STAND-BY"</formula>
    </cfRule>
    <cfRule type="expression" dxfId="796" priority="873">
      <formula>$K79="AGUARDANDO APROVAÇÃO"</formula>
    </cfRule>
    <cfRule type="expression" dxfId="795" priority="874">
      <formula>$K79="OK"</formula>
    </cfRule>
    <cfRule type="expression" dxfId="794" priority="875">
      <formula>AND((TODAY()-$H79)&gt;0,$H79&lt;&gt;"",$I79="")=TRUE</formula>
    </cfRule>
  </conditionalFormatting>
  <conditionalFormatting sqref="A80:H80 J80:R80">
    <cfRule type="expression" dxfId="793" priority="866">
      <formula>$K80="CANCELADO"</formula>
    </cfRule>
    <cfRule type="expression" dxfId="792" priority="867">
      <formula>$K80="STAND-BY"</formula>
    </cfRule>
    <cfRule type="expression" dxfId="791" priority="868">
      <formula>$K80="AGUARDANDO APROVAÇÃO"</formula>
    </cfRule>
    <cfRule type="expression" dxfId="790" priority="869">
      <formula>$K80="OK"</formula>
    </cfRule>
    <cfRule type="expression" dxfId="789" priority="870">
      <formula>AND((TODAY()-$H80)&gt;0,$H80&lt;&gt;"",$I80="")=TRUE</formula>
    </cfRule>
  </conditionalFormatting>
  <conditionalFormatting sqref="A81:H81 J81:R81">
    <cfRule type="expression" dxfId="788" priority="861">
      <formula>$K81="CANCELADO"</formula>
    </cfRule>
    <cfRule type="expression" dxfId="787" priority="862">
      <formula>$K81="STAND-BY"</formula>
    </cfRule>
    <cfRule type="expression" dxfId="786" priority="863">
      <formula>$K81="AGUARDANDO APROVAÇÃO"</formula>
    </cfRule>
    <cfRule type="expression" dxfId="785" priority="864">
      <formula>$K81="OK"</formula>
    </cfRule>
    <cfRule type="expression" dxfId="784" priority="865">
      <formula>AND((TODAY()-$H81)&gt;0,$H81&lt;&gt;"",$I81="")=TRUE</formula>
    </cfRule>
  </conditionalFormatting>
  <conditionalFormatting sqref="J82:R84 A82:H84">
    <cfRule type="expression" dxfId="783" priority="856">
      <formula>$K82="CANCELADO"</formula>
    </cfRule>
    <cfRule type="expression" dxfId="782" priority="857">
      <formula>$K82="STAND-BY"</formula>
    </cfRule>
    <cfRule type="expression" dxfId="781" priority="858">
      <formula>$K82="AGUARDANDO APROVAÇÃO"</formula>
    </cfRule>
    <cfRule type="expression" dxfId="780" priority="859">
      <formula>$K82="OK"</formula>
    </cfRule>
    <cfRule type="expression" dxfId="779" priority="860">
      <formula>AND((TODAY()-$H82)&gt;0,$H82&lt;&gt;"",$I82="")=TRUE</formula>
    </cfRule>
  </conditionalFormatting>
  <conditionalFormatting sqref="I79:I84">
    <cfRule type="expression" dxfId="778" priority="851">
      <formula>$K79="CANCELADO"</formula>
    </cfRule>
    <cfRule type="expression" dxfId="777" priority="852">
      <formula>$K79="STAND-BY"</formula>
    </cfRule>
    <cfRule type="expression" dxfId="776" priority="853">
      <formula>$K79="AGUARDANDO APROVAÇÃO"</formula>
    </cfRule>
    <cfRule type="expression" dxfId="775" priority="854">
      <formula>$K79="OK"</formula>
    </cfRule>
    <cfRule type="expression" dxfId="774" priority="855">
      <formula>AND((TODAY()-$H79)&gt;0,$H79&lt;&gt;"",$I79="")=TRUE</formula>
    </cfRule>
  </conditionalFormatting>
  <conditionalFormatting sqref="A96:G96 L96:O96 R96">
    <cfRule type="expression" dxfId="773" priority="846">
      <formula>$K96="CANCELADO"</formula>
    </cfRule>
    <cfRule type="expression" dxfId="772" priority="847">
      <formula>$K96="STAND-BY"</formula>
    </cfRule>
    <cfRule type="expression" dxfId="771" priority="848">
      <formula>$K96="AGUARDANDO APROVAÇÃO"</formula>
    </cfRule>
    <cfRule type="expression" dxfId="770" priority="849">
      <formula>$K96="OK"</formula>
    </cfRule>
    <cfRule type="expression" dxfId="769" priority="850">
      <formula>AND((TODAY()-$H96)&gt;0,$H96&lt;&gt;"",$I96="")=TRUE</formula>
    </cfRule>
  </conditionalFormatting>
  <conditionalFormatting sqref="J96">
    <cfRule type="expression" dxfId="768" priority="841">
      <formula>$K96="CANCELADO"</formula>
    </cfRule>
    <cfRule type="expression" dxfId="767" priority="842">
      <formula>$K96="STAND-BY"</formula>
    </cfRule>
    <cfRule type="expression" dxfId="766" priority="843">
      <formula>$K96="AGUARDANDO APROVAÇÃO"</formula>
    </cfRule>
    <cfRule type="expression" dxfId="765" priority="844">
      <formula>$K96="OK"</formula>
    </cfRule>
    <cfRule type="expression" dxfId="764" priority="845">
      <formula>AND((TODAY()-$H96)&gt;0,$H96&lt;&gt;"",$I96="")=TRUE</formula>
    </cfRule>
  </conditionalFormatting>
  <conditionalFormatting sqref="H96">
    <cfRule type="expression" dxfId="763" priority="836">
      <formula>$K96="CANCELADO"</formula>
    </cfRule>
    <cfRule type="expression" dxfId="762" priority="837">
      <formula>$K96="STAND-BY"</formula>
    </cfRule>
    <cfRule type="expression" dxfId="761" priority="838">
      <formula>$K96="AGUARDANDO APROVAÇÃO"</formula>
    </cfRule>
    <cfRule type="expression" dxfId="760" priority="839">
      <formula>$K96="OK"</formula>
    </cfRule>
    <cfRule type="expression" dxfId="759" priority="840">
      <formula>AND((TODAY()-$H96)&gt;0,$H96&lt;&gt;"",$I96="")=TRUE</formula>
    </cfRule>
  </conditionalFormatting>
  <conditionalFormatting sqref="A97:G97 L97:O97 R97">
    <cfRule type="expression" dxfId="758" priority="831">
      <formula>$K97="CANCELADO"</formula>
    </cfRule>
    <cfRule type="expression" dxfId="757" priority="832">
      <formula>$K97="STAND-BY"</formula>
    </cfRule>
    <cfRule type="expression" dxfId="756" priority="833">
      <formula>$K97="AGUARDANDO APROVAÇÃO"</formula>
    </cfRule>
    <cfRule type="expression" dxfId="755" priority="834">
      <formula>$K97="OK"</formula>
    </cfRule>
    <cfRule type="expression" dxfId="754" priority="835">
      <formula>AND((TODAY()-$H97)&gt;0,$H97&lt;&gt;"",$I97="")=TRUE</formula>
    </cfRule>
  </conditionalFormatting>
  <conditionalFormatting sqref="J97">
    <cfRule type="expression" dxfId="753" priority="826">
      <formula>$K97="CANCELADO"</formula>
    </cfRule>
    <cfRule type="expression" dxfId="752" priority="827">
      <formula>$K97="STAND-BY"</formula>
    </cfRule>
    <cfRule type="expression" dxfId="751" priority="828">
      <formula>$K97="AGUARDANDO APROVAÇÃO"</formula>
    </cfRule>
    <cfRule type="expression" dxfId="750" priority="829">
      <formula>$K97="OK"</formula>
    </cfRule>
    <cfRule type="expression" dxfId="749" priority="830">
      <formula>AND((TODAY()-$H97)&gt;0,$H97&lt;&gt;"",$I97="")=TRUE</formula>
    </cfRule>
  </conditionalFormatting>
  <conditionalFormatting sqref="H97">
    <cfRule type="expression" dxfId="748" priority="821">
      <formula>$K97="CANCELADO"</formula>
    </cfRule>
    <cfRule type="expression" dxfId="747" priority="822">
      <formula>$K97="STAND-BY"</formula>
    </cfRule>
    <cfRule type="expression" dxfId="746" priority="823">
      <formula>$K97="AGUARDANDO APROVAÇÃO"</formula>
    </cfRule>
    <cfRule type="expression" dxfId="745" priority="824">
      <formula>$K97="OK"</formula>
    </cfRule>
    <cfRule type="expression" dxfId="744" priority="825">
      <formula>AND((TODAY()-$H97)&gt;0,$H97&lt;&gt;"",$I97="")=TRUE</formula>
    </cfRule>
  </conditionalFormatting>
  <conditionalFormatting sqref="I93">
    <cfRule type="expression" dxfId="743" priority="786">
      <formula>$K93="CANCELADO"</formula>
    </cfRule>
    <cfRule type="expression" dxfId="742" priority="787">
      <formula>$K93="STAND-BY"</formula>
    </cfRule>
    <cfRule type="expression" dxfId="741" priority="788">
      <formula>$K93="AGUARDANDO APROVAÇÃO"</formula>
    </cfRule>
    <cfRule type="expression" dxfId="740" priority="789">
      <formula>$K93="OK"</formula>
    </cfRule>
    <cfRule type="expression" dxfId="739" priority="790">
      <formula>AND((TODAY()-$H93)&gt;0,$H93&lt;&gt;"",$I93="")=TRUE</formula>
    </cfRule>
  </conditionalFormatting>
  <conditionalFormatting sqref="I94:I95">
    <cfRule type="expression" dxfId="738" priority="781">
      <formula>$K94="CANCELADO"</formula>
    </cfRule>
    <cfRule type="expression" dxfId="737" priority="782">
      <formula>$K94="STAND-BY"</formula>
    </cfRule>
    <cfRule type="expression" dxfId="736" priority="783">
      <formula>$K94="AGUARDANDO APROVAÇÃO"</formula>
    </cfRule>
    <cfRule type="expression" dxfId="735" priority="784">
      <formula>$K94="OK"</formula>
    </cfRule>
    <cfRule type="expression" dxfId="734" priority="785">
      <formula>AND((TODAY()-$H94)&gt;0,$H94&lt;&gt;"",$I94="")=TRUE</formula>
    </cfRule>
  </conditionalFormatting>
  <conditionalFormatting sqref="I96">
    <cfRule type="expression" dxfId="733" priority="776">
      <formula>$K96="CANCELADO"</formula>
    </cfRule>
    <cfRule type="expression" dxfId="732" priority="777">
      <formula>$K96="STAND-BY"</formula>
    </cfRule>
    <cfRule type="expression" dxfId="731" priority="778">
      <formula>$K96="AGUARDANDO APROVAÇÃO"</formula>
    </cfRule>
    <cfRule type="expression" dxfId="730" priority="779">
      <formula>$K96="OK"</formula>
    </cfRule>
    <cfRule type="expression" dxfId="729" priority="780">
      <formula>AND((TODAY()-$H96)&gt;0,$H96&lt;&gt;"",$I96="")=TRUE</formula>
    </cfRule>
  </conditionalFormatting>
  <conditionalFormatting sqref="I97">
    <cfRule type="expression" dxfId="728" priority="771">
      <formula>$K97="CANCELADO"</formula>
    </cfRule>
    <cfRule type="expression" dxfId="727" priority="772">
      <formula>$K97="STAND-BY"</formula>
    </cfRule>
    <cfRule type="expression" dxfId="726" priority="773">
      <formula>$K97="AGUARDANDO APROVAÇÃO"</formula>
    </cfRule>
    <cfRule type="expression" dxfId="725" priority="774">
      <formula>$K97="OK"</formula>
    </cfRule>
    <cfRule type="expression" dxfId="724" priority="775">
      <formula>AND((TODAY()-$H97)&gt;0,$H97&lt;&gt;"",$I97="")=TRUE</formula>
    </cfRule>
  </conditionalFormatting>
  <conditionalFormatting sqref="A114:C114 E114:H114 J114:Q114">
    <cfRule type="expression" dxfId="723" priority="761">
      <formula>$K114="CANCELADO"</formula>
    </cfRule>
    <cfRule type="expression" dxfId="722" priority="762">
      <formula>$K114="STAND-BY"</formula>
    </cfRule>
    <cfRule type="expression" dxfId="721" priority="763">
      <formula>$K114="AGUARDANDO APROVAÇÃO"</formula>
    </cfRule>
    <cfRule type="expression" dxfId="720" priority="764">
      <formula>$K114="OK"</formula>
    </cfRule>
    <cfRule type="expression" dxfId="719" priority="765">
      <formula>AND((TODAY()-$H114)&gt;0,$H114&lt;&gt;"",$I114="")=TRUE</formula>
    </cfRule>
  </conditionalFormatting>
  <conditionalFormatting sqref="A115:R115">
    <cfRule type="expression" dxfId="718" priority="756">
      <formula>$K115="CANCELADO"</formula>
    </cfRule>
    <cfRule type="expression" dxfId="717" priority="757">
      <formula>$K115="STAND-BY"</formula>
    </cfRule>
    <cfRule type="expression" dxfId="716" priority="758">
      <formula>$K115="AGUARDANDO APROVAÇÃO"</formula>
    </cfRule>
    <cfRule type="expression" dxfId="715" priority="759">
      <formula>$K115="OK"</formula>
    </cfRule>
    <cfRule type="expression" dxfId="714" priority="760">
      <formula>AND((TODAY()-$H115)&gt;0,$H115&lt;&gt;"",$I115="")=TRUE</formula>
    </cfRule>
  </conditionalFormatting>
  <conditionalFormatting sqref="A85:G85 J85:R85">
    <cfRule type="expression" dxfId="713" priority="741">
      <formula>$K85="CANCELADO"</formula>
    </cfRule>
    <cfRule type="expression" dxfId="712" priority="742">
      <formula>$K85="STAND-BY"</formula>
    </cfRule>
    <cfRule type="expression" dxfId="711" priority="743">
      <formula>$K85="AGUARDANDO APROVAÇÃO"</formula>
    </cfRule>
    <cfRule type="expression" dxfId="710" priority="744">
      <formula>$K85="OK"</formula>
    </cfRule>
    <cfRule type="expression" dxfId="709" priority="745">
      <formula>AND((TODAY()-$H85)&gt;0,$H85&lt;&gt;"",$I85="")=TRUE</formula>
    </cfRule>
  </conditionalFormatting>
  <conditionalFormatting sqref="A126:R126">
    <cfRule type="expression" dxfId="708" priority="731">
      <formula>$K126="CANCELADO"</formula>
    </cfRule>
    <cfRule type="expression" dxfId="707" priority="732">
      <formula>$K126="STAND-BY"</formula>
    </cfRule>
    <cfRule type="expression" dxfId="706" priority="733">
      <formula>$K126="AGUARDANDO APROVAÇÃO"</formula>
    </cfRule>
    <cfRule type="expression" dxfId="705" priority="734">
      <formula>$K126="OK"</formula>
    </cfRule>
    <cfRule type="expression" dxfId="704" priority="735">
      <formula>AND((TODAY()-$H126)&gt;0,$H126&lt;&gt;"",$I126="")=TRUE</formula>
    </cfRule>
  </conditionalFormatting>
  <conditionalFormatting sqref="G127:I127">
    <cfRule type="expression" dxfId="703" priority="726">
      <formula>$K127="CANCELADO"</formula>
    </cfRule>
    <cfRule type="expression" dxfId="702" priority="727">
      <formula>$K127="STAND-BY"</formula>
    </cfRule>
    <cfRule type="expression" dxfId="701" priority="728">
      <formula>$K127="AGUARDANDO APROVAÇÃO"</formula>
    </cfRule>
    <cfRule type="expression" dxfId="700" priority="729">
      <formula>$K127="OK"</formula>
    </cfRule>
    <cfRule type="expression" dxfId="699" priority="730">
      <formula>AND((TODAY()-$H127)&gt;0,$H127&lt;&gt;"",$I127="")=TRUE</formula>
    </cfRule>
  </conditionalFormatting>
  <conditionalFormatting sqref="Q127:R127">
    <cfRule type="expression" dxfId="698" priority="721">
      <formula>$K127="CANCELADO"</formula>
    </cfRule>
    <cfRule type="expression" dxfId="697" priority="722">
      <formula>$K127="STAND-BY"</formula>
    </cfRule>
    <cfRule type="expression" dxfId="696" priority="723">
      <formula>$K127="AGUARDANDO APROVAÇÃO"</formula>
    </cfRule>
    <cfRule type="expression" dxfId="695" priority="724">
      <formula>$K127="OK"</formula>
    </cfRule>
    <cfRule type="expression" dxfId="694" priority="725">
      <formula>AND((TODAY()-$H127)&gt;0,$H127&lt;&gt;"",$I127="")=TRUE</formula>
    </cfRule>
  </conditionalFormatting>
  <conditionalFormatting sqref="B119">
    <cfRule type="expression" dxfId="693" priority="716">
      <formula>$K119="CANCELADO"</formula>
    </cfRule>
    <cfRule type="expression" dxfId="692" priority="717">
      <formula>$K119="STAND-BY"</formula>
    </cfRule>
    <cfRule type="expression" dxfId="691" priority="718">
      <formula>$K119="AGUARDANDO APROVAÇÃO"</formula>
    </cfRule>
    <cfRule type="expression" dxfId="690" priority="719">
      <formula>$K119="OK"</formula>
    </cfRule>
    <cfRule type="expression" dxfId="689" priority="720">
      <formula>AND((TODAY()-$H119)&gt;0,$H119&lt;&gt;"",$I119="")=TRUE</formula>
    </cfRule>
  </conditionalFormatting>
  <conditionalFormatting sqref="B118">
    <cfRule type="expression" dxfId="688" priority="711">
      <formula>$K118="CANCELADO"</formula>
    </cfRule>
    <cfRule type="expression" dxfId="687" priority="712">
      <formula>$K118="STAND-BY"</formula>
    </cfRule>
    <cfRule type="expression" dxfId="686" priority="713">
      <formula>$K118="AGUARDANDO APROVAÇÃO"</formula>
    </cfRule>
    <cfRule type="expression" dxfId="685" priority="714">
      <formula>$K118="OK"</formula>
    </cfRule>
    <cfRule type="expression" dxfId="684" priority="715">
      <formula>AND((TODAY()-$H118)&gt;0,$H118&lt;&gt;"",$I118="")=TRUE</formula>
    </cfRule>
  </conditionalFormatting>
  <conditionalFormatting sqref="H85:I85">
    <cfRule type="expression" dxfId="683" priority="696">
      <formula>$K85="CANCELADO"</formula>
    </cfRule>
    <cfRule type="expression" dxfId="682" priority="697">
      <formula>$K85="STAND-BY"</formula>
    </cfRule>
    <cfRule type="expression" dxfId="681" priority="698">
      <formula>$K85="AGUARDANDO APROVAÇÃO"</formula>
    </cfRule>
    <cfRule type="expression" dxfId="680" priority="699">
      <formula>$K85="OK"</formula>
    </cfRule>
    <cfRule type="expression" dxfId="679" priority="700">
      <formula>AND((TODAY()-$H85)&gt;0,$H85&lt;&gt;"",$I85="")=TRUE</formula>
    </cfRule>
  </conditionalFormatting>
  <conditionalFormatting sqref="A99:R99">
    <cfRule type="expression" dxfId="678" priority="691">
      <formula>$K99="CANCELADO"</formula>
    </cfRule>
    <cfRule type="expression" dxfId="677" priority="692">
      <formula>$K99="STAND-BY"</formula>
    </cfRule>
    <cfRule type="expression" dxfId="676" priority="693">
      <formula>$K99="AGUARDANDO APROVAÇÃO"</formula>
    </cfRule>
    <cfRule type="expression" dxfId="675" priority="694">
      <formula>$K99="OK"</formula>
    </cfRule>
    <cfRule type="expression" dxfId="674" priority="695">
      <formula>AND((TODAY()-$H99)&gt;0,$H99&lt;&gt;"",$I99="")=TRUE</formula>
    </cfRule>
  </conditionalFormatting>
  <conditionalFormatting sqref="A131:R131">
    <cfRule type="expression" dxfId="673" priority="641">
      <formula>$K131="CANCELADO"</formula>
    </cfRule>
    <cfRule type="expression" dxfId="672" priority="642">
      <formula>$K131="STAND-BY"</formula>
    </cfRule>
    <cfRule type="expression" dxfId="671" priority="643">
      <formula>$K131="AGUARDANDO APROVAÇÃO"</formula>
    </cfRule>
    <cfRule type="expression" dxfId="670" priority="644">
      <formula>$K131="OK"</formula>
    </cfRule>
    <cfRule type="expression" dxfId="669" priority="645">
      <formula>AND((TODAY()-$H131)&gt;0,$H131&lt;&gt;"",$I131="")=TRUE</formula>
    </cfRule>
  </conditionalFormatting>
  <conditionalFormatting sqref="A132:R132 A133:P133 A137:R137 B139:R139 A142:R142 A144 A140:R140 J144:N144">
    <cfRule type="expression" dxfId="668" priority="611">
      <formula>$K132="CANCELADO"</formula>
    </cfRule>
    <cfRule type="expression" dxfId="667" priority="612">
      <formula>$K132="STAND-BY"</formula>
    </cfRule>
    <cfRule type="expression" dxfId="666" priority="613">
      <formula>$K132="AGUARDANDO APROVAÇÃO"</formula>
    </cfRule>
    <cfRule type="expression" dxfId="665" priority="614">
      <formula>$K132="OK"</formula>
    </cfRule>
    <cfRule type="expression" dxfId="664" priority="615">
      <formula>AND((TODAY()-$H132)&gt;0,$H132&lt;&gt;"",$I132="")=TRUE</formula>
    </cfRule>
  </conditionalFormatting>
  <conditionalFormatting sqref="A143 A145 A141:R141 F143:R143 G145:N145">
    <cfRule type="expression" dxfId="663" priority="616">
      <formula>$K141="CANCELADO"</formula>
    </cfRule>
    <cfRule type="expression" dxfId="662" priority="617">
      <formula>$K141="STAND-BY"</formula>
    </cfRule>
    <cfRule type="expression" dxfId="661" priority="618">
      <formula>$K141="AGUARDANDO APROVAÇÃO"</formula>
    </cfRule>
    <cfRule type="expression" dxfId="660" priority="619">
      <formula>$K141="OK"</formula>
    </cfRule>
    <cfRule type="expression" dxfId="659" priority="620">
      <formula>AND((TODAY()-$H141)&gt;0,$H141&lt;&gt;"",$I141="")=TRUE</formula>
    </cfRule>
  </conditionalFormatting>
  <conditionalFormatting sqref="A134:O134 A135:H135 J135:O135">
    <cfRule type="expression" dxfId="658" priority="606">
      <formula>$K134="CANCELADO"</formula>
    </cfRule>
    <cfRule type="expression" dxfId="657" priority="607">
      <formula>$K134="STAND-BY"</formula>
    </cfRule>
    <cfRule type="expression" dxfId="656" priority="608">
      <formula>$K134="AGUARDANDO APROVAÇÃO"</formula>
    </cfRule>
    <cfRule type="expression" dxfId="655" priority="609">
      <formula>$K134="OK"</formula>
    </cfRule>
    <cfRule type="expression" dxfId="654" priority="610">
      <formula>AND((TODAY()-$H134)&gt;0,$H134&lt;&gt;"",$I134="")=TRUE</formula>
    </cfRule>
  </conditionalFormatting>
  <conditionalFormatting sqref="A136:H136 J136:O136">
    <cfRule type="expression" dxfId="653" priority="601">
      <formula>$K136="CANCELADO"</formula>
    </cfRule>
    <cfRule type="expression" dxfId="652" priority="602">
      <formula>$K136="STAND-BY"</formula>
    </cfRule>
    <cfRule type="expression" dxfId="651" priority="603">
      <formula>$K136="AGUARDANDO APROVAÇÃO"</formula>
    </cfRule>
    <cfRule type="expression" dxfId="650" priority="604">
      <formula>$K136="OK"</formula>
    </cfRule>
    <cfRule type="expression" dxfId="649" priority="605">
      <formula>AND((TODAY()-$H136)&gt;0,$H136&lt;&gt;"",$I136="")=TRUE</formula>
    </cfRule>
  </conditionalFormatting>
  <conditionalFormatting sqref="E100">
    <cfRule type="expression" dxfId="648" priority="596">
      <formula>$K100="CANCELADO"</formula>
    </cfRule>
    <cfRule type="expression" dxfId="647" priority="597">
      <formula>$K100="STAND-BY"</formula>
    </cfRule>
    <cfRule type="expression" dxfId="646" priority="598">
      <formula>$K100="AGUARDANDO APROVAÇÃO"</formula>
    </cfRule>
    <cfRule type="expression" dxfId="645" priority="599">
      <formula>$K100="OK"</formula>
    </cfRule>
    <cfRule type="expression" dxfId="644" priority="600">
      <formula>AND((TODAY()-$H100)&gt;0,$H100&lt;&gt;"",$I100="")=TRUE</formula>
    </cfRule>
  </conditionalFormatting>
  <conditionalFormatting sqref="A138:R138">
    <cfRule type="expression" dxfId="643" priority="591">
      <formula>$K138="CANCELADO"</formula>
    </cfRule>
    <cfRule type="expression" dxfId="642" priority="592">
      <formula>$K138="STAND-BY"</formula>
    </cfRule>
    <cfRule type="expression" dxfId="641" priority="593">
      <formula>$K138="AGUARDANDO APROVAÇÃO"</formula>
    </cfRule>
    <cfRule type="expression" dxfId="640" priority="594">
      <formula>$K138="OK"</formula>
    </cfRule>
    <cfRule type="expression" dxfId="639" priority="595">
      <formula>AND((TODAY()-$H138)&gt;0,$H138&lt;&gt;"",$I138="")=TRUE</formula>
    </cfRule>
  </conditionalFormatting>
  <conditionalFormatting sqref="I114">
    <cfRule type="expression" dxfId="638" priority="561">
      <formula>$K114="CANCELADO"</formula>
    </cfRule>
    <cfRule type="expression" dxfId="637" priority="562">
      <formula>$K114="STAND-BY"</formula>
    </cfRule>
    <cfRule type="expression" dxfId="636" priority="563">
      <formula>$K114="AGUARDANDO APROVAÇÃO"</formula>
    </cfRule>
    <cfRule type="expression" dxfId="635" priority="564">
      <formula>$K114="OK"</formula>
    </cfRule>
    <cfRule type="expression" dxfId="634" priority="565">
      <formula>AND((TODAY()-$H114)&gt;0,$H114&lt;&gt;"",$I114="")=TRUE</formula>
    </cfRule>
  </conditionalFormatting>
  <conditionalFormatting sqref="A139">
    <cfRule type="expression" dxfId="633" priority="571">
      <formula>$K139="CANCELADO"</formula>
    </cfRule>
    <cfRule type="expression" dxfId="632" priority="572">
      <formula>$K139="STAND-BY"</formula>
    </cfRule>
    <cfRule type="expression" dxfId="631" priority="573">
      <formula>$K139="AGUARDANDO APROVAÇÃO"</formula>
    </cfRule>
    <cfRule type="expression" dxfId="630" priority="574">
      <formula>$K139="OK"</formula>
    </cfRule>
    <cfRule type="expression" dxfId="629" priority="575">
      <formula>AND((TODAY()-$H139)&gt;0,$H139&lt;&gt;"",$I139="")=TRUE</formula>
    </cfRule>
  </conditionalFormatting>
  <conditionalFormatting sqref="I113">
    <cfRule type="expression" dxfId="628" priority="566">
      <formula>$K113="CANCELADO"</formula>
    </cfRule>
    <cfRule type="expression" dxfId="627" priority="567">
      <formula>$K113="STAND-BY"</formula>
    </cfRule>
    <cfRule type="expression" dxfId="626" priority="568">
      <formula>$K113="AGUARDANDO APROVAÇÃO"</formula>
    </cfRule>
    <cfRule type="expression" dxfId="625" priority="569">
      <formula>$K113="OK"</formula>
    </cfRule>
    <cfRule type="expression" dxfId="624" priority="570">
      <formula>AND((TODAY()-$H113)&gt;0,$H113&lt;&gt;"",$I113="")=TRUE</formula>
    </cfRule>
  </conditionalFormatting>
  <conditionalFormatting sqref="A101:D101 F101:H101 Q101 J101 L101:N101">
    <cfRule type="expression" dxfId="623" priority="521">
      <formula>$K101="CANCELADO"</formula>
    </cfRule>
    <cfRule type="expression" dxfId="622" priority="522">
      <formula>$K101="STAND-BY"</formula>
    </cfRule>
    <cfRule type="expression" dxfId="621" priority="523">
      <formula>$K101="AGUARDANDO APROVAÇÃO"</formula>
    </cfRule>
    <cfRule type="expression" dxfId="620" priority="524">
      <formula>$K101="OK"</formula>
    </cfRule>
    <cfRule type="expression" dxfId="619" priority="525">
      <formula>AND((TODAY()-$H101)&gt;0,$H101&lt;&gt;"",$I101="")=TRUE</formula>
    </cfRule>
  </conditionalFormatting>
  <conditionalFormatting sqref="E101">
    <cfRule type="expression" dxfId="618" priority="516">
      <formula>$K101="CANCELADO"</formula>
    </cfRule>
    <cfRule type="expression" dxfId="617" priority="517">
      <formula>$K101="STAND-BY"</formula>
    </cfRule>
    <cfRule type="expression" dxfId="616" priority="518">
      <formula>$K101="AGUARDANDO APROVAÇÃO"</formula>
    </cfRule>
    <cfRule type="expression" dxfId="615" priority="519">
      <formula>$K101="OK"</formula>
    </cfRule>
    <cfRule type="expression" dxfId="614" priority="520">
      <formula>AND((TODAY()-$H101)&gt;0,$H101&lt;&gt;"",$I101="")=TRUE</formula>
    </cfRule>
  </conditionalFormatting>
  <conditionalFormatting sqref="O101">
    <cfRule type="expression" dxfId="613" priority="511">
      <formula>$K101="CANCELADO"</formula>
    </cfRule>
    <cfRule type="expression" dxfId="612" priority="512">
      <formula>$K101="STAND-BY"</formula>
    </cfRule>
    <cfRule type="expression" dxfId="611" priority="513">
      <formula>$K101="AGUARDANDO APROVAÇÃO"</formula>
    </cfRule>
    <cfRule type="expression" dxfId="610" priority="514">
      <formula>$K101="OK"</formula>
    </cfRule>
    <cfRule type="expression" dxfId="609" priority="515">
      <formula>AND((TODAY()-$H101)&gt;0,$H101&lt;&gt;"",$I101="")=TRUE</formula>
    </cfRule>
  </conditionalFormatting>
  <conditionalFormatting sqref="P101">
    <cfRule type="expression" dxfId="608" priority="506">
      <formula>$K101="CANCELADO"</formula>
    </cfRule>
    <cfRule type="expression" dxfId="607" priority="507">
      <formula>$K101="STAND-BY"</formula>
    </cfRule>
    <cfRule type="expression" dxfId="606" priority="508">
      <formula>$K101="AGUARDANDO APROVAÇÃO"</formula>
    </cfRule>
    <cfRule type="expression" dxfId="605" priority="509">
      <formula>$K101="OK"</formula>
    </cfRule>
    <cfRule type="expression" dxfId="604" priority="510">
      <formula>AND((TODAY()-$H101)&gt;0,$H101&lt;&gt;"",$I101="")=TRUE</formula>
    </cfRule>
  </conditionalFormatting>
  <conditionalFormatting sqref="R101">
    <cfRule type="expression" dxfId="603" priority="501">
      <formula>$K101="CANCELADO"</formula>
    </cfRule>
    <cfRule type="expression" dxfId="602" priority="502">
      <formula>$K101="STAND-BY"</formula>
    </cfRule>
    <cfRule type="expression" dxfId="601" priority="503">
      <formula>$K101="AGUARDANDO APROVAÇÃO"</formula>
    </cfRule>
    <cfRule type="expression" dxfId="600" priority="504">
      <formula>$K101="OK"</formula>
    </cfRule>
    <cfRule type="expression" dxfId="599" priority="505">
      <formula>AND((TODAY()-$H101)&gt;0,$H101&lt;&gt;"",$I101="")=TRUE</formula>
    </cfRule>
  </conditionalFormatting>
  <conditionalFormatting sqref="A102:D102 F102:H102 J102 L102:R102">
    <cfRule type="expression" dxfId="598" priority="496">
      <formula>$K102="CANCELADO"</formula>
    </cfRule>
    <cfRule type="expression" dxfId="597" priority="497">
      <formula>$K102="STAND-BY"</formula>
    </cfRule>
    <cfRule type="expression" dxfId="596" priority="498">
      <formula>$K102="AGUARDANDO APROVAÇÃO"</formula>
    </cfRule>
    <cfRule type="expression" dxfId="595" priority="499">
      <formula>$K102="OK"</formula>
    </cfRule>
    <cfRule type="expression" dxfId="594" priority="500">
      <formula>AND((TODAY()-$H102)&gt;0,$H102&lt;&gt;"",$I102="")=TRUE</formula>
    </cfRule>
  </conditionalFormatting>
  <conditionalFormatting sqref="E102">
    <cfRule type="expression" dxfId="593" priority="491">
      <formula>$K102="CANCELADO"</formula>
    </cfRule>
    <cfRule type="expression" dxfId="592" priority="492">
      <formula>$K102="STAND-BY"</formula>
    </cfRule>
    <cfRule type="expression" dxfId="591" priority="493">
      <formula>$K102="AGUARDANDO APROVAÇÃO"</formula>
    </cfRule>
    <cfRule type="expression" dxfId="590" priority="494">
      <formula>$K102="OK"</formula>
    </cfRule>
    <cfRule type="expression" dxfId="589" priority="495">
      <formula>AND((TODAY()-$H102)&gt;0,$H102&lt;&gt;"",$I102="")=TRUE</formula>
    </cfRule>
  </conditionalFormatting>
  <conditionalFormatting sqref="A103:D103 F103:G103 Q103 J103 L103:N103">
    <cfRule type="expression" dxfId="588" priority="486">
      <formula>$K103="CANCELADO"</formula>
    </cfRule>
    <cfRule type="expression" dxfId="587" priority="487">
      <formula>$K103="STAND-BY"</formula>
    </cfRule>
    <cfRule type="expression" dxfId="586" priority="488">
      <formula>$K103="AGUARDANDO APROVAÇÃO"</formula>
    </cfRule>
    <cfRule type="expression" dxfId="585" priority="489">
      <formula>$K103="OK"</formula>
    </cfRule>
    <cfRule type="expression" dxfId="584" priority="490">
      <formula>AND((TODAY()-$H103)&gt;0,$H103&lt;&gt;"",$I103="")=TRUE</formula>
    </cfRule>
  </conditionalFormatting>
  <conditionalFormatting sqref="E103">
    <cfRule type="expression" dxfId="583" priority="481">
      <formula>$K103="CANCELADO"</formula>
    </cfRule>
    <cfRule type="expression" dxfId="582" priority="482">
      <formula>$K103="STAND-BY"</formula>
    </cfRule>
    <cfRule type="expression" dxfId="581" priority="483">
      <formula>$K103="AGUARDANDO APROVAÇÃO"</formula>
    </cfRule>
    <cfRule type="expression" dxfId="580" priority="484">
      <formula>$K103="OK"</formula>
    </cfRule>
    <cfRule type="expression" dxfId="579" priority="485">
      <formula>AND((TODAY()-$H103)&gt;0,$H103&lt;&gt;"",$I103="")=TRUE</formula>
    </cfRule>
  </conditionalFormatting>
  <conditionalFormatting sqref="O103">
    <cfRule type="expression" dxfId="578" priority="476">
      <formula>$K103="CANCELADO"</formula>
    </cfRule>
    <cfRule type="expression" dxfId="577" priority="477">
      <formula>$K103="STAND-BY"</formula>
    </cfRule>
    <cfRule type="expression" dxfId="576" priority="478">
      <formula>$K103="AGUARDANDO APROVAÇÃO"</formula>
    </cfRule>
    <cfRule type="expression" dxfId="575" priority="479">
      <formula>$K103="OK"</formula>
    </cfRule>
    <cfRule type="expression" dxfId="574" priority="480">
      <formula>AND((TODAY()-$H103)&gt;0,$H103&lt;&gt;"",$I103="")=TRUE</formula>
    </cfRule>
  </conditionalFormatting>
  <conditionalFormatting sqref="P103">
    <cfRule type="expression" dxfId="573" priority="471">
      <formula>$K103="CANCELADO"</formula>
    </cfRule>
    <cfRule type="expression" dxfId="572" priority="472">
      <formula>$K103="STAND-BY"</formula>
    </cfRule>
    <cfRule type="expression" dxfId="571" priority="473">
      <formula>$K103="AGUARDANDO APROVAÇÃO"</formula>
    </cfRule>
    <cfRule type="expression" dxfId="570" priority="474">
      <formula>$K103="OK"</formula>
    </cfRule>
    <cfRule type="expression" dxfId="569" priority="475">
      <formula>AND((TODAY()-$H103)&gt;0,$H103&lt;&gt;"",$I103="")=TRUE</formula>
    </cfRule>
  </conditionalFormatting>
  <conditionalFormatting sqref="R103">
    <cfRule type="expression" dxfId="568" priority="466">
      <formula>$K103="CANCELADO"</formula>
    </cfRule>
    <cfRule type="expression" dxfId="567" priority="467">
      <formula>$K103="STAND-BY"</formula>
    </cfRule>
    <cfRule type="expression" dxfId="566" priority="468">
      <formula>$K103="AGUARDANDO APROVAÇÃO"</formula>
    </cfRule>
    <cfRule type="expression" dxfId="565" priority="469">
      <formula>$K103="OK"</formula>
    </cfRule>
    <cfRule type="expression" dxfId="564" priority="470">
      <formula>AND((TODAY()-$H103)&gt;0,$H103&lt;&gt;"",$I103="")=TRUE</formula>
    </cfRule>
  </conditionalFormatting>
  <conditionalFormatting sqref="H103">
    <cfRule type="expression" dxfId="563" priority="461">
      <formula>$K103="CANCELADO"</formula>
    </cfRule>
    <cfRule type="expression" dxfId="562" priority="462">
      <formula>$K103="STAND-BY"</formula>
    </cfRule>
    <cfRule type="expression" dxfId="561" priority="463">
      <formula>$K103="AGUARDANDO APROVAÇÃO"</formula>
    </cfRule>
    <cfRule type="expression" dxfId="560" priority="464">
      <formula>$K103="OK"</formula>
    </cfRule>
    <cfRule type="expression" dxfId="559" priority="465">
      <formula>AND((TODAY()-$H103)&gt;0,$H103&lt;&gt;"",$I103="")=TRUE</formula>
    </cfRule>
  </conditionalFormatting>
  <conditionalFormatting sqref="A104:D104 F104:H104 J104 L104:R104">
    <cfRule type="expression" dxfId="558" priority="456">
      <formula>$K104="CANCELADO"</formula>
    </cfRule>
    <cfRule type="expression" dxfId="557" priority="457">
      <formula>$K104="STAND-BY"</formula>
    </cfRule>
    <cfRule type="expression" dxfId="556" priority="458">
      <formula>$K104="AGUARDANDO APROVAÇÃO"</formula>
    </cfRule>
    <cfRule type="expression" dxfId="555" priority="459">
      <formula>$K104="OK"</formula>
    </cfRule>
    <cfRule type="expression" dxfId="554" priority="460">
      <formula>AND((TODAY()-$H104)&gt;0,$H104&lt;&gt;"",$I104="")=TRUE</formula>
    </cfRule>
  </conditionalFormatting>
  <conditionalFormatting sqref="E104">
    <cfRule type="expression" dxfId="553" priority="451">
      <formula>$K104="CANCELADO"</formula>
    </cfRule>
    <cfRule type="expression" dxfId="552" priority="452">
      <formula>$K104="STAND-BY"</formula>
    </cfRule>
    <cfRule type="expression" dxfId="551" priority="453">
      <formula>$K104="AGUARDANDO APROVAÇÃO"</formula>
    </cfRule>
    <cfRule type="expression" dxfId="550" priority="454">
      <formula>$K104="OK"</formula>
    </cfRule>
    <cfRule type="expression" dxfId="549" priority="455">
      <formula>AND((TODAY()-$H104)&gt;0,$H104&lt;&gt;"",$I104="")=TRUE</formula>
    </cfRule>
  </conditionalFormatting>
  <conditionalFormatting sqref="A105:D105 F105:G105 Q105 J105 L105:N105">
    <cfRule type="expression" dxfId="548" priority="446">
      <formula>$K105="CANCELADO"</formula>
    </cfRule>
    <cfRule type="expression" dxfId="547" priority="447">
      <formula>$K105="STAND-BY"</formula>
    </cfRule>
    <cfRule type="expression" dxfId="546" priority="448">
      <formula>$K105="AGUARDANDO APROVAÇÃO"</formula>
    </cfRule>
    <cfRule type="expression" dxfId="545" priority="449">
      <formula>$K105="OK"</formula>
    </cfRule>
    <cfRule type="expression" dxfId="544" priority="450">
      <formula>AND((TODAY()-$H105)&gt;0,$H105&lt;&gt;"",$I105="")=TRUE</formula>
    </cfRule>
  </conditionalFormatting>
  <conditionalFormatting sqref="E105">
    <cfRule type="expression" dxfId="543" priority="441">
      <formula>$K105="CANCELADO"</formula>
    </cfRule>
    <cfRule type="expression" dxfId="542" priority="442">
      <formula>$K105="STAND-BY"</formula>
    </cfRule>
    <cfRule type="expression" dxfId="541" priority="443">
      <formula>$K105="AGUARDANDO APROVAÇÃO"</formula>
    </cfRule>
    <cfRule type="expression" dxfId="540" priority="444">
      <formula>$K105="OK"</formula>
    </cfRule>
    <cfRule type="expression" dxfId="539" priority="445">
      <formula>AND((TODAY()-$H105)&gt;0,$H105&lt;&gt;"",$I105="")=TRUE</formula>
    </cfRule>
  </conditionalFormatting>
  <conditionalFormatting sqref="O105">
    <cfRule type="expression" dxfId="538" priority="436">
      <formula>$K105="CANCELADO"</formula>
    </cfRule>
    <cfRule type="expression" dxfId="537" priority="437">
      <formula>$K105="STAND-BY"</formula>
    </cfRule>
    <cfRule type="expression" dxfId="536" priority="438">
      <formula>$K105="AGUARDANDO APROVAÇÃO"</formula>
    </cfRule>
    <cfRule type="expression" dxfId="535" priority="439">
      <formula>$K105="OK"</formula>
    </cfRule>
    <cfRule type="expression" dxfId="534" priority="440">
      <formula>AND((TODAY()-$H105)&gt;0,$H105&lt;&gt;"",$I105="")=TRUE</formula>
    </cfRule>
  </conditionalFormatting>
  <conditionalFormatting sqref="P105">
    <cfRule type="expression" dxfId="533" priority="431">
      <formula>$K105="CANCELADO"</formula>
    </cfRule>
    <cfRule type="expression" dxfId="532" priority="432">
      <formula>$K105="STAND-BY"</formula>
    </cfRule>
    <cfRule type="expression" dxfId="531" priority="433">
      <formula>$K105="AGUARDANDO APROVAÇÃO"</formula>
    </cfRule>
    <cfRule type="expression" dxfId="530" priority="434">
      <formula>$K105="OK"</formula>
    </cfRule>
    <cfRule type="expression" dxfId="529" priority="435">
      <formula>AND((TODAY()-$H105)&gt;0,$H105&lt;&gt;"",$I105="")=TRUE</formula>
    </cfRule>
  </conditionalFormatting>
  <conditionalFormatting sqref="R105">
    <cfRule type="expression" dxfId="528" priority="426">
      <formula>$K105="CANCELADO"</formula>
    </cfRule>
    <cfRule type="expression" dxfId="527" priority="427">
      <formula>$K105="STAND-BY"</formula>
    </cfRule>
    <cfRule type="expression" dxfId="526" priority="428">
      <formula>$K105="AGUARDANDO APROVAÇÃO"</formula>
    </cfRule>
    <cfRule type="expression" dxfId="525" priority="429">
      <formula>$K105="OK"</formula>
    </cfRule>
    <cfRule type="expression" dxfId="524" priority="430">
      <formula>AND((TODAY()-$H105)&gt;0,$H105&lt;&gt;"",$I105="")=TRUE</formula>
    </cfRule>
  </conditionalFormatting>
  <conditionalFormatting sqref="H105">
    <cfRule type="expression" dxfId="523" priority="421">
      <formula>$K105="CANCELADO"</formula>
    </cfRule>
    <cfRule type="expression" dxfId="522" priority="422">
      <formula>$K105="STAND-BY"</formula>
    </cfRule>
    <cfRule type="expression" dxfId="521" priority="423">
      <formula>$K105="AGUARDANDO APROVAÇÃO"</formula>
    </cfRule>
    <cfRule type="expression" dxfId="520" priority="424">
      <formula>$K105="OK"</formula>
    </cfRule>
    <cfRule type="expression" dxfId="519" priority="425">
      <formula>AND((TODAY()-$H105)&gt;0,$H105&lt;&gt;"",$I105="")=TRUE</formula>
    </cfRule>
  </conditionalFormatting>
  <conditionalFormatting sqref="B143">
    <cfRule type="expression" dxfId="518" priority="416">
      <formula>$K143="CANCELADO"</formula>
    </cfRule>
    <cfRule type="expression" dxfId="517" priority="417">
      <formula>$K143="STAND-BY"</formula>
    </cfRule>
    <cfRule type="expression" dxfId="516" priority="418">
      <formula>$K143="AGUARDANDO APROVAÇÃO"</formula>
    </cfRule>
    <cfRule type="expression" dxfId="515" priority="419">
      <formula>$K143="OK"</formula>
    </cfRule>
    <cfRule type="expression" dxfId="514" priority="420">
      <formula>AND((TODAY()-$H143)&gt;0,$H143&lt;&gt;"",$I143="")=TRUE</formula>
    </cfRule>
  </conditionalFormatting>
  <conditionalFormatting sqref="C143">
    <cfRule type="expression" dxfId="513" priority="411">
      <formula>$K143="CANCELADO"</formula>
    </cfRule>
    <cfRule type="expression" dxfId="512" priority="412">
      <formula>$K143="STAND-BY"</formula>
    </cfRule>
    <cfRule type="expression" dxfId="511" priority="413">
      <formula>$K143="AGUARDANDO APROVAÇÃO"</formula>
    </cfRule>
    <cfRule type="expression" dxfId="510" priority="414">
      <formula>$K143="OK"</formula>
    </cfRule>
    <cfRule type="expression" dxfId="509" priority="415">
      <formula>AND((TODAY()-$H143)&gt;0,$H143&lt;&gt;"",$I143="")=TRUE</formula>
    </cfRule>
  </conditionalFormatting>
  <conditionalFormatting sqref="D143">
    <cfRule type="expression" dxfId="508" priority="406">
      <formula>$K143="CANCELADO"</formula>
    </cfRule>
    <cfRule type="expression" dxfId="507" priority="407">
      <formula>$K143="STAND-BY"</formula>
    </cfRule>
    <cfRule type="expression" dxfId="506" priority="408">
      <formula>$K143="AGUARDANDO APROVAÇÃO"</formula>
    </cfRule>
    <cfRule type="expression" dxfId="505" priority="409">
      <formula>$K143="OK"</formula>
    </cfRule>
    <cfRule type="expression" dxfId="504" priority="410">
      <formula>AND((TODAY()-$H143)&gt;0,$H143&lt;&gt;"",$I143="")=TRUE</formula>
    </cfRule>
  </conditionalFormatting>
  <conditionalFormatting sqref="E143">
    <cfRule type="expression" dxfId="503" priority="401">
      <formula>$K143="CANCELADO"</formula>
    </cfRule>
    <cfRule type="expression" dxfId="502" priority="402">
      <formula>$K143="STAND-BY"</formula>
    </cfRule>
    <cfRule type="expression" dxfId="501" priority="403">
      <formula>$K143="AGUARDANDO APROVAÇÃO"</formula>
    </cfRule>
    <cfRule type="expression" dxfId="500" priority="404">
      <formula>$K143="OK"</formula>
    </cfRule>
    <cfRule type="expression" dxfId="499" priority="405">
      <formula>AND((TODAY()-$H143)&gt;0,$H143&lt;&gt;"",$I143="")=TRUE</formula>
    </cfRule>
  </conditionalFormatting>
  <conditionalFormatting sqref="F144:I144">
    <cfRule type="expression" dxfId="498" priority="396">
      <formula>$K144="CANCELADO"</formula>
    </cfRule>
    <cfRule type="expression" dxfId="497" priority="397">
      <formula>$K144="STAND-BY"</formula>
    </cfRule>
    <cfRule type="expression" dxfId="496" priority="398">
      <formula>$K144="AGUARDANDO APROVAÇÃO"</formula>
    </cfRule>
    <cfRule type="expression" dxfId="495" priority="399">
      <formula>$K144="OK"</formula>
    </cfRule>
    <cfRule type="expression" dxfId="494" priority="400">
      <formula>AND((TODAY()-$H144)&gt;0,$H144&lt;&gt;"",$I144="")=TRUE</formula>
    </cfRule>
  </conditionalFormatting>
  <conditionalFormatting sqref="B144">
    <cfRule type="expression" dxfId="493" priority="391">
      <formula>$K144="CANCELADO"</formula>
    </cfRule>
    <cfRule type="expression" dxfId="492" priority="392">
      <formula>$K144="STAND-BY"</formula>
    </cfRule>
    <cfRule type="expression" dxfId="491" priority="393">
      <formula>$K144="AGUARDANDO APROVAÇÃO"</formula>
    </cfRule>
    <cfRule type="expression" dxfId="490" priority="394">
      <formula>$K144="OK"</formula>
    </cfRule>
    <cfRule type="expression" dxfId="489" priority="395">
      <formula>AND((TODAY()-$H144)&gt;0,$H144&lt;&gt;"",$I144="")=TRUE</formula>
    </cfRule>
  </conditionalFormatting>
  <conditionalFormatting sqref="C144">
    <cfRule type="expression" dxfId="488" priority="386">
      <formula>$K144="CANCELADO"</formula>
    </cfRule>
    <cfRule type="expression" dxfId="487" priority="387">
      <formula>$K144="STAND-BY"</formula>
    </cfRule>
    <cfRule type="expression" dxfId="486" priority="388">
      <formula>$K144="AGUARDANDO APROVAÇÃO"</formula>
    </cfRule>
    <cfRule type="expression" dxfId="485" priority="389">
      <formula>$K144="OK"</formula>
    </cfRule>
    <cfRule type="expression" dxfId="484" priority="390">
      <formula>AND((TODAY()-$H144)&gt;0,$H144&lt;&gt;"",$I144="")=TRUE</formula>
    </cfRule>
  </conditionalFormatting>
  <conditionalFormatting sqref="D144">
    <cfRule type="expression" dxfId="483" priority="381">
      <formula>$K144="CANCELADO"</formula>
    </cfRule>
    <cfRule type="expression" dxfId="482" priority="382">
      <formula>$K144="STAND-BY"</formula>
    </cfRule>
    <cfRule type="expression" dxfId="481" priority="383">
      <formula>$K144="AGUARDANDO APROVAÇÃO"</formula>
    </cfRule>
    <cfRule type="expression" dxfId="480" priority="384">
      <formula>$K144="OK"</formula>
    </cfRule>
    <cfRule type="expression" dxfId="479" priority="385">
      <formula>AND((TODAY()-$H144)&gt;0,$H144&lt;&gt;"",$I144="")=TRUE</formula>
    </cfRule>
  </conditionalFormatting>
  <conditionalFormatting sqref="E144">
    <cfRule type="expression" dxfId="478" priority="376">
      <formula>$K144="CANCELADO"</formula>
    </cfRule>
    <cfRule type="expression" dxfId="477" priority="377">
      <formula>$K144="STAND-BY"</formula>
    </cfRule>
    <cfRule type="expression" dxfId="476" priority="378">
      <formula>$K144="AGUARDANDO APROVAÇÃO"</formula>
    </cfRule>
    <cfRule type="expression" dxfId="475" priority="379">
      <formula>$K144="OK"</formula>
    </cfRule>
    <cfRule type="expression" dxfId="474" priority="380">
      <formula>AND((TODAY()-$H144)&gt;0,$H144&lt;&gt;"",$I144="")=TRUE</formula>
    </cfRule>
  </conditionalFormatting>
  <conditionalFormatting sqref="O144:R144">
    <cfRule type="expression" dxfId="473" priority="371">
      <formula>$K144="CANCELADO"</formula>
    </cfRule>
    <cfRule type="expression" dxfId="472" priority="372">
      <formula>$K144="STAND-BY"</formula>
    </cfRule>
    <cfRule type="expression" dxfId="471" priority="373">
      <formula>$K144="AGUARDANDO APROVAÇÃO"</formula>
    </cfRule>
    <cfRule type="expression" dxfId="470" priority="374">
      <formula>$K144="OK"</formula>
    </cfRule>
    <cfRule type="expression" dxfId="469" priority="375">
      <formula>AND((TODAY()-$H144)&gt;0,$H144&lt;&gt;"",$I144="")=TRUE</formula>
    </cfRule>
  </conditionalFormatting>
  <conditionalFormatting sqref="F145">
    <cfRule type="expression" dxfId="468" priority="366">
      <formula>$K145="CANCELADO"</formula>
    </cfRule>
    <cfRule type="expression" dxfId="467" priority="367">
      <formula>$K145="STAND-BY"</formula>
    </cfRule>
    <cfRule type="expression" dxfId="466" priority="368">
      <formula>$K145="AGUARDANDO APROVAÇÃO"</formula>
    </cfRule>
    <cfRule type="expression" dxfId="465" priority="369">
      <formula>$K145="OK"</formula>
    </cfRule>
    <cfRule type="expression" dxfId="464" priority="370">
      <formula>AND((TODAY()-$H145)&gt;0,$H145&lt;&gt;"",$I145="")=TRUE</formula>
    </cfRule>
  </conditionalFormatting>
  <conditionalFormatting sqref="B145">
    <cfRule type="expression" dxfId="463" priority="361">
      <formula>$K145="CANCELADO"</formula>
    </cfRule>
    <cfRule type="expression" dxfId="462" priority="362">
      <formula>$K145="STAND-BY"</formula>
    </cfRule>
    <cfRule type="expression" dxfId="461" priority="363">
      <formula>$K145="AGUARDANDO APROVAÇÃO"</formula>
    </cfRule>
    <cfRule type="expression" dxfId="460" priority="364">
      <formula>$K145="OK"</formula>
    </cfRule>
    <cfRule type="expression" dxfId="459" priority="365">
      <formula>AND((TODAY()-$H145)&gt;0,$H145&lt;&gt;"",$I145="")=TRUE</formula>
    </cfRule>
  </conditionalFormatting>
  <conditionalFormatting sqref="C145">
    <cfRule type="expression" dxfId="458" priority="356">
      <formula>$K145="CANCELADO"</formula>
    </cfRule>
    <cfRule type="expression" dxfId="457" priority="357">
      <formula>$K145="STAND-BY"</formula>
    </cfRule>
    <cfRule type="expression" dxfId="456" priority="358">
      <formula>$K145="AGUARDANDO APROVAÇÃO"</formula>
    </cfRule>
    <cfRule type="expression" dxfId="455" priority="359">
      <formula>$K145="OK"</formula>
    </cfRule>
    <cfRule type="expression" dxfId="454" priority="360">
      <formula>AND((TODAY()-$H145)&gt;0,$H145&lt;&gt;"",$I145="")=TRUE</formula>
    </cfRule>
  </conditionalFormatting>
  <conditionalFormatting sqref="D145">
    <cfRule type="expression" dxfId="453" priority="351">
      <formula>$K145="CANCELADO"</formula>
    </cfRule>
    <cfRule type="expression" dxfId="452" priority="352">
      <formula>$K145="STAND-BY"</formula>
    </cfRule>
    <cfRule type="expression" dxfId="451" priority="353">
      <formula>$K145="AGUARDANDO APROVAÇÃO"</formula>
    </cfRule>
    <cfRule type="expression" dxfId="450" priority="354">
      <formula>$K145="OK"</formula>
    </cfRule>
    <cfRule type="expression" dxfId="449" priority="355">
      <formula>AND((TODAY()-$H145)&gt;0,$H145&lt;&gt;"",$I145="")=TRUE</formula>
    </cfRule>
  </conditionalFormatting>
  <conditionalFormatting sqref="E145">
    <cfRule type="expression" dxfId="448" priority="346">
      <formula>$K145="CANCELADO"</formula>
    </cfRule>
    <cfRule type="expression" dxfId="447" priority="347">
      <formula>$K145="STAND-BY"</formula>
    </cfRule>
    <cfRule type="expression" dxfId="446" priority="348">
      <formula>$K145="AGUARDANDO APROVAÇÃO"</formula>
    </cfRule>
    <cfRule type="expression" dxfId="445" priority="349">
      <formula>$K145="OK"</formula>
    </cfRule>
    <cfRule type="expression" dxfId="444" priority="350">
      <formula>AND((TODAY()-$H145)&gt;0,$H145&lt;&gt;"",$I145="")=TRUE</formula>
    </cfRule>
  </conditionalFormatting>
  <conditionalFormatting sqref="O145:R145">
    <cfRule type="expression" dxfId="443" priority="341">
      <formula>$K145="CANCELADO"</formula>
    </cfRule>
    <cfRule type="expression" dxfId="442" priority="342">
      <formula>$K145="STAND-BY"</formula>
    </cfRule>
    <cfRule type="expression" dxfId="441" priority="343">
      <formula>$K145="AGUARDANDO APROVAÇÃO"</formula>
    </cfRule>
    <cfRule type="expression" dxfId="440" priority="344">
      <formula>$K145="OK"</formula>
    </cfRule>
    <cfRule type="expression" dxfId="439" priority="345">
      <formula>AND((TODAY()-$H145)&gt;0,$H145&lt;&gt;"",$I145="")=TRUE</formula>
    </cfRule>
  </conditionalFormatting>
  <conditionalFormatting sqref="K147:N147 P147:R147 A147:I147">
    <cfRule type="expression" dxfId="438" priority="331">
      <formula>$K147="CANCELADO"</formula>
    </cfRule>
    <cfRule type="expression" dxfId="437" priority="332">
      <formula>$K147="STAND-BY"</formula>
    </cfRule>
    <cfRule type="expression" dxfId="436" priority="333">
      <formula>$K147="AGUARDANDO APROVAÇÃO"</formula>
    </cfRule>
    <cfRule type="expression" dxfId="435" priority="334">
      <formula>$K147="OK"</formula>
    </cfRule>
    <cfRule type="expression" dxfId="434" priority="335">
      <formula>AND((TODAY()-$H147)&gt;0,$H147&lt;&gt;"",$I147="")=TRUE</formula>
    </cfRule>
  </conditionalFormatting>
  <conditionalFormatting sqref="J147">
    <cfRule type="expression" dxfId="433" priority="321">
      <formula>$K147="CANCELADO"</formula>
    </cfRule>
    <cfRule type="expression" dxfId="432" priority="322">
      <formula>$K147="STAND-BY"</formula>
    </cfRule>
    <cfRule type="expression" dxfId="431" priority="323">
      <formula>$K147="AGUARDANDO APROVAÇÃO"</formula>
    </cfRule>
    <cfRule type="expression" dxfId="430" priority="324">
      <formula>$K147="OK"</formula>
    </cfRule>
    <cfRule type="expression" dxfId="429" priority="325">
      <formula>AND((TODAY()-$H147)&gt;0,$H147&lt;&gt;"",$I147="")=TRUE</formula>
    </cfRule>
  </conditionalFormatting>
  <conditionalFormatting sqref="I101">
    <cfRule type="expression" dxfId="428" priority="301">
      <formula>$K101="CANCELADO"</formula>
    </cfRule>
    <cfRule type="expression" dxfId="427" priority="302">
      <formula>$K101="STAND-BY"</formula>
    </cfRule>
    <cfRule type="expression" dxfId="426" priority="303">
      <formula>$K101="AGUARDANDO APROVAÇÃO"</formula>
    </cfRule>
    <cfRule type="expression" dxfId="425" priority="304">
      <formula>$K101="OK"</formula>
    </cfRule>
    <cfRule type="expression" dxfId="424" priority="305">
      <formula>AND((TODAY()-$H101)&gt;0,$H101&lt;&gt;"",$I101="")=TRUE</formula>
    </cfRule>
  </conditionalFormatting>
  <conditionalFormatting sqref="I100">
    <cfRule type="expression" dxfId="423" priority="306">
      <formula>$K100="CANCELADO"</formula>
    </cfRule>
    <cfRule type="expression" dxfId="422" priority="307">
      <formula>$K100="STAND-BY"</formula>
    </cfRule>
    <cfRule type="expression" dxfId="421" priority="308">
      <formula>$K100="AGUARDANDO APROVAÇÃO"</formula>
    </cfRule>
    <cfRule type="expression" dxfId="420" priority="309">
      <formula>$K100="OK"</formula>
    </cfRule>
    <cfRule type="expression" dxfId="419" priority="310">
      <formula>AND((TODAY()-$H100)&gt;0,$H100&lt;&gt;"",$I100="")=TRUE</formula>
    </cfRule>
  </conditionalFormatting>
  <conditionalFormatting sqref="A106:D106 F106:G106 Q106 J106 L106:N106">
    <cfRule type="expression" dxfId="418" priority="271">
      <formula>$K106="CANCELADO"</formula>
    </cfRule>
    <cfRule type="expression" dxfId="417" priority="272">
      <formula>$K106="STAND-BY"</formula>
    </cfRule>
    <cfRule type="expression" dxfId="416" priority="273">
      <formula>$K106="AGUARDANDO APROVAÇÃO"</formula>
    </cfRule>
    <cfRule type="expression" dxfId="415" priority="274">
      <formula>$K106="OK"</formula>
    </cfRule>
    <cfRule type="expression" dxfId="414" priority="275">
      <formula>AND((TODAY()-$H106)&gt;0,$H106&lt;&gt;"",$I106="")=TRUE</formula>
    </cfRule>
  </conditionalFormatting>
  <conditionalFormatting sqref="I102">
    <cfRule type="expression" dxfId="413" priority="296">
      <formula>$K102="CANCELADO"</formula>
    </cfRule>
    <cfRule type="expression" dxfId="412" priority="297">
      <formula>$K102="STAND-BY"</formula>
    </cfRule>
    <cfRule type="expression" dxfId="411" priority="298">
      <formula>$K102="AGUARDANDO APROVAÇÃO"</formula>
    </cfRule>
    <cfRule type="expression" dxfId="410" priority="299">
      <formula>$K102="OK"</formula>
    </cfRule>
    <cfRule type="expression" dxfId="409" priority="300">
      <formula>AND((TODAY()-$H102)&gt;0,$H102&lt;&gt;"",$I102="")=TRUE</formula>
    </cfRule>
  </conditionalFormatting>
  <conditionalFormatting sqref="I103">
    <cfRule type="expression" dxfId="408" priority="291">
      <formula>$K103="CANCELADO"</formula>
    </cfRule>
    <cfRule type="expression" dxfId="407" priority="292">
      <formula>$K103="STAND-BY"</formula>
    </cfRule>
    <cfRule type="expression" dxfId="406" priority="293">
      <formula>$K103="AGUARDANDO APROVAÇÃO"</formula>
    </cfRule>
    <cfRule type="expression" dxfId="405" priority="294">
      <formula>$K103="OK"</formula>
    </cfRule>
    <cfRule type="expression" dxfId="404" priority="295">
      <formula>AND((TODAY()-$H103)&gt;0,$H103&lt;&gt;"",$I103="")=TRUE</formula>
    </cfRule>
  </conditionalFormatting>
  <conditionalFormatting sqref="I104">
    <cfRule type="expression" dxfId="403" priority="286">
      <formula>$K104="CANCELADO"</formula>
    </cfRule>
    <cfRule type="expression" dxfId="402" priority="287">
      <formula>$K104="STAND-BY"</formula>
    </cfRule>
    <cfRule type="expression" dxfId="401" priority="288">
      <formula>$K104="AGUARDANDO APROVAÇÃO"</formula>
    </cfRule>
    <cfRule type="expression" dxfId="400" priority="289">
      <formula>$K104="OK"</formula>
    </cfRule>
    <cfRule type="expression" dxfId="399" priority="290">
      <formula>AND((TODAY()-$H104)&gt;0,$H104&lt;&gt;"",$I104="")=TRUE</formula>
    </cfRule>
  </conditionalFormatting>
  <conditionalFormatting sqref="I105">
    <cfRule type="expression" dxfId="398" priority="281">
      <formula>$K105="CANCELADO"</formula>
    </cfRule>
    <cfRule type="expression" dxfId="397" priority="282">
      <formula>$K105="STAND-BY"</formula>
    </cfRule>
    <cfRule type="expression" dxfId="396" priority="283">
      <formula>$K105="AGUARDANDO APROVAÇÃO"</formula>
    </cfRule>
    <cfRule type="expression" dxfId="395" priority="284">
      <formula>$K105="OK"</formula>
    </cfRule>
    <cfRule type="expression" dxfId="394" priority="285">
      <formula>AND((TODAY()-$H105)&gt;0,$H105&lt;&gt;"",$I105="")=TRUE</formula>
    </cfRule>
  </conditionalFormatting>
  <conditionalFormatting sqref="K100:K105">
    <cfRule type="expression" dxfId="393" priority="276">
      <formula>$K100="CANCELADO"</formula>
    </cfRule>
    <cfRule type="expression" dxfId="392" priority="277">
      <formula>$K100="STAND-BY"</formula>
    </cfRule>
    <cfRule type="expression" dxfId="391" priority="278">
      <formula>$K100="AGUARDANDO APROVAÇÃO"</formula>
    </cfRule>
    <cfRule type="expression" dxfId="390" priority="279">
      <formula>$K100="OK"</formula>
    </cfRule>
    <cfRule type="expression" dxfId="389" priority="280">
      <formula>AND((TODAY()-$H100)&gt;0,$H100&lt;&gt;"",$I100="")=TRUE</formula>
    </cfRule>
  </conditionalFormatting>
  <conditionalFormatting sqref="E106">
    <cfRule type="expression" dxfId="388" priority="266">
      <formula>$K106="CANCELADO"</formula>
    </cfRule>
    <cfRule type="expression" dxfId="387" priority="267">
      <formula>$K106="STAND-BY"</formula>
    </cfRule>
    <cfRule type="expression" dxfId="386" priority="268">
      <formula>$K106="AGUARDANDO APROVAÇÃO"</formula>
    </cfRule>
    <cfRule type="expression" dxfId="385" priority="269">
      <formula>$K106="OK"</formula>
    </cfRule>
    <cfRule type="expression" dxfId="384" priority="270">
      <formula>AND((TODAY()-$H106)&gt;0,$H106&lt;&gt;"",$I106="")=TRUE</formula>
    </cfRule>
  </conditionalFormatting>
  <conditionalFormatting sqref="O106">
    <cfRule type="expression" dxfId="383" priority="261">
      <formula>$K106="CANCELADO"</formula>
    </cfRule>
    <cfRule type="expression" dxfId="382" priority="262">
      <formula>$K106="STAND-BY"</formula>
    </cfRule>
    <cfRule type="expression" dxfId="381" priority="263">
      <formula>$K106="AGUARDANDO APROVAÇÃO"</formula>
    </cfRule>
    <cfRule type="expression" dxfId="380" priority="264">
      <formula>$K106="OK"</formula>
    </cfRule>
    <cfRule type="expression" dxfId="379" priority="265">
      <formula>AND((TODAY()-$H106)&gt;0,$H106&lt;&gt;"",$I106="")=TRUE</formula>
    </cfRule>
  </conditionalFormatting>
  <conditionalFormatting sqref="P106">
    <cfRule type="expression" dxfId="378" priority="256">
      <formula>$K106="CANCELADO"</formula>
    </cfRule>
    <cfRule type="expression" dxfId="377" priority="257">
      <formula>$K106="STAND-BY"</formula>
    </cfRule>
    <cfRule type="expression" dxfId="376" priority="258">
      <formula>$K106="AGUARDANDO APROVAÇÃO"</formula>
    </cfRule>
    <cfRule type="expression" dxfId="375" priority="259">
      <formula>$K106="OK"</formula>
    </cfRule>
    <cfRule type="expression" dxfId="374" priority="260">
      <formula>AND((TODAY()-$H106)&gt;0,$H106&lt;&gt;"",$I106="")=TRUE</formula>
    </cfRule>
  </conditionalFormatting>
  <conditionalFormatting sqref="R106">
    <cfRule type="expression" dxfId="373" priority="251">
      <formula>$K106="CANCELADO"</formula>
    </cfRule>
    <cfRule type="expression" dxfId="372" priority="252">
      <formula>$K106="STAND-BY"</formula>
    </cfRule>
    <cfRule type="expression" dxfId="371" priority="253">
      <formula>$K106="AGUARDANDO APROVAÇÃO"</formula>
    </cfRule>
    <cfRule type="expression" dxfId="370" priority="254">
      <formula>$K106="OK"</formula>
    </cfRule>
    <cfRule type="expression" dxfId="369" priority="255">
      <formula>AND((TODAY()-$H106)&gt;0,$H106&lt;&gt;"",$I106="")=TRUE</formula>
    </cfRule>
  </conditionalFormatting>
  <conditionalFormatting sqref="H106">
    <cfRule type="expression" dxfId="368" priority="246">
      <formula>$K106="CANCELADO"</formula>
    </cfRule>
    <cfRule type="expression" dxfId="367" priority="247">
      <formula>$K106="STAND-BY"</formula>
    </cfRule>
    <cfRule type="expression" dxfId="366" priority="248">
      <formula>$K106="AGUARDANDO APROVAÇÃO"</formula>
    </cfRule>
    <cfRule type="expression" dxfId="365" priority="249">
      <formula>$K106="OK"</formula>
    </cfRule>
    <cfRule type="expression" dxfId="364" priority="250">
      <formula>AND((TODAY()-$H106)&gt;0,$H106&lt;&gt;"",$I106="")=TRUE</formula>
    </cfRule>
  </conditionalFormatting>
  <conditionalFormatting sqref="I106">
    <cfRule type="expression" dxfId="363" priority="241">
      <formula>$K106="CANCELADO"</formula>
    </cfRule>
    <cfRule type="expression" dxfId="362" priority="242">
      <formula>$K106="STAND-BY"</formula>
    </cfRule>
    <cfRule type="expression" dxfId="361" priority="243">
      <formula>$K106="AGUARDANDO APROVAÇÃO"</formula>
    </cfRule>
    <cfRule type="expression" dxfId="360" priority="244">
      <formula>$K106="OK"</formula>
    </cfRule>
    <cfRule type="expression" dxfId="359" priority="245">
      <formula>AND((TODAY()-$H106)&gt;0,$H106&lt;&gt;"",$I106="")=TRUE</formula>
    </cfRule>
  </conditionalFormatting>
  <conditionalFormatting sqref="K106">
    <cfRule type="expression" dxfId="358" priority="236">
      <formula>$K106="CANCELADO"</formula>
    </cfRule>
    <cfRule type="expression" dxfId="357" priority="237">
      <formula>$K106="STAND-BY"</formula>
    </cfRule>
    <cfRule type="expression" dxfId="356" priority="238">
      <formula>$K106="AGUARDANDO APROVAÇÃO"</formula>
    </cfRule>
    <cfRule type="expression" dxfId="355" priority="239">
      <formula>$K106="OK"</formula>
    </cfRule>
    <cfRule type="expression" dxfId="354" priority="240">
      <formula>AND((TODAY()-$H106)&gt;0,$H106&lt;&gt;"",$I106="")=TRUE</formula>
    </cfRule>
  </conditionalFormatting>
  <conditionalFormatting sqref="A148:Q148">
    <cfRule type="expression" dxfId="353" priority="231">
      <formula>$K148="CANCELADO"</formula>
    </cfRule>
    <cfRule type="expression" dxfId="352" priority="232">
      <formula>$K148="STAND-BY"</formula>
    </cfRule>
    <cfRule type="expression" dxfId="351" priority="233">
      <formula>$K148="AGUARDANDO APROVAÇÃO"</formula>
    </cfRule>
    <cfRule type="expression" dxfId="350" priority="234">
      <formula>$K148="OK"</formula>
    </cfRule>
    <cfRule type="expression" dxfId="349" priority="235">
      <formula>AND((TODAY()-$H148)&gt;0,$H148&lt;&gt;"",$I148="")=TRUE</formula>
    </cfRule>
  </conditionalFormatting>
  <conditionalFormatting sqref="A149:P149">
    <cfRule type="expression" dxfId="348" priority="226">
      <formula>$K149="CANCELADO"</formula>
    </cfRule>
    <cfRule type="expression" dxfId="347" priority="227">
      <formula>$K149="STAND-BY"</formula>
    </cfRule>
    <cfRule type="expression" dxfId="346" priority="228">
      <formula>$K149="AGUARDANDO APROVAÇÃO"</formula>
    </cfRule>
    <cfRule type="expression" dxfId="345" priority="229">
      <formula>$K149="OK"</formula>
    </cfRule>
    <cfRule type="expression" dxfId="344" priority="230">
      <formula>AND((TODAY()-$H149)&gt;0,$H149&lt;&gt;"",$I149="")=TRUE</formula>
    </cfRule>
  </conditionalFormatting>
  <conditionalFormatting sqref="A153">
    <cfRule type="expression" dxfId="343" priority="196">
      <formula>$K153="CANCELADO"</formula>
    </cfRule>
    <cfRule type="expression" dxfId="342" priority="197">
      <formula>$K153="STAND-BY"</formula>
    </cfRule>
    <cfRule type="expression" dxfId="341" priority="198">
      <formula>$K153="AGUARDANDO APROVAÇÃO"</formula>
    </cfRule>
    <cfRule type="expression" dxfId="340" priority="199">
      <formula>$K153="OK"</formula>
    </cfRule>
    <cfRule type="expression" dxfId="339" priority="200">
      <formula>AND((TODAY()-$H153)&gt;0,$H153&lt;&gt;"",$I153="")=TRUE</formula>
    </cfRule>
  </conditionalFormatting>
  <conditionalFormatting sqref="A153:G153 N153 P153:R153 I153:J153">
    <cfRule type="expression" dxfId="338" priority="191">
      <formula>$K153="CANCELADO"</formula>
    </cfRule>
    <cfRule type="expression" dxfId="337" priority="192">
      <formula>$K153="STAND-BY"</formula>
    </cfRule>
    <cfRule type="expression" dxfId="336" priority="193">
      <formula>$K153="AGUARDANDO APROVAÇÃO"</formula>
    </cfRule>
    <cfRule type="expression" dxfId="335" priority="194">
      <formula>$K153="OK"</formula>
    </cfRule>
    <cfRule type="expression" dxfId="334" priority="195">
      <formula>AND((TODAY()-$H153)&gt;0,$H153&lt;&gt;"",$I153="")=TRUE</formula>
    </cfRule>
  </conditionalFormatting>
  <conditionalFormatting sqref="K153:M153">
    <cfRule type="expression" dxfId="333" priority="186">
      <formula>$K153="CANCELADO"</formula>
    </cfRule>
    <cfRule type="expression" dxfId="332" priority="187">
      <formula>$K153="STAND-BY"</formula>
    </cfRule>
    <cfRule type="expression" dxfId="331" priority="188">
      <formula>$K153="AGUARDANDO APROVAÇÃO"</formula>
    </cfRule>
    <cfRule type="expression" dxfId="330" priority="189">
      <formula>$K153="OK"</formula>
    </cfRule>
    <cfRule type="expression" dxfId="329" priority="190">
      <formula>AND((TODAY()-$H153)&gt;0,$H153&lt;&gt;"",$I153="")=TRUE</formula>
    </cfRule>
  </conditionalFormatting>
  <conditionalFormatting sqref="O153">
    <cfRule type="expression" dxfId="328" priority="181">
      <formula>$K153="CANCELADO"</formula>
    </cfRule>
    <cfRule type="expression" dxfId="327" priority="182">
      <formula>$K153="STAND-BY"</formula>
    </cfRule>
    <cfRule type="expression" dxfId="326" priority="183">
      <formula>$K153="AGUARDANDO APROVAÇÃO"</formula>
    </cfRule>
    <cfRule type="expression" dxfId="325" priority="184">
      <formula>$K153="OK"</formula>
    </cfRule>
    <cfRule type="expression" dxfId="324" priority="185">
      <formula>AND((TODAY()-$H153)&gt;0,$H153&lt;&gt;"",$I153="")=TRUE</formula>
    </cfRule>
  </conditionalFormatting>
  <conditionalFormatting sqref="H153">
    <cfRule type="expression" dxfId="323" priority="176">
      <formula>$K153="CANCELADO"</formula>
    </cfRule>
    <cfRule type="expression" dxfId="322" priority="177">
      <formula>$K153="STAND-BY"</formula>
    </cfRule>
    <cfRule type="expression" dxfId="321" priority="178">
      <formula>$K153="AGUARDANDO APROVAÇÃO"</formula>
    </cfRule>
    <cfRule type="expression" dxfId="320" priority="179">
      <formula>$K153="OK"</formula>
    </cfRule>
    <cfRule type="expression" dxfId="319" priority="180">
      <formula>AND((TODAY()-$H153)&gt;0,$H153&lt;&gt;"",$I153="")=TRUE</formula>
    </cfRule>
  </conditionalFormatting>
  <conditionalFormatting sqref="A154:R154">
    <cfRule type="expression" dxfId="318" priority="91">
      <formula>$K154="CANCELADO"</formula>
    </cfRule>
    <cfRule type="expression" dxfId="317" priority="92">
      <formula>$K154="STAND-BY"</formula>
    </cfRule>
    <cfRule type="expression" dxfId="316" priority="93">
      <formula>$K154="AGUARDANDO APROVAÇÃO"</formula>
    </cfRule>
    <cfRule type="expression" dxfId="315" priority="94">
      <formula>$K154="OK"</formula>
    </cfRule>
    <cfRule type="expression" dxfId="314" priority="95">
      <formula>AND((TODAY()-$H154)&gt;0,$H154&lt;&gt;"",$I154="")=TRUE</formula>
    </cfRule>
  </conditionalFormatting>
  <conditionalFormatting sqref="Q149">
    <cfRule type="expression" dxfId="313" priority="86">
      <formula>$K149="CANCELADO"</formula>
    </cfRule>
    <cfRule type="expression" dxfId="312" priority="87">
      <formula>$K149="STAND-BY"</formula>
    </cfRule>
    <cfRule type="expression" dxfId="311" priority="88">
      <formula>$K149="AGUARDANDO APROVAÇÃO"</formula>
    </cfRule>
    <cfRule type="expression" dxfId="310" priority="89">
      <formula>$K149="OK"</formula>
    </cfRule>
    <cfRule type="expression" dxfId="309" priority="90">
      <formula>AND((TODAY()-$H149)&gt;0,$H149&lt;&gt;"",$I149="")=TRUE</formula>
    </cfRule>
  </conditionalFormatting>
  <conditionalFormatting sqref="Q150">
    <cfRule type="expression" dxfId="308" priority="81">
      <formula>$K150="CANCELADO"</formula>
    </cfRule>
    <cfRule type="expression" dxfId="307" priority="82">
      <formula>$K150="STAND-BY"</formula>
    </cfRule>
    <cfRule type="expression" dxfId="306" priority="83">
      <formula>$K150="AGUARDANDO APROVAÇÃO"</formula>
    </cfRule>
    <cfRule type="expression" dxfId="305" priority="84">
      <formula>$K150="OK"</formula>
    </cfRule>
    <cfRule type="expression" dxfId="304" priority="85">
      <formula>AND((TODAY()-$H150)&gt;0,$H150&lt;&gt;"",$I150="")=TRUE</formula>
    </cfRule>
  </conditionalFormatting>
  <conditionalFormatting sqref="R148">
    <cfRule type="expression" dxfId="303" priority="76">
      <formula>$K148="CANCELADO"</formula>
    </cfRule>
    <cfRule type="expression" dxfId="302" priority="77">
      <formula>$K148="STAND-BY"</formula>
    </cfRule>
    <cfRule type="expression" dxfId="301" priority="78">
      <formula>$K148="AGUARDANDO APROVAÇÃO"</formula>
    </cfRule>
    <cfRule type="expression" dxfId="300" priority="79">
      <formula>$K148="OK"</formula>
    </cfRule>
    <cfRule type="expression" dxfId="299" priority="80">
      <formula>AND((TODAY()-$H148)&gt;0,$H148&lt;&gt;"",$I148="")=TRUE</formula>
    </cfRule>
  </conditionalFormatting>
  <conditionalFormatting sqref="R149:R150">
    <cfRule type="expression" dxfId="298" priority="66">
      <formula>$K149="CANCELADO"</formula>
    </cfRule>
    <cfRule type="expression" dxfId="297" priority="67">
      <formula>$K149="STAND-BY"</formula>
    </cfRule>
    <cfRule type="expression" dxfId="296" priority="68">
      <formula>$K149="AGUARDANDO APROVAÇÃO"</formula>
    </cfRule>
    <cfRule type="expression" dxfId="295" priority="69">
      <formula>$K149="OK"</formula>
    </cfRule>
    <cfRule type="expression" dxfId="294" priority="70">
      <formula>AND((TODAY()-$H149)&gt;0,$H149&lt;&gt;"",$I149="")=TRUE</formula>
    </cfRule>
  </conditionalFormatting>
  <conditionalFormatting sqref="P134:P135">
    <cfRule type="expression" dxfId="293" priority="61">
      <formula>$K134="CANCELADO"</formula>
    </cfRule>
    <cfRule type="expression" dxfId="292" priority="62">
      <formula>$K134="STAND-BY"</formula>
    </cfRule>
    <cfRule type="expression" dxfId="291" priority="63">
      <formula>$K134="AGUARDANDO APROVAÇÃO"</formula>
    </cfRule>
    <cfRule type="expression" dxfId="290" priority="64">
      <formula>$K134="OK"</formula>
    </cfRule>
    <cfRule type="expression" dxfId="289" priority="65">
      <formula>AND((TODAY()-$H134)&gt;0,$H134&lt;&gt;"",$I134="")=TRUE</formula>
    </cfRule>
  </conditionalFormatting>
  <conditionalFormatting sqref="P136">
    <cfRule type="expression" dxfId="288" priority="56">
      <formula>$K136="CANCELADO"</formula>
    </cfRule>
    <cfRule type="expression" dxfId="287" priority="57">
      <formula>$K136="STAND-BY"</formula>
    </cfRule>
    <cfRule type="expression" dxfId="286" priority="58">
      <formula>$K136="AGUARDANDO APROVAÇÃO"</formula>
    </cfRule>
    <cfRule type="expression" dxfId="285" priority="59">
      <formula>$K136="OK"</formula>
    </cfRule>
    <cfRule type="expression" dxfId="284" priority="60">
      <formula>AND((TODAY()-$H136)&gt;0,$H136&lt;&gt;"",$I136="")=TRUE</formula>
    </cfRule>
  </conditionalFormatting>
  <conditionalFormatting sqref="Q133:Q134">
    <cfRule type="expression" dxfId="283" priority="51">
      <formula>$K133="CANCELADO"</formula>
    </cfRule>
    <cfRule type="expression" dxfId="282" priority="52">
      <formula>$K133="STAND-BY"</formula>
    </cfRule>
    <cfRule type="expression" dxfId="281" priority="53">
      <formula>$K133="AGUARDANDO APROVAÇÃO"</formula>
    </cfRule>
    <cfRule type="expression" dxfId="280" priority="54">
      <formula>$K133="OK"</formula>
    </cfRule>
    <cfRule type="expression" dxfId="279" priority="55">
      <formula>AND((TODAY()-$H133)&gt;0,$H133&lt;&gt;"",$I133="")=TRUE</formula>
    </cfRule>
  </conditionalFormatting>
  <conditionalFormatting sqref="Q135">
    <cfRule type="expression" dxfId="278" priority="46">
      <formula>$K135="CANCELADO"</formula>
    </cfRule>
    <cfRule type="expression" dxfId="277" priority="47">
      <formula>$K135="STAND-BY"</formula>
    </cfRule>
    <cfRule type="expression" dxfId="276" priority="48">
      <formula>$K135="AGUARDANDO APROVAÇÃO"</formula>
    </cfRule>
    <cfRule type="expression" dxfId="275" priority="49">
      <formula>$K135="OK"</formula>
    </cfRule>
    <cfRule type="expression" dxfId="274" priority="50">
      <formula>AND((TODAY()-$H135)&gt;0,$H135&lt;&gt;"",$I135="")=TRUE</formula>
    </cfRule>
  </conditionalFormatting>
  <conditionalFormatting sqref="Q136">
    <cfRule type="expression" dxfId="273" priority="41">
      <formula>$K136="CANCELADO"</formula>
    </cfRule>
    <cfRule type="expression" dxfId="272" priority="42">
      <formula>$K136="STAND-BY"</formula>
    </cfRule>
    <cfRule type="expression" dxfId="271" priority="43">
      <formula>$K136="AGUARDANDO APROVAÇÃO"</formula>
    </cfRule>
    <cfRule type="expression" dxfId="270" priority="44">
      <formula>$K136="OK"</formula>
    </cfRule>
    <cfRule type="expression" dxfId="269" priority="45">
      <formula>AND((TODAY()-$H136)&gt;0,$H136&lt;&gt;"",$I136="")=TRUE</formula>
    </cfRule>
  </conditionalFormatting>
  <conditionalFormatting sqref="R133:R134">
    <cfRule type="expression" dxfId="268" priority="36">
      <formula>$K133="CANCELADO"</formula>
    </cfRule>
    <cfRule type="expression" dxfId="267" priority="37">
      <formula>$K133="STAND-BY"</formula>
    </cfRule>
    <cfRule type="expression" dxfId="266" priority="38">
      <formula>$K133="AGUARDANDO APROVAÇÃO"</formula>
    </cfRule>
    <cfRule type="expression" dxfId="265" priority="39">
      <formula>$K133="OK"</formula>
    </cfRule>
    <cfRule type="expression" dxfId="264" priority="40">
      <formula>AND((TODAY()-$H133)&gt;0,$H133&lt;&gt;"",$I133="")=TRUE</formula>
    </cfRule>
  </conditionalFormatting>
  <conditionalFormatting sqref="R135">
    <cfRule type="expression" dxfId="263" priority="31">
      <formula>$K135="CANCELADO"</formula>
    </cfRule>
    <cfRule type="expression" dxfId="262" priority="32">
      <formula>$K135="STAND-BY"</formula>
    </cfRule>
    <cfRule type="expression" dxfId="261" priority="33">
      <formula>$K135="AGUARDANDO APROVAÇÃO"</formula>
    </cfRule>
    <cfRule type="expression" dxfId="260" priority="34">
      <formula>$K135="OK"</formula>
    </cfRule>
    <cfRule type="expression" dxfId="259" priority="35">
      <formula>AND((TODAY()-$H135)&gt;0,$H135&lt;&gt;"",$I135="")=TRUE</formula>
    </cfRule>
  </conditionalFormatting>
  <conditionalFormatting sqref="R136">
    <cfRule type="expression" dxfId="258" priority="26">
      <formula>$K136="CANCELADO"</formula>
    </cfRule>
    <cfRule type="expression" dxfId="257" priority="27">
      <formula>$K136="STAND-BY"</formula>
    </cfRule>
    <cfRule type="expression" dxfId="256" priority="28">
      <formula>$K136="AGUARDANDO APROVAÇÃO"</formula>
    </cfRule>
    <cfRule type="expression" dxfId="255" priority="29">
      <formula>$K136="OK"</formula>
    </cfRule>
    <cfRule type="expression" dxfId="254" priority="30">
      <formula>AND((TODAY()-$H136)&gt;0,$H136&lt;&gt;"",$I136="")=TRUE</formula>
    </cfRule>
  </conditionalFormatting>
  <conditionalFormatting sqref="I135">
    <cfRule type="expression" dxfId="253" priority="21">
      <formula>$K135="CANCELADO"</formula>
    </cfRule>
    <cfRule type="expression" dxfId="252" priority="22">
      <formula>$K135="STAND-BY"</formula>
    </cfRule>
    <cfRule type="expression" dxfId="251" priority="23">
      <formula>$K135="AGUARDANDO APROVAÇÃO"</formula>
    </cfRule>
    <cfRule type="expression" dxfId="250" priority="24">
      <formula>$K135="OK"</formula>
    </cfRule>
    <cfRule type="expression" dxfId="249" priority="25">
      <formula>AND((TODAY()-$H135)&gt;0,$H135&lt;&gt;"",$I135="")=TRUE</formula>
    </cfRule>
  </conditionalFormatting>
  <conditionalFormatting sqref="I136">
    <cfRule type="expression" dxfId="248" priority="16">
      <formula>$K136="CANCELADO"</formula>
    </cfRule>
    <cfRule type="expression" dxfId="247" priority="17">
      <formula>$K136="STAND-BY"</formula>
    </cfRule>
    <cfRule type="expression" dxfId="246" priority="18">
      <formula>$K136="AGUARDANDO APROVAÇÃO"</formula>
    </cfRule>
    <cfRule type="expression" dxfId="245" priority="19">
      <formula>$K136="OK"</formula>
    </cfRule>
    <cfRule type="expression" dxfId="244" priority="20">
      <formula>AND((TODAY()-$H136)&gt;0,$H136&lt;&gt;"",$I136="")=TRUE</formula>
    </cfRule>
  </conditionalFormatting>
  <conditionalFormatting sqref="I122:I124">
    <cfRule type="expression" dxfId="243" priority="11">
      <formula>$K122="CANCELADO"</formula>
    </cfRule>
    <cfRule type="expression" dxfId="242" priority="12">
      <formula>$K122="STAND-BY"</formula>
    </cfRule>
    <cfRule type="expression" dxfId="241" priority="13">
      <formula>$K122="AGUARDANDO APROVAÇÃO"</formula>
    </cfRule>
    <cfRule type="expression" dxfId="240" priority="14">
      <formula>$K122="OK"</formula>
    </cfRule>
    <cfRule type="expression" dxfId="239" priority="15">
      <formula>AND((TODAY()-$H122)&gt;0,$H122&lt;&gt;"",$I122="")=TRUE</formula>
    </cfRule>
  </conditionalFormatting>
  <conditionalFormatting sqref="R113">
    <cfRule type="expression" dxfId="238" priority="6">
      <formula>$K113="CANCELADO"</formula>
    </cfRule>
    <cfRule type="expression" dxfId="237" priority="7">
      <formula>$K113="STAND-BY"</formula>
    </cfRule>
    <cfRule type="expression" dxfId="236" priority="8">
      <formula>$K113="AGUARDANDO APROVAÇÃO"</formula>
    </cfRule>
    <cfRule type="expression" dxfId="235" priority="9">
      <formula>$K113="OK"</formula>
    </cfRule>
    <cfRule type="expression" dxfId="234" priority="10">
      <formula>AND((TODAY()-$H113)&gt;0,$H113&lt;&gt;"",$I113="")=TRUE</formula>
    </cfRule>
  </conditionalFormatting>
  <conditionalFormatting sqref="R114">
    <cfRule type="expression" dxfId="233" priority="1">
      <formula>$K114="CANCELADO"</formula>
    </cfRule>
    <cfRule type="expression" dxfId="232" priority="2">
      <formula>$K114="STAND-BY"</formula>
    </cfRule>
    <cfRule type="expression" dxfId="231" priority="3">
      <formula>$K114="AGUARDANDO APROVAÇÃO"</formula>
    </cfRule>
    <cfRule type="expression" dxfId="230" priority="4">
      <formula>$K114="OK"</formula>
    </cfRule>
    <cfRule type="expression" dxfId="229" priority="5">
      <formula>AND((TODAY()-$H114)&gt;0,$H114&lt;&gt;"",$I114="")=TRUE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R66:R99 R37:R54 R2:R33 R58:R62 R112 R115:R132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 R63:R65 R113:R114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440B-CEA6-4F0C-85D8-C2EE2E1DC8C7}">
  <sheetPr codeName="Planilha11"/>
  <dimension ref="A1:R341"/>
  <sheetViews>
    <sheetView topLeftCell="A320" workbookViewId="0">
      <selection activeCell="A2" sqref="A2:XFD320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39</v>
      </c>
      <c r="B4" s="17">
        <v>214176</v>
      </c>
      <c r="C4" s="18" t="s">
        <v>77</v>
      </c>
      <c r="D4" s="81" t="s">
        <v>382</v>
      </c>
      <c r="E4" s="17" t="s">
        <v>83</v>
      </c>
      <c r="F4" s="17"/>
      <c r="G4" s="20">
        <v>44209</v>
      </c>
      <c r="H4" s="20"/>
      <c r="I4" s="20"/>
      <c r="J4" s="21" t="s">
        <v>383</v>
      </c>
      <c r="K4" s="18" t="s">
        <v>24</v>
      </c>
      <c r="L4" s="23" t="s">
        <v>37</v>
      </c>
      <c r="M4" s="18" t="s">
        <v>83</v>
      </c>
      <c r="N4" s="18"/>
      <c r="O4" s="18" t="s">
        <v>38</v>
      </c>
      <c r="P4" s="21"/>
      <c r="Q4" s="18" t="s">
        <v>54</v>
      </c>
      <c r="R4" s="22" t="s">
        <v>185</v>
      </c>
    </row>
    <row r="5" spans="1:18" ht="30" customHeight="1" x14ac:dyDescent="0.25">
      <c r="A5" s="16" t="s">
        <v>163</v>
      </c>
      <c r="B5" s="17">
        <v>214878</v>
      </c>
      <c r="C5" s="18" t="s">
        <v>20</v>
      </c>
      <c r="D5" s="81" t="s">
        <v>164</v>
      </c>
      <c r="E5" s="17" t="s">
        <v>43</v>
      </c>
      <c r="F5" s="17">
        <v>1</v>
      </c>
      <c r="G5" s="20">
        <v>44211</v>
      </c>
      <c r="H5" s="20"/>
      <c r="I5" s="20"/>
      <c r="J5" s="21" t="s">
        <v>385</v>
      </c>
      <c r="K5" s="18" t="s">
        <v>386</v>
      </c>
      <c r="L5" s="23" t="s">
        <v>25</v>
      </c>
      <c r="M5" s="18" t="s">
        <v>34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39</v>
      </c>
      <c r="B6" s="17">
        <v>214031</v>
      </c>
      <c r="C6" s="18" t="s">
        <v>20</v>
      </c>
      <c r="D6" s="81" t="s">
        <v>167</v>
      </c>
      <c r="E6" s="17" t="s">
        <v>22</v>
      </c>
      <c r="F6" s="17">
        <v>1</v>
      </c>
      <c r="G6" s="20">
        <v>44208</v>
      </c>
      <c r="H6" s="20">
        <v>44324</v>
      </c>
      <c r="I6" s="20"/>
      <c r="J6" s="21" t="s">
        <v>387</v>
      </c>
      <c r="K6" s="18" t="s">
        <v>388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39</v>
      </c>
      <c r="B7" s="17">
        <v>214031</v>
      </c>
      <c r="C7" s="18" t="s">
        <v>20</v>
      </c>
      <c r="D7" s="81" t="s">
        <v>167</v>
      </c>
      <c r="E7" s="17" t="s">
        <v>22</v>
      </c>
      <c r="F7" s="17">
        <v>1</v>
      </c>
      <c r="G7" s="20">
        <v>44258</v>
      </c>
      <c r="H7" s="20">
        <v>44285</v>
      </c>
      <c r="I7" s="20">
        <v>44285</v>
      </c>
      <c r="J7" s="21" t="s">
        <v>389</v>
      </c>
      <c r="K7" s="18" t="s">
        <v>24</v>
      </c>
      <c r="L7" s="23" t="s">
        <v>25</v>
      </c>
      <c r="M7" s="18" t="s">
        <v>26</v>
      </c>
      <c r="N7" s="18"/>
      <c r="O7" s="18" t="s">
        <v>27</v>
      </c>
      <c r="P7" s="21" t="s">
        <v>27</v>
      </c>
      <c r="Q7" s="18" t="s">
        <v>28</v>
      </c>
      <c r="R7" s="22"/>
    </row>
    <row r="8" spans="1:18" ht="30" customHeight="1" x14ac:dyDescent="0.25">
      <c r="A8" s="16" t="s">
        <v>39</v>
      </c>
      <c r="B8" s="17">
        <v>214031</v>
      </c>
      <c r="C8" s="18" t="s">
        <v>20</v>
      </c>
      <c r="D8" s="81" t="s">
        <v>167</v>
      </c>
      <c r="E8" s="17" t="s">
        <v>46</v>
      </c>
      <c r="F8" s="17">
        <v>1</v>
      </c>
      <c r="G8" s="20">
        <v>44258</v>
      </c>
      <c r="H8" s="20">
        <v>44285</v>
      </c>
      <c r="I8" s="20">
        <v>44285</v>
      </c>
      <c r="J8" s="21" t="s">
        <v>389</v>
      </c>
      <c r="K8" s="18" t="s">
        <v>24</v>
      </c>
      <c r="L8" s="23" t="s">
        <v>45</v>
      </c>
      <c r="M8" s="18" t="s">
        <v>26</v>
      </c>
      <c r="N8" s="18"/>
      <c r="O8" s="18" t="s">
        <v>27</v>
      </c>
      <c r="P8" s="21" t="s">
        <v>27</v>
      </c>
      <c r="Q8" s="18" t="s">
        <v>28</v>
      </c>
      <c r="R8" s="22"/>
    </row>
    <row r="9" spans="1:18" ht="30" customHeight="1" x14ac:dyDescent="0.25">
      <c r="A9" s="16" t="s">
        <v>39</v>
      </c>
      <c r="B9" s="17">
        <v>214031</v>
      </c>
      <c r="C9" s="18" t="s">
        <v>20</v>
      </c>
      <c r="D9" s="81" t="s">
        <v>167</v>
      </c>
      <c r="E9" s="17" t="s">
        <v>177</v>
      </c>
      <c r="F9" s="17">
        <v>1</v>
      </c>
      <c r="G9" s="20">
        <v>44258</v>
      </c>
      <c r="H9" s="20">
        <v>44285</v>
      </c>
      <c r="I9" s="20">
        <v>44285</v>
      </c>
      <c r="J9" s="21" t="s">
        <v>389</v>
      </c>
      <c r="K9" s="18" t="s">
        <v>24</v>
      </c>
      <c r="L9" s="23" t="s">
        <v>25</v>
      </c>
      <c r="M9" s="18" t="s">
        <v>26</v>
      </c>
      <c r="N9" s="18"/>
      <c r="O9" s="18" t="s">
        <v>27</v>
      </c>
      <c r="P9" s="21" t="s">
        <v>27</v>
      </c>
      <c r="Q9" s="18" t="s">
        <v>28</v>
      </c>
      <c r="R9" s="22"/>
    </row>
    <row r="10" spans="1:18" ht="30" customHeight="1" x14ac:dyDescent="0.25">
      <c r="A10" s="16" t="s">
        <v>39</v>
      </c>
      <c r="B10" s="17">
        <v>215280</v>
      </c>
      <c r="C10" s="18" t="s">
        <v>20</v>
      </c>
      <c r="D10" s="81" t="s">
        <v>176</v>
      </c>
      <c r="E10" s="17" t="s">
        <v>83</v>
      </c>
      <c r="F10" s="17">
        <v>28</v>
      </c>
      <c r="G10" s="20">
        <v>44215</v>
      </c>
      <c r="H10" s="20">
        <v>44265</v>
      </c>
      <c r="I10" s="20">
        <v>44265</v>
      </c>
      <c r="J10" s="21" t="s">
        <v>390</v>
      </c>
      <c r="K10" s="18" t="s">
        <v>24</v>
      </c>
      <c r="L10" s="23" t="s">
        <v>25</v>
      </c>
      <c r="M10" s="18" t="s">
        <v>83</v>
      </c>
      <c r="N10" s="18"/>
      <c r="O10" s="18" t="s">
        <v>27</v>
      </c>
      <c r="P10" s="21" t="s">
        <v>27</v>
      </c>
      <c r="Q10" s="18"/>
      <c r="R10" s="22"/>
    </row>
    <row r="11" spans="1:18" ht="30" customHeight="1" x14ac:dyDescent="0.25">
      <c r="A11" s="16" t="s">
        <v>39</v>
      </c>
      <c r="B11" s="17">
        <v>215280</v>
      </c>
      <c r="C11" s="18" t="s">
        <v>20</v>
      </c>
      <c r="D11" s="81" t="s">
        <v>176</v>
      </c>
      <c r="E11" s="17" t="s">
        <v>115</v>
      </c>
      <c r="F11" s="17">
        <v>22</v>
      </c>
      <c r="G11" s="20">
        <v>44215</v>
      </c>
      <c r="H11" s="20">
        <v>44265</v>
      </c>
      <c r="I11" s="20">
        <v>44265</v>
      </c>
      <c r="J11" s="21" t="s">
        <v>391</v>
      </c>
      <c r="K11" s="18" t="s">
        <v>24</v>
      </c>
      <c r="L11" s="23" t="s">
        <v>25</v>
      </c>
      <c r="M11" s="18" t="s">
        <v>83</v>
      </c>
      <c r="N11" s="18"/>
      <c r="O11" s="18" t="s">
        <v>27</v>
      </c>
      <c r="P11" s="21" t="s">
        <v>27</v>
      </c>
      <c r="Q11" s="18"/>
      <c r="R11" s="22"/>
    </row>
    <row r="12" spans="1:18" ht="30" customHeight="1" x14ac:dyDescent="0.25">
      <c r="A12" s="16" t="s">
        <v>39</v>
      </c>
      <c r="B12" s="17">
        <v>215280</v>
      </c>
      <c r="C12" s="18" t="s">
        <v>20</v>
      </c>
      <c r="D12" s="81" t="s">
        <v>176</v>
      </c>
      <c r="E12" s="17" t="s">
        <v>22</v>
      </c>
      <c r="F12" s="17">
        <v>2</v>
      </c>
      <c r="G12" s="20">
        <v>44215</v>
      </c>
      <c r="H12" s="20">
        <v>44230</v>
      </c>
      <c r="I12" s="20">
        <v>44230</v>
      </c>
      <c r="J12" s="21"/>
      <c r="K12" s="18" t="s">
        <v>24</v>
      </c>
      <c r="L12" s="23" t="s">
        <v>58</v>
      </c>
      <c r="M12" s="18" t="s">
        <v>26</v>
      </c>
      <c r="N12" s="18"/>
      <c r="O12" s="18" t="s">
        <v>27</v>
      </c>
      <c r="P12" s="21" t="s">
        <v>27</v>
      </c>
      <c r="Q12" s="18" t="s">
        <v>28</v>
      </c>
      <c r="R12" s="22" t="s">
        <v>29</v>
      </c>
    </row>
    <row r="13" spans="1:18" ht="30" customHeight="1" x14ac:dyDescent="0.25">
      <c r="A13" s="16" t="s">
        <v>39</v>
      </c>
      <c r="B13" s="17">
        <v>215280</v>
      </c>
      <c r="C13" s="18" t="s">
        <v>20</v>
      </c>
      <c r="D13" s="81" t="s">
        <v>176</v>
      </c>
      <c r="E13" s="17" t="s">
        <v>46</v>
      </c>
      <c r="F13" s="17">
        <v>2</v>
      </c>
      <c r="G13" s="20">
        <v>44215</v>
      </c>
      <c r="H13" s="20">
        <v>44230</v>
      </c>
      <c r="I13" s="20">
        <v>44230</v>
      </c>
      <c r="J13" s="21"/>
      <c r="K13" s="18" t="s">
        <v>24</v>
      </c>
      <c r="L13" s="23" t="s">
        <v>58</v>
      </c>
      <c r="M13" s="18" t="s">
        <v>26</v>
      </c>
      <c r="N13" s="18"/>
      <c r="O13" s="18" t="s">
        <v>27</v>
      </c>
      <c r="P13" s="21" t="s">
        <v>27</v>
      </c>
      <c r="Q13" s="18" t="s">
        <v>28</v>
      </c>
      <c r="R13" s="22" t="s">
        <v>29</v>
      </c>
    </row>
    <row r="14" spans="1:18" ht="30" customHeight="1" x14ac:dyDescent="0.25">
      <c r="A14" s="16" t="s">
        <v>39</v>
      </c>
      <c r="B14" s="17">
        <v>215280</v>
      </c>
      <c r="C14" s="18" t="s">
        <v>20</v>
      </c>
      <c r="D14" s="81" t="s">
        <v>176</v>
      </c>
      <c r="E14" s="17" t="s">
        <v>177</v>
      </c>
      <c r="F14" s="17">
        <v>2</v>
      </c>
      <c r="G14" s="20">
        <v>44215</v>
      </c>
      <c r="H14" s="20">
        <v>44230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27</v>
      </c>
      <c r="P14" s="21" t="s">
        <v>27</v>
      </c>
      <c r="Q14" s="18" t="s">
        <v>28</v>
      </c>
      <c r="R14" s="22" t="s">
        <v>29</v>
      </c>
    </row>
    <row r="15" spans="1:18" ht="30" customHeight="1" x14ac:dyDescent="0.25">
      <c r="A15" s="16" t="s">
        <v>39</v>
      </c>
      <c r="B15" s="17">
        <v>198680</v>
      </c>
      <c r="C15" s="18" t="s">
        <v>20</v>
      </c>
      <c r="D15" s="81" t="s">
        <v>392</v>
      </c>
      <c r="E15" s="17" t="s">
        <v>157</v>
      </c>
      <c r="F15" s="17">
        <v>1</v>
      </c>
      <c r="G15" s="20">
        <v>44132</v>
      </c>
      <c r="H15" s="20">
        <v>44298</v>
      </c>
      <c r="I15" s="20">
        <v>44319</v>
      </c>
      <c r="J15" s="21"/>
      <c r="K15" s="18" t="s">
        <v>24</v>
      </c>
      <c r="L15" s="23" t="s">
        <v>25</v>
      </c>
      <c r="M15" s="18" t="s">
        <v>34</v>
      </c>
      <c r="N15" s="18"/>
      <c r="O15" s="18" t="s">
        <v>27</v>
      </c>
      <c r="P15" s="21" t="s">
        <v>27</v>
      </c>
      <c r="Q15" s="18"/>
      <c r="R15" s="22"/>
    </row>
    <row r="16" spans="1:18" ht="30" customHeight="1" x14ac:dyDescent="0.25">
      <c r="A16" s="16" t="s">
        <v>39</v>
      </c>
      <c r="B16" s="17" t="s">
        <v>61</v>
      </c>
      <c r="C16" s="18" t="s">
        <v>20</v>
      </c>
      <c r="D16" s="81" t="s">
        <v>200</v>
      </c>
      <c r="E16" s="17" t="s">
        <v>116</v>
      </c>
      <c r="F16" s="17">
        <v>2</v>
      </c>
      <c r="G16" s="20">
        <v>44225</v>
      </c>
      <c r="H16" s="20">
        <v>44260</v>
      </c>
      <c r="I16" s="20"/>
      <c r="J16" s="21"/>
      <c r="K16" s="18" t="s">
        <v>24</v>
      </c>
      <c r="L16" s="23" t="s">
        <v>25</v>
      </c>
      <c r="M16" s="18" t="s">
        <v>26</v>
      </c>
      <c r="N16" s="18"/>
      <c r="O16" s="18" t="s">
        <v>27</v>
      </c>
      <c r="P16" s="21" t="s">
        <v>27</v>
      </c>
      <c r="Q16" s="18"/>
      <c r="R16" s="22"/>
    </row>
    <row r="17" spans="1:18" ht="30" customHeight="1" x14ac:dyDescent="0.25">
      <c r="A17" s="16" t="s">
        <v>35</v>
      </c>
      <c r="B17" s="17">
        <v>217447</v>
      </c>
      <c r="C17" s="18" t="s">
        <v>20</v>
      </c>
      <c r="D17" s="81" t="s">
        <v>393</v>
      </c>
      <c r="E17" s="17" t="s">
        <v>46</v>
      </c>
      <c r="F17" s="17">
        <v>1</v>
      </c>
      <c r="G17" s="20">
        <v>44225</v>
      </c>
      <c r="H17" s="20">
        <v>44237</v>
      </c>
      <c r="I17" s="20">
        <v>44237</v>
      </c>
      <c r="J17" s="21" t="s">
        <v>394</v>
      </c>
      <c r="K17" s="18" t="s">
        <v>386</v>
      </c>
      <c r="L17" s="23" t="s">
        <v>25</v>
      </c>
      <c r="M17" s="18" t="s">
        <v>26</v>
      </c>
      <c r="N17" s="18"/>
      <c r="O17" s="18" t="s">
        <v>27</v>
      </c>
      <c r="P17" s="21"/>
      <c r="Q17" s="18"/>
      <c r="R17" s="22"/>
    </row>
    <row r="18" spans="1:18" ht="30" customHeight="1" x14ac:dyDescent="0.25">
      <c r="A18" s="16" t="s">
        <v>35</v>
      </c>
      <c r="B18" s="17">
        <v>217447</v>
      </c>
      <c r="C18" s="18" t="s">
        <v>20</v>
      </c>
      <c r="D18" s="81" t="s">
        <v>393</v>
      </c>
      <c r="E18" s="17" t="s">
        <v>22</v>
      </c>
      <c r="F18" s="17">
        <v>1</v>
      </c>
      <c r="G18" s="20">
        <v>44225</v>
      </c>
      <c r="H18" s="20">
        <v>44237</v>
      </c>
      <c r="I18" s="20">
        <v>44237</v>
      </c>
      <c r="J18" s="21" t="s">
        <v>394</v>
      </c>
      <c r="K18" s="18" t="s">
        <v>386</v>
      </c>
      <c r="L18" s="23" t="s">
        <v>25</v>
      </c>
      <c r="M18" s="18" t="s">
        <v>26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39</v>
      </c>
      <c r="B19" s="17">
        <v>202587</v>
      </c>
      <c r="C19" s="18" t="s">
        <v>140</v>
      </c>
      <c r="D19" s="81" t="s">
        <v>395</v>
      </c>
      <c r="E19" s="17" t="s">
        <v>288</v>
      </c>
      <c r="F19" s="17"/>
      <c r="G19" s="20">
        <v>44518</v>
      </c>
      <c r="H19" s="20">
        <v>44211</v>
      </c>
      <c r="I19" s="20"/>
      <c r="J19" s="21" t="s">
        <v>396</v>
      </c>
      <c r="K19" s="18" t="s">
        <v>384</v>
      </c>
      <c r="L19" s="23" t="s">
        <v>58</v>
      </c>
      <c r="M19" s="18" t="s">
        <v>26</v>
      </c>
      <c r="N19" s="18"/>
      <c r="O19" s="18" t="s">
        <v>38</v>
      </c>
      <c r="P19" s="21"/>
      <c r="Q19" s="18"/>
      <c r="R19" s="22"/>
    </row>
    <row r="20" spans="1:18" ht="30" customHeight="1" x14ac:dyDescent="0.25">
      <c r="A20" s="16" t="s">
        <v>159</v>
      </c>
      <c r="B20" s="17">
        <v>210194</v>
      </c>
      <c r="C20" s="18" t="s">
        <v>77</v>
      </c>
      <c r="D20" s="81" t="s">
        <v>397</v>
      </c>
      <c r="E20" s="17" t="s">
        <v>69</v>
      </c>
      <c r="F20" s="17"/>
      <c r="G20" s="20">
        <v>44187</v>
      </c>
      <c r="H20" s="20">
        <v>44229</v>
      </c>
      <c r="I20" s="20"/>
      <c r="J20" s="21"/>
      <c r="K20" s="18" t="s">
        <v>384</v>
      </c>
      <c r="L20" s="23"/>
      <c r="M20" s="18"/>
      <c r="N20" s="18"/>
      <c r="O20" s="18"/>
      <c r="P20" s="21"/>
      <c r="Q20" s="18"/>
      <c r="R20" s="22"/>
    </row>
    <row r="21" spans="1:18" ht="30" customHeight="1" x14ac:dyDescent="0.25">
      <c r="A21" s="16" t="s">
        <v>39</v>
      </c>
      <c r="B21" s="17">
        <v>199736</v>
      </c>
      <c r="C21" s="18" t="s">
        <v>20</v>
      </c>
      <c r="D21" s="81" t="s">
        <v>398</v>
      </c>
      <c r="E21" s="17" t="s">
        <v>157</v>
      </c>
      <c r="F21" s="17"/>
      <c r="G21" s="20">
        <v>44139</v>
      </c>
      <c r="H21" s="20">
        <v>44253</v>
      </c>
      <c r="I21" s="20">
        <v>44253</v>
      </c>
      <c r="J21" s="21" t="s">
        <v>399</v>
      </c>
      <c r="K21" s="18" t="s">
        <v>386</v>
      </c>
      <c r="L21" s="23"/>
      <c r="M21" s="18"/>
      <c r="N21" s="18"/>
      <c r="O21" s="18"/>
      <c r="P21" s="21"/>
      <c r="Q21" s="18"/>
      <c r="R21" s="22"/>
    </row>
    <row r="22" spans="1:18" ht="30" customHeight="1" x14ac:dyDescent="0.25">
      <c r="A22" s="16" t="s">
        <v>130</v>
      </c>
      <c r="B22" s="17">
        <v>219469</v>
      </c>
      <c r="C22" s="18" t="s">
        <v>77</v>
      </c>
      <c r="D22" s="81" t="s">
        <v>400</v>
      </c>
      <c r="E22" s="17"/>
      <c r="F22" s="17"/>
      <c r="G22" s="20">
        <v>44235</v>
      </c>
      <c r="H22" s="20">
        <v>44251</v>
      </c>
      <c r="I22" s="20"/>
      <c r="J22" s="21"/>
      <c r="K22" s="18" t="s">
        <v>388</v>
      </c>
      <c r="L22" s="23" t="s">
        <v>37</v>
      </c>
      <c r="M22" s="18"/>
      <c r="N22" s="18"/>
      <c r="O22" s="18"/>
      <c r="P22" s="21"/>
      <c r="Q22" s="18"/>
      <c r="R22" s="22"/>
    </row>
    <row r="23" spans="1:18" ht="30" customHeight="1" x14ac:dyDescent="0.25">
      <c r="A23" s="16" t="s">
        <v>96</v>
      </c>
      <c r="B23" s="17">
        <v>209414</v>
      </c>
      <c r="C23" s="18" t="s">
        <v>77</v>
      </c>
      <c r="D23" s="81" t="s">
        <v>401</v>
      </c>
      <c r="E23" s="17" t="s">
        <v>74</v>
      </c>
      <c r="F23" s="17"/>
      <c r="G23" s="20">
        <v>44201</v>
      </c>
      <c r="H23" s="20">
        <v>44293</v>
      </c>
      <c r="I23" s="20">
        <v>44294</v>
      </c>
      <c r="J23" s="21" t="s">
        <v>402</v>
      </c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/>
      <c r="Q23" s="18"/>
      <c r="R23" s="22"/>
    </row>
    <row r="24" spans="1:18" ht="30" customHeight="1" x14ac:dyDescent="0.25">
      <c r="A24" s="16" t="s">
        <v>96</v>
      </c>
      <c r="B24" s="17">
        <v>209414</v>
      </c>
      <c r="C24" s="18" t="s">
        <v>20</v>
      </c>
      <c r="D24" s="81" t="s">
        <v>401</v>
      </c>
      <c r="E24" s="17" t="s">
        <v>22</v>
      </c>
      <c r="F24" s="17">
        <v>2</v>
      </c>
      <c r="G24" s="20">
        <v>44201</v>
      </c>
      <c r="H24" s="20">
        <v>44302</v>
      </c>
      <c r="I24" s="20"/>
      <c r="J24" s="21"/>
      <c r="K24" s="18" t="s">
        <v>384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 t="s">
        <v>29</v>
      </c>
    </row>
    <row r="25" spans="1:18" ht="30" customHeight="1" x14ac:dyDescent="0.25">
      <c r="A25" s="16" t="s">
        <v>96</v>
      </c>
      <c r="B25" s="17">
        <v>209414</v>
      </c>
      <c r="C25" s="18" t="s">
        <v>20</v>
      </c>
      <c r="D25" s="81" t="s">
        <v>401</v>
      </c>
      <c r="E25" s="17" t="s">
        <v>107</v>
      </c>
      <c r="F25" s="17"/>
      <c r="G25" s="20">
        <v>44201</v>
      </c>
      <c r="H25" s="20"/>
      <c r="I25" s="20"/>
      <c r="J25" s="21"/>
      <c r="K25" s="18" t="s">
        <v>388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customHeight="1" x14ac:dyDescent="0.25">
      <c r="A26" s="16" t="s">
        <v>96</v>
      </c>
      <c r="B26" s="17">
        <v>209414</v>
      </c>
      <c r="C26" s="18" t="s">
        <v>140</v>
      </c>
      <c r="D26" s="81" t="s">
        <v>401</v>
      </c>
      <c r="E26" s="17" t="s">
        <v>107</v>
      </c>
      <c r="F26" s="17">
        <v>2</v>
      </c>
      <c r="G26" s="20">
        <v>44201</v>
      </c>
      <c r="H26" s="20">
        <v>44302</v>
      </c>
      <c r="I26" s="20"/>
      <c r="J26" s="21" t="s">
        <v>403</v>
      </c>
      <c r="K26" s="18" t="s">
        <v>386</v>
      </c>
      <c r="L26" s="23" t="s">
        <v>58</v>
      </c>
      <c r="M26" s="18" t="s">
        <v>26</v>
      </c>
      <c r="N26" s="18"/>
      <c r="O26" s="18" t="s">
        <v>38</v>
      </c>
      <c r="P26" s="21"/>
      <c r="Q26" s="18"/>
      <c r="R26" s="22"/>
    </row>
    <row r="27" spans="1:18" ht="30" customHeight="1" x14ac:dyDescent="0.25">
      <c r="A27" s="16" t="s">
        <v>39</v>
      </c>
      <c r="B27" s="17">
        <v>221340</v>
      </c>
      <c r="C27" s="18" t="s">
        <v>20</v>
      </c>
      <c r="D27" s="81" t="s">
        <v>404</v>
      </c>
      <c r="E27" s="17" t="s">
        <v>86</v>
      </c>
      <c r="F27" s="17">
        <v>1</v>
      </c>
      <c r="G27" s="20">
        <v>44239</v>
      </c>
      <c r="H27" s="20"/>
      <c r="I27" s="20"/>
      <c r="J27" s="21"/>
      <c r="K27" s="18" t="s">
        <v>388</v>
      </c>
      <c r="L27" s="23" t="s">
        <v>25</v>
      </c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39</v>
      </c>
      <c r="B28" s="17">
        <v>221340</v>
      </c>
      <c r="C28" s="18" t="s">
        <v>62</v>
      </c>
      <c r="D28" s="81" t="s">
        <v>404</v>
      </c>
      <c r="E28" s="17" t="s">
        <v>302</v>
      </c>
      <c r="F28" s="17"/>
      <c r="G28" s="20">
        <v>44239</v>
      </c>
      <c r="H28" s="20"/>
      <c r="I28" s="20"/>
      <c r="J28" s="21" t="s">
        <v>405</v>
      </c>
      <c r="K28" s="18" t="s">
        <v>388</v>
      </c>
      <c r="L28" s="23" t="s">
        <v>25</v>
      </c>
      <c r="M28" s="18"/>
      <c r="N28" s="18"/>
      <c r="O28" s="18"/>
      <c r="P28" s="21"/>
      <c r="Q28" s="18"/>
      <c r="R28" s="22"/>
    </row>
    <row r="29" spans="1:18" ht="30" customHeight="1" x14ac:dyDescent="0.25">
      <c r="A29" s="16" t="s">
        <v>39</v>
      </c>
      <c r="B29" s="17">
        <v>221340</v>
      </c>
      <c r="C29" s="18" t="s">
        <v>138</v>
      </c>
      <c r="D29" s="81" t="s">
        <v>404</v>
      </c>
      <c r="E29" s="17" t="s">
        <v>83</v>
      </c>
      <c r="F29" s="17"/>
      <c r="G29" s="20">
        <v>44239</v>
      </c>
      <c r="H29" s="20"/>
      <c r="I29" s="20"/>
      <c r="J29" s="21" t="s">
        <v>406</v>
      </c>
      <c r="K29" s="18" t="s">
        <v>388</v>
      </c>
      <c r="L29" s="23" t="s">
        <v>25</v>
      </c>
      <c r="M29" s="18"/>
      <c r="N29" s="18"/>
      <c r="O29" s="18"/>
      <c r="P29" s="21"/>
      <c r="Q29" s="18"/>
      <c r="R29" s="22"/>
    </row>
    <row r="30" spans="1:18" ht="30" customHeight="1" x14ac:dyDescent="0.25">
      <c r="A30" s="16" t="s">
        <v>52</v>
      </c>
      <c r="B30" s="17">
        <v>221950</v>
      </c>
      <c r="C30" s="18" t="s">
        <v>77</v>
      </c>
      <c r="D30" s="81" t="s">
        <v>407</v>
      </c>
      <c r="E30" s="17"/>
      <c r="F30" s="17"/>
      <c r="G30" s="20">
        <v>44245</v>
      </c>
      <c r="H30" s="20"/>
      <c r="I30" s="20"/>
      <c r="J30" s="21" t="s">
        <v>408</v>
      </c>
      <c r="K30" s="18" t="s">
        <v>24</v>
      </c>
      <c r="L30" s="23"/>
      <c r="M30" s="18"/>
      <c r="N30" s="18"/>
      <c r="O30" s="18"/>
      <c r="P30" s="21"/>
      <c r="Q30" s="18"/>
      <c r="R30" s="22"/>
    </row>
    <row r="31" spans="1:18" ht="30" customHeight="1" x14ac:dyDescent="0.25">
      <c r="A31" s="16" t="s">
        <v>35</v>
      </c>
      <c r="B31" s="17">
        <v>221950</v>
      </c>
      <c r="C31" s="18" t="s">
        <v>410</v>
      </c>
      <c r="D31" s="81" t="s">
        <v>417</v>
      </c>
      <c r="E31" s="17" t="s">
        <v>22</v>
      </c>
      <c r="F31" s="17">
        <v>1</v>
      </c>
      <c r="G31" s="20">
        <v>44279</v>
      </c>
      <c r="H31" s="20">
        <v>44281</v>
      </c>
      <c r="I31" s="20">
        <v>44281</v>
      </c>
      <c r="J31" s="21"/>
      <c r="K31" s="18" t="s">
        <v>24</v>
      </c>
      <c r="L31" s="23" t="s">
        <v>58</v>
      </c>
      <c r="M31" s="18" t="s">
        <v>26</v>
      </c>
      <c r="N31" s="18">
        <v>1</v>
      </c>
      <c r="O31" s="18"/>
      <c r="P31" s="21" t="s">
        <v>38</v>
      </c>
      <c r="Q31" s="18" t="s">
        <v>54</v>
      </c>
      <c r="R31" s="22"/>
    </row>
    <row r="32" spans="1:18" ht="30" customHeight="1" x14ac:dyDescent="0.25">
      <c r="A32" s="16" t="s">
        <v>35</v>
      </c>
      <c r="B32" s="17">
        <v>221950</v>
      </c>
      <c r="C32" s="18" t="s">
        <v>410</v>
      </c>
      <c r="D32" s="81" t="s">
        <v>417</v>
      </c>
      <c r="E32" s="17" t="s">
        <v>68</v>
      </c>
      <c r="F32" s="17">
        <v>3</v>
      </c>
      <c r="G32" s="20">
        <v>44279</v>
      </c>
      <c r="H32" s="20">
        <v>44281</v>
      </c>
      <c r="I32" s="20">
        <v>44281</v>
      </c>
      <c r="J32" s="21"/>
      <c r="K32" s="18" t="s">
        <v>24</v>
      </c>
      <c r="L32" s="23" t="s">
        <v>58</v>
      </c>
      <c r="M32" s="18" t="s">
        <v>26</v>
      </c>
      <c r="N32" s="18">
        <v>1</v>
      </c>
      <c r="O32" s="18"/>
      <c r="P32" s="21" t="s">
        <v>38</v>
      </c>
      <c r="Q32" s="18" t="s">
        <v>54</v>
      </c>
      <c r="R32" s="22"/>
    </row>
    <row r="33" spans="1:18" ht="30" customHeight="1" x14ac:dyDescent="0.25">
      <c r="A33" s="16" t="s">
        <v>35</v>
      </c>
      <c r="B33" s="17">
        <v>221950</v>
      </c>
      <c r="C33" s="18" t="s">
        <v>410</v>
      </c>
      <c r="D33" s="81" t="s">
        <v>417</v>
      </c>
      <c r="E33" s="17" t="s">
        <v>82</v>
      </c>
      <c r="F33" s="17">
        <v>1</v>
      </c>
      <c r="G33" s="20">
        <v>44279</v>
      </c>
      <c r="H33" s="20">
        <v>44281</v>
      </c>
      <c r="I33" s="20">
        <v>44281</v>
      </c>
      <c r="J33" s="21"/>
      <c r="K33" s="18" t="s">
        <v>24</v>
      </c>
      <c r="L33" s="23" t="s">
        <v>58</v>
      </c>
      <c r="M33" s="18" t="s">
        <v>83</v>
      </c>
      <c r="N33" s="18">
        <v>1</v>
      </c>
      <c r="O33" s="18"/>
      <c r="P33" s="21" t="s">
        <v>38</v>
      </c>
      <c r="Q33" s="18" t="s">
        <v>54</v>
      </c>
      <c r="R33" s="22"/>
    </row>
    <row r="34" spans="1:18" ht="30" customHeight="1" x14ac:dyDescent="0.25">
      <c r="A34" s="16" t="s">
        <v>35</v>
      </c>
      <c r="B34" s="17">
        <v>221950</v>
      </c>
      <c r="C34" s="18" t="s">
        <v>410</v>
      </c>
      <c r="D34" s="81" t="s">
        <v>417</v>
      </c>
      <c r="E34" s="17" t="s">
        <v>106</v>
      </c>
      <c r="F34" s="17">
        <v>1</v>
      </c>
      <c r="G34" s="20">
        <v>44279</v>
      </c>
      <c r="H34" s="20">
        <v>44281</v>
      </c>
      <c r="I34" s="20">
        <v>44281</v>
      </c>
      <c r="J34" s="21"/>
      <c r="K34" s="18" t="s">
        <v>24</v>
      </c>
      <c r="L34" s="23" t="s">
        <v>58</v>
      </c>
      <c r="M34" s="18" t="s">
        <v>26</v>
      </c>
      <c r="N34" s="18">
        <v>1</v>
      </c>
      <c r="O34" s="18"/>
      <c r="P34" s="21" t="s">
        <v>38</v>
      </c>
      <c r="Q34" s="18" t="s">
        <v>54</v>
      </c>
      <c r="R34" s="22"/>
    </row>
    <row r="35" spans="1:18" ht="30" customHeight="1" x14ac:dyDescent="0.25">
      <c r="A35" s="16" t="s">
        <v>35</v>
      </c>
      <c r="B35" s="17">
        <v>221950</v>
      </c>
      <c r="C35" s="18" t="s">
        <v>410</v>
      </c>
      <c r="D35" s="91" t="s">
        <v>417</v>
      </c>
      <c r="E35" s="17" t="s">
        <v>107</v>
      </c>
      <c r="F35" s="17">
        <v>2</v>
      </c>
      <c r="G35" s="20">
        <v>44279</v>
      </c>
      <c r="H35" s="20">
        <v>44281</v>
      </c>
      <c r="I35" s="20">
        <v>44281</v>
      </c>
      <c r="J35" s="21"/>
      <c r="K35" s="18" t="s">
        <v>24</v>
      </c>
      <c r="L35" s="23" t="s">
        <v>58</v>
      </c>
      <c r="M35" s="18" t="s">
        <v>26</v>
      </c>
      <c r="N35" s="18">
        <v>1</v>
      </c>
      <c r="O35" s="18"/>
      <c r="P35" s="21" t="s">
        <v>38</v>
      </c>
      <c r="Q35" s="18" t="s">
        <v>54</v>
      </c>
      <c r="R35" s="22"/>
    </row>
    <row r="36" spans="1:18" ht="30" customHeight="1" x14ac:dyDescent="0.25">
      <c r="A36" s="16" t="s">
        <v>35</v>
      </c>
      <c r="B36" s="17">
        <v>221950</v>
      </c>
      <c r="C36" s="18" t="s">
        <v>410</v>
      </c>
      <c r="D36" s="81" t="s">
        <v>417</v>
      </c>
      <c r="E36" s="17" t="s">
        <v>104</v>
      </c>
      <c r="F36" s="17">
        <v>1</v>
      </c>
      <c r="G36" s="20">
        <v>44279</v>
      </c>
      <c r="H36" s="20">
        <v>44281</v>
      </c>
      <c r="I36" s="20">
        <v>44281</v>
      </c>
      <c r="J36" s="21"/>
      <c r="K36" s="18" t="s">
        <v>24</v>
      </c>
      <c r="L36" s="23" t="s">
        <v>58</v>
      </c>
      <c r="M36" s="18" t="s">
        <v>26</v>
      </c>
      <c r="N36" s="18">
        <v>1</v>
      </c>
      <c r="O36" s="18"/>
      <c r="P36" s="21" t="s">
        <v>38</v>
      </c>
      <c r="Q36" s="18" t="s">
        <v>54</v>
      </c>
      <c r="R36" s="22"/>
    </row>
    <row r="37" spans="1:18" ht="30" customHeight="1" x14ac:dyDescent="0.25">
      <c r="A37" s="16" t="s">
        <v>300</v>
      </c>
      <c r="B37" s="17">
        <v>224036</v>
      </c>
      <c r="C37" s="18" t="s">
        <v>77</v>
      </c>
      <c r="D37" s="81" t="s">
        <v>301</v>
      </c>
      <c r="E37" s="17" t="s">
        <v>83</v>
      </c>
      <c r="F37" s="17"/>
      <c r="G37" s="20">
        <v>44253</v>
      </c>
      <c r="H37" s="20">
        <v>44295</v>
      </c>
      <c r="I37" s="20"/>
      <c r="J37" s="21" t="s">
        <v>409</v>
      </c>
      <c r="K37" s="18" t="s">
        <v>388</v>
      </c>
      <c r="L37" s="23" t="s">
        <v>25</v>
      </c>
      <c r="M37" s="18" t="s">
        <v>83</v>
      </c>
      <c r="N37" s="18"/>
      <c r="O37" s="18" t="s">
        <v>27</v>
      </c>
      <c r="P37" s="21"/>
      <c r="Q37" s="18"/>
      <c r="R37" s="22"/>
    </row>
    <row r="38" spans="1:18" ht="30" customHeight="1" x14ac:dyDescent="0.25">
      <c r="A38" s="16" t="s">
        <v>300</v>
      </c>
      <c r="B38" s="17">
        <v>224036</v>
      </c>
      <c r="C38" s="18" t="s">
        <v>410</v>
      </c>
      <c r="D38" s="81" t="s">
        <v>301</v>
      </c>
      <c r="E38" s="17" t="s">
        <v>86</v>
      </c>
      <c r="F38" s="17">
        <v>5</v>
      </c>
      <c r="G38" s="20">
        <v>44253</v>
      </c>
      <c r="H38" s="20">
        <v>44295</v>
      </c>
      <c r="I38" s="20">
        <v>44286</v>
      </c>
      <c r="J38" s="21" t="s">
        <v>451</v>
      </c>
      <c r="K38" s="18" t="s">
        <v>24</v>
      </c>
      <c r="L38" s="23" t="s">
        <v>25</v>
      </c>
      <c r="M38" s="18" t="s">
        <v>83</v>
      </c>
      <c r="N38" s="18"/>
      <c r="O38" s="18" t="s">
        <v>27</v>
      </c>
      <c r="P38" s="21"/>
      <c r="Q38" s="18"/>
      <c r="R38" s="22"/>
    </row>
    <row r="39" spans="1:18" ht="30" customHeight="1" x14ac:dyDescent="0.25">
      <c r="A39" s="16" t="s">
        <v>159</v>
      </c>
      <c r="B39" s="17">
        <v>224281</v>
      </c>
      <c r="C39" s="18" t="s">
        <v>140</v>
      </c>
      <c r="D39" s="81" t="s">
        <v>411</v>
      </c>
      <c r="E39" s="17" t="s">
        <v>134</v>
      </c>
      <c r="F39" s="17">
        <v>1</v>
      </c>
      <c r="G39" s="20">
        <v>44256</v>
      </c>
      <c r="H39" s="20">
        <v>44257</v>
      </c>
      <c r="I39" s="20">
        <v>44257</v>
      </c>
      <c r="J39" s="21"/>
      <c r="K39" s="18" t="s">
        <v>384</v>
      </c>
      <c r="L39" s="23" t="s">
        <v>58</v>
      </c>
      <c r="M39" s="18" t="s">
        <v>26</v>
      </c>
      <c r="N39" s="18">
        <v>1</v>
      </c>
      <c r="O39" s="18" t="s">
        <v>38</v>
      </c>
      <c r="P39" s="21" t="s">
        <v>38</v>
      </c>
      <c r="Q39" s="18" t="s">
        <v>54</v>
      </c>
      <c r="R39" s="22"/>
    </row>
    <row r="40" spans="1:18" ht="30" customHeight="1" x14ac:dyDescent="0.25">
      <c r="A40" s="16" t="s">
        <v>35</v>
      </c>
      <c r="B40" s="17">
        <v>224701</v>
      </c>
      <c r="C40" s="18" t="s">
        <v>20</v>
      </c>
      <c r="D40" s="81" t="s">
        <v>316</v>
      </c>
      <c r="E40" s="17" t="s">
        <v>83</v>
      </c>
      <c r="F40" s="17">
        <v>15</v>
      </c>
      <c r="G40" s="20">
        <v>44257</v>
      </c>
      <c r="H40" s="20">
        <v>44285</v>
      </c>
      <c r="I40" s="20">
        <v>44305</v>
      </c>
      <c r="J40" s="21" t="s">
        <v>318</v>
      </c>
      <c r="K40" s="18" t="s">
        <v>24</v>
      </c>
      <c r="L40" s="23" t="s">
        <v>25</v>
      </c>
      <c r="M40" s="18" t="s">
        <v>26</v>
      </c>
      <c r="N40" s="18"/>
      <c r="O40" s="18" t="s">
        <v>27</v>
      </c>
      <c r="P40" s="21" t="s">
        <v>27</v>
      </c>
      <c r="Q40" s="18" t="s">
        <v>54</v>
      </c>
      <c r="R40" s="22"/>
    </row>
    <row r="41" spans="1:18" ht="30" customHeight="1" x14ac:dyDescent="0.25">
      <c r="A41" s="16" t="s">
        <v>35</v>
      </c>
      <c r="B41" s="17">
        <v>224701</v>
      </c>
      <c r="C41" s="18" t="s">
        <v>77</v>
      </c>
      <c r="D41" s="81" t="s">
        <v>316</v>
      </c>
      <c r="E41" s="17" t="s">
        <v>83</v>
      </c>
      <c r="F41" s="17"/>
      <c r="G41" s="20">
        <v>44257</v>
      </c>
      <c r="H41" s="20">
        <v>44287</v>
      </c>
      <c r="I41" s="20"/>
      <c r="J41" s="21" t="s">
        <v>412</v>
      </c>
      <c r="K41" s="18" t="s">
        <v>388</v>
      </c>
      <c r="L41" s="23" t="s">
        <v>25</v>
      </c>
      <c r="M41" s="18" t="s">
        <v>83</v>
      </c>
      <c r="N41" s="18"/>
      <c r="O41" s="18" t="s">
        <v>27</v>
      </c>
      <c r="P41" s="21"/>
      <c r="Q41" s="18"/>
      <c r="R41" s="22"/>
    </row>
    <row r="42" spans="1:18" ht="30" customHeight="1" x14ac:dyDescent="0.25">
      <c r="A42" s="16" t="s">
        <v>35</v>
      </c>
      <c r="B42" s="17">
        <v>224687</v>
      </c>
      <c r="C42" s="18" t="s">
        <v>20</v>
      </c>
      <c r="D42" s="81" t="s">
        <v>413</v>
      </c>
      <c r="E42" s="17" t="s">
        <v>22</v>
      </c>
      <c r="F42" s="17">
        <v>3</v>
      </c>
      <c r="G42" s="20">
        <v>44257</v>
      </c>
      <c r="H42" s="20">
        <v>44270</v>
      </c>
      <c r="I42" s="20">
        <v>44305</v>
      </c>
      <c r="J42" s="21"/>
      <c r="K42" s="18" t="s">
        <v>24</v>
      </c>
      <c r="L42" s="23" t="s">
        <v>58</v>
      </c>
      <c r="M42" s="18" t="s">
        <v>26</v>
      </c>
      <c r="N42" s="18"/>
      <c r="O42" s="18" t="s">
        <v>38</v>
      </c>
      <c r="P42" s="21" t="s">
        <v>27</v>
      </c>
      <c r="Q42" s="18" t="s">
        <v>29</v>
      </c>
      <c r="R42" s="22"/>
    </row>
    <row r="43" spans="1:18" ht="30" customHeight="1" x14ac:dyDescent="0.25">
      <c r="A43" s="16" t="s">
        <v>35</v>
      </c>
      <c r="B43" s="17">
        <v>224687</v>
      </c>
      <c r="C43" s="18" t="s">
        <v>140</v>
      </c>
      <c r="D43" s="81" t="s">
        <v>413</v>
      </c>
      <c r="E43" s="17" t="s">
        <v>46</v>
      </c>
      <c r="F43" s="17">
        <v>3</v>
      </c>
      <c r="G43" s="20">
        <v>44257</v>
      </c>
      <c r="H43" s="20">
        <v>44270</v>
      </c>
      <c r="I43" s="20">
        <v>44305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18" t="s">
        <v>38</v>
      </c>
      <c r="Q43" s="18" t="s">
        <v>29</v>
      </c>
      <c r="R43" s="22" t="s">
        <v>28</v>
      </c>
    </row>
    <row r="44" spans="1:18" ht="30" customHeight="1" x14ac:dyDescent="0.25">
      <c r="A44" s="16" t="s">
        <v>35</v>
      </c>
      <c r="B44" s="17">
        <v>224687</v>
      </c>
      <c r="C44" s="18" t="s">
        <v>140</v>
      </c>
      <c r="D44" s="81" t="s">
        <v>413</v>
      </c>
      <c r="E44" s="17" t="s">
        <v>106</v>
      </c>
      <c r="F44" s="17">
        <v>3</v>
      </c>
      <c r="G44" s="20">
        <v>44257</v>
      </c>
      <c r="H44" s="20">
        <v>44270</v>
      </c>
      <c r="I44" s="20">
        <v>44305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38</v>
      </c>
      <c r="P44" s="18" t="s">
        <v>38</v>
      </c>
      <c r="Q44" s="18" t="s">
        <v>29</v>
      </c>
      <c r="R44" s="22" t="s">
        <v>28</v>
      </c>
    </row>
    <row r="45" spans="1:18" ht="30" customHeight="1" x14ac:dyDescent="0.25">
      <c r="A45" s="16" t="s">
        <v>35</v>
      </c>
      <c r="B45" s="17">
        <v>224687</v>
      </c>
      <c r="C45" s="18" t="s">
        <v>140</v>
      </c>
      <c r="D45" s="81" t="s">
        <v>413</v>
      </c>
      <c r="E45" s="17" t="s">
        <v>107</v>
      </c>
      <c r="F45" s="17">
        <v>3</v>
      </c>
      <c r="G45" s="20">
        <v>44257</v>
      </c>
      <c r="H45" s="20">
        <v>44270</v>
      </c>
      <c r="I45" s="20">
        <v>44305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38</v>
      </c>
      <c r="P45" s="18" t="s">
        <v>38</v>
      </c>
      <c r="Q45" s="18" t="s">
        <v>29</v>
      </c>
      <c r="R45" s="22" t="s">
        <v>28</v>
      </c>
    </row>
    <row r="46" spans="1:18" ht="30" customHeight="1" x14ac:dyDescent="0.25">
      <c r="A46" s="16" t="s">
        <v>35</v>
      </c>
      <c r="B46" s="17">
        <v>224687</v>
      </c>
      <c r="C46" s="18" t="s">
        <v>140</v>
      </c>
      <c r="D46" s="81" t="s">
        <v>413</v>
      </c>
      <c r="E46" s="17" t="s">
        <v>102</v>
      </c>
      <c r="F46" s="17">
        <v>1</v>
      </c>
      <c r="G46" s="20">
        <v>44257</v>
      </c>
      <c r="H46" s="20">
        <v>44270</v>
      </c>
      <c r="I46" s="20">
        <v>44305</v>
      </c>
      <c r="J46" s="21" t="s">
        <v>350</v>
      </c>
      <c r="K46" s="18" t="s">
        <v>24</v>
      </c>
      <c r="L46" s="23" t="s">
        <v>58</v>
      </c>
      <c r="M46" s="18" t="s">
        <v>26</v>
      </c>
      <c r="N46" s="18"/>
      <c r="O46" s="18" t="s">
        <v>38</v>
      </c>
      <c r="P46" s="18" t="s">
        <v>38</v>
      </c>
      <c r="Q46" s="18" t="s">
        <v>29</v>
      </c>
      <c r="R46" s="22" t="s">
        <v>28</v>
      </c>
    </row>
    <row r="47" spans="1:18" ht="30" customHeight="1" x14ac:dyDescent="0.25">
      <c r="A47" s="16" t="s">
        <v>35</v>
      </c>
      <c r="B47" s="17">
        <v>224687</v>
      </c>
      <c r="C47" s="18" t="s">
        <v>20</v>
      </c>
      <c r="D47" s="81" t="s">
        <v>413</v>
      </c>
      <c r="E47" s="17" t="s">
        <v>83</v>
      </c>
      <c r="F47" s="17">
        <v>1</v>
      </c>
      <c r="G47" s="20">
        <v>44257</v>
      </c>
      <c r="H47" s="20">
        <v>44270</v>
      </c>
      <c r="I47" s="20">
        <v>44305</v>
      </c>
      <c r="J47" s="21" t="s">
        <v>414</v>
      </c>
      <c r="K47" s="18" t="s">
        <v>24</v>
      </c>
      <c r="L47" s="23" t="s">
        <v>45</v>
      </c>
      <c r="M47" s="18" t="s">
        <v>26</v>
      </c>
      <c r="N47" s="18"/>
      <c r="O47" s="18" t="s">
        <v>27</v>
      </c>
      <c r="P47" s="18" t="s">
        <v>38</v>
      </c>
      <c r="Q47" s="18" t="s">
        <v>29</v>
      </c>
      <c r="R47" s="22"/>
    </row>
    <row r="48" spans="1:18" ht="30" customHeight="1" x14ac:dyDescent="0.25">
      <c r="A48" s="16" t="s">
        <v>35</v>
      </c>
      <c r="B48" s="17">
        <v>224687</v>
      </c>
      <c r="C48" s="18" t="s">
        <v>140</v>
      </c>
      <c r="D48" s="81" t="s">
        <v>413</v>
      </c>
      <c r="E48" s="17" t="s">
        <v>93</v>
      </c>
      <c r="F48" s="17">
        <v>1</v>
      </c>
      <c r="G48" s="20">
        <v>44257</v>
      </c>
      <c r="H48" s="20">
        <v>44270</v>
      </c>
      <c r="I48" s="20">
        <v>44305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38</v>
      </c>
      <c r="P48" s="21" t="s">
        <v>38</v>
      </c>
      <c r="Q48" s="18" t="s">
        <v>29</v>
      </c>
      <c r="R48" s="22" t="s">
        <v>28</v>
      </c>
    </row>
    <row r="49" spans="1:18" ht="30" customHeight="1" x14ac:dyDescent="0.25">
      <c r="A49" s="16" t="s">
        <v>35</v>
      </c>
      <c r="B49" s="17">
        <v>224687</v>
      </c>
      <c r="C49" s="18" t="s">
        <v>20</v>
      </c>
      <c r="D49" s="81" t="s">
        <v>413</v>
      </c>
      <c r="E49" s="17" t="s">
        <v>105</v>
      </c>
      <c r="F49" s="17">
        <v>1</v>
      </c>
      <c r="G49" s="20">
        <v>44257</v>
      </c>
      <c r="H49" s="20">
        <v>44270</v>
      </c>
      <c r="I49" s="20">
        <v>44305</v>
      </c>
      <c r="J49" s="21" t="s">
        <v>415</v>
      </c>
      <c r="K49" s="18" t="s">
        <v>24</v>
      </c>
      <c r="L49" s="23" t="s">
        <v>45</v>
      </c>
      <c r="M49" s="18" t="s">
        <v>26</v>
      </c>
      <c r="N49" s="18"/>
      <c r="O49" s="18" t="s">
        <v>27</v>
      </c>
      <c r="P49" s="21" t="s">
        <v>27</v>
      </c>
      <c r="Q49" s="18" t="s">
        <v>29</v>
      </c>
      <c r="R49" s="22"/>
    </row>
    <row r="50" spans="1:18" ht="30" customHeight="1" x14ac:dyDescent="0.25">
      <c r="A50" s="16" t="s">
        <v>35</v>
      </c>
      <c r="B50" s="17">
        <v>224687</v>
      </c>
      <c r="C50" s="18" t="s">
        <v>20</v>
      </c>
      <c r="D50" s="81" t="s">
        <v>413</v>
      </c>
      <c r="E50" s="17" t="s">
        <v>69</v>
      </c>
      <c r="F50" s="17">
        <v>2</v>
      </c>
      <c r="G50" s="20">
        <v>44257</v>
      </c>
      <c r="H50" s="20">
        <v>44270</v>
      </c>
      <c r="I50" s="20">
        <v>44305</v>
      </c>
      <c r="J50" s="21" t="s">
        <v>416</v>
      </c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27</v>
      </c>
      <c r="Q50" s="18" t="s">
        <v>29</v>
      </c>
      <c r="R50" s="22"/>
    </row>
    <row r="51" spans="1:18" ht="30" customHeight="1" x14ac:dyDescent="0.25">
      <c r="A51" s="16" t="s">
        <v>35</v>
      </c>
      <c r="B51" s="17">
        <v>224687</v>
      </c>
      <c r="C51" s="18" t="s">
        <v>20</v>
      </c>
      <c r="D51" s="81" t="s">
        <v>413</v>
      </c>
      <c r="E51" s="17" t="s">
        <v>84</v>
      </c>
      <c r="F51" s="17"/>
      <c r="G51" s="20">
        <v>44257</v>
      </c>
      <c r="H51" s="20">
        <v>44270</v>
      </c>
      <c r="I51" s="20">
        <v>44305</v>
      </c>
      <c r="J51" s="21"/>
      <c r="K51" s="18" t="s">
        <v>24</v>
      </c>
      <c r="L51" s="23" t="s">
        <v>37</v>
      </c>
      <c r="M51" s="18" t="s">
        <v>26</v>
      </c>
      <c r="N51" s="18"/>
      <c r="O51" s="18" t="s">
        <v>27</v>
      </c>
      <c r="P51" s="21" t="s">
        <v>27</v>
      </c>
      <c r="Q51" s="18" t="s">
        <v>29</v>
      </c>
      <c r="R51" s="22"/>
    </row>
    <row r="52" spans="1:18" ht="30" customHeight="1" x14ac:dyDescent="0.25">
      <c r="A52" s="16" t="s">
        <v>35</v>
      </c>
      <c r="B52" s="17">
        <v>224687</v>
      </c>
      <c r="C52" s="18" t="s">
        <v>20</v>
      </c>
      <c r="D52" s="81" t="s">
        <v>413</v>
      </c>
      <c r="E52" s="17" t="s">
        <v>22</v>
      </c>
      <c r="F52" s="17"/>
      <c r="G52" s="20">
        <v>44278</v>
      </c>
      <c r="H52" s="20">
        <v>44278</v>
      </c>
      <c r="I52" s="20">
        <v>44305</v>
      </c>
      <c r="J52" s="21" t="s">
        <v>417</v>
      </c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 t="s">
        <v>27</v>
      </c>
      <c r="Q52" s="18" t="s">
        <v>29</v>
      </c>
      <c r="R52" s="22"/>
    </row>
    <row r="53" spans="1:18" ht="30" customHeight="1" x14ac:dyDescent="0.25">
      <c r="A53" s="16" t="s">
        <v>35</v>
      </c>
      <c r="B53" s="17">
        <v>224687</v>
      </c>
      <c r="C53" s="18" t="s">
        <v>410</v>
      </c>
      <c r="D53" s="81" t="s">
        <v>413</v>
      </c>
      <c r="E53" s="17" t="s">
        <v>107</v>
      </c>
      <c r="F53" s="17">
        <v>2</v>
      </c>
      <c r="G53" s="20">
        <v>44278</v>
      </c>
      <c r="H53" s="20">
        <v>44281</v>
      </c>
      <c r="I53" s="20">
        <v>44305</v>
      </c>
      <c r="J53" s="21" t="s">
        <v>417</v>
      </c>
      <c r="K53" s="18" t="s">
        <v>24</v>
      </c>
      <c r="L53" s="23" t="s">
        <v>58</v>
      </c>
      <c r="M53" s="18" t="s">
        <v>26</v>
      </c>
      <c r="N53" s="18"/>
      <c r="O53" s="18" t="s">
        <v>38</v>
      </c>
      <c r="P53" s="21" t="s">
        <v>27</v>
      </c>
      <c r="Q53" s="18" t="s">
        <v>29</v>
      </c>
      <c r="R53" s="22"/>
    </row>
    <row r="54" spans="1:18" ht="30" customHeight="1" x14ac:dyDescent="0.25">
      <c r="A54" s="16" t="s">
        <v>35</v>
      </c>
      <c r="B54" s="17">
        <v>224687</v>
      </c>
      <c r="C54" s="18" t="s">
        <v>410</v>
      </c>
      <c r="D54" s="81" t="s">
        <v>413</v>
      </c>
      <c r="E54" s="17" t="s">
        <v>82</v>
      </c>
      <c r="F54" s="17">
        <v>1</v>
      </c>
      <c r="G54" s="20">
        <v>44278</v>
      </c>
      <c r="H54" s="20">
        <v>44281</v>
      </c>
      <c r="I54" s="20">
        <v>44305</v>
      </c>
      <c r="J54" s="21" t="s">
        <v>417</v>
      </c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29</v>
      </c>
      <c r="R54" s="22"/>
    </row>
    <row r="55" spans="1:18" ht="30" customHeight="1" x14ac:dyDescent="0.25">
      <c r="A55" s="16" t="s">
        <v>35</v>
      </c>
      <c r="B55" s="17">
        <v>224687</v>
      </c>
      <c r="C55" s="18" t="s">
        <v>410</v>
      </c>
      <c r="D55" s="81" t="s">
        <v>413</v>
      </c>
      <c r="E55" s="17" t="s">
        <v>106</v>
      </c>
      <c r="F55" s="17">
        <v>1</v>
      </c>
      <c r="G55" s="20">
        <v>44278</v>
      </c>
      <c r="H55" s="20">
        <v>44281</v>
      </c>
      <c r="I55" s="20">
        <v>44305</v>
      </c>
      <c r="J55" s="21" t="s">
        <v>417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29</v>
      </c>
      <c r="R55" s="22"/>
    </row>
    <row r="56" spans="1:18" ht="30" customHeight="1" x14ac:dyDescent="0.25">
      <c r="A56" s="16" t="s">
        <v>39</v>
      </c>
      <c r="B56" s="17">
        <v>202584</v>
      </c>
      <c r="C56" s="18" t="s">
        <v>20</v>
      </c>
      <c r="D56" s="81" t="s">
        <v>418</v>
      </c>
      <c r="E56" s="17" t="s">
        <v>43</v>
      </c>
      <c r="F56" s="17"/>
      <c r="G56" s="20">
        <v>44230</v>
      </c>
      <c r="H56" s="20"/>
      <c r="I56" s="20"/>
      <c r="J56" s="21"/>
      <c r="K56" s="18" t="s">
        <v>386</v>
      </c>
      <c r="L56" s="23" t="s">
        <v>25</v>
      </c>
      <c r="M56" s="18" t="s">
        <v>34</v>
      </c>
      <c r="N56" s="18"/>
      <c r="O56" s="18"/>
      <c r="P56" s="21"/>
      <c r="Q56" s="18"/>
      <c r="R56" s="22"/>
    </row>
    <row r="57" spans="1:18" ht="30" customHeight="1" x14ac:dyDescent="0.25">
      <c r="A57" s="16" t="s">
        <v>39</v>
      </c>
      <c r="B57" s="17" t="s">
        <v>247</v>
      </c>
      <c r="C57" s="18" t="s">
        <v>20</v>
      </c>
      <c r="D57" s="81" t="s">
        <v>324</v>
      </c>
      <c r="E57" s="17" t="s">
        <v>201</v>
      </c>
      <c r="F57" s="17">
        <v>2</v>
      </c>
      <c r="G57" s="20">
        <v>44263</v>
      </c>
      <c r="H57" s="20">
        <v>44264</v>
      </c>
      <c r="I57" s="20">
        <v>44277</v>
      </c>
      <c r="J57" s="21"/>
      <c r="K57" s="18" t="s">
        <v>24</v>
      </c>
      <c r="L57" s="23" t="s">
        <v>25</v>
      </c>
      <c r="M57" s="18" t="s">
        <v>26</v>
      </c>
      <c r="N57" s="18"/>
      <c r="O57" s="18" t="s">
        <v>38</v>
      </c>
      <c r="P57" s="21" t="s">
        <v>27</v>
      </c>
      <c r="Q57" s="18"/>
      <c r="R57" s="22"/>
    </row>
    <row r="58" spans="1:18" ht="30" customHeight="1" x14ac:dyDescent="0.25">
      <c r="A58" s="16" t="s">
        <v>39</v>
      </c>
      <c r="B58" s="17" t="s">
        <v>247</v>
      </c>
      <c r="C58" s="18" t="s">
        <v>20</v>
      </c>
      <c r="D58" s="81" t="s">
        <v>324</v>
      </c>
      <c r="E58" s="17" t="s">
        <v>116</v>
      </c>
      <c r="F58" s="17">
        <v>1</v>
      </c>
      <c r="G58" s="20">
        <v>44263</v>
      </c>
      <c r="H58" s="20">
        <v>44264</v>
      </c>
      <c r="I58" s="20">
        <v>44277</v>
      </c>
      <c r="J58" s="21" t="s">
        <v>419</v>
      </c>
      <c r="K58" s="18" t="s">
        <v>24</v>
      </c>
      <c r="L58" s="23" t="s">
        <v>25</v>
      </c>
      <c r="M58" s="18" t="s">
        <v>26</v>
      </c>
      <c r="N58" s="18"/>
      <c r="O58" s="18" t="s">
        <v>38</v>
      </c>
      <c r="P58" s="21" t="s">
        <v>27</v>
      </c>
      <c r="Q58" s="18"/>
      <c r="R58" s="22"/>
    </row>
    <row r="59" spans="1:18" ht="30" customHeight="1" x14ac:dyDescent="0.25">
      <c r="A59" s="16" t="s">
        <v>39</v>
      </c>
      <c r="B59" s="17" t="s">
        <v>247</v>
      </c>
      <c r="C59" s="18" t="s">
        <v>20</v>
      </c>
      <c r="D59" s="81" t="s">
        <v>324</v>
      </c>
      <c r="E59" s="17" t="s">
        <v>94</v>
      </c>
      <c r="F59" s="17">
        <v>5</v>
      </c>
      <c r="G59" s="20">
        <v>44263</v>
      </c>
      <c r="H59" s="20">
        <v>44264</v>
      </c>
      <c r="I59" s="20">
        <v>44277</v>
      </c>
      <c r="J59" s="21" t="s">
        <v>420</v>
      </c>
      <c r="K59" s="18" t="s">
        <v>24</v>
      </c>
      <c r="L59" s="23" t="s">
        <v>25</v>
      </c>
      <c r="M59" s="18" t="s">
        <v>26</v>
      </c>
      <c r="N59" s="18"/>
      <c r="O59" s="18" t="s">
        <v>38</v>
      </c>
      <c r="P59" s="21" t="s">
        <v>27</v>
      </c>
      <c r="Q59" s="18"/>
      <c r="R59" s="22"/>
    </row>
    <row r="60" spans="1:18" ht="30" customHeight="1" x14ac:dyDescent="0.25">
      <c r="A60" s="16" t="s">
        <v>39</v>
      </c>
      <c r="B60" s="17" t="s">
        <v>247</v>
      </c>
      <c r="C60" s="18" t="s">
        <v>20</v>
      </c>
      <c r="D60" s="81" t="s">
        <v>324</v>
      </c>
      <c r="E60" s="17" t="s">
        <v>142</v>
      </c>
      <c r="F60" s="17">
        <v>3</v>
      </c>
      <c r="G60" s="20">
        <v>44263</v>
      </c>
      <c r="H60" s="20">
        <v>44264</v>
      </c>
      <c r="I60" s="20">
        <v>44277</v>
      </c>
      <c r="J60" s="21" t="s">
        <v>421</v>
      </c>
      <c r="K60" s="18" t="s">
        <v>24</v>
      </c>
      <c r="L60" s="23" t="s">
        <v>25</v>
      </c>
      <c r="M60" s="18" t="s">
        <v>26</v>
      </c>
      <c r="N60" s="18"/>
      <c r="O60" s="18" t="s">
        <v>38</v>
      </c>
      <c r="P60" s="21" t="s">
        <v>27</v>
      </c>
      <c r="Q60" s="18"/>
      <c r="R60" s="22"/>
    </row>
    <row r="61" spans="1:18" ht="30" customHeight="1" x14ac:dyDescent="0.25">
      <c r="A61" s="16" t="s">
        <v>39</v>
      </c>
      <c r="B61" s="17" t="s">
        <v>247</v>
      </c>
      <c r="C61" s="18" t="s">
        <v>20</v>
      </c>
      <c r="D61" s="81" t="s">
        <v>324</v>
      </c>
      <c r="E61" s="17" t="s">
        <v>115</v>
      </c>
      <c r="F61" s="17">
        <v>2</v>
      </c>
      <c r="G61" s="20">
        <v>44263</v>
      </c>
      <c r="H61" s="20">
        <v>44264</v>
      </c>
      <c r="I61" s="20">
        <v>44277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38</v>
      </c>
      <c r="P61" s="21" t="s">
        <v>27</v>
      </c>
      <c r="Q61" s="18"/>
      <c r="R61" s="22"/>
    </row>
    <row r="62" spans="1:18" ht="30" customHeight="1" x14ac:dyDescent="0.25">
      <c r="A62" s="16" t="s">
        <v>39</v>
      </c>
      <c r="B62" s="17" t="s">
        <v>247</v>
      </c>
      <c r="C62" s="18" t="s">
        <v>20</v>
      </c>
      <c r="D62" s="81" t="s">
        <v>324</v>
      </c>
      <c r="E62" s="17" t="s">
        <v>79</v>
      </c>
      <c r="F62" s="17">
        <v>1</v>
      </c>
      <c r="G62" s="20">
        <v>44263</v>
      </c>
      <c r="H62" s="20">
        <v>44264</v>
      </c>
      <c r="I62" s="20">
        <v>44277</v>
      </c>
      <c r="J62" s="21" t="s">
        <v>422</v>
      </c>
      <c r="K62" s="18" t="s">
        <v>24</v>
      </c>
      <c r="L62" s="23" t="s">
        <v>25</v>
      </c>
      <c r="M62" s="18" t="s">
        <v>26</v>
      </c>
      <c r="N62" s="18"/>
      <c r="O62" s="18" t="s">
        <v>38</v>
      </c>
      <c r="P62" s="21" t="s">
        <v>27</v>
      </c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410</v>
      </c>
      <c r="D63" s="81" t="s">
        <v>364</v>
      </c>
      <c r="E63" s="17" t="s">
        <v>22</v>
      </c>
      <c r="F63" s="17">
        <v>1</v>
      </c>
      <c r="G63" s="20">
        <v>44295</v>
      </c>
      <c r="H63" s="20">
        <v>44299</v>
      </c>
      <c r="I63" s="20">
        <v>44299</v>
      </c>
      <c r="J63" s="21"/>
      <c r="K63" s="18" t="s">
        <v>24</v>
      </c>
      <c r="L63" s="23" t="s">
        <v>58</v>
      </c>
      <c r="M63" s="18" t="s">
        <v>26</v>
      </c>
      <c r="N63" s="18">
        <v>1</v>
      </c>
      <c r="O63" s="18" t="s">
        <v>38</v>
      </c>
      <c r="P63" s="21" t="s">
        <v>27</v>
      </c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410</v>
      </c>
      <c r="D64" s="81" t="s">
        <v>364</v>
      </c>
      <c r="E64" s="17" t="s">
        <v>69</v>
      </c>
      <c r="F64" s="17">
        <v>4</v>
      </c>
      <c r="G64" s="20">
        <v>44295</v>
      </c>
      <c r="H64" s="20">
        <v>44299</v>
      </c>
      <c r="I64" s="20">
        <v>44299</v>
      </c>
      <c r="J64" s="21"/>
      <c r="K64" s="18" t="s">
        <v>24</v>
      </c>
      <c r="L64" s="23" t="s">
        <v>58</v>
      </c>
      <c r="M64" s="18" t="s">
        <v>26</v>
      </c>
      <c r="N64" s="18">
        <v>1</v>
      </c>
      <c r="O64" s="18" t="s">
        <v>38</v>
      </c>
      <c r="P64" s="21" t="s">
        <v>27</v>
      </c>
      <c r="Q64" s="18"/>
      <c r="R64" s="22"/>
    </row>
    <row r="65" spans="1:18" ht="30" customHeight="1" x14ac:dyDescent="0.25">
      <c r="A65" s="16" t="s">
        <v>39</v>
      </c>
      <c r="B65" s="17" t="s">
        <v>247</v>
      </c>
      <c r="C65" s="18" t="s">
        <v>410</v>
      </c>
      <c r="D65" s="81" t="s">
        <v>364</v>
      </c>
      <c r="E65" s="17" t="s">
        <v>82</v>
      </c>
      <c r="F65" s="17">
        <v>1</v>
      </c>
      <c r="G65" s="20">
        <v>44295</v>
      </c>
      <c r="H65" s="20">
        <v>44299</v>
      </c>
      <c r="I65" s="20">
        <v>44299</v>
      </c>
      <c r="J65" s="21"/>
      <c r="K65" s="18" t="s">
        <v>24</v>
      </c>
      <c r="L65" s="23" t="s">
        <v>58</v>
      </c>
      <c r="M65" s="18" t="s">
        <v>26</v>
      </c>
      <c r="N65" s="18">
        <v>1</v>
      </c>
      <c r="O65" s="18" t="s">
        <v>38</v>
      </c>
      <c r="P65" s="21" t="s">
        <v>27</v>
      </c>
      <c r="Q65" s="18"/>
      <c r="R65" s="22"/>
    </row>
    <row r="66" spans="1:18" ht="30" customHeight="1" x14ac:dyDescent="0.25">
      <c r="A66" s="16" t="s">
        <v>39</v>
      </c>
      <c r="B66" s="17" t="s">
        <v>247</v>
      </c>
      <c r="C66" s="18" t="s">
        <v>410</v>
      </c>
      <c r="D66" s="81" t="s">
        <v>364</v>
      </c>
      <c r="E66" s="17" t="s">
        <v>68</v>
      </c>
      <c r="F66" s="17">
        <v>3</v>
      </c>
      <c r="G66" s="20">
        <v>44295</v>
      </c>
      <c r="H66" s="20">
        <v>44299</v>
      </c>
      <c r="I66" s="20">
        <v>44299</v>
      </c>
      <c r="J66" s="21"/>
      <c r="K66" s="18" t="s">
        <v>24</v>
      </c>
      <c r="L66" s="23" t="s">
        <v>58</v>
      </c>
      <c r="M66" s="18" t="s">
        <v>26</v>
      </c>
      <c r="N66" s="18">
        <v>1</v>
      </c>
      <c r="O66" s="18" t="s">
        <v>38</v>
      </c>
      <c r="P66" s="21" t="s">
        <v>27</v>
      </c>
      <c r="Q66" s="18"/>
      <c r="R66" s="22"/>
    </row>
    <row r="67" spans="1:18" ht="30" customHeight="1" x14ac:dyDescent="0.25">
      <c r="A67" s="16" t="s">
        <v>39</v>
      </c>
      <c r="B67" s="17" t="s">
        <v>247</v>
      </c>
      <c r="C67" s="18" t="s">
        <v>410</v>
      </c>
      <c r="D67" s="81" t="s">
        <v>364</v>
      </c>
      <c r="E67" s="17" t="s">
        <v>153</v>
      </c>
      <c r="F67" s="17">
        <v>3</v>
      </c>
      <c r="G67" s="20">
        <v>44295</v>
      </c>
      <c r="H67" s="20">
        <v>44299</v>
      </c>
      <c r="I67" s="20">
        <v>44299</v>
      </c>
      <c r="J67" s="21"/>
      <c r="K67" s="18" t="s">
        <v>24</v>
      </c>
      <c r="L67" s="23" t="s">
        <v>58</v>
      </c>
      <c r="M67" s="18" t="s">
        <v>26</v>
      </c>
      <c r="N67" s="18">
        <v>1</v>
      </c>
      <c r="O67" s="18" t="s">
        <v>38</v>
      </c>
      <c r="P67" s="21" t="s">
        <v>27</v>
      </c>
      <c r="Q67" s="18"/>
      <c r="R67" s="22"/>
    </row>
    <row r="68" spans="1:18" ht="30" customHeight="1" x14ac:dyDescent="0.25">
      <c r="A68" s="16" t="s">
        <v>30</v>
      </c>
      <c r="B68" s="17">
        <v>227189</v>
      </c>
      <c r="C68" s="18" t="s">
        <v>20</v>
      </c>
      <c r="D68" s="81" t="s">
        <v>338</v>
      </c>
      <c r="E68" s="17" t="s">
        <v>22</v>
      </c>
      <c r="F68" s="17">
        <v>3</v>
      </c>
      <c r="G68" s="20">
        <v>44267</v>
      </c>
      <c r="H68" s="20">
        <v>44292</v>
      </c>
      <c r="I68" s="20">
        <v>44313</v>
      </c>
      <c r="J68" s="21"/>
      <c r="K68" s="18" t="s">
        <v>24</v>
      </c>
      <c r="L68" s="23" t="s">
        <v>25</v>
      </c>
      <c r="M68" s="18" t="s">
        <v>26</v>
      </c>
      <c r="N68" s="18"/>
      <c r="O68" s="18" t="s">
        <v>27</v>
      </c>
      <c r="P68" s="21" t="s">
        <v>27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227189</v>
      </c>
      <c r="C69" s="18" t="s">
        <v>20</v>
      </c>
      <c r="D69" s="81" t="s">
        <v>338</v>
      </c>
      <c r="E69" s="17" t="s">
        <v>46</v>
      </c>
      <c r="F69" s="17">
        <v>1</v>
      </c>
      <c r="G69" s="20">
        <v>44267</v>
      </c>
      <c r="H69" s="20">
        <v>44292</v>
      </c>
      <c r="I69" s="20">
        <v>44313</v>
      </c>
      <c r="J69" s="21"/>
      <c r="K69" s="18" t="s">
        <v>24</v>
      </c>
      <c r="L69" s="23" t="s">
        <v>25</v>
      </c>
      <c r="M69" s="18" t="s">
        <v>26</v>
      </c>
      <c r="N69" s="18"/>
      <c r="O69" s="18" t="s">
        <v>27</v>
      </c>
      <c r="P69" s="21" t="s">
        <v>27</v>
      </c>
      <c r="Q69" s="18" t="s">
        <v>29</v>
      </c>
      <c r="R69" s="22" t="s">
        <v>54</v>
      </c>
    </row>
    <row r="70" spans="1:18" ht="30" customHeight="1" x14ac:dyDescent="0.25">
      <c r="A70" s="16" t="s">
        <v>30</v>
      </c>
      <c r="B70" s="17">
        <v>227189</v>
      </c>
      <c r="C70" s="18" t="s">
        <v>20</v>
      </c>
      <c r="D70" s="81" t="s">
        <v>338</v>
      </c>
      <c r="E70" s="17" t="s">
        <v>106</v>
      </c>
      <c r="F70" s="17">
        <v>1</v>
      </c>
      <c r="G70" s="20">
        <v>44267</v>
      </c>
      <c r="H70" s="20">
        <v>44292</v>
      </c>
      <c r="I70" s="20">
        <v>44313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27</v>
      </c>
      <c r="P70" s="21" t="s">
        <v>27</v>
      </c>
      <c r="Q70" s="18" t="s">
        <v>29</v>
      </c>
      <c r="R70" s="22" t="s">
        <v>54</v>
      </c>
    </row>
    <row r="71" spans="1:18" ht="30" customHeight="1" x14ac:dyDescent="0.25">
      <c r="A71" s="16" t="s">
        <v>30</v>
      </c>
      <c r="B71" s="17">
        <v>227189</v>
      </c>
      <c r="C71" s="18" t="s">
        <v>20</v>
      </c>
      <c r="D71" s="81" t="s">
        <v>338</v>
      </c>
      <c r="E71" s="17" t="s">
        <v>127</v>
      </c>
      <c r="F71" s="17">
        <v>2</v>
      </c>
      <c r="G71" s="20">
        <v>44267</v>
      </c>
      <c r="H71" s="20">
        <v>44292</v>
      </c>
      <c r="I71" s="20">
        <v>44313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29</v>
      </c>
      <c r="R71" s="22" t="s">
        <v>54</v>
      </c>
    </row>
    <row r="72" spans="1:18" ht="30" customHeight="1" x14ac:dyDescent="0.25">
      <c r="A72" s="16" t="s">
        <v>30</v>
      </c>
      <c r="B72" s="17">
        <v>227189</v>
      </c>
      <c r="C72" s="18" t="s">
        <v>20</v>
      </c>
      <c r="D72" s="81" t="s">
        <v>338</v>
      </c>
      <c r="E72" s="17" t="s">
        <v>147</v>
      </c>
      <c r="F72" s="17">
        <v>1</v>
      </c>
      <c r="G72" s="20">
        <v>44267</v>
      </c>
      <c r="H72" s="20">
        <v>44292</v>
      </c>
      <c r="I72" s="20">
        <v>44313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27</v>
      </c>
      <c r="P72" s="21" t="s">
        <v>27</v>
      </c>
      <c r="Q72" s="18" t="s">
        <v>29</v>
      </c>
      <c r="R72" s="22" t="s">
        <v>54</v>
      </c>
    </row>
    <row r="73" spans="1:18" ht="30" customHeight="1" x14ac:dyDescent="0.25">
      <c r="A73" s="16" t="s">
        <v>30</v>
      </c>
      <c r="B73" s="17">
        <v>227189</v>
      </c>
      <c r="C73" s="18" t="s">
        <v>77</v>
      </c>
      <c r="D73" s="81" t="s">
        <v>338</v>
      </c>
      <c r="E73" s="17"/>
      <c r="F73" s="17"/>
      <c r="G73" s="20">
        <v>44267</v>
      </c>
      <c r="H73" s="20">
        <v>44291</v>
      </c>
      <c r="I73" s="20">
        <v>44286</v>
      </c>
      <c r="J73" s="21" t="s">
        <v>423</v>
      </c>
      <c r="K73" s="18" t="s">
        <v>24</v>
      </c>
      <c r="L73" s="23" t="s">
        <v>25</v>
      </c>
      <c r="M73" s="18" t="s">
        <v>34</v>
      </c>
      <c r="N73" s="18"/>
      <c r="O73" s="18" t="s">
        <v>27</v>
      </c>
      <c r="P73" s="21"/>
      <c r="Q73" s="18"/>
      <c r="R73" s="22"/>
    </row>
    <row r="74" spans="1:18" ht="30" customHeight="1" x14ac:dyDescent="0.25">
      <c r="A74" s="16" t="s">
        <v>39</v>
      </c>
      <c r="B74" s="17">
        <v>227231</v>
      </c>
      <c r="C74" s="18" t="s">
        <v>20</v>
      </c>
      <c r="D74" s="81" t="s">
        <v>342</v>
      </c>
      <c r="E74" s="17" t="s">
        <v>46</v>
      </c>
      <c r="F74" s="17">
        <v>1</v>
      </c>
      <c r="G74" s="20">
        <v>44267</v>
      </c>
      <c r="H74" s="20">
        <v>44284</v>
      </c>
      <c r="I74" s="20"/>
      <c r="J74" s="21"/>
      <c r="K74" s="18" t="s">
        <v>384</v>
      </c>
      <c r="L74" s="23" t="s">
        <v>45</v>
      </c>
      <c r="M74" s="18" t="s">
        <v>26</v>
      </c>
      <c r="N74" s="18"/>
      <c r="O74" s="18" t="s">
        <v>27</v>
      </c>
      <c r="P74" s="21" t="s">
        <v>27</v>
      </c>
      <c r="Q74" s="18" t="s">
        <v>54</v>
      </c>
      <c r="R74" s="22"/>
    </row>
    <row r="75" spans="1:18" ht="30" customHeight="1" x14ac:dyDescent="0.25">
      <c r="A75" s="16" t="s">
        <v>39</v>
      </c>
      <c r="B75" s="17">
        <v>227231</v>
      </c>
      <c r="C75" s="18" t="s">
        <v>20</v>
      </c>
      <c r="D75" s="81" t="s">
        <v>342</v>
      </c>
      <c r="E75" s="17" t="s">
        <v>22</v>
      </c>
      <c r="F75" s="17">
        <v>1</v>
      </c>
      <c r="G75" s="20">
        <v>44267</v>
      </c>
      <c r="H75" s="20">
        <v>44284</v>
      </c>
      <c r="I75" s="20"/>
      <c r="J75" s="21"/>
      <c r="K75" s="18" t="s">
        <v>384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54</v>
      </c>
      <c r="R75" s="22"/>
    </row>
    <row r="76" spans="1:18" ht="30" customHeight="1" x14ac:dyDescent="0.25">
      <c r="A76" s="16" t="s">
        <v>39</v>
      </c>
      <c r="B76" s="17">
        <v>227231</v>
      </c>
      <c r="C76" s="18" t="s">
        <v>20</v>
      </c>
      <c r="D76" s="81" t="s">
        <v>342</v>
      </c>
      <c r="E76" s="17" t="s">
        <v>177</v>
      </c>
      <c r="F76" s="17">
        <v>1</v>
      </c>
      <c r="G76" s="20">
        <v>44267</v>
      </c>
      <c r="H76" s="20">
        <v>44284</v>
      </c>
      <c r="I76" s="20"/>
      <c r="J76" s="21"/>
      <c r="K76" s="18" t="s">
        <v>384</v>
      </c>
      <c r="L76" s="23" t="s">
        <v>45</v>
      </c>
      <c r="M76" s="18" t="s">
        <v>26</v>
      </c>
      <c r="N76" s="18"/>
      <c r="O76" s="18" t="s">
        <v>27</v>
      </c>
      <c r="P76" s="21" t="s">
        <v>27</v>
      </c>
      <c r="Q76" s="18" t="s">
        <v>54</v>
      </c>
      <c r="R76" s="22"/>
    </row>
    <row r="77" spans="1:18" ht="30" customHeight="1" x14ac:dyDescent="0.25">
      <c r="A77" s="16" t="s">
        <v>39</v>
      </c>
      <c r="B77" s="17">
        <v>226953</v>
      </c>
      <c r="C77" s="18" t="s">
        <v>20</v>
      </c>
      <c r="D77" s="81" t="s">
        <v>424</v>
      </c>
      <c r="E77" s="17" t="s">
        <v>22</v>
      </c>
      <c r="F77" s="17">
        <v>1</v>
      </c>
      <c r="G77" s="20">
        <v>44267</v>
      </c>
      <c r="H77" s="20">
        <v>44279</v>
      </c>
      <c r="I77" s="20"/>
      <c r="J77" s="21" t="s">
        <v>425</v>
      </c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54</v>
      </c>
      <c r="R77" s="22" t="s">
        <v>54</v>
      </c>
    </row>
    <row r="78" spans="1:18" ht="30" customHeight="1" x14ac:dyDescent="0.25">
      <c r="A78" s="16" t="s">
        <v>39</v>
      </c>
      <c r="B78" s="17" t="s">
        <v>247</v>
      </c>
      <c r="C78" s="18" t="s">
        <v>20</v>
      </c>
      <c r="D78" s="81" t="s">
        <v>357</v>
      </c>
      <c r="E78" s="17" t="s">
        <v>22</v>
      </c>
      <c r="F78" s="17">
        <v>1</v>
      </c>
      <c r="G78" s="20">
        <v>44273</v>
      </c>
      <c r="H78" s="20">
        <v>44284</v>
      </c>
      <c r="I78" s="20"/>
      <c r="J78" s="21"/>
      <c r="K78" s="18" t="s">
        <v>384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54</v>
      </c>
      <c r="R78" s="22"/>
    </row>
    <row r="79" spans="1:18" ht="30" customHeight="1" x14ac:dyDescent="0.25">
      <c r="A79" s="16" t="s">
        <v>39</v>
      </c>
      <c r="B79" s="17" t="s">
        <v>247</v>
      </c>
      <c r="C79" s="18" t="s">
        <v>20</v>
      </c>
      <c r="D79" s="81" t="s">
        <v>357</v>
      </c>
      <c r="E79" s="17" t="s">
        <v>46</v>
      </c>
      <c r="F79" s="17">
        <v>1</v>
      </c>
      <c r="G79" s="20">
        <v>44273</v>
      </c>
      <c r="H79" s="20">
        <v>44284</v>
      </c>
      <c r="I79" s="20"/>
      <c r="J79" s="21"/>
      <c r="K79" s="18" t="s">
        <v>384</v>
      </c>
      <c r="L79" s="23" t="s">
        <v>45</v>
      </c>
      <c r="M79" s="18" t="s">
        <v>26</v>
      </c>
      <c r="N79" s="18"/>
      <c r="O79" s="18" t="s">
        <v>27</v>
      </c>
      <c r="P79" s="21" t="s">
        <v>27</v>
      </c>
      <c r="Q79" s="18" t="s">
        <v>54</v>
      </c>
      <c r="R79" s="22"/>
    </row>
    <row r="80" spans="1:18" ht="30" customHeight="1" x14ac:dyDescent="0.25">
      <c r="A80" s="16" t="s">
        <v>39</v>
      </c>
      <c r="B80" s="17" t="s">
        <v>247</v>
      </c>
      <c r="C80" s="18" t="s">
        <v>20</v>
      </c>
      <c r="D80" s="81" t="s">
        <v>357</v>
      </c>
      <c r="E80" s="17" t="s">
        <v>177</v>
      </c>
      <c r="F80" s="17">
        <v>1</v>
      </c>
      <c r="G80" s="20">
        <v>44273</v>
      </c>
      <c r="H80" s="20">
        <v>44284</v>
      </c>
      <c r="I80" s="20"/>
      <c r="J80" s="21"/>
      <c r="K80" s="18" t="s">
        <v>384</v>
      </c>
      <c r="L80" s="23" t="s">
        <v>45</v>
      </c>
      <c r="M80" s="18" t="s">
        <v>26</v>
      </c>
      <c r="N80" s="18"/>
      <c r="O80" s="18" t="s">
        <v>27</v>
      </c>
      <c r="P80" s="21" t="s">
        <v>27</v>
      </c>
      <c r="Q80" s="18" t="s">
        <v>54</v>
      </c>
      <c r="R80" s="22"/>
    </row>
    <row r="81" spans="1:18" ht="30" customHeight="1" x14ac:dyDescent="0.25">
      <c r="A81" s="16" t="s">
        <v>96</v>
      </c>
      <c r="B81" s="17">
        <v>228465</v>
      </c>
      <c r="C81" s="18" t="s">
        <v>20</v>
      </c>
      <c r="D81" s="81" t="s">
        <v>426</v>
      </c>
      <c r="E81" s="17" t="s">
        <v>157</v>
      </c>
      <c r="F81" s="17">
        <v>1</v>
      </c>
      <c r="G81" s="20">
        <v>44273</v>
      </c>
      <c r="H81" s="20">
        <v>44277</v>
      </c>
      <c r="I81" s="20">
        <v>44277</v>
      </c>
      <c r="J81" s="21" t="s">
        <v>427</v>
      </c>
      <c r="K81" s="18" t="s">
        <v>24</v>
      </c>
      <c r="L81" s="23" t="s">
        <v>25</v>
      </c>
      <c r="M81" s="18" t="s">
        <v>26</v>
      </c>
      <c r="N81" s="18"/>
      <c r="O81" s="18" t="s">
        <v>27</v>
      </c>
      <c r="P81" s="21" t="s">
        <v>27</v>
      </c>
      <c r="Q81" s="18" t="s">
        <v>54</v>
      </c>
      <c r="R81" s="18" t="s">
        <v>54</v>
      </c>
    </row>
    <row r="82" spans="1:18" ht="30" customHeight="1" x14ac:dyDescent="0.25">
      <c r="A82" s="16" t="s">
        <v>96</v>
      </c>
      <c r="B82" s="17">
        <v>228465</v>
      </c>
      <c r="C82" s="18" t="s">
        <v>20</v>
      </c>
      <c r="D82" s="81" t="s">
        <v>426</v>
      </c>
      <c r="E82" s="17" t="s">
        <v>115</v>
      </c>
      <c r="F82" s="17">
        <v>1</v>
      </c>
      <c r="G82" s="20">
        <v>44273</v>
      </c>
      <c r="H82" s="20">
        <v>44277</v>
      </c>
      <c r="I82" s="20">
        <v>44277</v>
      </c>
      <c r="J82" s="21" t="s">
        <v>427</v>
      </c>
      <c r="K82" s="18" t="s">
        <v>24</v>
      </c>
      <c r="L82" s="23" t="s">
        <v>25</v>
      </c>
      <c r="M82" s="18" t="s">
        <v>26</v>
      </c>
      <c r="N82" s="18"/>
      <c r="O82" s="18" t="s">
        <v>27</v>
      </c>
      <c r="P82" s="21" t="s">
        <v>27</v>
      </c>
      <c r="Q82" s="18" t="s">
        <v>54</v>
      </c>
      <c r="R82" s="18" t="s">
        <v>54</v>
      </c>
    </row>
    <row r="83" spans="1:18" ht="30" customHeight="1" x14ac:dyDescent="0.25">
      <c r="A83" s="16" t="s">
        <v>96</v>
      </c>
      <c r="B83" s="17">
        <v>228465</v>
      </c>
      <c r="C83" s="18" t="s">
        <v>20</v>
      </c>
      <c r="D83" s="81" t="s">
        <v>426</v>
      </c>
      <c r="E83" s="17" t="s">
        <v>157</v>
      </c>
      <c r="F83" s="17">
        <v>1</v>
      </c>
      <c r="G83" s="20">
        <v>44273</v>
      </c>
      <c r="H83" s="20">
        <v>44284</v>
      </c>
      <c r="I83" s="20">
        <v>44284</v>
      </c>
      <c r="J83" s="21"/>
      <c r="K83" s="18" t="s">
        <v>24</v>
      </c>
      <c r="L83" s="23" t="s">
        <v>25</v>
      </c>
      <c r="M83" s="18" t="s">
        <v>26</v>
      </c>
      <c r="N83" s="18"/>
      <c r="O83" s="18" t="s">
        <v>27</v>
      </c>
      <c r="P83" s="21" t="s">
        <v>27</v>
      </c>
      <c r="Q83" s="18" t="s">
        <v>29</v>
      </c>
      <c r="R83" s="18" t="s">
        <v>29</v>
      </c>
    </row>
    <row r="84" spans="1:18" ht="30" customHeight="1" x14ac:dyDescent="0.25">
      <c r="A84" s="16" t="s">
        <v>52</v>
      </c>
      <c r="B84" s="17">
        <v>228530</v>
      </c>
      <c r="C84" s="18" t="s">
        <v>140</v>
      </c>
      <c r="D84" s="81" t="s">
        <v>428</v>
      </c>
      <c r="E84" s="17" t="s">
        <v>59</v>
      </c>
      <c r="F84" s="17">
        <v>1</v>
      </c>
      <c r="G84" s="20">
        <v>44273</v>
      </c>
      <c r="H84" s="20">
        <v>44274</v>
      </c>
      <c r="I84" s="20">
        <v>44274</v>
      </c>
      <c r="J84" s="21"/>
      <c r="K84" s="18" t="s">
        <v>24</v>
      </c>
      <c r="L84" s="23" t="s">
        <v>37</v>
      </c>
      <c r="M84" s="18" t="s">
        <v>34</v>
      </c>
      <c r="N84" s="18"/>
      <c r="O84" s="18" t="s">
        <v>38</v>
      </c>
      <c r="P84" s="21" t="s">
        <v>38</v>
      </c>
      <c r="Q84" s="18" t="s">
        <v>54</v>
      </c>
      <c r="R84" s="22" t="s">
        <v>185</v>
      </c>
    </row>
    <row r="85" spans="1:18" ht="30" customHeight="1" x14ac:dyDescent="0.25">
      <c r="A85" s="16" t="s">
        <v>30</v>
      </c>
      <c r="B85" s="17">
        <v>228687</v>
      </c>
      <c r="C85" s="18" t="s">
        <v>140</v>
      </c>
      <c r="D85" s="81" t="s">
        <v>429</v>
      </c>
      <c r="E85" s="17" t="s">
        <v>46</v>
      </c>
      <c r="F85" s="17">
        <v>1</v>
      </c>
      <c r="G85" s="20">
        <v>44274</v>
      </c>
      <c r="H85" s="20">
        <v>44279</v>
      </c>
      <c r="I85" s="20">
        <v>44279</v>
      </c>
      <c r="J85" s="21"/>
      <c r="K85" s="18" t="s">
        <v>24</v>
      </c>
      <c r="L85" s="23" t="s">
        <v>37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30</v>
      </c>
      <c r="B86" s="17">
        <v>228687</v>
      </c>
      <c r="C86" s="18" t="s">
        <v>140</v>
      </c>
      <c r="D86" s="81" t="s">
        <v>429</v>
      </c>
      <c r="E86" s="17" t="s">
        <v>22</v>
      </c>
      <c r="F86" s="17">
        <v>1</v>
      </c>
      <c r="G86" s="20">
        <v>44274</v>
      </c>
      <c r="H86" s="20">
        <v>44279</v>
      </c>
      <c r="I86" s="20">
        <v>44279</v>
      </c>
      <c r="J86" s="21"/>
      <c r="K86" s="18" t="s">
        <v>24</v>
      </c>
      <c r="L86" s="23" t="s">
        <v>37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87</v>
      </c>
      <c r="B87" s="17">
        <v>228663</v>
      </c>
      <c r="C87" s="18" t="s">
        <v>410</v>
      </c>
      <c r="D87" s="81" t="s">
        <v>430</v>
      </c>
      <c r="E87" s="17" t="s">
        <v>157</v>
      </c>
      <c r="F87" s="17">
        <v>1</v>
      </c>
      <c r="G87" s="20">
        <v>44274</v>
      </c>
      <c r="H87" s="20">
        <v>44302</v>
      </c>
      <c r="I87" s="20"/>
      <c r="J87" s="21" t="s">
        <v>452</v>
      </c>
      <c r="K87" s="18" t="s">
        <v>24</v>
      </c>
      <c r="L87" s="23" t="s">
        <v>25</v>
      </c>
      <c r="M87" s="18" t="s">
        <v>26</v>
      </c>
      <c r="N87" s="18"/>
      <c r="O87" s="18" t="s">
        <v>27</v>
      </c>
      <c r="P87" s="21"/>
      <c r="Q87" s="18"/>
      <c r="R87" s="22"/>
    </row>
    <row r="88" spans="1:18" ht="30" customHeight="1" x14ac:dyDescent="0.25">
      <c r="A88" s="16" t="s">
        <v>87</v>
      </c>
      <c r="B88" s="17">
        <v>228663</v>
      </c>
      <c r="C88" s="18" t="s">
        <v>20</v>
      </c>
      <c r="D88" s="81" t="s">
        <v>430</v>
      </c>
      <c r="E88" s="17" t="s">
        <v>157</v>
      </c>
      <c r="F88" s="17">
        <v>1</v>
      </c>
      <c r="G88" s="20">
        <v>44274</v>
      </c>
      <c r="H88" s="20">
        <v>44302</v>
      </c>
      <c r="I88" s="20"/>
      <c r="J88" s="21" t="s">
        <v>453</v>
      </c>
      <c r="K88" s="18" t="s">
        <v>24</v>
      </c>
      <c r="L88" s="23" t="s">
        <v>25</v>
      </c>
      <c r="M88" s="18" t="s">
        <v>26</v>
      </c>
      <c r="N88" s="18"/>
      <c r="O88" s="18" t="s">
        <v>27</v>
      </c>
      <c r="P88" s="21"/>
      <c r="Q88" s="18"/>
      <c r="R88" s="22"/>
    </row>
    <row r="89" spans="1:18" ht="30" customHeight="1" x14ac:dyDescent="0.25">
      <c r="A89" s="16" t="s">
        <v>72</v>
      </c>
      <c r="B89" s="17">
        <v>225891</v>
      </c>
      <c r="C89" s="18" t="s">
        <v>20</v>
      </c>
      <c r="D89" s="81" t="s">
        <v>367</v>
      </c>
      <c r="E89" s="17" t="s">
        <v>79</v>
      </c>
      <c r="F89" s="17">
        <v>1</v>
      </c>
      <c r="G89" s="20">
        <v>44263</v>
      </c>
      <c r="H89" s="20">
        <v>44227</v>
      </c>
      <c r="I89" s="20">
        <v>44313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29</v>
      </c>
      <c r="R89" s="22" t="s">
        <v>54</v>
      </c>
    </row>
    <row r="90" spans="1:18" ht="30" customHeight="1" x14ac:dyDescent="0.25">
      <c r="A90" s="16" t="s">
        <v>72</v>
      </c>
      <c r="B90" s="17">
        <v>225891</v>
      </c>
      <c r="C90" s="18" t="s">
        <v>20</v>
      </c>
      <c r="D90" s="81" t="s">
        <v>367</v>
      </c>
      <c r="E90" s="17" t="s">
        <v>22</v>
      </c>
      <c r="F90" s="17">
        <v>1</v>
      </c>
      <c r="G90" s="20">
        <v>44263</v>
      </c>
      <c r="H90" s="20">
        <v>44227</v>
      </c>
      <c r="I90" s="20">
        <v>44313</v>
      </c>
      <c r="J90" s="21" t="s">
        <v>33</v>
      </c>
      <c r="K90" s="18" t="s">
        <v>24</v>
      </c>
      <c r="L90" s="23" t="s">
        <v>25</v>
      </c>
      <c r="M90" s="18" t="s">
        <v>26</v>
      </c>
      <c r="N90" s="18">
        <v>2</v>
      </c>
      <c r="O90" s="18" t="s">
        <v>27</v>
      </c>
      <c r="P90" s="21" t="s">
        <v>27</v>
      </c>
      <c r="Q90" s="18" t="s">
        <v>29</v>
      </c>
      <c r="R90" s="22" t="s">
        <v>54</v>
      </c>
    </row>
    <row r="91" spans="1:18" ht="30" customHeight="1" x14ac:dyDescent="0.25">
      <c r="A91" s="16" t="s">
        <v>72</v>
      </c>
      <c r="B91" s="17">
        <v>225891</v>
      </c>
      <c r="C91" s="18" t="s">
        <v>77</v>
      </c>
      <c r="D91" s="81" t="s">
        <v>367</v>
      </c>
      <c r="E91" s="17" t="s">
        <v>59</v>
      </c>
      <c r="F91" s="17"/>
      <c r="G91" s="20">
        <v>44263</v>
      </c>
      <c r="H91" s="20">
        <v>44291</v>
      </c>
      <c r="I91" s="20"/>
      <c r="J91" s="21" t="s">
        <v>431</v>
      </c>
      <c r="K91" s="18" t="s">
        <v>24</v>
      </c>
      <c r="L91" s="23"/>
      <c r="M91" s="18"/>
      <c r="N91" s="18"/>
      <c r="O91" s="18" t="s">
        <v>27</v>
      </c>
      <c r="P91" s="21"/>
      <c r="Q91" s="18"/>
      <c r="R91" s="22"/>
    </row>
    <row r="92" spans="1:18" ht="49.5" customHeight="1" x14ac:dyDescent="0.25">
      <c r="A92" s="16" t="s">
        <v>72</v>
      </c>
      <c r="B92" s="17">
        <v>225891</v>
      </c>
      <c r="C92" s="18" t="s">
        <v>77</v>
      </c>
      <c r="D92" s="81" t="s">
        <v>367</v>
      </c>
      <c r="E92" s="17" t="s">
        <v>59</v>
      </c>
      <c r="F92" s="17"/>
      <c r="G92" s="20">
        <v>44263</v>
      </c>
      <c r="H92" s="20">
        <v>44291</v>
      </c>
      <c r="I92" s="20"/>
      <c r="J92" s="21" t="s">
        <v>432</v>
      </c>
      <c r="K92" s="18" t="s">
        <v>24</v>
      </c>
      <c r="L92" s="23"/>
      <c r="M92" s="18"/>
      <c r="N92" s="18"/>
      <c r="O92" s="18" t="s">
        <v>27</v>
      </c>
      <c r="P92" s="21"/>
      <c r="Q92" s="18"/>
      <c r="R92" s="22"/>
    </row>
    <row r="93" spans="1:18" ht="30" customHeight="1" x14ac:dyDescent="0.25">
      <c r="A93" s="16" t="s">
        <v>30</v>
      </c>
      <c r="B93" s="17">
        <v>229813</v>
      </c>
      <c r="C93" s="18" t="s">
        <v>77</v>
      </c>
      <c r="D93" s="81" t="s">
        <v>433</v>
      </c>
      <c r="E93" s="17" t="s">
        <v>59</v>
      </c>
      <c r="F93" s="17"/>
      <c r="G93" s="20">
        <v>44285</v>
      </c>
      <c r="H93" s="20">
        <v>44295</v>
      </c>
      <c r="I93" s="20">
        <v>44312</v>
      </c>
      <c r="J93" s="21" t="s">
        <v>434</v>
      </c>
      <c r="K93" s="18" t="s">
        <v>24</v>
      </c>
      <c r="L93" s="23" t="s">
        <v>58</v>
      </c>
      <c r="M93" s="18" t="s">
        <v>34</v>
      </c>
      <c r="N93" s="18"/>
      <c r="O93" s="18" t="s">
        <v>38</v>
      </c>
      <c r="P93" s="21"/>
      <c r="Q93" s="18"/>
      <c r="R93" s="22"/>
    </row>
    <row r="94" spans="1:18" ht="30" customHeight="1" x14ac:dyDescent="0.25">
      <c r="A94" s="16" t="s">
        <v>30</v>
      </c>
      <c r="B94" s="17">
        <v>229813</v>
      </c>
      <c r="C94" s="18" t="s">
        <v>20</v>
      </c>
      <c r="D94" s="81" t="s">
        <v>433</v>
      </c>
      <c r="E94" s="17" t="s">
        <v>22</v>
      </c>
      <c r="F94" s="17">
        <v>1</v>
      </c>
      <c r="G94" s="20">
        <v>44285</v>
      </c>
      <c r="H94" s="20">
        <v>44302</v>
      </c>
      <c r="I94" s="20">
        <v>44312</v>
      </c>
      <c r="J94" s="21"/>
      <c r="K94" s="18" t="s">
        <v>24</v>
      </c>
      <c r="L94" s="23" t="s">
        <v>25</v>
      </c>
      <c r="M94" s="18" t="s">
        <v>26</v>
      </c>
      <c r="N94" s="18"/>
      <c r="O94" s="18" t="s">
        <v>27</v>
      </c>
      <c r="P94" s="21" t="s">
        <v>27</v>
      </c>
      <c r="Q94" s="18" t="s">
        <v>28</v>
      </c>
      <c r="R94" s="22" t="s">
        <v>54</v>
      </c>
    </row>
    <row r="95" spans="1:18" ht="30" customHeight="1" x14ac:dyDescent="0.25">
      <c r="A95" s="16" t="s">
        <v>30</v>
      </c>
      <c r="B95" s="17">
        <v>229813</v>
      </c>
      <c r="C95" s="18" t="s">
        <v>20</v>
      </c>
      <c r="D95" s="81" t="s">
        <v>433</v>
      </c>
      <c r="E95" s="17" t="s">
        <v>79</v>
      </c>
      <c r="F95" s="17">
        <v>1</v>
      </c>
      <c r="G95" s="20">
        <v>44285</v>
      </c>
      <c r="H95" s="20">
        <v>44302</v>
      </c>
      <c r="I95" s="20">
        <v>44312</v>
      </c>
      <c r="J95" s="21"/>
      <c r="K95" s="18" t="s">
        <v>24</v>
      </c>
      <c r="L95" s="23" t="s">
        <v>25</v>
      </c>
      <c r="M95" s="18" t="s">
        <v>34</v>
      </c>
      <c r="N95" s="18"/>
      <c r="O95" s="18" t="s">
        <v>27</v>
      </c>
      <c r="P95" s="21" t="s">
        <v>27</v>
      </c>
      <c r="Q95" s="18" t="s">
        <v>28</v>
      </c>
      <c r="R95" s="22" t="s">
        <v>54</v>
      </c>
    </row>
    <row r="96" spans="1:18" ht="30" customHeight="1" x14ac:dyDescent="0.25">
      <c r="A96" s="16" t="s">
        <v>30</v>
      </c>
      <c r="B96" s="17">
        <v>229813</v>
      </c>
      <c r="C96" s="18" t="s">
        <v>140</v>
      </c>
      <c r="D96" s="81" t="s">
        <v>433</v>
      </c>
      <c r="E96" s="17" t="s">
        <v>454</v>
      </c>
      <c r="F96" s="17">
        <v>5</v>
      </c>
      <c r="G96" s="20">
        <v>44285</v>
      </c>
      <c r="H96" s="20">
        <v>44306</v>
      </c>
      <c r="I96" s="20">
        <v>44312</v>
      </c>
      <c r="J96" s="21" t="s">
        <v>221</v>
      </c>
      <c r="K96" s="18" t="s">
        <v>24</v>
      </c>
      <c r="L96" s="23" t="s">
        <v>45</v>
      </c>
      <c r="M96" s="18" t="s">
        <v>83</v>
      </c>
      <c r="N96" s="18"/>
      <c r="O96" s="18" t="s">
        <v>27</v>
      </c>
      <c r="P96" s="21" t="s">
        <v>27</v>
      </c>
      <c r="Q96" s="18" t="s">
        <v>28</v>
      </c>
      <c r="R96" s="22" t="s">
        <v>54</v>
      </c>
    </row>
    <row r="97" spans="1:18" ht="30" customHeight="1" x14ac:dyDescent="0.25">
      <c r="A97" s="16" t="s">
        <v>30</v>
      </c>
      <c r="B97" s="17">
        <v>229813</v>
      </c>
      <c r="C97" s="18" t="s">
        <v>140</v>
      </c>
      <c r="D97" s="81" t="s">
        <v>433</v>
      </c>
      <c r="E97" s="17" t="s">
        <v>153</v>
      </c>
      <c r="F97" s="17">
        <v>5</v>
      </c>
      <c r="G97" s="20">
        <v>44285</v>
      </c>
      <c r="H97" s="20">
        <v>44306</v>
      </c>
      <c r="I97" s="20">
        <v>44312</v>
      </c>
      <c r="J97" s="21"/>
      <c r="K97" s="18" t="s">
        <v>24</v>
      </c>
      <c r="L97" s="23" t="s">
        <v>45</v>
      </c>
      <c r="M97" s="18" t="s">
        <v>26</v>
      </c>
      <c r="N97" s="18"/>
      <c r="O97" s="18" t="s">
        <v>27</v>
      </c>
      <c r="P97" s="21" t="s">
        <v>27</v>
      </c>
      <c r="Q97" s="18" t="s">
        <v>28</v>
      </c>
      <c r="R97" s="22" t="s">
        <v>54</v>
      </c>
    </row>
    <row r="98" spans="1:18" ht="30" customHeight="1" x14ac:dyDescent="0.25">
      <c r="A98" s="16" t="s">
        <v>30</v>
      </c>
      <c r="B98" s="17">
        <v>229813</v>
      </c>
      <c r="C98" s="18" t="s">
        <v>140</v>
      </c>
      <c r="D98" s="81" t="s">
        <v>433</v>
      </c>
      <c r="E98" s="17" t="s">
        <v>68</v>
      </c>
      <c r="F98" s="17">
        <v>5</v>
      </c>
      <c r="G98" s="20">
        <v>44285</v>
      </c>
      <c r="H98" s="20">
        <v>44306</v>
      </c>
      <c r="I98" s="20">
        <v>44312</v>
      </c>
      <c r="J98" s="21"/>
      <c r="K98" s="18" t="s">
        <v>24</v>
      </c>
      <c r="L98" s="23" t="s">
        <v>45</v>
      </c>
      <c r="M98" s="18" t="s">
        <v>26</v>
      </c>
      <c r="N98" s="18"/>
      <c r="O98" s="18" t="s">
        <v>27</v>
      </c>
      <c r="P98" s="21" t="s">
        <v>27</v>
      </c>
      <c r="Q98" s="18" t="s">
        <v>28</v>
      </c>
      <c r="R98" s="22" t="s">
        <v>54</v>
      </c>
    </row>
    <row r="99" spans="1:18" ht="30" customHeight="1" x14ac:dyDescent="0.25">
      <c r="A99" s="16" t="s">
        <v>30</v>
      </c>
      <c r="B99" s="17">
        <v>229813</v>
      </c>
      <c r="C99" s="18" t="s">
        <v>140</v>
      </c>
      <c r="D99" s="81" t="s">
        <v>433</v>
      </c>
      <c r="E99" s="17" t="s">
        <v>82</v>
      </c>
      <c r="F99" s="17">
        <v>1</v>
      </c>
      <c r="G99" s="20">
        <v>44285</v>
      </c>
      <c r="H99" s="20">
        <v>44306</v>
      </c>
      <c r="I99" s="20">
        <v>44312</v>
      </c>
      <c r="J99" s="21"/>
      <c r="K99" s="18" t="s">
        <v>24</v>
      </c>
      <c r="L99" s="23" t="s">
        <v>45</v>
      </c>
      <c r="M99" s="18" t="s">
        <v>83</v>
      </c>
      <c r="N99" s="18"/>
      <c r="O99" s="18" t="s">
        <v>27</v>
      </c>
      <c r="P99" s="21" t="s">
        <v>27</v>
      </c>
      <c r="Q99" s="18" t="s">
        <v>28</v>
      </c>
      <c r="R99" s="22" t="s">
        <v>54</v>
      </c>
    </row>
    <row r="100" spans="1:18" ht="30" customHeight="1" x14ac:dyDescent="0.25">
      <c r="A100" s="16" t="s">
        <v>30</v>
      </c>
      <c r="B100" s="17">
        <v>229813</v>
      </c>
      <c r="C100" s="18" t="s">
        <v>140</v>
      </c>
      <c r="D100" s="81" t="s">
        <v>433</v>
      </c>
      <c r="E100" s="17" t="s">
        <v>455</v>
      </c>
      <c r="F100" s="17">
        <v>1</v>
      </c>
      <c r="G100" s="20">
        <v>44285</v>
      </c>
      <c r="H100" s="20">
        <v>44306</v>
      </c>
      <c r="I100" s="20">
        <v>44312</v>
      </c>
      <c r="J100" s="21"/>
      <c r="K100" s="18" t="s">
        <v>24</v>
      </c>
      <c r="L100" s="23" t="s">
        <v>45</v>
      </c>
      <c r="M100" s="18" t="s">
        <v>83</v>
      </c>
      <c r="N100" s="18"/>
      <c r="O100" s="18" t="s">
        <v>27</v>
      </c>
      <c r="P100" s="21" t="s">
        <v>27</v>
      </c>
      <c r="Q100" s="18" t="s">
        <v>28</v>
      </c>
      <c r="R100" s="22" t="s">
        <v>54</v>
      </c>
    </row>
    <row r="101" spans="1:18" ht="30" customHeight="1" x14ac:dyDescent="0.25">
      <c r="A101" s="16" t="s">
        <v>30</v>
      </c>
      <c r="B101" s="17">
        <v>229915</v>
      </c>
      <c r="C101" s="18" t="s">
        <v>77</v>
      </c>
      <c r="D101" s="81" t="s">
        <v>435</v>
      </c>
      <c r="E101" s="17" t="s">
        <v>83</v>
      </c>
      <c r="F101" s="17">
        <v>1</v>
      </c>
      <c r="G101" s="20">
        <v>44280</v>
      </c>
      <c r="H101" s="20">
        <v>44292</v>
      </c>
      <c r="I101" s="20">
        <v>44292</v>
      </c>
      <c r="J101" s="21" t="s">
        <v>436</v>
      </c>
      <c r="K101" s="18" t="s">
        <v>24</v>
      </c>
      <c r="L101" s="23" t="s">
        <v>58</v>
      </c>
      <c r="M101" s="18" t="s">
        <v>83</v>
      </c>
      <c r="N101" s="18"/>
      <c r="O101" s="18" t="s">
        <v>38</v>
      </c>
      <c r="P101" s="21"/>
      <c r="Q101" s="18" t="s">
        <v>28</v>
      </c>
      <c r="R101" s="22" t="s">
        <v>54</v>
      </c>
    </row>
    <row r="102" spans="1:18" ht="30" customHeight="1" x14ac:dyDescent="0.25">
      <c r="A102" s="16" t="s">
        <v>300</v>
      </c>
      <c r="B102" s="17">
        <v>230598</v>
      </c>
      <c r="C102" s="18" t="s">
        <v>140</v>
      </c>
      <c r="D102" s="81" t="s">
        <v>373</v>
      </c>
      <c r="E102" s="17" t="s">
        <v>46</v>
      </c>
      <c r="F102" s="17">
        <v>1</v>
      </c>
      <c r="G102" s="20">
        <v>44284</v>
      </c>
      <c r="H102" s="20">
        <v>44287</v>
      </c>
      <c r="I102" s="20">
        <v>44286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300</v>
      </c>
      <c r="B103" s="17">
        <v>230598</v>
      </c>
      <c r="C103" s="18" t="s">
        <v>140</v>
      </c>
      <c r="D103" s="81" t="s">
        <v>373</v>
      </c>
      <c r="E103" s="17" t="s">
        <v>107</v>
      </c>
      <c r="F103" s="17">
        <v>1</v>
      </c>
      <c r="G103" s="20">
        <v>44284</v>
      </c>
      <c r="H103" s="20">
        <v>44287</v>
      </c>
      <c r="I103" s="20">
        <v>44286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300</v>
      </c>
      <c r="B104" s="17">
        <v>230598</v>
      </c>
      <c r="C104" s="18" t="s">
        <v>140</v>
      </c>
      <c r="D104" s="81" t="s">
        <v>373</v>
      </c>
      <c r="E104" s="17" t="s">
        <v>22</v>
      </c>
      <c r="F104" s="17">
        <v>1</v>
      </c>
      <c r="G104" s="20">
        <v>44284</v>
      </c>
      <c r="H104" s="20">
        <v>44287</v>
      </c>
      <c r="I104" s="20">
        <v>44286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54</v>
      </c>
      <c r="R104" s="22" t="s">
        <v>28</v>
      </c>
    </row>
    <row r="105" spans="1:18" ht="30" customHeight="1" x14ac:dyDescent="0.25">
      <c r="A105" s="16" t="s">
        <v>300</v>
      </c>
      <c r="B105" s="17">
        <v>230598</v>
      </c>
      <c r="C105" s="18" t="s">
        <v>140</v>
      </c>
      <c r="D105" s="81" t="s">
        <v>373</v>
      </c>
      <c r="E105" s="17" t="s">
        <v>41</v>
      </c>
      <c r="F105" s="17">
        <v>3</v>
      </c>
      <c r="G105" s="20">
        <v>44284</v>
      </c>
      <c r="H105" s="20">
        <v>44287</v>
      </c>
      <c r="I105" s="20">
        <v>44286</v>
      </c>
      <c r="J105" s="21"/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39</v>
      </c>
      <c r="B106" s="17" t="s">
        <v>247</v>
      </c>
      <c r="C106" s="18" t="s">
        <v>410</v>
      </c>
      <c r="D106" s="81" t="s">
        <v>437</v>
      </c>
      <c r="E106" s="17" t="s">
        <v>219</v>
      </c>
      <c r="F106" s="17">
        <v>2</v>
      </c>
      <c r="G106" s="20">
        <v>44284</v>
      </c>
      <c r="H106" s="20">
        <v>44286</v>
      </c>
      <c r="I106" s="20">
        <v>44286</v>
      </c>
      <c r="J106" s="21"/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/>
      <c r="Q106" s="18"/>
      <c r="R106" s="22"/>
    </row>
    <row r="107" spans="1:18" ht="30" customHeight="1" x14ac:dyDescent="0.25">
      <c r="A107" s="16" t="s">
        <v>39</v>
      </c>
      <c r="B107" s="17" t="s">
        <v>247</v>
      </c>
      <c r="C107" s="18" t="s">
        <v>410</v>
      </c>
      <c r="D107" s="81" t="s">
        <v>437</v>
      </c>
      <c r="E107" s="17" t="s">
        <v>107</v>
      </c>
      <c r="F107" s="17">
        <v>16</v>
      </c>
      <c r="G107" s="20">
        <v>44284</v>
      </c>
      <c r="H107" s="20">
        <v>44286</v>
      </c>
      <c r="I107" s="20">
        <v>44286</v>
      </c>
      <c r="J107" s="21"/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/>
      <c r="Q107" s="18"/>
      <c r="R107" s="22"/>
    </row>
    <row r="108" spans="1:18" ht="30" customHeight="1" x14ac:dyDescent="0.25">
      <c r="A108" s="16" t="s">
        <v>39</v>
      </c>
      <c r="B108" s="17" t="s">
        <v>247</v>
      </c>
      <c r="C108" s="18" t="s">
        <v>410</v>
      </c>
      <c r="D108" s="81" t="s">
        <v>437</v>
      </c>
      <c r="E108" s="17" t="s">
        <v>456</v>
      </c>
      <c r="F108" s="17">
        <v>2</v>
      </c>
      <c r="G108" s="20">
        <v>44284</v>
      </c>
      <c r="H108" s="20">
        <v>44286</v>
      </c>
      <c r="I108" s="20">
        <v>44286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/>
      <c r="Q108" s="18"/>
      <c r="R108" s="22"/>
    </row>
    <row r="109" spans="1:18" ht="30" customHeight="1" x14ac:dyDescent="0.25">
      <c r="A109" s="16" t="s">
        <v>39</v>
      </c>
      <c r="B109" s="17" t="s">
        <v>247</v>
      </c>
      <c r="C109" s="18" t="s">
        <v>410</v>
      </c>
      <c r="D109" s="81" t="s">
        <v>437</v>
      </c>
      <c r="E109" s="17" t="s">
        <v>22</v>
      </c>
      <c r="F109" s="17">
        <v>1</v>
      </c>
      <c r="G109" s="20">
        <v>44284</v>
      </c>
      <c r="H109" s="20">
        <v>44286</v>
      </c>
      <c r="I109" s="20">
        <v>44286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/>
      <c r="Q109" s="18"/>
      <c r="R109" s="22"/>
    </row>
    <row r="110" spans="1:18" ht="30" customHeight="1" x14ac:dyDescent="0.25">
      <c r="A110" s="16" t="s">
        <v>39</v>
      </c>
      <c r="B110" s="17" t="s">
        <v>247</v>
      </c>
      <c r="C110" s="18" t="s">
        <v>410</v>
      </c>
      <c r="D110" s="81" t="s">
        <v>437</v>
      </c>
      <c r="E110" s="17" t="s">
        <v>106</v>
      </c>
      <c r="F110" s="17">
        <v>3</v>
      </c>
      <c r="G110" s="20">
        <v>44284</v>
      </c>
      <c r="H110" s="20">
        <v>44286</v>
      </c>
      <c r="I110" s="20">
        <v>44286</v>
      </c>
      <c r="J110" s="21"/>
      <c r="K110" s="18" t="s">
        <v>24</v>
      </c>
      <c r="L110" s="23" t="s">
        <v>58</v>
      </c>
      <c r="M110" s="18" t="s">
        <v>26</v>
      </c>
      <c r="N110" s="18"/>
      <c r="O110" s="18" t="s">
        <v>38</v>
      </c>
      <c r="P110" s="21"/>
      <c r="Q110" s="18"/>
      <c r="R110" s="22"/>
    </row>
    <row r="111" spans="1:18" ht="30" customHeight="1" x14ac:dyDescent="0.25">
      <c r="A111" s="16" t="s">
        <v>39</v>
      </c>
      <c r="B111" s="17" t="s">
        <v>247</v>
      </c>
      <c r="C111" s="18" t="s">
        <v>410</v>
      </c>
      <c r="D111" s="81" t="s">
        <v>437</v>
      </c>
      <c r="E111" s="17" t="s">
        <v>48</v>
      </c>
      <c r="F111" s="17">
        <v>1</v>
      </c>
      <c r="G111" s="20">
        <v>44284</v>
      </c>
      <c r="H111" s="20">
        <v>44286</v>
      </c>
      <c r="I111" s="20">
        <v>44286</v>
      </c>
      <c r="J111" s="21"/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/>
      <c r="Q111" s="18"/>
      <c r="R111" s="22"/>
    </row>
    <row r="112" spans="1:18" ht="30" customHeight="1" x14ac:dyDescent="0.25">
      <c r="A112" s="16" t="s">
        <v>39</v>
      </c>
      <c r="B112" s="17" t="s">
        <v>247</v>
      </c>
      <c r="C112" s="18" t="s">
        <v>410</v>
      </c>
      <c r="D112" s="81" t="s">
        <v>437</v>
      </c>
      <c r="E112" s="17" t="s">
        <v>94</v>
      </c>
      <c r="F112" s="17">
        <v>1</v>
      </c>
      <c r="G112" s="20">
        <v>44284</v>
      </c>
      <c r="H112" s="20">
        <v>44286</v>
      </c>
      <c r="I112" s="20">
        <v>44286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/>
      <c r="Q112" s="18"/>
      <c r="R112" s="22"/>
    </row>
    <row r="113" spans="1:18" ht="30" customHeight="1" x14ac:dyDescent="0.25">
      <c r="A113" s="16" t="s">
        <v>39</v>
      </c>
      <c r="B113" s="17" t="s">
        <v>247</v>
      </c>
      <c r="C113" s="18" t="s">
        <v>410</v>
      </c>
      <c r="D113" s="81" t="s">
        <v>437</v>
      </c>
      <c r="E113" s="17" t="s">
        <v>151</v>
      </c>
      <c r="F113" s="17">
        <v>2</v>
      </c>
      <c r="G113" s="20">
        <v>44284</v>
      </c>
      <c r="H113" s="20">
        <v>44286</v>
      </c>
      <c r="I113" s="20">
        <v>44286</v>
      </c>
      <c r="J113" s="21"/>
      <c r="K113" s="18" t="s">
        <v>24</v>
      </c>
      <c r="L113" s="23" t="s">
        <v>58</v>
      </c>
      <c r="M113" s="18" t="s">
        <v>26</v>
      </c>
      <c r="N113" s="18"/>
      <c r="O113" s="18" t="s">
        <v>38</v>
      </c>
      <c r="P113" s="21"/>
      <c r="Q113" s="18"/>
      <c r="R113" s="22"/>
    </row>
    <row r="114" spans="1:18" ht="30" customHeight="1" x14ac:dyDescent="0.25">
      <c r="A114" s="16" t="s">
        <v>39</v>
      </c>
      <c r="B114" s="17" t="s">
        <v>247</v>
      </c>
      <c r="C114" s="18" t="s">
        <v>410</v>
      </c>
      <c r="D114" s="81" t="s">
        <v>437</v>
      </c>
      <c r="E114" s="17" t="s">
        <v>69</v>
      </c>
      <c r="F114" s="17">
        <v>4</v>
      </c>
      <c r="G114" s="20">
        <v>44284</v>
      </c>
      <c r="H114" s="20">
        <v>44286</v>
      </c>
      <c r="I114" s="20">
        <v>44286</v>
      </c>
      <c r="J114" s="21"/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/>
      <c r="Q114" s="18"/>
      <c r="R114" s="22"/>
    </row>
    <row r="115" spans="1:18" ht="30" customHeight="1" x14ac:dyDescent="0.25">
      <c r="A115" s="16" t="s">
        <v>39</v>
      </c>
      <c r="B115" s="17" t="s">
        <v>247</v>
      </c>
      <c r="C115" s="18" t="s">
        <v>77</v>
      </c>
      <c r="D115" s="81" t="s">
        <v>437</v>
      </c>
      <c r="E115" s="17" t="s">
        <v>302</v>
      </c>
      <c r="F115" s="17"/>
      <c r="G115" s="20"/>
      <c r="H115" s="20"/>
      <c r="I115" s="20"/>
      <c r="J115" s="21" t="s">
        <v>438</v>
      </c>
      <c r="K115" s="18" t="s">
        <v>24</v>
      </c>
      <c r="L115" s="23" t="s">
        <v>25</v>
      </c>
      <c r="M115" s="18"/>
      <c r="N115" s="18"/>
      <c r="O115" s="18" t="s">
        <v>38</v>
      </c>
      <c r="P115" s="21"/>
      <c r="Q115" s="18"/>
      <c r="R115" s="22"/>
    </row>
    <row r="116" spans="1:18" ht="30" customHeight="1" x14ac:dyDescent="0.25">
      <c r="A116" s="16" t="s">
        <v>39</v>
      </c>
      <c r="B116" s="17" t="s">
        <v>247</v>
      </c>
      <c r="C116" s="18" t="s">
        <v>77</v>
      </c>
      <c r="D116" s="81" t="s">
        <v>437</v>
      </c>
      <c r="E116" s="17" t="s">
        <v>83</v>
      </c>
      <c r="F116" s="17"/>
      <c r="G116" s="20"/>
      <c r="H116" s="20"/>
      <c r="I116" s="20"/>
      <c r="J116" s="21" t="s">
        <v>457</v>
      </c>
      <c r="K116" s="18" t="s">
        <v>24</v>
      </c>
      <c r="L116" s="23"/>
      <c r="M116" s="18"/>
      <c r="N116" s="18"/>
      <c r="O116" s="18" t="s">
        <v>38</v>
      </c>
      <c r="P116" s="21"/>
      <c r="Q116" s="18"/>
      <c r="R116" s="22"/>
    </row>
    <row r="117" spans="1:18" ht="30" customHeight="1" x14ac:dyDescent="0.25">
      <c r="A117" s="16" t="s">
        <v>39</v>
      </c>
      <c r="B117" s="17" t="s">
        <v>247</v>
      </c>
      <c r="C117" s="18" t="s">
        <v>410</v>
      </c>
      <c r="D117" s="81" t="s">
        <v>437</v>
      </c>
      <c r="E117" s="17" t="s">
        <v>179</v>
      </c>
      <c r="F117" s="17"/>
      <c r="G117" s="20">
        <v>44303</v>
      </c>
      <c r="H117" s="20">
        <v>44306</v>
      </c>
      <c r="I117" s="20"/>
      <c r="J117" s="21" t="s">
        <v>458</v>
      </c>
      <c r="K117" s="18" t="s">
        <v>24</v>
      </c>
      <c r="L117" s="23"/>
      <c r="M117" s="18"/>
      <c r="N117" s="18"/>
      <c r="O117" s="18" t="s">
        <v>38</v>
      </c>
      <c r="P117" s="21"/>
      <c r="Q117" s="18"/>
      <c r="R117" s="22"/>
    </row>
    <row r="118" spans="1:18" ht="30" customHeight="1" x14ac:dyDescent="0.25">
      <c r="A118" s="16" t="s">
        <v>39</v>
      </c>
      <c r="B118" s="17" t="s">
        <v>247</v>
      </c>
      <c r="C118" s="18" t="s">
        <v>20</v>
      </c>
      <c r="D118" s="81" t="s">
        <v>439</v>
      </c>
      <c r="E118" s="17" t="s">
        <v>22</v>
      </c>
      <c r="F118" s="17">
        <v>3</v>
      </c>
      <c r="G118" s="20">
        <v>44284</v>
      </c>
      <c r="H118" s="20">
        <v>44295</v>
      </c>
      <c r="I118" s="20"/>
      <c r="J118" s="21"/>
      <c r="K118" s="18" t="s">
        <v>384</v>
      </c>
      <c r="L118" s="23" t="s">
        <v>25</v>
      </c>
      <c r="M118" s="18" t="s">
        <v>26</v>
      </c>
      <c r="N118" s="18"/>
      <c r="O118" s="18" t="s">
        <v>27</v>
      </c>
      <c r="P118" s="21" t="s">
        <v>27</v>
      </c>
      <c r="Q118" s="18" t="s">
        <v>54</v>
      </c>
      <c r="R118" s="22"/>
    </row>
    <row r="119" spans="1:18" ht="30" customHeight="1" x14ac:dyDescent="0.25">
      <c r="A119" s="16" t="s">
        <v>39</v>
      </c>
      <c r="B119" s="17" t="s">
        <v>247</v>
      </c>
      <c r="C119" s="18" t="s">
        <v>20</v>
      </c>
      <c r="D119" s="81" t="s">
        <v>439</v>
      </c>
      <c r="E119" s="17" t="s">
        <v>79</v>
      </c>
      <c r="F119" s="17">
        <v>1</v>
      </c>
      <c r="G119" s="20">
        <v>44284</v>
      </c>
      <c r="H119" s="20">
        <v>44295</v>
      </c>
      <c r="I119" s="20"/>
      <c r="J119" s="21"/>
      <c r="K119" s="18" t="s">
        <v>384</v>
      </c>
      <c r="L119" s="23" t="s">
        <v>25</v>
      </c>
      <c r="M119" s="18" t="s">
        <v>26</v>
      </c>
      <c r="N119" s="18"/>
      <c r="O119" s="18" t="s">
        <v>27</v>
      </c>
      <c r="P119" s="21" t="s">
        <v>27</v>
      </c>
      <c r="Q119" s="18" t="s">
        <v>54</v>
      </c>
      <c r="R119" s="22"/>
    </row>
    <row r="120" spans="1:18" ht="30" customHeight="1" x14ac:dyDescent="0.25">
      <c r="A120" s="16" t="s">
        <v>39</v>
      </c>
      <c r="B120" s="17" t="s">
        <v>247</v>
      </c>
      <c r="C120" s="18" t="s">
        <v>77</v>
      </c>
      <c r="D120" s="81" t="s">
        <v>439</v>
      </c>
      <c r="E120" s="17" t="s">
        <v>43</v>
      </c>
      <c r="F120" s="17"/>
      <c r="G120" s="20">
        <v>44284</v>
      </c>
      <c r="H120" s="20">
        <v>44294</v>
      </c>
      <c r="I120" s="20"/>
      <c r="J120" s="21" t="s">
        <v>440</v>
      </c>
      <c r="K120" s="18" t="s">
        <v>24</v>
      </c>
      <c r="L120" s="23" t="s">
        <v>25</v>
      </c>
      <c r="M120" s="18" t="s">
        <v>34</v>
      </c>
      <c r="N120" s="18"/>
      <c r="O120" s="18" t="s">
        <v>27</v>
      </c>
      <c r="P120" s="21"/>
      <c r="Q120" s="18"/>
      <c r="R120" s="22"/>
    </row>
    <row r="121" spans="1:18" ht="30" customHeight="1" x14ac:dyDescent="0.25">
      <c r="A121" s="16" t="s">
        <v>52</v>
      </c>
      <c r="B121" s="17">
        <v>229683</v>
      </c>
      <c r="C121" s="18" t="s">
        <v>77</v>
      </c>
      <c r="D121" s="81" t="s">
        <v>441</v>
      </c>
      <c r="E121" s="17" t="s">
        <v>74</v>
      </c>
      <c r="F121" s="17"/>
      <c r="G121" s="20">
        <v>44285</v>
      </c>
      <c r="H121" s="20">
        <v>44292</v>
      </c>
      <c r="I121" s="20">
        <v>44292</v>
      </c>
      <c r="J121" s="21" t="s">
        <v>442</v>
      </c>
      <c r="K121" s="18" t="s">
        <v>24</v>
      </c>
      <c r="L121" s="23" t="s">
        <v>25</v>
      </c>
      <c r="M121" s="18" t="s">
        <v>34</v>
      </c>
      <c r="N121" s="18"/>
      <c r="O121" s="18" t="s">
        <v>27</v>
      </c>
      <c r="P121" s="21"/>
      <c r="Q121" s="18"/>
      <c r="R121" s="22"/>
    </row>
    <row r="122" spans="1:18" ht="30" customHeight="1" x14ac:dyDescent="0.25">
      <c r="A122" s="16" t="s">
        <v>52</v>
      </c>
      <c r="B122" s="17">
        <v>229683</v>
      </c>
      <c r="C122" s="18" t="s">
        <v>77</v>
      </c>
      <c r="D122" s="81" t="s">
        <v>441</v>
      </c>
      <c r="E122" s="17" t="s">
        <v>83</v>
      </c>
      <c r="F122" s="17"/>
      <c r="G122" s="20">
        <v>44285</v>
      </c>
      <c r="H122" s="20"/>
      <c r="I122" s="20"/>
      <c r="J122" s="21" t="s">
        <v>443</v>
      </c>
      <c r="K122" s="18" t="s">
        <v>388</v>
      </c>
      <c r="L122" s="23" t="s">
        <v>25</v>
      </c>
      <c r="M122" s="18" t="s">
        <v>34</v>
      </c>
      <c r="N122" s="18"/>
      <c r="O122" s="18" t="s">
        <v>27</v>
      </c>
      <c r="P122" s="21"/>
      <c r="Q122" s="18"/>
      <c r="R122" s="22"/>
    </row>
    <row r="123" spans="1:18" ht="30" customHeight="1" x14ac:dyDescent="0.25">
      <c r="A123" s="16" t="s">
        <v>52</v>
      </c>
      <c r="B123" s="17">
        <v>229683</v>
      </c>
      <c r="C123" s="18" t="s">
        <v>20</v>
      </c>
      <c r="D123" s="81" t="s">
        <v>441</v>
      </c>
      <c r="E123" s="17" t="s">
        <v>69</v>
      </c>
      <c r="F123" s="17">
        <v>2</v>
      </c>
      <c r="G123" s="20">
        <v>44285</v>
      </c>
      <c r="H123" s="20">
        <v>44295</v>
      </c>
      <c r="I123" s="20"/>
      <c r="J123" s="21"/>
      <c r="K123" s="18" t="s">
        <v>384</v>
      </c>
      <c r="L123" s="23" t="s">
        <v>25</v>
      </c>
      <c r="M123" s="18" t="s">
        <v>34</v>
      </c>
      <c r="N123" s="18"/>
      <c r="O123" s="18" t="s">
        <v>27</v>
      </c>
      <c r="P123" s="21"/>
      <c r="Q123" s="18"/>
      <c r="R123" s="22"/>
    </row>
    <row r="124" spans="1:18" ht="30" customHeight="1" x14ac:dyDescent="0.25">
      <c r="A124" s="16" t="s">
        <v>52</v>
      </c>
      <c r="B124" s="17">
        <v>229683</v>
      </c>
      <c r="C124" s="18" t="s">
        <v>20</v>
      </c>
      <c r="D124" s="81" t="s">
        <v>441</v>
      </c>
      <c r="E124" s="17" t="s">
        <v>79</v>
      </c>
      <c r="F124" s="17">
        <v>1</v>
      </c>
      <c r="G124" s="20">
        <v>44285</v>
      </c>
      <c r="H124" s="20">
        <v>44295</v>
      </c>
      <c r="I124" s="20"/>
      <c r="J124" s="21"/>
      <c r="K124" s="18" t="s">
        <v>384</v>
      </c>
      <c r="L124" s="23" t="s">
        <v>25</v>
      </c>
      <c r="M124" s="18" t="s">
        <v>34</v>
      </c>
      <c r="N124" s="18"/>
      <c r="O124" s="18" t="s">
        <v>27</v>
      </c>
      <c r="P124" s="21"/>
      <c r="Q124" s="18"/>
      <c r="R124" s="22"/>
    </row>
    <row r="125" spans="1:18" ht="30" customHeight="1" x14ac:dyDescent="0.25">
      <c r="A125" s="16" t="s">
        <v>49</v>
      </c>
      <c r="B125" s="17">
        <v>231835</v>
      </c>
      <c r="C125" s="18" t="s">
        <v>140</v>
      </c>
      <c r="D125" s="81" t="s">
        <v>444</v>
      </c>
      <c r="E125" s="17" t="s">
        <v>46</v>
      </c>
      <c r="F125" s="17">
        <v>1</v>
      </c>
      <c r="G125" s="20">
        <v>44291</v>
      </c>
      <c r="H125" s="20">
        <v>44293</v>
      </c>
      <c r="I125" s="20">
        <v>44292</v>
      </c>
      <c r="J125" s="21"/>
      <c r="K125" s="18" t="s">
        <v>24</v>
      </c>
      <c r="L125" s="23" t="s">
        <v>58</v>
      </c>
      <c r="M125" s="18" t="s">
        <v>26</v>
      </c>
      <c r="N125" s="18">
        <v>2</v>
      </c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231835</v>
      </c>
      <c r="C126" s="18" t="s">
        <v>140</v>
      </c>
      <c r="D126" s="81" t="s">
        <v>444</v>
      </c>
      <c r="E126" s="17" t="s">
        <v>74</v>
      </c>
      <c r="F126" s="17">
        <v>1</v>
      </c>
      <c r="G126" s="20">
        <v>44291</v>
      </c>
      <c r="H126" s="20">
        <v>44293</v>
      </c>
      <c r="I126" s="20">
        <v>44292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 t="s">
        <v>38</v>
      </c>
      <c r="Q126" s="18" t="s">
        <v>54</v>
      </c>
      <c r="R126" s="22" t="s">
        <v>54</v>
      </c>
    </row>
    <row r="127" spans="1:18" ht="30" customHeight="1" x14ac:dyDescent="0.25">
      <c r="A127" s="16" t="s">
        <v>49</v>
      </c>
      <c r="B127" s="17">
        <v>231835</v>
      </c>
      <c r="C127" s="18" t="s">
        <v>140</v>
      </c>
      <c r="D127" s="81" t="s">
        <v>444</v>
      </c>
      <c r="E127" s="17" t="s">
        <v>22</v>
      </c>
      <c r="F127" s="17">
        <v>1</v>
      </c>
      <c r="G127" s="20">
        <v>44291</v>
      </c>
      <c r="H127" s="20">
        <v>44293</v>
      </c>
      <c r="I127" s="20">
        <v>44292</v>
      </c>
      <c r="J127" s="21"/>
      <c r="K127" s="18" t="s">
        <v>24</v>
      </c>
      <c r="L127" s="23" t="s">
        <v>58</v>
      </c>
      <c r="M127" s="18" t="s">
        <v>26</v>
      </c>
      <c r="N127" s="18">
        <v>2</v>
      </c>
      <c r="O127" s="18" t="s">
        <v>38</v>
      </c>
      <c r="P127" s="21" t="s">
        <v>38</v>
      </c>
      <c r="Q127" s="18" t="s">
        <v>54</v>
      </c>
      <c r="R127" s="22" t="s">
        <v>54</v>
      </c>
    </row>
    <row r="128" spans="1:18" ht="30" customHeight="1" x14ac:dyDescent="0.25">
      <c r="A128" s="16" t="s">
        <v>49</v>
      </c>
      <c r="B128" s="17">
        <v>231835</v>
      </c>
      <c r="C128" s="18" t="s">
        <v>140</v>
      </c>
      <c r="D128" s="81" t="s">
        <v>444</v>
      </c>
      <c r="E128" s="17" t="s">
        <v>41</v>
      </c>
      <c r="F128" s="17">
        <v>3</v>
      </c>
      <c r="G128" s="20">
        <v>44291</v>
      </c>
      <c r="H128" s="20">
        <v>44293</v>
      </c>
      <c r="I128" s="20">
        <v>44292</v>
      </c>
      <c r="J128" s="21"/>
      <c r="K128" s="18" t="s">
        <v>24</v>
      </c>
      <c r="L128" s="23" t="s">
        <v>58</v>
      </c>
      <c r="M128" s="18" t="s">
        <v>26</v>
      </c>
      <c r="N128" s="18">
        <v>2</v>
      </c>
      <c r="O128" s="18" t="s">
        <v>38</v>
      </c>
      <c r="P128" s="21" t="s">
        <v>38</v>
      </c>
      <c r="Q128" s="18" t="s">
        <v>54</v>
      </c>
      <c r="R128" s="22" t="s">
        <v>54</v>
      </c>
    </row>
    <row r="129" spans="1:18" ht="30" customHeight="1" x14ac:dyDescent="0.25">
      <c r="A129" s="16" t="s">
        <v>49</v>
      </c>
      <c r="B129" s="17">
        <v>231835</v>
      </c>
      <c r="C129" s="18" t="s">
        <v>140</v>
      </c>
      <c r="D129" s="81" t="s">
        <v>444</v>
      </c>
      <c r="E129" s="17" t="s">
        <v>107</v>
      </c>
      <c r="F129" s="17">
        <v>2</v>
      </c>
      <c r="G129" s="20">
        <v>44291</v>
      </c>
      <c r="H129" s="20">
        <v>44293</v>
      </c>
      <c r="I129" s="20">
        <v>44292</v>
      </c>
      <c r="J129" s="21"/>
      <c r="K129" s="18" t="s">
        <v>24</v>
      </c>
      <c r="L129" s="23" t="s">
        <v>58</v>
      </c>
      <c r="M129" s="18" t="s">
        <v>26</v>
      </c>
      <c r="N129" s="18">
        <v>2</v>
      </c>
      <c r="O129" s="18" t="s">
        <v>38</v>
      </c>
      <c r="P129" s="21" t="s">
        <v>38</v>
      </c>
      <c r="Q129" s="18" t="s">
        <v>54</v>
      </c>
      <c r="R129" s="22" t="s">
        <v>54</v>
      </c>
    </row>
    <row r="130" spans="1:18" ht="30" customHeight="1" x14ac:dyDescent="0.25">
      <c r="A130" s="16" t="s">
        <v>49</v>
      </c>
      <c r="B130" s="17">
        <v>231835</v>
      </c>
      <c r="C130" s="18" t="s">
        <v>140</v>
      </c>
      <c r="D130" s="81" t="s">
        <v>444</v>
      </c>
      <c r="E130" s="17" t="s">
        <v>69</v>
      </c>
      <c r="F130" s="17">
        <v>2</v>
      </c>
      <c r="G130" s="20">
        <v>44291</v>
      </c>
      <c r="H130" s="20">
        <v>44293</v>
      </c>
      <c r="I130" s="20">
        <v>44292</v>
      </c>
      <c r="J130" s="21"/>
      <c r="K130" s="18" t="s">
        <v>24</v>
      </c>
      <c r="L130" s="23" t="s">
        <v>58</v>
      </c>
      <c r="M130" s="18" t="s">
        <v>26</v>
      </c>
      <c r="N130" s="18">
        <v>2</v>
      </c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30</v>
      </c>
      <c r="B131" s="17">
        <v>231497</v>
      </c>
      <c r="C131" s="18" t="s">
        <v>410</v>
      </c>
      <c r="D131" s="81" t="s">
        <v>445</v>
      </c>
      <c r="E131" s="17" t="s">
        <v>48</v>
      </c>
      <c r="F131" s="17">
        <v>10</v>
      </c>
      <c r="G131" s="20">
        <v>44287</v>
      </c>
      <c r="H131" s="20">
        <v>44294</v>
      </c>
      <c r="I131" s="20">
        <v>44443</v>
      </c>
      <c r="J131" s="21"/>
      <c r="K131" s="18" t="s">
        <v>24</v>
      </c>
      <c r="L131" s="23" t="s">
        <v>58</v>
      </c>
      <c r="M131" s="18" t="s">
        <v>26</v>
      </c>
      <c r="N131" s="18">
        <v>3</v>
      </c>
      <c r="O131" s="18" t="s">
        <v>38</v>
      </c>
      <c r="P131" s="21" t="s">
        <v>38</v>
      </c>
      <c r="Q131" s="18" t="s">
        <v>54</v>
      </c>
      <c r="R131" s="22" t="s">
        <v>54</v>
      </c>
    </row>
    <row r="132" spans="1:18" ht="30" customHeight="1" x14ac:dyDescent="0.25">
      <c r="A132" s="16" t="s">
        <v>39</v>
      </c>
      <c r="B132" s="17">
        <v>231804</v>
      </c>
      <c r="C132" s="18" t="s">
        <v>410</v>
      </c>
      <c r="D132" s="81" t="s">
        <v>446</v>
      </c>
      <c r="E132" s="17" t="s">
        <v>59</v>
      </c>
      <c r="F132" s="17">
        <v>10</v>
      </c>
      <c r="G132" s="20">
        <v>44291</v>
      </c>
      <c r="H132" s="20">
        <v>44294</v>
      </c>
      <c r="I132" s="20">
        <v>44294</v>
      </c>
      <c r="J132" s="21" t="s">
        <v>459</v>
      </c>
      <c r="K132" s="18" t="s">
        <v>386</v>
      </c>
      <c r="L132" s="23" t="s">
        <v>58</v>
      </c>
      <c r="M132" s="18" t="s">
        <v>26</v>
      </c>
      <c r="N132" s="18"/>
      <c r="O132" s="18" t="s">
        <v>38</v>
      </c>
      <c r="P132" s="21"/>
      <c r="Q132" s="18"/>
      <c r="R132" s="22"/>
    </row>
    <row r="133" spans="1:18" ht="30" customHeight="1" x14ac:dyDescent="0.25">
      <c r="A133" s="16" t="s">
        <v>30</v>
      </c>
      <c r="B133" s="17">
        <v>231826</v>
      </c>
      <c r="C133" s="18" t="s">
        <v>77</v>
      </c>
      <c r="D133" s="81" t="s">
        <v>447</v>
      </c>
      <c r="E133" s="17" t="s">
        <v>59</v>
      </c>
      <c r="F133" s="17"/>
      <c r="G133" s="20">
        <v>44291</v>
      </c>
      <c r="H133" s="20">
        <v>44293</v>
      </c>
      <c r="I133" s="20">
        <v>44299</v>
      </c>
      <c r="J133" s="21" t="s">
        <v>448</v>
      </c>
      <c r="K133" s="18" t="s">
        <v>24</v>
      </c>
      <c r="L133" s="23" t="s">
        <v>25</v>
      </c>
      <c r="M133" s="18" t="s">
        <v>26</v>
      </c>
      <c r="N133" s="18"/>
      <c r="O133" s="18" t="s">
        <v>27</v>
      </c>
      <c r="P133" s="21"/>
      <c r="Q133" s="18"/>
      <c r="R133" s="22"/>
    </row>
    <row r="134" spans="1:18" ht="30" customHeight="1" x14ac:dyDescent="0.25">
      <c r="A134" s="16" t="s">
        <v>30</v>
      </c>
      <c r="B134" s="17">
        <v>231826</v>
      </c>
      <c r="C134" s="18" t="s">
        <v>20</v>
      </c>
      <c r="D134" s="81" t="s">
        <v>447</v>
      </c>
      <c r="E134" s="17" t="s">
        <v>59</v>
      </c>
      <c r="F134" s="17"/>
      <c r="G134" s="20">
        <v>44291</v>
      </c>
      <c r="H134" s="20"/>
      <c r="I134" s="20"/>
      <c r="J134" s="21" t="s">
        <v>460</v>
      </c>
      <c r="K134" s="18" t="s">
        <v>388</v>
      </c>
      <c r="L134" s="23" t="s">
        <v>58</v>
      </c>
      <c r="M134" s="18" t="s">
        <v>26</v>
      </c>
      <c r="N134" s="18"/>
      <c r="O134" s="18" t="s">
        <v>38</v>
      </c>
      <c r="P134" s="21"/>
      <c r="Q134" s="18"/>
      <c r="R134" s="22"/>
    </row>
    <row r="135" spans="1:18" ht="42" customHeight="1" x14ac:dyDescent="0.25">
      <c r="A135" s="16" t="s">
        <v>30</v>
      </c>
      <c r="B135" s="17">
        <v>231829</v>
      </c>
      <c r="C135" s="18" t="s">
        <v>20</v>
      </c>
      <c r="D135" s="81" t="s">
        <v>449</v>
      </c>
      <c r="E135" s="17" t="s">
        <v>59</v>
      </c>
      <c r="F135" s="17"/>
      <c r="G135" s="20">
        <v>44291</v>
      </c>
      <c r="H135" s="20"/>
      <c r="I135" s="20"/>
      <c r="J135" s="21" t="s">
        <v>460</v>
      </c>
      <c r="K135" s="18" t="s">
        <v>388</v>
      </c>
      <c r="L135" s="23" t="s">
        <v>58</v>
      </c>
      <c r="M135" s="18" t="s">
        <v>26</v>
      </c>
      <c r="N135" s="18"/>
      <c r="O135" s="18" t="s">
        <v>38</v>
      </c>
      <c r="P135" s="21"/>
      <c r="Q135" s="18"/>
      <c r="R135" s="22"/>
    </row>
    <row r="136" spans="1:18" ht="30" customHeight="1" x14ac:dyDescent="0.25">
      <c r="A136" s="16" t="s">
        <v>192</v>
      </c>
      <c r="B136" s="17">
        <v>231933</v>
      </c>
      <c r="C136" s="18" t="s">
        <v>410</v>
      </c>
      <c r="D136" s="81" t="s">
        <v>450</v>
      </c>
      <c r="E136" s="17" t="s">
        <v>84</v>
      </c>
      <c r="F136" s="17"/>
      <c r="G136" s="20">
        <v>44292</v>
      </c>
      <c r="H136" s="20">
        <v>44381</v>
      </c>
      <c r="I136" s="20">
        <v>44381</v>
      </c>
      <c r="J136" s="21"/>
      <c r="K136" s="18" t="s">
        <v>24</v>
      </c>
      <c r="L136" s="23" t="s">
        <v>37</v>
      </c>
      <c r="M136" s="18" t="s">
        <v>26</v>
      </c>
      <c r="N136" s="18"/>
      <c r="O136" s="18" t="s">
        <v>38</v>
      </c>
      <c r="P136" s="21"/>
      <c r="Q136" s="18" t="s">
        <v>54</v>
      </c>
      <c r="R136" s="22" t="s">
        <v>29</v>
      </c>
    </row>
    <row r="137" spans="1:18" ht="30" customHeight="1" x14ac:dyDescent="0.25">
      <c r="A137" s="16" t="s">
        <v>39</v>
      </c>
      <c r="B137" s="17">
        <v>231941</v>
      </c>
      <c r="C137" s="18" t="s">
        <v>140</v>
      </c>
      <c r="D137" s="81" t="s">
        <v>461</v>
      </c>
      <c r="E137" s="17"/>
      <c r="F137" s="17">
        <v>1</v>
      </c>
      <c r="G137" s="20">
        <v>44292</v>
      </c>
      <c r="H137" s="20">
        <v>44314</v>
      </c>
      <c r="I137" s="20">
        <v>44312</v>
      </c>
      <c r="J137" s="21" t="s">
        <v>462</v>
      </c>
      <c r="K137" s="18" t="s">
        <v>384</v>
      </c>
      <c r="L137" s="23" t="s">
        <v>58</v>
      </c>
      <c r="M137" s="18" t="s">
        <v>26</v>
      </c>
      <c r="N137" s="18"/>
      <c r="O137" s="18"/>
      <c r="P137" s="21"/>
      <c r="Q137" s="18"/>
      <c r="R137" s="22"/>
    </row>
    <row r="138" spans="1:18" ht="30" customHeight="1" x14ac:dyDescent="0.25">
      <c r="A138" s="16" t="s">
        <v>39</v>
      </c>
      <c r="B138" s="17">
        <v>231941</v>
      </c>
      <c r="C138" s="18" t="s">
        <v>140</v>
      </c>
      <c r="D138" s="81" t="s">
        <v>461</v>
      </c>
      <c r="E138" s="17" t="s">
        <v>463</v>
      </c>
      <c r="F138" s="17">
        <v>1</v>
      </c>
      <c r="G138" s="20">
        <v>44292</v>
      </c>
      <c r="H138" s="20">
        <v>44314</v>
      </c>
      <c r="I138" s="20">
        <v>44312</v>
      </c>
      <c r="J138" s="21" t="s">
        <v>464</v>
      </c>
      <c r="K138" s="18" t="s">
        <v>24</v>
      </c>
      <c r="L138" s="23" t="s">
        <v>58</v>
      </c>
      <c r="M138" s="18" t="s">
        <v>26</v>
      </c>
      <c r="N138" s="18"/>
      <c r="O138" s="18"/>
      <c r="P138" s="21"/>
      <c r="Q138" s="18"/>
      <c r="R138" s="22"/>
    </row>
    <row r="139" spans="1:18" ht="30" customHeight="1" x14ac:dyDescent="0.25">
      <c r="A139" s="16" t="s">
        <v>39</v>
      </c>
      <c r="B139" s="17">
        <v>231941</v>
      </c>
      <c r="C139" s="18" t="s">
        <v>140</v>
      </c>
      <c r="D139" s="81" t="s">
        <v>461</v>
      </c>
      <c r="E139" s="17"/>
      <c r="F139" s="17">
        <v>1</v>
      </c>
      <c r="G139" s="20">
        <v>44292</v>
      </c>
      <c r="H139" s="20">
        <v>44314</v>
      </c>
      <c r="I139" s="20">
        <v>44312</v>
      </c>
      <c r="J139" s="21" t="s">
        <v>465</v>
      </c>
      <c r="K139" s="18" t="s">
        <v>24</v>
      </c>
      <c r="L139" s="23" t="s">
        <v>25</v>
      </c>
      <c r="M139" s="18" t="s">
        <v>26</v>
      </c>
      <c r="N139" s="18">
        <v>2</v>
      </c>
      <c r="O139" s="18"/>
      <c r="P139" s="21"/>
      <c r="Q139" s="18"/>
      <c r="R139" s="22"/>
    </row>
    <row r="140" spans="1:18" ht="30" customHeight="1" x14ac:dyDescent="0.25">
      <c r="A140" s="16" t="s">
        <v>39</v>
      </c>
      <c r="B140" s="17">
        <v>231941</v>
      </c>
      <c r="C140" s="18" t="s">
        <v>140</v>
      </c>
      <c r="D140" s="81" t="s">
        <v>461</v>
      </c>
      <c r="E140" s="17" t="s">
        <v>69</v>
      </c>
      <c r="F140" s="17">
        <v>3</v>
      </c>
      <c r="G140" s="20">
        <v>44292</v>
      </c>
      <c r="H140" s="20">
        <v>44314</v>
      </c>
      <c r="I140" s="20">
        <v>44313</v>
      </c>
      <c r="J140" s="21" t="s">
        <v>466</v>
      </c>
      <c r="K140" s="18" t="s">
        <v>384</v>
      </c>
      <c r="L140" s="23" t="s">
        <v>58</v>
      </c>
      <c r="M140" s="18" t="s">
        <v>26</v>
      </c>
      <c r="N140" s="18"/>
      <c r="O140" s="18"/>
      <c r="P140" s="21"/>
      <c r="Q140" s="18"/>
      <c r="R140" s="22"/>
    </row>
    <row r="141" spans="1:18" ht="30" customHeight="1" x14ac:dyDescent="0.25">
      <c r="A141" s="16" t="s">
        <v>39</v>
      </c>
      <c r="B141" s="17">
        <v>231941</v>
      </c>
      <c r="C141" s="18" t="s">
        <v>140</v>
      </c>
      <c r="D141" s="81" t="s">
        <v>461</v>
      </c>
      <c r="E141" s="17" t="s">
        <v>46</v>
      </c>
      <c r="F141" s="17">
        <v>2</v>
      </c>
      <c r="G141" s="20">
        <v>44292</v>
      </c>
      <c r="H141" s="20">
        <v>44321</v>
      </c>
      <c r="I141" s="20">
        <v>44321</v>
      </c>
      <c r="J141" s="21" t="s">
        <v>467</v>
      </c>
      <c r="K141" s="18" t="s">
        <v>384</v>
      </c>
      <c r="L141" s="23" t="s">
        <v>58</v>
      </c>
      <c r="M141" s="18" t="s">
        <v>26</v>
      </c>
      <c r="N141" s="18"/>
      <c r="O141" s="18"/>
      <c r="P141" s="21"/>
      <c r="Q141" s="18"/>
      <c r="R141" s="22"/>
    </row>
    <row r="142" spans="1:18" ht="30" customHeight="1" x14ac:dyDescent="0.25">
      <c r="A142" s="16" t="s">
        <v>39</v>
      </c>
      <c r="B142" s="17">
        <v>231941</v>
      </c>
      <c r="C142" s="18" t="s">
        <v>140</v>
      </c>
      <c r="D142" s="81" t="s">
        <v>461</v>
      </c>
      <c r="E142" s="17" t="s">
        <v>22</v>
      </c>
      <c r="F142" s="17">
        <v>2</v>
      </c>
      <c r="G142" s="20">
        <v>44292</v>
      </c>
      <c r="H142" s="20">
        <v>44321</v>
      </c>
      <c r="I142" s="20">
        <v>44321</v>
      </c>
      <c r="J142" s="21" t="s">
        <v>468</v>
      </c>
      <c r="K142" s="18" t="s">
        <v>384</v>
      </c>
      <c r="L142" s="23" t="s">
        <v>58</v>
      </c>
      <c r="M142" s="18" t="s">
        <v>26</v>
      </c>
      <c r="N142" s="18"/>
      <c r="O142" s="18"/>
      <c r="P142" s="21"/>
      <c r="Q142" s="18"/>
      <c r="R142" s="22"/>
    </row>
    <row r="143" spans="1:18" ht="30" customHeight="1" x14ac:dyDescent="0.25">
      <c r="A143" s="16" t="s">
        <v>300</v>
      </c>
      <c r="B143" s="17" t="s">
        <v>247</v>
      </c>
      <c r="C143" s="18" t="s">
        <v>140</v>
      </c>
      <c r="D143" s="81" t="s">
        <v>319</v>
      </c>
      <c r="E143" s="17" t="s">
        <v>227</v>
      </c>
      <c r="F143" s="17">
        <v>1</v>
      </c>
      <c r="G143" s="20">
        <v>44284</v>
      </c>
      <c r="H143" s="20">
        <v>44292</v>
      </c>
      <c r="I143" s="20">
        <v>44320</v>
      </c>
      <c r="J143" s="21"/>
      <c r="K143" s="18" t="s">
        <v>24</v>
      </c>
      <c r="L143" s="23" t="s">
        <v>58</v>
      </c>
      <c r="M143" s="18"/>
      <c r="N143" s="18"/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 t="s">
        <v>247</v>
      </c>
      <c r="C144" s="18" t="s">
        <v>140</v>
      </c>
      <c r="D144" s="81" t="s">
        <v>469</v>
      </c>
      <c r="E144" s="17" t="s">
        <v>22</v>
      </c>
      <c r="F144" s="17">
        <v>2</v>
      </c>
      <c r="G144" s="20">
        <v>44293</v>
      </c>
      <c r="H144" s="20">
        <v>44293</v>
      </c>
      <c r="I144" s="20">
        <v>44381</v>
      </c>
      <c r="J144" s="21"/>
      <c r="K144" s="18" t="s">
        <v>24</v>
      </c>
      <c r="L144" s="23" t="s">
        <v>58</v>
      </c>
      <c r="M144" s="18"/>
      <c r="N144" s="18"/>
      <c r="O144" s="18" t="s">
        <v>38</v>
      </c>
      <c r="P144" s="21" t="s">
        <v>38</v>
      </c>
      <c r="Q144" s="18"/>
      <c r="R144" s="22"/>
    </row>
    <row r="145" spans="1:18" ht="30" customHeight="1" x14ac:dyDescent="0.25">
      <c r="A145" s="16" t="s">
        <v>49</v>
      </c>
      <c r="B145" s="17">
        <v>232272</v>
      </c>
      <c r="C145" s="18" t="s">
        <v>20</v>
      </c>
      <c r="D145" s="81" t="s">
        <v>470</v>
      </c>
      <c r="E145" s="17" t="s">
        <v>22</v>
      </c>
      <c r="F145" s="17">
        <v>1</v>
      </c>
      <c r="G145" s="20">
        <v>44294</v>
      </c>
      <c r="H145" s="20">
        <v>44306</v>
      </c>
      <c r="I145" s="20">
        <v>44306</v>
      </c>
      <c r="J145" s="21"/>
      <c r="K145" s="18" t="s">
        <v>24</v>
      </c>
      <c r="L145" s="23" t="s">
        <v>25</v>
      </c>
      <c r="M145" s="18" t="s">
        <v>26</v>
      </c>
      <c r="N145" s="18"/>
      <c r="O145" s="18" t="s">
        <v>27</v>
      </c>
      <c r="P145" s="21" t="s">
        <v>27</v>
      </c>
      <c r="Q145" s="18" t="s">
        <v>185</v>
      </c>
      <c r="R145" s="22" t="s">
        <v>54</v>
      </c>
    </row>
    <row r="146" spans="1:18" ht="30" customHeight="1" x14ac:dyDescent="0.25">
      <c r="A146" s="16" t="s">
        <v>49</v>
      </c>
      <c r="B146" s="17">
        <v>232272</v>
      </c>
      <c r="C146" s="18" t="s">
        <v>20</v>
      </c>
      <c r="D146" s="81" t="s">
        <v>470</v>
      </c>
      <c r="E146" s="17" t="s">
        <v>46</v>
      </c>
      <c r="F146" s="17">
        <v>1</v>
      </c>
      <c r="G146" s="20">
        <v>44294</v>
      </c>
      <c r="H146" s="20">
        <v>44306</v>
      </c>
      <c r="I146" s="20">
        <v>44306</v>
      </c>
      <c r="J146" s="21"/>
      <c r="K146" s="18" t="s">
        <v>24</v>
      </c>
      <c r="L146" s="23" t="s">
        <v>25</v>
      </c>
      <c r="M146" s="18" t="s">
        <v>26</v>
      </c>
      <c r="N146" s="18"/>
      <c r="O146" s="18" t="s">
        <v>27</v>
      </c>
      <c r="P146" s="21" t="s">
        <v>27</v>
      </c>
      <c r="Q146" s="18" t="s">
        <v>185</v>
      </c>
      <c r="R146" s="22" t="s">
        <v>54</v>
      </c>
    </row>
    <row r="147" spans="1:18" ht="30" customHeight="1" x14ac:dyDescent="0.25">
      <c r="A147" s="16" t="s">
        <v>49</v>
      </c>
      <c r="B147" s="17">
        <v>232272</v>
      </c>
      <c r="C147" s="18" t="s">
        <v>20</v>
      </c>
      <c r="D147" s="81" t="s">
        <v>470</v>
      </c>
      <c r="E147" s="17" t="s">
        <v>177</v>
      </c>
      <c r="F147" s="17">
        <v>1</v>
      </c>
      <c r="G147" s="20">
        <v>44294</v>
      </c>
      <c r="H147" s="20">
        <v>44306</v>
      </c>
      <c r="I147" s="20">
        <v>44306</v>
      </c>
      <c r="J147" s="21"/>
      <c r="K147" s="18" t="s">
        <v>24</v>
      </c>
      <c r="L147" s="23" t="s">
        <v>25</v>
      </c>
      <c r="M147" s="18" t="s">
        <v>26</v>
      </c>
      <c r="N147" s="18"/>
      <c r="O147" s="18" t="s">
        <v>27</v>
      </c>
      <c r="P147" s="21" t="s">
        <v>27</v>
      </c>
      <c r="Q147" s="18" t="s">
        <v>185</v>
      </c>
      <c r="R147" s="22" t="s">
        <v>54</v>
      </c>
    </row>
    <row r="148" spans="1:18" ht="30" customHeight="1" x14ac:dyDescent="0.25">
      <c r="A148" s="16" t="s">
        <v>52</v>
      </c>
      <c r="B148" s="17">
        <v>231989</v>
      </c>
      <c r="C148" s="18" t="s">
        <v>77</v>
      </c>
      <c r="D148" s="81" t="s">
        <v>471</v>
      </c>
      <c r="E148" s="17"/>
      <c r="F148" s="17">
        <v>1</v>
      </c>
      <c r="G148" s="20">
        <v>44294</v>
      </c>
      <c r="H148" s="20">
        <v>44295</v>
      </c>
      <c r="I148" s="20">
        <v>44295</v>
      </c>
      <c r="J148" s="21" t="s">
        <v>472</v>
      </c>
      <c r="K148" s="18" t="s">
        <v>24</v>
      </c>
      <c r="L148" s="23" t="s">
        <v>37</v>
      </c>
      <c r="M148" s="18"/>
      <c r="N148" s="18"/>
      <c r="O148" s="18" t="s">
        <v>38</v>
      </c>
      <c r="P148" s="21"/>
      <c r="Q148" s="18" t="s">
        <v>54</v>
      </c>
      <c r="R148" s="22" t="s">
        <v>54</v>
      </c>
    </row>
    <row r="149" spans="1:18" ht="30" customHeight="1" x14ac:dyDescent="0.25">
      <c r="A149" s="16" t="s">
        <v>49</v>
      </c>
      <c r="B149" s="17">
        <v>232060</v>
      </c>
      <c r="C149" s="18" t="s">
        <v>140</v>
      </c>
      <c r="D149" s="81" t="s">
        <v>473</v>
      </c>
      <c r="E149" s="17" t="s">
        <v>474</v>
      </c>
      <c r="F149" s="17">
        <v>5</v>
      </c>
      <c r="G149" s="20">
        <v>44294</v>
      </c>
      <c r="H149" s="20">
        <v>44298</v>
      </c>
      <c r="I149" s="20">
        <v>44295</v>
      </c>
      <c r="J149" s="21"/>
      <c r="K149" s="18" t="s">
        <v>24</v>
      </c>
      <c r="L149" s="23" t="s">
        <v>25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customHeight="1" x14ac:dyDescent="0.25">
      <c r="A150" s="16" t="s">
        <v>30</v>
      </c>
      <c r="B150" s="17">
        <v>232333</v>
      </c>
      <c r="C150" s="18" t="s">
        <v>20</v>
      </c>
      <c r="D150" s="81" t="s">
        <v>475</v>
      </c>
      <c r="E150" s="17" t="s">
        <v>127</v>
      </c>
      <c r="F150" s="17">
        <v>1</v>
      </c>
      <c r="G150" s="20">
        <v>44294</v>
      </c>
      <c r="H150" s="20">
        <v>44316</v>
      </c>
      <c r="I150" s="20"/>
      <c r="J150" s="21"/>
      <c r="K150" s="18" t="s">
        <v>384</v>
      </c>
      <c r="L150" s="23" t="s">
        <v>25</v>
      </c>
      <c r="M150" s="18" t="s">
        <v>26</v>
      </c>
      <c r="N150" s="18"/>
      <c r="O150" s="18" t="s">
        <v>38</v>
      </c>
      <c r="P150" s="21"/>
      <c r="Q150" s="18"/>
      <c r="R150" s="22"/>
    </row>
    <row r="151" spans="1:18" ht="30" customHeight="1" x14ac:dyDescent="0.25">
      <c r="A151" s="16" t="s">
        <v>30</v>
      </c>
      <c r="B151" s="17">
        <v>232333</v>
      </c>
      <c r="C151" s="18" t="s">
        <v>140</v>
      </c>
      <c r="D151" s="81" t="s">
        <v>475</v>
      </c>
      <c r="E151" s="17" t="s">
        <v>127</v>
      </c>
      <c r="F151" s="17">
        <v>1</v>
      </c>
      <c r="G151" s="20">
        <v>44294</v>
      </c>
      <c r="H151" s="20">
        <v>44316</v>
      </c>
      <c r="I151" s="20"/>
      <c r="J151" s="21"/>
      <c r="K151" s="18" t="s">
        <v>384</v>
      </c>
      <c r="L151" s="23" t="s">
        <v>25</v>
      </c>
      <c r="M151" s="18" t="s">
        <v>26</v>
      </c>
      <c r="N151" s="18"/>
      <c r="O151" s="18" t="s">
        <v>38</v>
      </c>
      <c r="P151" s="21"/>
      <c r="Q151" s="18"/>
      <c r="R151" s="22"/>
    </row>
    <row r="152" spans="1:18" ht="30" customHeight="1" x14ac:dyDescent="0.25">
      <c r="A152" s="16" t="s">
        <v>76</v>
      </c>
      <c r="B152" s="17">
        <v>231503</v>
      </c>
      <c r="C152" s="18" t="s">
        <v>140</v>
      </c>
      <c r="D152" s="81" t="s">
        <v>476</v>
      </c>
      <c r="E152" s="17" t="s">
        <v>69</v>
      </c>
      <c r="F152" s="17">
        <v>1</v>
      </c>
      <c r="G152" s="20">
        <v>44287</v>
      </c>
      <c r="H152" s="20">
        <v>44287</v>
      </c>
      <c r="I152" s="20">
        <v>44287</v>
      </c>
      <c r="J152" s="21"/>
      <c r="K152" s="18" t="s">
        <v>24</v>
      </c>
      <c r="L152" s="23" t="s">
        <v>58</v>
      </c>
      <c r="M152" s="18"/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182</v>
      </c>
      <c r="B153" s="17">
        <v>232597</v>
      </c>
      <c r="C153" s="18" t="s">
        <v>140</v>
      </c>
      <c r="D153" s="81" t="s">
        <v>477</v>
      </c>
      <c r="E153" s="17" t="s">
        <v>41</v>
      </c>
      <c r="F153" s="17">
        <v>3</v>
      </c>
      <c r="G153" s="20">
        <v>44298</v>
      </c>
      <c r="H153" s="20">
        <v>44300</v>
      </c>
      <c r="I153" s="20">
        <v>44300</v>
      </c>
      <c r="J153" s="21"/>
      <c r="K153" s="18" t="s">
        <v>24</v>
      </c>
      <c r="L153" s="23" t="s">
        <v>58</v>
      </c>
      <c r="M153" s="18"/>
      <c r="N153" s="18"/>
      <c r="O153" s="18" t="s">
        <v>38</v>
      </c>
      <c r="P153" s="21" t="s">
        <v>38</v>
      </c>
      <c r="Q153" s="18" t="s">
        <v>185</v>
      </c>
      <c r="R153" s="22" t="s">
        <v>28</v>
      </c>
    </row>
    <row r="154" spans="1:18" ht="30" customHeight="1" x14ac:dyDescent="0.25">
      <c r="A154" s="16" t="s">
        <v>182</v>
      </c>
      <c r="B154" s="17">
        <v>232597</v>
      </c>
      <c r="C154" s="18" t="s">
        <v>140</v>
      </c>
      <c r="D154" s="81" t="s">
        <v>477</v>
      </c>
      <c r="E154" s="17" t="s">
        <v>107</v>
      </c>
      <c r="F154" s="17">
        <v>5</v>
      </c>
      <c r="G154" s="20">
        <v>44298</v>
      </c>
      <c r="H154" s="20">
        <v>44300</v>
      </c>
      <c r="I154" s="20">
        <v>44300</v>
      </c>
      <c r="J154" s="21"/>
      <c r="K154" s="18" t="s">
        <v>24</v>
      </c>
      <c r="L154" s="23" t="s">
        <v>58</v>
      </c>
      <c r="M154" s="18"/>
      <c r="N154" s="18"/>
      <c r="O154" s="18" t="s">
        <v>38</v>
      </c>
      <c r="P154" s="21" t="s">
        <v>38</v>
      </c>
      <c r="Q154" s="18" t="s">
        <v>185</v>
      </c>
      <c r="R154" s="22" t="s">
        <v>28</v>
      </c>
    </row>
    <row r="155" spans="1:18" ht="30" customHeight="1" x14ac:dyDescent="0.25">
      <c r="A155" s="16" t="s">
        <v>182</v>
      </c>
      <c r="B155" s="17">
        <v>232597</v>
      </c>
      <c r="C155" s="18" t="s">
        <v>140</v>
      </c>
      <c r="D155" s="81" t="s">
        <v>477</v>
      </c>
      <c r="E155" s="17" t="s">
        <v>106</v>
      </c>
      <c r="F155" s="17">
        <v>7</v>
      </c>
      <c r="G155" s="20">
        <v>44298</v>
      </c>
      <c r="H155" s="20">
        <v>44300</v>
      </c>
      <c r="I155" s="20">
        <v>44300</v>
      </c>
      <c r="J155" s="21"/>
      <c r="K155" s="18" t="s">
        <v>24</v>
      </c>
      <c r="L155" s="23" t="s">
        <v>58</v>
      </c>
      <c r="M155" s="18"/>
      <c r="N155" s="18"/>
      <c r="O155" s="18" t="s">
        <v>38</v>
      </c>
      <c r="P155" s="21" t="s">
        <v>38</v>
      </c>
      <c r="Q155" s="18" t="s">
        <v>185</v>
      </c>
      <c r="R155" s="22" t="s">
        <v>28</v>
      </c>
    </row>
    <row r="156" spans="1:18" ht="30" customHeight="1" x14ac:dyDescent="0.25">
      <c r="A156" s="16" t="s">
        <v>182</v>
      </c>
      <c r="B156" s="17">
        <v>232597</v>
      </c>
      <c r="C156" s="18" t="s">
        <v>140</v>
      </c>
      <c r="D156" s="81" t="s">
        <v>477</v>
      </c>
      <c r="E156" s="17" t="s">
        <v>22</v>
      </c>
      <c r="F156" s="17">
        <v>4</v>
      </c>
      <c r="G156" s="20">
        <v>44298</v>
      </c>
      <c r="H156" s="20">
        <v>44300</v>
      </c>
      <c r="I156" s="20">
        <v>44300</v>
      </c>
      <c r="J156" s="21"/>
      <c r="K156" s="18" t="s">
        <v>24</v>
      </c>
      <c r="L156" s="23" t="s">
        <v>58</v>
      </c>
      <c r="M156" s="18"/>
      <c r="N156" s="18"/>
      <c r="O156" s="18" t="s">
        <v>38</v>
      </c>
      <c r="P156" s="21" t="s">
        <v>38</v>
      </c>
      <c r="Q156" s="18" t="s">
        <v>185</v>
      </c>
      <c r="R156" s="22" t="s">
        <v>28</v>
      </c>
    </row>
    <row r="157" spans="1:18" ht="30" customHeight="1" x14ac:dyDescent="0.25">
      <c r="A157" s="16" t="s">
        <v>72</v>
      </c>
      <c r="B157" s="17">
        <v>7842</v>
      </c>
      <c r="C157" s="18" t="s">
        <v>410</v>
      </c>
      <c r="D157" s="81" t="s">
        <v>478</v>
      </c>
      <c r="E157" s="17" t="s">
        <v>41</v>
      </c>
      <c r="F157" s="17">
        <v>3</v>
      </c>
      <c r="G157" s="20">
        <v>44292</v>
      </c>
      <c r="H157" s="20">
        <v>44293</v>
      </c>
      <c r="I157" s="20">
        <v>44293</v>
      </c>
      <c r="J157" s="21"/>
      <c r="K157" s="18" t="s">
        <v>24</v>
      </c>
      <c r="L157" s="23" t="s">
        <v>58</v>
      </c>
      <c r="M157" s="18" t="s">
        <v>26</v>
      </c>
      <c r="N157" s="18">
        <v>2</v>
      </c>
      <c r="O157" s="18" t="s">
        <v>38</v>
      </c>
      <c r="P157" s="21" t="s">
        <v>38</v>
      </c>
      <c r="Q157" s="18" t="s">
        <v>54</v>
      </c>
      <c r="R157" s="22"/>
    </row>
    <row r="158" spans="1:18" ht="30" customHeight="1" x14ac:dyDescent="0.25">
      <c r="A158" s="16" t="s">
        <v>72</v>
      </c>
      <c r="B158" s="17">
        <v>7842</v>
      </c>
      <c r="C158" s="18" t="s">
        <v>410</v>
      </c>
      <c r="D158" s="81" t="s">
        <v>478</v>
      </c>
      <c r="E158" s="17" t="s">
        <v>68</v>
      </c>
      <c r="F158" s="17">
        <v>4</v>
      </c>
      <c r="G158" s="20">
        <v>44292</v>
      </c>
      <c r="H158" s="20">
        <v>44293</v>
      </c>
      <c r="I158" s="20">
        <v>44293</v>
      </c>
      <c r="J158" s="21"/>
      <c r="K158" s="18" t="s">
        <v>24</v>
      </c>
      <c r="L158" s="23" t="s">
        <v>58</v>
      </c>
      <c r="M158" s="18" t="s">
        <v>26</v>
      </c>
      <c r="N158" s="18">
        <v>2</v>
      </c>
      <c r="O158" s="18" t="s">
        <v>38</v>
      </c>
      <c r="P158" s="21" t="s">
        <v>38</v>
      </c>
      <c r="Q158" s="18" t="s">
        <v>54</v>
      </c>
      <c r="R158" s="22"/>
    </row>
    <row r="159" spans="1:18" ht="30" customHeight="1" x14ac:dyDescent="0.25">
      <c r="A159" s="16" t="s">
        <v>72</v>
      </c>
      <c r="B159" s="17">
        <v>7842</v>
      </c>
      <c r="C159" s="18" t="s">
        <v>410</v>
      </c>
      <c r="D159" s="81" t="s">
        <v>478</v>
      </c>
      <c r="E159" s="17" t="s">
        <v>153</v>
      </c>
      <c r="F159" s="17">
        <v>4</v>
      </c>
      <c r="G159" s="20">
        <v>44292</v>
      </c>
      <c r="H159" s="20">
        <v>44293</v>
      </c>
      <c r="I159" s="20">
        <v>44293</v>
      </c>
      <c r="J159" s="21"/>
      <c r="K159" s="18" t="s">
        <v>24</v>
      </c>
      <c r="L159" s="23" t="s">
        <v>58</v>
      </c>
      <c r="M159" s="18" t="s">
        <v>26</v>
      </c>
      <c r="N159" s="18">
        <v>2</v>
      </c>
      <c r="O159" s="18" t="s">
        <v>38</v>
      </c>
      <c r="P159" s="21" t="s">
        <v>38</v>
      </c>
      <c r="Q159" s="18" t="s">
        <v>54</v>
      </c>
      <c r="R159" s="22"/>
    </row>
    <row r="160" spans="1:18" ht="30" customHeight="1" x14ac:dyDescent="0.25">
      <c r="A160" s="16" t="s">
        <v>72</v>
      </c>
      <c r="B160" s="17">
        <v>7842</v>
      </c>
      <c r="C160" s="18" t="s">
        <v>410</v>
      </c>
      <c r="D160" s="81" t="s">
        <v>478</v>
      </c>
      <c r="E160" s="17" t="s">
        <v>107</v>
      </c>
      <c r="F160" s="17">
        <v>1</v>
      </c>
      <c r="G160" s="20">
        <v>44292</v>
      </c>
      <c r="H160" s="20">
        <v>44293</v>
      </c>
      <c r="I160" s="20">
        <v>44293</v>
      </c>
      <c r="J160" s="21"/>
      <c r="K160" s="18" t="s">
        <v>24</v>
      </c>
      <c r="L160" s="23" t="s">
        <v>58</v>
      </c>
      <c r="M160" s="18" t="s">
        <v>26</v>
      </c>
      <c r="N160" s="18">
        <v>2</v>
      </c>
      <c r="O160" s="18" t="s">
        <v>38</v>
      </c>
      <c r="P160" s="21" t="s">
        <v>38</v>
      </c>
      <c r="Q160" s="18" t="s">
        <v>54</v>
      </c>
      <c r="R160" s="22"/>
    </row>
    <row r="161" spans="1:18" ht="30" customHeight="1" x14ac:dyDescent="0.25">
      <c r="A161" s="16" t="s">
        <v>72</v>
      </c>
      <c r="B161" s="17">
        <v>7842</v>
      </c>
      <c r="C161" s="18" t="s">
        <v>410</v>
      </c>
      <c r="D161" s="81" t="s">
        <v>478</v>
      </c>
      <c r="E161" s="17" t="s">
        <v>82</v>
      </c>
      <c r="F161" s="17">
        <v>1</v>
      </c>
      <c r="G161" s="20">
        <v>44292</v>
      </c>
      <c r="H161" s="20">
        <v>44293</v>
      </c>
      <c r="I161" s="20">
        <v>44293</v>
      </c>
      <c r="J161" s="21"/>
      <c r="K161" s="18" t="s">
        <v>24</v>
      </c>
      <c r="L161" s="23" t="s">
        <v>58</v>
      </c>
      <c r="M161" s="18" t="s">
        <v>83</v>
      </c>
      <c r="N161" s="18">
        <v>2</v>
      </c>
      <c r="O161" s="18" t="s">
        <v>38</v>
      </c>
      <c r="P161" s="21" t="s">
        <v>38</v>
      </c>
      <c r="Q161" s="18" t="s">
        <v>54</v>
      </c>
      <c r="R161" s="22"/>
    </row>
    <row r="162" spans="1:18" ht="30" customHeight="1" x14ac:dyDescent="0.25">
      <c r="A162" s="16" t="s">
        <v>72</v>
      </c>
      <c r="B162" s="17">
        <v>231471</v>
      </c>
      <c r="C162" s="18" t="s">
        <v>410</v>
      </c>
      <c r="D162" s="81" t="s">
        <v>479</v>
      </c>
      <c r="E162" s="17" t="s">
        <v>82</v>
      </c>
      <c r="F162" s="17">
        <v>5</v>
      </c>
      <c r="G162" s="20">
        <v>44295</v>
      </c>
      <c r="H162" s="20">
        <v>44300</v>
      </c>
      <c r="I162" s="20">
        <v>44300</v>
      </c>
      <c r="J162" s="21"/>
      <c r="K162" s="18" t="s">
        <v>24</v>
      </c>
      <c r="L162" s="23" t="s">
        <v>58</v>
      </c>
      <c r="M162" s="18" t="s">
        <v>83</v>
      </c>
      <c r="N162" s="18"/>
      <c r="O162" s="18"/>
      <c r="P162" s="21" t="s">
        <v>38</v>
      </c>
      <c r="Q162" s="18" t="s">
        <v>54</v>
      </c>
      <c r="R162" s="22" t="s">
        <v>29</v>
      </c>
    </row>
    <row r="163" spans="1:18" ht="30" customHeight="1" x14ac:dyDescent="0.25">
      <c r="A163" s="16" t="s">
        <v>72</v>
      </c>
      <c r="B163" s="17">
        <v>231471</v>
      </c>
      <c r="C163" s="18" t="s">
        <v>410</v>
      </c>
      <c r="D163" s="81" t="s">
        <v>479</v>
      </c>
      <c r="E163" s="17" t="s">
        <v>480</v>
      </c>
      <c r="F163" s="17">
        <v>1</v>
      </c>
      <c r="G163" s="20">
        <v>44299</v>
      </c>
      <c r="H163" s="20">
        <v>44302</v>
      </c>
      <c r="I163" s="20">
        <v>44313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29</v>
      </c>
      <c r="R163" s="22" t="s">
        <v>29</v>
      </c>
    </row>
    <row r="164" spans="1:18" ht="30" customHeight="1" x14ac:dyDescent="0.25">
      <c r="A164" s="16" t="s">
        <v>39</v>
      </c>
      <c r="B164" s="17" t="s">
        <v>481</v>
      </c>
      <c r="C164" s="18" t="s">
        <v>20</v>
      </c>
      <c r="D164" s="81" t="s">
        <v>482</v>
      </c>
      <c r="E164" s="17" t="s">
        <v>22</v>
      </c>
      <c r="F164" s="17">
        <v>1</v>
      </c>
      <c r="G164" s="20">
        <v>44300</v>
      </c>
      <c r="H164" s="20">
        <v>44300</v>
      </c>
      <c r="I164" s="20">
        <v>44300</v>
      </c>
      <c r="J164" s="21" t="s">
        <v>483</v>
      </c>
      <c r="K164" s="18" t="s">
        <v>24</v>
      </c>
      <c r="L164" s="23" t="s">
        <v>58</v>
      </c>
      <c r="M164" s="18" t="s">
        <v>26</v>
      </c>
      <c r="N164" s="18"/>
      <c r="O164" s="18" t="s">
        <v>38</v>
      </c>
      <c r="P164" s="21" t="s">
        <v>38</v>
      </c>
      <c r="Q164" s="18" t="s">
        <v>54</v>
      </c>
      <c r="R164" s="22" t="s">
        <v>54</v>
      </c>
    </row>
    <row r="165" spans="1:18" ht="30" customHeight="1" x14ac:dyDescent="0.25">
      <c r="A165" s="16" t="s">
        <v>39</v>
      </c>
      <c r="B165" s="17" t="s">
        <v>481</v>
      </c>
      <c r="C165" s="18" t="s">
        <v>20</v>
      </c>
      <c r="D165" s="81" t="s">
        <v>482</v>
      </c>
      <c r="E165" s="17" t="s">
        <v>46</v>
      </c>
      <c r="F165" s="17">
        <v>1</v>
      </c>
      <c r="G165" s="20">
        <v>44300</v>
      </c>
      <c r="H165" s="20">
        <v>44300</v>
      </c>
      <c r="I165" s="20">
        <v>44300</v>
      </c>
      <c r="J165" s="21" t="s">
        <v>483</v>
      </c>
      <c r="K165" s="18" t="s">
        <v>24</v>
      </c>
      <c r="L165" s="23" t="s">
        <v>58</v>
      </c>
      <c r="M165" s="18" t="s">
        <v>26</v>
      </c>
      <c r="N165" s="18"/>
      <c r="O165" s="18" t="s">
        <v>38</v>
      </c>
      <c r="P165" s="21" t="s">
        <v>38</v>
      </c>
      <c r="Q165" s="18" t="s">
        <v>54</v>
      </c>
      <c r="R165" s="22" t="s">
        <v>54</v>
      </c>
    </row>
    <row r="166" spans="1:18" ht="30" customHeight="1" x14ac:dyDescent="0.25">
      <c r="A166" s="16" t="s">
        <v>39</v>
      </c>
      <c r="B166" s="17" t="s">
        <v>484</v>
      </c>
      <c r="C166" s="18" t="s">
        <v>20</v>
      </c>
      <c r="D166" s="81" t="s">
        <v>482</v>
      </c>
      <c r="E166" s="17" t="s">
        <v>22</v>
      </c>
      <c r="F166" s="17">
        <v>1</v>
      </c>
      <c r="G166" s="20">
        <v>44300</v>
      </c>
      <c r="H166" s="20">
        <v>44300</v>
      </c>
      <c r="I166" s="20">
        <v>44300</v>
      </c>
      <c r="J166" s="21" t="s">
        <v>485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39</v>
      </c>
      <c r="B167" s="17" t="s">
        <v>484</v>
      </c>
      <c r="C167" s="18" t="s">
        <v>20</v>
      </c>
      <c r="D167" s="81" t="s">
        <v>482</v>
      </c>
      <c r="E167" s="17" t="s">
        <v>46</v>
      </c>
      <c r="F167" s="17">
        <v>1</v>
      </c>
      <c r="G167" s="20">
        <v>44300</v>
      </c>
      <c r="H167" s="20">
        <v>44300</v>
      </c>
      <c r="I167" s="20">
        <v>44300</v>
      </c>
      <c r="J167" s="21" t="s">
        <v>485</v>
      </c>
      <c r="K167" s="18" t="s">
        <v>24</v>
      </c>
      <c r="L167" s="23" t="s">
        <v>58</v>
      </c>
      <c r="M167" s="18" t="s">
        <v>26</v>
      </c>
      <c r="N167" s="18"/>
      <c r="O167" s="18" t="s">
        <v>38</v>
      </c>
      <c r="P167" s="21" t="s">
        <v>38</v>
      </c>
      <c r="Q167" s="18" t="s">
        <v>54</v>
      </c>
      <c r="R167" s="22" t="s">
        <v>54</v>
      </c>
    </row>
    <row r="168" spans="1:18" ht="30" customHeight="1" x14ac:dyDescent="0.25">
      <c r="A168" s="16" t="s">
        <v>39</v>
      </c>
      <c r="B168" s="17" t="s">
        <v>247</v>
      </c>
      <c r="C168" s="18" t="s">
        <v>140</v>
      </c>
      <c r="D168" s="81" t="s">
        <v>469</v>
      </c>
      <c r="E168" s="17" t="s">
        <v>22</v>
      </c>
      <c r="F168" s="17">
        <v>2</v>
      </c>
      <c r="G168" s="20">
        <v>44300</v>
      </c>
      <c r="H168" s="20">
        <v>44300</v>
      </c>
      <c r="I168" s="20">
        <v>44300</v>
      </c>
      <c r="J168" s="21"/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/>
      <c r="R168" s="22"/>
    </row>
    <row r="169" spans="1:18" ht="30" customHeight="1" x14ac:dyDescent="0.25">
      <c r="A169" s="16" t="s">
        <v>39</v>
      </c>
      <c r="B169" s="17">
        <v>221305</v>
      </c>
      <c r="C169" s="18" t="s">
        <v>140</v>
      </c>
      <c r="D169" s="81" t="s">
        <v>486</v>
      </c>
      <c r="E169" s="17" t="s">
        <v>107</v>
      </c>
      <c r="F169" s="17">
        <v>4</v>
      </c>
      <c r="G169" s="20"/>
      <c r="H169" s="20">
        <v>44311</v>
      </c>
      <c r="I169" s="20">
        <v>44312</v>
      </c>
      <c r="J169" s="21"/>
      <c r="K169" s="18" t="s">
        <v>24</v>
      </c>
      <c r="L169" s="23" t="s">
        <v>58</v>
      </c>
      <c r="M169" s="18" t="s">
        <v>26</v>
      </c>
      <c r="N169" s="18"/>
      <c r="O169" s="18" t="s">
        <v>38</v>
      </c>
      <c r="P169" s="21" t="s">
        <v>38</v>
      </c>
      <c r="Q169" s="18" t="s">
        <v>54</v>
      </c>
      <c r="R169" s="22" t="s">
        <v>54</v>
      </c>
    </row>
    <row r="170" spans="1:18" ht="30" customHeight="1" x14ac:dyDescent="0.25">
      <c r="A170" s="16" t="s">
        <v>49</v>
      </c>
      <c r="B170" s="17">
        <v>232808</v>
      </c>
      <c r="C170" s="18" t="s">
        <v>140</v>
      </c>
      <c r="D170" s="81" t="s">
        <v>487</v>
      </c>
      <c r="E170" s="17" t="s">
        <v>115</v>
      </c>
      <c r="F170" s="17">
        <v>1</v>
      </c>
      <c r="G170" s="20">
        <v>44300</v>
      </c>
      <c r="H170" s="20">
        <v>44301</v>
      </c>
      <c r="I170" s="20">
        <v>44301</v>
      </c>
      <c r="J170" s="21" t="s">
        <v>488</v>
      </c>
      <c r="K170" s="18" t="s">
        <v>24</v>
      </c>
      <c r="L170" s="23" t="s">
        <v>58</v>
      </c>
      <c r="M170" s="18" t="s">
        <v>26</v>
      </c>
      <c r="N170" s="18"/>
      <c r="O170" s="18" t="s">
        <v>38</v>
      </c>
      <c r="P170" s="21" t="s">
        <v>38</v>
      </c>
      <c r="Q170" s="18" t="s">
        <v>54</v>
      </c>
      <c r="R170" s="22" t="s">
        <v>54</v>
      </c>
    </row>
    <row r="171" spans="1:18" ht="30" customHeight="1" x14ac:dyDescent="0.25">
      <c r="A171" s="16" t="s">
        <v>49</v>
      </c>
      <c r="B171" s="17">
        <v>232808</v>
      </c>
      <c r="C171" s="18" t="s">
        <v>140</v>
      </c>
      <c r="D171" s="81" t="s">
        <v>487</v>
      </c>
      <c r="E171" s="17" t="s">
        <v>116</v>
      </c>
      <c r="F171" s="17">
        <v>1</v>
      </c>
      <c r="G171" s="20">
        <v>44300</v>
      </c>
      <c r="H171" s="20">
        <v>44301</v>
      </c>
      <c r="I171" s="20">
        <v>44301</v>
      </c>
      <c r="J171" s="21" t="s">
        <v>488</v>
      </c>
      <c r="K171" s="18" t="s">
        <v>24</v>
      </c>
      <c r="L171" s="23" t="s">
        <v>58</v>
      </c>
      <c r="M171" s="18" t="s">
        <v>26</v>
      </c>
      <c r="N171" s="18"/>
      <c r="O171" s="18" t="s">
        <v>38</v>
      </c>
      <c r="P171" s="21" t="s">
        <v>38</v>
      </c>
      <c r="Q171" s="18" t="s">
        <v>54</v>
      </c>
      <c r="R171" s="22" t="s">
        <v>54</v>
      </c>
    </row>
    <row r="172" spans="1:18" ht="30" customHeight="1" x14ac:dyDescent="0.25">
      <c r="A172" s="16" t="s">
        <v>132</v>
      </c>
      <c r="B172" s="17">
        <v>232735</v>
      </c>
      <c r="C172" s="18" t="s">
        <v>140</v>
      </c>
      <c r="D172" s="81" t="s">
        <v>489</v>
      </c>
      <c r="E172" s="17" t="s">
        <v>102</v>
      </c>
      <c r="F172" s="17">
        <v>1</v>
      </c>
      <c r="G172" s="20">
        <v>44299</v>
      </c>
      <c r="H172" s="20">
        <v>44326</v>
      </c>
      <c r="I172" s="20">
        <v>44314</v>
      </c>
      <c r="J172" s="21" t="s">
        <v>490</v>
      </c>
      <c r="K172" s="18" t="s">
        <v>384</v>
      </c>
      <c r="L172" s="23" t="s">
        <v>25</v>
      </c>
      <c r="M172" s="18" t="s">
        <v>26</v>
      </c>
      <c r="N172" s="18"/>
      <c r="O172" s="18" t="s">
        <v>27</v>
      </c>
      <c r="P172" s="21" t="s">
        <v>27</v>
      </c>
      <c r="Q172" s="18" t="s">
        <v>54</v>
      </c>
      <c r="R172" s="22"/>
    </row>
    <row r="173" spans="1:18" ht="30" customHeight="1" x14ac:dyDescent="0.25">
      <c r="A173" s="16" t="s">
        <v>132</v>
      </c>
      <c r="B173" s="17">
        <v>232735</v>
      </c>
      <c r="C173" s="18" t="s">
        <v>140</v>
      </c>
      <c r="D173" s="81" t="s">
        <v>489</v>
      </c>
      <c r="E173" s="17" t="s">
        <v>116</v>
      </c>
      <c r="F173" s="17">
        <v>1</v>
      </c>
      <c r="G173" s="20">
        <v>44299</v>
      </c>
      <c r="H173" s="20">
        <v>44326</v>
      </c>
      <c r="I173" s="20">
        <v>44314</v>
      </c>
      <c r="J173" s="21" t="s">
        <v>490</v>
      </c>
      <c r="K173" s="18" t="s">
        <v>384</v>
      </c>
      <c r="L173" s="23" t="s">
        <v>25</v>
      </c>
      <c r="M173" s="18" t="s">
        <v>26</v>
      </c>
      <c r="N173" s="18"/>
      <c r="O173" s="18" t="s">
        <v>27</v>
      </c>
      <c r="P173" s="21" t="s">
        <v>27</v>
      </c>
      <c r="Q173" s="18" t="s">
        <v>54</v>
      </c>
      <c r="R173" s="22"/>
    </row>
    <row r="174" spans="1:18" ht="30" customHeight="1" x14ac:dyDescent="0.25">
      <c r="A174" s="16" t="s">
        <v>132</v>
      </c>
      <c r="B174" s="17">
        <v>232735</v>
      </c>
      <c r="C174" s="18" t="s">
        <v>140</v>
      </c>
      <c r="D174" s="81" t="s">
        <v>489</v>
      </c>
      <c r="E174" s="17" t="s">
        <v>115</v>
      </c>
      <c r="F174" s="17">
        <v>2</v>
      </c>
      <c r="G174" s="20">
        <v>44299</v>
      </c>
      <c r="H174" s="20">
        <v>44326</v>
      </c>
      <c r="I174" s="20">
        <v>44314</v>
      </c>
      <c r="J174" s="21" t="s">
        <v>490</v>
      </c>
      <c r="K174" s="18" t="s">
        <v>384</v>
      </c>
      <c r="L174" s="23" t="s">
        <v>25</v>
      </c>
      <c r="M174" s="18" t="s">
        <v>26</v>
      </c>
      <c r="N174" s="18"/>
      <c r="O174" s="18" t="s">
        <v>27</v>
      </c>
      <c r="P174" s="21" t="s">
        <v>27</v>
      </c>
      <c r="Q174" s="18" t="s">
        <v>54</v>
      </c>
      <c r="R174" s="22"/>
    </row>
    <row r="175" spans="1:18" ht="30" customHeight="1" x14ac:dyDescent="0.25">
      <c r="A175" s="16" t="s">
        <v>52</v>
      </c>
      <c r="B175" s="17">
        <v>232845</v>
      </c>
      <c r="C175" s="18" t="s">
        <v>20</v>
      </c>
      <c r="D175" s="81" t="s">
        <v>491</v>
      </c>
      <c r="E175" s="17" t="s">
        <v>157</v>
      </c>
      <c r="F175" s="17">
        <v>1</v>
      </c>
      <c r="G175" s="20">
        <v>44300</v>
      </c>
      <c r="H175" s="20">
        <v>44313</v>
      </c>
      <c r="I175" s="20"/>
      <c r="J175" s="21"/>
      <c r="K175" s="18" t="s">
        <v>384</v>
      </c>
      <c r="L175" s="23" t="s">
        <v>25</v>
      </c>
      <c r="M175" s="18" t="s">
        <v>26</v>
      </c>
      <c r="N175" s="18"/>
      <c r="O175" s="18" t="s">
        <v>27</v>
      </c>
      <c r="P175" s="21" t="s">
        <v>27</v>
      </c>
      <c r="Q175" s="18"/>
      <c r="R175" s="22"/>
    </row>
    <row r="176" spans="1:18" ht="30" customHeight="1" x14ac:dyDescent="0.25">
      <c r="A176" s="16" t="s">
        <v>300</v>
      </c>
      <c r="B176" s="17">
        <v>232745</v>
      </c>
      <c r="C176" s="18" t="s">
        <v>20</v>
      </c>
      <c r="D176" s="81" t="s">
        <v>492</v>
      </c>
      <c r="E176" s="17" t="s">
        <v>94</v>
      </c>
      <c r="F176" s="17">
        <v>1</v>
      </c>
      <c r="G176" s="20">
        <v>44299</v>
      </c>
      <c r="H176" s="20">
        <v>44301</v>
      </c>
      <c r="I176" s="20"/>
      <c r="J176" s="21"/>
      <c r="K176" s="18" t="s">
        <v>384</v>
      </c>
      <c r="L176" s="23" t="s">
        <v>37</v>
      </c>
      <c r="M176" s="18" t="s">
        <v>26</v>
      </c>
      <c r="N176" s="18"/>
      <c r="O176" s="18" t="s">
        <v>38</v>
      </c>
      <c r="P176" s="21" t="s">
        <v>38</v>
      </c>
      <c r="Q176" s="18" t="s">
        <v>286</v>
      </c>
      <c r="R176" s="22"/>
    </row>
    <row r="177" spans="1:18" ht="30" customHeight="1" x14ac:dyDescent="0.25">
      <c r="A177" s="16" t="s">
        <v>300</v>
      </c>
      <c r="B177" s="17">
        <v>232745</v>
      </c>
      <c r="C177" s="18" t="s">
        <v>20</v>
      </c>
      <c r="D177" s="81" t="s">
        <v>492</v>
      </c>
      <c r="E177" s="17" t="s">
        <v>84</v>
      </c>
      <c r="F177" s="17">
        <v>1</v>
      </c>
      <c r="G177" s="20">
        <v>44299</v>
      </c>
      <c r="H177" s="20">
        <v>44301</v>
      </c>
      <c r="I177" s="20"/>
      <c r="J177" s="21"/>
      <c r="K177" s="18" t="s">
        <v>384</v>
      </c>
      <c r="L177" s="23" t="s">
        <v>37</v>
      </c>
      <c r="M177" s="18" t="s">
        <v>26</v>
      </c>
      <c r="N177" s="18"/>
      <c r="O177" s="18" t="s">
        <v>38</v>
      </c>
      <c r="P177" s="21" t="s">
        <v>38</v>
      </c>
      <c r="Q177" s="18" t="s">
        <v>286</v>
      </c>
      <c r="R177" s="22"/>
    </row>
    <row r="178" spans="1:18" ht="30" customHeight="1" x14ac:dyDescent="0.25">
      <c r="A178" s="16" t="s">
        <v>39</v>
      </c>
      <c r="B178" s="17" t="s">
        <v>247</v>
      </c>
      <c r="C178" s="18" t="s">
        <v>410</v>
      </c>
      <c r="D178" s="81" t="s">
        <v>493</v>
      </c>
      <c r="E178" s="17" t="s">
        <v>102</v>
      </c>
      <c r="F178" s="17">
        <v>22</v>
      </c>
      <c r="G178" s="20">
        <v>44298</v>
      </c>
      <c r="H178" s="20">
        <v>44301</v>
      </c>
      <c r="I178" s="20"/>
      <c r="J178" s="21" t="s">
        <v>494</v>
      </c>
      <c r="K178" s="18" t="s">
        <v>24</v>
      </c>
      <c r="L178" s="23" t="s">
        <v>25</v>
      </c>
      <c r="M178" s="18" t="s">
        <v>26</v>
      </c>
      <c r="N178" s="18"/>
      <c r="O178" s="18"/>
      <c r="P178" s="21"/>
      <c r="Q178" s="18"/>
      <c r="R178" s="22"/>
    </row>
    <row r="179" spans="1:18" ht="30" customHeight="1" x14ac:dyDescent="0.25">
      <c r="A179" s="16" t="s">
        <v>39</v>
      </c>
      <c r="B179" s="17" t="s">
        <v>247</v>
      </c>
      <c r="C179" s="18" t="s">
        <v>410</v>
      </c>
      <c r="D179" s="81" t="s">
        <v>495</v>
      </c>
      <c r="E179" s="17" t="s">
        <v>22</v>
      </c>
      <c r="F179" s="17">
        <v>1</v>
      </c>
      <c r="G179" s="20">
        <v>44298</v>
      </c>
      <c r="H179" s="20">
        <v>44298</v>
      </c>
      <c r="I179" s="20">
        <v>44298</v>
      </c>
      <c r="J179" s="21"/>
      <c r="K179" s="18" t="s">
        <v>24</v>
      </c>
      <c r="L179" s="23" t="s">
        <v>58</v>
      </c>
      <c r="M179" s="18" t="s">
        <v>26</v>
      </c>
      <c r="N179" s="18"/>
      <c r="O179" s="18" t="s">
        <v>38</v>
      </c>
      <c r="P179" s="21"/>
      <c r="Q179" s="18" t="s">
        <v>54</v>
      </c>
      <c r="R179" s="22" t="s">
        <v>54</v>
      </c>
    </row>
    <row r="180" spans="1:18" ht="49.5" customHeight="1" x14ac:dyDescent="0.25">
      <c r="A180" s="16" t="s">
        <v>39</v>
      </c>
      <c r="B180" s="17" t="s">
        <v>247</v>
      </c>
      <c r="C180" s="18" t="s">
        <v>410</v>
      </c>
      <c r="D180" s="81" t="s">
        <v>495</v>
      </c>
      <c r="E180" s="17" t="s">
        <v>46</v>
      </c>
      <c r="F180" s="17">
        <v>1</v>
      </c>
      <c r="G180" s="20">
        <v>44298</v>
      </c>
      <c r="H180" s="20">
        <v>44298</v>
      </c>
      <c r="I180" s="20">
        <v>44298</v>
      </c>
      <c r="J180" s="21"/>
      <c r="K180" s="18" t="s">
        <v>24</v>
      </c>
      <c r="L180" s="23" t="s">
        <v>58</v>
      </c>
      <c r="M180" s="18" t="s">
        <v>26</v>
      </c>
      <c r="N180" s="18">
        <v>1</v>
      </c>
      <c r="O180" s="18" t="s">
        <v>38</v>
      </c>
      <c r="P180" s="21"/>
      <c r="Q180" s="18" t="s">
        <v>54</v>
      </c>
      <c r="R180" s="22" t="s">
        <v>54</v>
      </c>
    </row>
    <row r="181" spans="1:18" ht="30" customHeight="1" x14ac:dyDescent="0.25">
      <c r="A181" s="16" t="s">
        <v>39</v>
      </c>
      <c r="B181" s="17" t="s">
        <v>496</v>
      </c>
      <c r="C181" s="18" t="s">
        <v>20</v>
      </c>
      <c r="D181" s="81" t="s">
        <v>497</v>
      </c>
      <c r="E181" s="17" t="s">
        <v>22</v>
      </c>
      <c r="F181" s="17">
        <v>1</v>
      </c>
      <c r="G181" s="20">
        <v>44294</v>
      </c>
      <c r="H181" s="20">
        <v>44319</v>
      </c>
      <c r="I181" s="20"/>
      <c r="J181" s="21" t="s">
        <v>498</v>
      </c>
      <c r="K181" s="18" t="s">
        <v>384</v>
      </c>
      <c r="L181" s="23" t="s">
        <v>25</v>
      </c>
      <c r="M181" s="18" t="s">
        <v>26</v>
      </c>
      <c r="N181" s="18"/>
      <c r="O181" s="18" t="s">
        <v>27</v>
      </c>
      <c r="P181" s="21" t="s">
        <v>27</v>
      </c>
      <c r="Q181" s="18" t="s">
        <v>54</v>
      </c>
      <c r="R181" s="22" t="s">
        <v>29</v>
      </c>
    </row>
    <row r="182" spans="1:18" ht="30" customHeight="1" x14ac:dyDescent="0.25">
      <c r="A182" s="16" t="s">
        <v>39</v>
      </c>
      <c r="B182" s="17" t="s">
        <v>496</v>
      </c>
      <c r="C182" s="18" t="s">
        <v>20</v>
      </c>
      <c r="D182" s="81" t="s">
        <v>497</v>
      </c>
      <c r="E182" s="17" t="s">
        <v>46</v>
      </c>
      <c r="F182" s="17">
        <v>1</v>
      </c>
      <c r="G182" s="20">
        <v>44294</v>
      </c>
      <c r="H182" s="20">
        <v>44319</v>
      </c>
      <c r="I182" s="20"/>
      <c r="J182" s="21"/>
      <c r="K182" s="18" t="s">
        <v>384</v>
      </c>
      <c r="L182" s="23" t="s">
        <v>25</v>
      </c>
      <c r="M182" s="18" t="s">
        <v>26</v>
      </c>
      <c r="N182" s="18"/>
      <c r="O182" s="18" t="s">
        <v>27</v>
      </c>
      <c r="P182" s="21" t="s">
        <v>27</v>
      </c>
      <c r="Q182" s="18" t="s">
        <v>54</v>
      </c>
      <c r="R182" s="22" t="s">
        <v>29</v>
      </c>
    </row>
    <row r="183" spans="1:18" ht="30" customHeight="1" x14ac:dyDescent="0.25">
      <c r="A183" s="16" t="s">
        <v>39</v>
      </c>
      <c r="B183" s="17" t="s">
        <v>496</v>
      </c>
      <c r="C183" s="18" t="s">
        <v>20</v>
      </c>
      <c r="D183" s="81" t="s">
        <v>497</v>
      </c>
      <c r="E183" s="17" t="s">
        <v>177</v>
      </c>
      <c r="F183" s="17">
        <v>1</v>
      </c>
      <c r="G183" s="20">
        <v>44294</v>
      </c>
      <c r="H183" s="20">
        <v>44319</v>
      </c>
      <c r="I183" s="20"/>
      <c r="J183" s="21"/>
      <c r="K183" s="18" t="s">
        <v>384</v>
      </c>
      <c r="L183" s="23" t="s">
        <v>25</v>
      </c>
      <c r="M183" s="18" t="s">
        <v>26</v>
      </c>
      <c r="N183" s="18"/>
      <c r="O183" s="18" t="s">
        <v>27</v>
      </c>
      <c r="P183" s="21" t="s">
        <v>27</v>
      </c>
      <c r="Q183" s="18" t="s">
        <v>54</v>
      </c>
      <c r="R183" s="22" t="s">
        <v>29</v>
      </c>
    </row>
    <row r="184" spans="1:18" ht="30" customHeight="1" x14ac:dyDescent="0.25">
      <c r="A184" s="16" t="s">
        <v>76</v>
      </c>
      <c r="B184" s="17" t="s">
        <v>499</v>
      </c>
      <c r="C184" s="18" t="s">
        <v>140</v>
      </c>
      <c r="D184" s="81" t="s">
        <v>500</v>
      </c>
      <c r="E184" s="17" t="s">
        <v>107</v>
      </c>
      <c r="F184" s="17">
        <v>1</v>
      </c>
      <c r="G184" s="20">
        <v>44298</v>
      </c>
      <c r="H184" s="20">
        <v>44306</v>
      </c>
      <c r="I184" s="20">
        <v>44308</v>
      </c>
      <c r="J184" s="21" t="s">
        <v>501</v>
      </c>
      <c r="K184" s="18" t="s">
        <v>24</v>
      </c>
      <c r="L184" s="23" t="s">
        <v>45</v>
      </c>
      <c r="M184" s="18" t="s">
        <v>26</v>
      </c>
      <c r="N184" s="18"/>
      <c r="O184" s="18" t="s">
        <v>27</v>
      </c>
      <c r="P184" s="21" t="s">
        <v>27</v>
      </c>
      <c r="Q184" s="18" t="s">
        <v>54</v>
      </c>
      <c r="R184" s="22" t="s">
        <v>54</v>
      </c>
    </row>
    <row r="185" spans="1:18" ht="30" customHeight="1" x14ac:dyDescent="0.25">
      <c r="A185" s="16" t="s">
        <v>76</v>
      </c>
      <c r="B185" s="17" t="s">
        <v>499</v>
      </c>
      <c r="C185" s="18" t="s">
        <v>140</v>
      </c>
      <c r="D185" s="81" t="s">
        <v>500</v>
      </c>
      <c r="E185" s="17" t="s">
        <v>153</v>
      </c>
      <c r="F185" s="17">
        <v>3</v>
      </c>
      <c r="G185" s="20">
        <v>44298</v>
      </c>
      <c r="H185" s="20">
        <v>44306</v>
      </c>
      <c r="I185" s="20">
        <v>44308</v>
      </c>
      <c r="J185" s="21" t="s">
        <v>501</v>
      </c>
      <c r="K185" s="18" t="s">
        <v>24</v>
      </c>
      <c r="L185" s="23" t="s">
        <v>45</v>
      </c>
      <c r="M185" s="18" t="s">
        <v>26</v>
      </c>
      <c r="N185" s="18"/>
      <c r="O185" s="18" t="s">
        <v>27</v>
      </c>
      <c r="P185" s="21" t="s">
        <v>27</v>
      </c>
      <c r="Q185" s="18" t="s">
        <v>54</v>
      </c>
      <c r="R185" s="22" t="s">
        <v>54</v>
      </c>
    </row>
    <row r="186" spans="1:18" ht="30" customHeight="1" x14ac:dyDescent="0.25">
      <c r="A186" s="16" t="s">
        <v>76</v>
      </c>
      <c r="B186" s="17" t="s">
        <v>499</v>
      </c>
      <c r="C186" s="18" t="s">
        <v>140</v>
      </c>
      <c r="D186" s="81" t="s">
        <v>500</v>
      </c>
      <c r="E186" s="17" t="s">
        <v>22</v>
      </c>
      <c r="F186" s="17">
        <v>1</v>
      </c>
      <c r="G186" s="20">
        <v>44298</v>
      </c>
      <c r="H186" s="20">
        <v>44306</v>
      </c>
      <c r="I186" s="20">
        <v>44308</v>
      </c>
      <c r="J186" s="21" t="s">
        <v>501</v>
      </c>
      <c r="K186" s="18" t="s">
        <v>24</v>
      </c>
      <c r="L186" s="23" t="s">
        <v>25</v>
      </c>
      <c r="M186" s="18" t="s">
        <v>26</v>
      </c>
      <c r="N186" s="18"/>
      <c r="O186" s="18" t="s">
        <v>27</v>
      </c>
      <c r="P186" s="21" t="s">
        <v>27</v>
      </c>
      <c r="Q186" s="18" t="s">
        <v>54</v>
      </c>
      <c r="R186" s="22" t="s">
        <v>54</v>
      </c>
    </row>
    <row r="187" spans="1:18" ht="30" customHeight="1" x14ac:dyDescent="0.25">
      <c r="A187" s="16" t="s">
        <v>30</v>
      </c>
      <c r="B187" s="17">
        <v>232913</v>
      </c>
      <c r="C187" s="18" t="s">
        <v>410</v>
      </c>
      <c r="D187" s="81" t="s">
        <v>502</v>
      </c>
      <c r="E187" s="17" t="s">
        <v>105</v>
      </c>
      <c r="F187" s="17">
        <v>6</v>
      </c>
      <c r="G187" s="20">
        <v>44301</v>
      </c>
      <c r="H187" s="20">
        <v>44306</v>
      </c>
      <c r="I187" s="20"/>
      <c r="J187" s="21"/>
      <c r="K187" s="18" t="s">
        <v>24</v>
      </c>
      <c r="L187" s="23"/>
      <c r="M187" s="18" t="s">
        <v>26</v>
      </c>
      <c r="N187" s="18"/>
      <c r="O187" s="18" t="s">
        <v>38</v>
      </c>
      <c r="P187" s="21"/>
      <c r="Q187" s="18" t="s">
        <v>29</v>
      </c>
      <c r="R187" s="22" t="s">
        <v>29</v>
      </c>
    </row>
    <row r="188" spans="1:18" ht="30" customHeight="1" x14ac:dyDescent="0.25">
      <c r="A188" s="16" t="s">
        <v>76</v>
      </c>
      <c r="B188" s="17" t="s">
        <v>503</v>
      </c>
      <c r="C188" s="18" t="s">
        <v>140</v>
      </c>
      <c r="D188" s="81" t="s">
        <v>105</v>
      </c>
      <c r="E188" s="17" t="s">
        <v>105</v>
      </c>
      <c r="F188" s="17">
        <v>1</v>
      </c>
      <c r="G188" s="20">
        <v>44301</v>
      </c>
      <c r="H188" s="20">
        <v>44301</v>
      </c>
      <c r="I188" s="20">
        <v>44301</v>
      </c>
      <c r="J188" s="21"/>
      <c r="K188" s="18" t="s">
        <v>24</v>
      </c>
      <c r="L188" s="23" t="s">
        <v>25</v>
      </c>
      <c r="M188" s="18" t="s">
        <v>26</v>
      </c>
      <c r="N188" s="18">
        <v>1</v>
      </c>
      <c r="O188" s="18" t="s">
        <v>27</v>
      </c>
      <c r="P188" s="21" t="s">
        <v>27</v>
      </c>
      <c r="Q188" s="18" t="s">
        <v>28</v>
      </c>
      <c r="R188" s="22" t="s">
        <v>54</v>
      </c>
    </row>
    <row r="189" spans="1:18" ht="30" customHeight="1" x14ac:dyDescent="0.25">
      <c r="A189" s="16" t="s">
        <v>300</v>
      </c>
      <c r="B189" s="17" t="s">
        <v>504</v>
      </c>
      <c r="C189" s="18" t="s">
        <v>77</v>
      </c>
      <c r="D189" s="81" t="s">
        <v>505</v>
      </c>
      <c r="E189" s="17" t="s">
        <v>506</v>
      </c>
      <c r="F189" s="17"/>
      <c r="G189" s="20">
        <v>44301</v>
      </c>
      <c r="H189" s="20">
        <v>44308</v>
      </c>
      <c r="I189" s="20"/>
      <c r="J189" s="21" t="s">
        <v>507</v>
      </c>
      <c r="K189" s="18" t="s">
        <v>388</v>
      </c>
      <c r="L189" s="23" t="s">
        <v>25</v>
      </c>
      <c r="M189" s="18" t="s">
        <v>74</v>
      </c>
      <c r="N189" s="18"/>
      <c r="O189" s="18"/>
      <c r="P189" s="21"/>
      <c r="Q189" s="18"/>
      <c r="R189" s="22"/>
    </row>
    <row r="190" spans="1:18" ht="30" customHeight="1" x14ac:dyDescent="0.25">
      <c r="A190" s="16" t="s">
        <v>30</v>
      </c>
      <c r="B190" s="17">
        <v>233037</v>
      </c>
      <c r="C190" s="18" t="s">
        <v>410</v>
      </c>
      <c r="D190" s="81" t="s">
        <v>508</v>
      </c>
      <c r="E190" s="17" t="s">
        <v>51</v>
      </c>
      <c r="F190" s="17">
        <v>1</v>
      </c>
      <c r="G190" s="20">
        <v>44302</v>
      </c>
      <c r="H190" s="20">
        <v>44305</v>
      </c>
      <c r="I190" s="20"/>
      <c r="J190" s="86"/>
      <c r="K190" s="18" t="s">
        <v>24</v>
      </c>
      <c r="L190" s="23" t="s">
        <v>25</v>
      </c>
      <c r="M190" s="18" t="s">
        <v>26</v>
      </c>
      <c r="N190" s="18">
        <v>2</v>
      </c>
      <c r="O190" s="18" t="s">
        <v>27</v>
      </c>
      <c r="P190" s="21"/>
      <c r="Q190" s="18" t="s">
        <v>29</v>
      </c>
      <c r="R190" s="22" t="s">
        <v>29</v>
      </c>
    </row>
    <row r="191" spans="1:18" ht="30" customHeight="1" x14ac:dyDescent="0.25">
      <c r="A191" s="16" t="s">
        <v>49</v>
      </c>
      <c r="B191" s="17">
        <v>233068</v>
      </c>
      <c r="C191" s="18" t="s">
        <v>20</v>
      </c>
      <c r="D191" s="81" t="s">
        <v>509</v>
      </c>
      <c r="E191" s="17" t="s">
        <v>46</v>
      </c>
      <c r="F191" s="17">
        <v>1</v>
      </c>
      <c r="G191" s="20">
        <v>44302</v>
      </c>
      <c r="H191" s="20">
        <v>44312</v>
      </c>
      <c r="I191" s="20">
        <v>44312</v>
      </c>
      <c r="J191" s="21" t="s">
        <v>510</v>
      </c>
      <c r="K191" s="18" t="s">
        <v>24</v>
      </c>
      <c r="L191" s="23" t="s">
        <v>25</v>
      </c>
      <c r="M191" s="18" t="s">
        <v>26</v>
      </c>
      <c r="N191" s="18"/>
      <c r="O191" s="18" t="s">
        <v>27</v>
      </c>
      <c r="P191" s="21" t="s">
        <v>27</v>
      </c>
      <c r="Q191" s="18" t="s">
        <v>185</v>
      </c>
      <c r="R191" s="22" t="s">
        <v>54</v>
      </c>
    </row>
    <row r="192" spans="1:18" ht="30" customHeight="1" x14ac:dyDescent="0.25">
      <c r="A192" s="16" t="s">
        <v>49</v>
      </c>
      <c r="B192" s="17">
        <v>233068</v>
      </c>
      <c r="C192" s="18" t="s">
        <v>20</v>
      </c>
      <c r="D192" s="81" t="s">
        <v>509</v>
      </c>
      <c r="E192" s="17" t="s">
        <v>22</v>
      </c>
      <c r="F192" s="17">
        <v>1</v>
      </c>
      <c r="G192" s="20">
        <v>44302</v>
      </c>
      <c r="H192" s="20">
        <v>44312</v>
      </c>
      <c r="I192" s="20">
        <v>44312</v>
      </c>
      <c r="J192" s="21" t="s">
        <v>510</v>
      </c>
      <c r="K192" s="18" t="s">
        <v>24</v>
      </c>
      <c r="L192" s="23" t="s">
        <v>25</v>
      </c>
      <c r="M192" s="18" t="s">
        <v>26</v>
      </c>
      <c r="N192" s="18"/>
      <c r="O192" s="18" t="s">
        <v>27</v>
      </c>
      <c r="P192" s="21" t="s">
        <v>27</v>
      </c>
      <c r="Q192" s="18" t="s">
        <v>185</v>
      </c>
      <c r="R192" s="22" t="s">
        <v>54</v>
      </c>
    </row>
    <row r="193" spans="1:18" ht="30" customHeight="1" x14ac:dyDescent="0.25">
      <c r="A193" s="16" t="s">
        <v>49</v>
      </c>
      <c r="B193" s="17">
        <v>233068</v>
      </c>
      <c r="C193" s="18" t="s">
        <v>20</v>
      </c>
      <c r="D193" s="81" t="s">
        <v>509</v>
      </c>
      <c r="E193" s="17" t="s">
        <v>177</v>
      </c>
      <c r="F193" s="17">
        <v>1</v>
      </c>
      <c r="G193" s="20">
        <v>44302</v>
      </c>
      <c r="H193" s="20">
        <v>44312</v>
      </c>
      <c r="I193" s="20">
        <v>44312</v>
      </c>
      <c r="J193" s="21" t="s">
        <v>510</v>
      </c>
      <c r="K193" s="18" t="s">
        <v>24</v>
      </c>
      <c r="L193" s="23" t="s">
        <v>58</v>
      </c>
      <c r="M193" s="18" t="s">
        <v>26</v>
      </c>
      <c r="N193" s="18"/>
      <c r="O193" s="18" t="s">
        <v>27</v>
      </c>
      <c r="P193" s="21" t="s">
        <v>27</v>
      </c>
      <c r="Q193" s="18" t="s">
        <v>185</v>
      </c>
      <c r="R193" s="22" t="s">
        <v>54</v>
      </c>
    </row>
    <row r="194" spans="1:18" ht="30" customHeight="1" x14ac:dyDescent="0.25">
      <c r="A194" s="16" t="s">
        <v>39</v>
      </c>
      <c r="B194" s="17" t="s">
        <v>247</v>
      </c>
      <c r="C194" s="18" t="s">
        <v>410</v>
      </c>
      <c r="D194" s="81" t="s">
        <v>511</v>
      </c>
      <c r="E194" s="17" t="s">
        <v>79</v>
      </c>
      <c r="F194" s="17">
        <v>1</v>
      </c>
      <c r="G194" s="20">
        <v>44303</v>
      </c>
      <c r="H194" s="20">
        <v>44305</v>
      </c>
      <c r="I194" s="20"/>
      <c r="J194" s="21" t="s">
        <v>512</v>
      </c>
      <c r="K194" s="18" t="s">
        <v>24</v>
      </c>
      <c r="L194" s="23" t="s">
        <v>58</v>
      </c>
      <c r="M194" s="18" t="s">
        <v>26</v>
      </c>
      <c r="N194" s="18">
        <v>1</v>
      </c>
      <c r="O194" s="18" t="s">
        <v>27</v>
      </c>
      <c r="P194" s="21"/>
      <c r="Q194" s="18"/>
      <c r="R194" s="22"/>
    </row>
    <row r="195" spans="1:18" ht="30" customHeight="1" x14ac:dyDescent="0.25">
      <c r="A195" s="16" t="s">
        <v>96</v>
      </c>
      <c r="B195" s="17" t="s">
        <v>513</v>
      </c>
      <c r="C195" s="18" t="s">
        <v>20</v>
      </c>
      <c r="D195" s="81" t="s">
        <v>514</v>
      </c>
      <c r="E195" s="17" t="s">
        <v>515</v>
      </c>
      <c r="F195" s="17">
        <v>1</v>
      </c>
      <c r="G195" s="20">
        <v>44301</v>
      </c>
      <c r="H195" s="20"/>
      <c r="I195" s="20"/>
      <c r="J195" s="21"/>
      <c r="K195" s="18" t="s">
        <v>388</v>
      </c>
      <c r="L195" s="23" t="s">
        <v>58</v>
      </c>
      <c r="M195" s="18" t="s">
        <v>26</v>
      </c>
      <c r="N195" s="18"/>
      <c r="O195" s="18" t="s">
        <v>38</v>
      </c>
      <c r="P195" s="21"/>
      <c r="Q195" s="18"/>
      <c r="R195" s="22"/>
    </row>
    <row r="196" spans="1:18" ht="30" customHeight="1" x14ac:dyDescent="0.25">
      <c r="A196" s="16" t="s">
        <v>72</v>
      </c>
      <c r="B196" s="17" t="s">
        <v>516</v>
      </c>
      <c r="C196" s="18" t="s">
        <v>140</v>
      </c>
      <c r="D196" s="81" t="s">
        <v>517</v>
      </c>
      <c r="E196" s="17" t="s">
        <v>94</v>
      </c>
      <c r="F196" s="17">
        <v>1</v>
      </c>
      <c r="G196" s="20">
        <v>44302</v>
      </c>
      <c r="H196" s="20">
        <v>44305</v>
      </c>
      <c r="I196" s="20">
        <v>44305</v>
      </c>
      <c r="J196" s="21"/>
      <c r="K196" s="18" t="s">
        <v>24</v>
      </c>
      <c r="L196" s="23" t="s">
        <v>25</v>
      </c>
      <c r="M196" s="18" t="s">
        <v>26</v>
      </c>
      <c r="N196" s="18"/>
      <c r="O196" s="18" t="s">
        <v>27</v>
      </c>
      <c r="P196" s="21" t="s">
        <v>27</v>
      </c>
      <c r="Q196" s="18" t="s">
        <v>28</v>
      </c>
      <c r="R196" s="22" t="s">
        <v>54</v>
      </c>
    </row>
    <row r="197" spans="1:18" ht="30" customHeight="1" x14ac:dyDescent="0.25">
      <c r="A197" s="16" t="s">
        <v>96</v>
      </c>
      <c r="B197" s="17" t="s">
        <v>518</v>
      </c>
      <c r="C197" s="18" t="s">
        <v>20</v>
      </c>
      <c r="D197" s="81" t="s">
        <v>519</v>
      </c>
      <c r="E197" s="17" t="s">
        <v>84</v>
      </c>
      <c r="F197" s="17"/>
      <c r="G197" s="20">
        <v>44301</v>
      </c>
      <c r="H197" s="20">
        <v>44308</v>
      </c>
      <c r="I197" s="20">
        <v>44308</v>
      </c>
      <c r="J197" s="21" t="s">
        <v>520</v>
      </c>
      <c r="K197" s="18" t="s">
        <v>384</v>
      </c>
      <c r="L197" s="23" t="s">
        <v>37</v>
      </c>
      <c r="M197" s="18" t="s">
        <v>34</v>
      </c>
      <c r="N197" s="18"/>
      <c r="O197" s="18" t="s">
        <v>38</v>
      </c>
      <c r="P197" s="21" t="s">
        <v>27</v>
      </c>
      <c r="Q197" s="18" t="s">
        <v>286</v>
      </c>
      <c r="R197" s="22" t="s">
        <v>28</v>
      </c>
    </row>
    <row r="198" spans="1:18" ht="30" customHeight="1" x14ac:dyDescent="0.25">
      <c r="A198" s="16" t="s">
        <v>159</v>
      </c>
      <c r="B198" s="17" t="s">
        <v>521</v>
      </c>
      <c r="C198" s="18" t="s">
        <v>20</v>
      </c>
      <c r="D198" s="81" t="s">
        <v>522</v>
      </c>
      <c r="E198" s="17" t="s">
        <v>22</v>
      </c>
      <c r="F198" s="17">
        <v>2</v>
      </c>
      <c r="G198" s="20">
        <v>44293</v>
      </c>
      <c r="H198" s="20">
        <v>44309</v>
      </c>
      <c r="I198" s="20"/>
      <c r="J198" s="21"/>
      <c r="K198" s="18" t="s">
        <v>384</v>
      </c>
      <c r="L198" s="23" t="s">
        <v>58</v>
      </c>
      <c r="M198" s="18" t="s">
        <v>34</v>
      </c>
      <c r="N198" s="18">
        <v>1</v>
      </c>
      <c r="O198" s="18" t="s">
        <v>38</v>
      </c>
      <c r="P198" s="21" t="s">
        <v>38</v>
      </c>
      <c r="Q198" s="18" t="s">
        <v>54</v>
      </c>
      <c r="R198" s="22" t="s">
        <v>54</v>
      </c>
    </row>
    <row r="199" spans="1:18" ht="30" customHeight="1" x14ac:dyDescent="0.25">
      <c r="A199" s="16" t="s">
        <v>159</v>
      </c>
      <c r="B199" s="17" t="s">
        <v>521</v>
      </c>
      <c r="C199" s="18" t="s">
        <v>20</v>
      </c>
      <c r="D199" s="81" t="s">
        <v>522</v>
      </c>
      <c r="E199" s="17" t="s">
        <v>68</v>
      </c>
      <c r="F199" s="17">
        <v>1</v>
      </c>
      <c r="G199" s="20">
        <v>44293</v>
      </c>
      <c r="H199" s="20">
        <v>44309</v>
      </c>
      <c r="I199" s="20"/>
      <c r="J199" s="21"/>
      <c r="K199" s="18" t="s">
        <v>384</v>
      </c>
      <c r="L199" s="23" t="s">
        <v>58</v>
      </c>
      <c r="M199" s="18" t="s">
        <v>34</v>
      </c>
      <c r="N199" s="18"/>
      <c r="O199" s="18" t="s">
        <v>38</v>
      </c>
      <c r="P199" s="21" t="s">
        <v>38</v>
      </c>
      <c r="Q199" s="18" t="s">
        <v>54</v>
      </c>
      <c r="R199" s="22" t="s">
        <v>54</v>
      </c>
    </row>
    <row r="200" spans="1:18" ht="30" customHeight="1" x14ac:dyDescent="0.25">
      <c r="A200" s="16" t="s">
        <v>159</v>
      </c>
      <c r="B200" s="17" t="s">
        <v>521</v>
      </c>
      <c r="C200" s="18" t="s">
        <v>20</v>
      </c>
      <c r="D200" s="81" t="s">
        <v>522</v>
      </c>
      <c r="E200" s="17" t="s">
        <v>46</v>
      </c>
      <c r="F200" s="17">
        <v>2</v>
      </c>
      <c r="G200" s="20">
        <v>44293</v>
      </c>
      <c r="H200" s="20">
        <v>44309</v>
      </c>
      <c r="I200" s="20"/>
      <c r="J200" s="21"/>
      <c r="K200" s="18" t="s">
        <v>384</v>
      </c>
      <c r="L200" s="23" t="s">
        <v>58</v>
      </c>
      <c r="M200" s="18" t="s">
        <v>34</v>
      </c>
      <c r="N200" s="18"/>
      <c r="O200" s="18" t="s">
        <v>38</v>
      </c>
      <c r="P200" s="21" t="s">
        <v>38</v>
      </c>
      <c r="Q200" s="18" t="s">
        <v>54</v>
      </c>
      <c r="R200" s="22" t="s">
        <v>54</v>
      </c>
    </row>
    <row r="201" spans="1:18" ht="30" customHeight="1" x14ac:dyDescent="0.25">
      <c r="A201" s="16" t="s">
        <v>159</v>
      </c>
      <c r="B201" s="17" t="s">
        <v>521</v>
      </c>
      <c r="C201" s="18" t="s">
        <v>20</v>
      </c>
      <c r="D201" s="81" t="s">
        <v>522</v>
      </c>
      <c r="E201" s="17" t="s">
        <v>177</v>
      </c>
      <c r="F201" s="17">
        <v>2</v>
      </c>
      <c r="G201" s="20">
        <v>44293</v>
      </c>
      <c r="H201" s="20">
        <v>44309</v>
      </c>
      <c r="I201" s="20"/>
      <c r="J201" s="21"/>
      <c r="K201" s="18" t="s">
        <v>384</v>
      </c>
      <c r="L201" s="23" t="s">
        <v>58</v>
      </c>
      <c r="M201" s="18" t="s">
        <v>34</v>
      </c>
      <c r="N201" s="18"/>
      <c r="O201" s="18" t="s">
        <v>38</v>
      </c>
      <c r="P201" s="21" t="s">
        <v>38</v>
      </c>
      <c r="Q201" s="18" t="s">
        <v>54</v>
      </c>
      <c r="R201" s="22" t="s">
        <v>54</v>
      </c>
    </row>
    <row r="202" spans="1:18" ht="30" customHeight="1" x14ac:dyDescent="0.25">
      <c r="A202" s="16" t="s">
        <v>159</v>
      </c>
      <c r="B202" s="17" t="s">
        <v>521</v>
      </c>
      <c r="C202" s="18" t="s">
        <v>20</v>
      </c>
      <c r="D202" s="81" t="s">
        <v>522</v>
      </c>
      <c r="E202" s="17" t="s">
        <v>106</v>
      </c>
      <c r="F202" s="17">
        <v>2</v>
      </c>
      <c r="G202" s="20">
        <v>44293</v>
      </c>
      <c r="H202" s="20">
        <v>44309</v>
      </c>
      <c r="I202" s="20"/>
      <c r="J202" s="21"/>
      <c r="K202" s="18" t="s">
        <v>384</v>
      </c>
      <c r="L202" s="23" t="s">
        <v>58</v>
      </c>
      <c r="M202" s="18" t="s">
        <v>34</v>
      </c>
      <c r="N202" s="18"/>
      <c r="O202" s="18" t="s">
        <v>38</v>
      </c>
      <c r="P202" s="21" t="s">
        <v>38</v>
      </c>
      <c r="Q202" s="18" t="s">
        <v>54</v>
      </c>
      <c r="R202" s="22" t="s">
        <v>54</v>
      </c>
    </row>
    <row r="203" spans="1:18" ht="30" customHeight="1" x14ac:dyDescent="0.25">
      <c r="A203" s="16" t="s">
        <v>159</v>
      </c>
      <c r="B203" s="17" t="s">
        <v>521</v>
      </c>
      <c r="C203" s="18" t="s">
        <v>20</v>
      </c>
      <c r="D203" s="81" t="s">
        <v>522</v>
      </c>
      <c r="E203" s="17" t="s">
        <v>41</v>
      </c>
      <c r="F203" s="17">
        <v>1</v>
      </c>
      <c r="G203" s="20">
        <v>44293</v>
      </c>
      <c r="H203" s="20">
        <v>44309</v>
      </c>
      <c r="I203" s="20"/>
      <c r="J203" s="21"/>
      <c r="K203" s="18" t="s">
        <v>384</v>
      </c>
      <c r="L203" s="23" t="s">
        <v>58</v>
      </c>
      <c r="M203" s="18" t="s">
        <v>34</v>
      </c>
      <c r="N203" s="18"/>
      <c r="O203" s="18" t="s">
        <v>38</v>
      </c>
      <c r="P203" s="21" t="s">
        <v>38</v>
      </c>
      <c r="Q203" s="18" t="s">
        <v>54</v>
      </c>
      <c r="R203" s="22" t="s">
        <v>54</v>
      </c>
    </row>
    <row r="204" spans="1:18" ht="30" customHeight="1" x14ac:dyDescent="0.25">
      <c r="A204" s="16" t="s">
        <v>159</v>
      </c>
      <c r="B204" s="17" t="s">
        <v>521</v>
      </c>
      <c r="C204" s="18" t="s">
        <v>20</v>
      </c>
      <c r="D204" s="81" t="s">
        <v>522</v>
      </c>
      <c r="E204" s="17" t="s">
        <v>74</v>
      </c>
      <c r="F204" s="17">
        <v>1</v>
      </c>
      <c r="G204" s="20">
        <v>44293</v>
      </c>
      <c r="H204" s="20">
        <v>44309</v>
      </c>
      <c r="I204" s="20"/>
      <c r="J204" s="21"/>
      <c r="K204" s="18" t="s">
        <v>384</v>
      </c>
      <c r="L204" s="23" t="s">
        <v>58</v>
      </c>
      <c r="M204" s="18" t="s">
        <v>34</v>
      </c>
      <c r="N204" s="18"/>
      <c r="O204" s="18" t="s">
        <v>38</v>
      </c>
      <c r="P204" s="21" t="s">
        <v>38</v>
      </c>
      <c r="Q204" s="18" t="s">
        <v>54</v>
      </c>
      <c r="R204" s="22" t="s">
        <v>54</v>
      </c>
    </row>
    <row r="205" spans="1:18" ht="30" customHeight="1" x14ac:dyDescent="0.25">
      <c r="A205" s="16" t="s">
        <v>159</v>
      </c>
      <c r="B205" s="17" t="s">
        <v>523</v>
      </c>
      <c r="C205" s="18" t="s">
        <v>140</v>
      </c>
      <c r="D205" s="81" t="s">
        <v>524</v>
      </c>
      <c r="E205" s="17" t="s">
        <v>41</v>
      </c>
      <c r="F205" s="17">
        <v>3</v>
      </c>
      <c r="G205" s="20">
        <v>44301</v>
      </c>
      <c r="H205" s="20">
        <v>44306</v>
      </c>
      <c r="I205" s="20">
        <v>44305</v>
      </c>
      <c r="J205" s="21"/>
      <c r="K205" s="18" t="s">
        <v>24</v>
      </c>
      <c r="L205" s="23" t="s">
        <v>58</v>
      </c>
      <c r="M205" s="18" t="s">
        <v>26</v>
      </c>
      <c r="N205" s="18"/>
      <c r="O205" s="18" t="s">
        <v>38</v>
      </c>
      <c r="P205" s="21" t="s">
        <v>38</v>
      </c>
      <c r="Q205" s="18" t="s">
        <v>54</v>
      </c>
      <c r="R205" s="22" t="s">
        <v>54</v>
      </c>
    </row>
    <row r="206" spans="1:18" ht="30" customHeight="1" x14ac:dyDescent="0.25">
      <c r="A206" s="16" t="s">
        <v>159</v>
      </c>
      <c r="B206" s="17" t="s">
        <v>523</v>
      </c>
      <c r="C206" s="18" t="s">
        <v>140</v>
      </c>
      <c r="D206" s="81" t="s">
        <v>524</v>
      </c>
      <c r="E206" s="17" t="s">
        <v>46</v>
      </c>
      <c r="F206" s="17">
        <v>1</v>
      </c>
      <c r="G206" s="20">
        <v>44301</v>
      </c>
      <c r="H206" s="20">
        <v>44306</v>
      </c>
      <c r="I206" s="20">
        <v>44302</v>
      </c>
      <c r="J206" s="21"/>
      <c r="K206" s="18" t="s">
        <v>24</v>
      </c>
      <c r="L206" s="23" t="s">
        <v>58</v>
      </c>
      <c r="M206" s="18" t="s">
        <v>26</v>
      </c>
      <c r="N206" s="18"/>
      <c r="O206" s="18" t="s">
        <v>38</v>
      </c>
      <c r="P206" s="21" t="s">
        <v>38</v>
      </c>
      <c r="Q206" s="18" t="s">
        <v>54</v>
      </c>
      <c r="R206" s="22" t="s">
        <v>54</v>
      </c>
    </row>
    <row r="207" spans="1:18" ht="30" customHeight="1" x14ac:dyDescent="0.25">
      <c r="A207" s="16" t="s">
        <v>72</v>
      </c>
      <c r="B207" s="17" t="s">
        <v>525</v>
      </c>
      <c r="C207" s="18" t="s">
        <v>140</v>
      </c>
      <c r="D207" s="81" t="s">
        <v>526</v>
      </c>
      <c r="E207" s="17" t="s">
        <v>105</v>
      </c>
      <c r="F207" s="17">
        <v>10</v>
      </c>
      <c r="G207" s="20">
        <v>44301</v>
      </c>
      <c r="H207" s="20">
        <v>44306</v>
      </c>
      <c r="I207" s="20">
        <v>44305</v>
      </c>
      <c r="J207" s="21"/>
      <c r="K207" s="18" t="s">
        <v>384</v>
      </c>
      <c r="L207" s="23" t="s">
        <v>58</v>
      </c>
      <c r="M207" s="18" t="s">
        <v>26</v>
      </c>
      <c r="N207" s="18"/>
      <c r="O207" s="18" t="s">
        <v>38</v>
      </c>
      <c r="P207" s="21"/>
      <c r="Q207" s="18"/>
      <c r="R207" s="22"/>
    </row>
    <row r="208" spans="1:18" ht="30" customHeight="1" x14ac:dyDescent="0.25">
      <c r="A208" s="16" t="s">
        <v>39</v>
      </c>
      <c r="B208" s="17" t="s">
        <v>527</v>
      </c>
      <c r="C208" s="18" t="s">
        <v>77</v>
      </c>
      <c r="D208" s="81" t="s">
        <v>528</v>
      </c>
      <c r="E208" s="17" t="s">
        <v>74</v>
      </c>
      <c r="F208" s="17"/>
      <c r="G208" s="20">
        <v>44293</v>
      </c>
      <c r="H208" s="20">
        <v>44298</v>
      </c>
      <c r="I208" s="20">
        <v>44298</v>
      </c>
      <c r="J208" s="21"/>
      <c r="K208" s="18" t="s">
        <v>24</v>
      </c>
      <c r="L208" s="23"/>
      <c r="M208" s="18" t="s">
        <v>74</v>
      </c>
      <c r="N208" s="18"/>
      <c r="O208" s="18" t="s">
        <v>27</v>
      </c>
      <c r="P208" s="21"/>
      <c r="Q208" s="18"/>
      <c r="R208" s="22"/>
    </row>
    <row r="209" spans="1:18" ht="30" customHeight="1" x14ac:dyDescent="0.25">
      <c r="A209" s="16" t="s">
        <v>39</v>
      </c>
      <c r="B209" s="17" t="s">
        <v>247</v>
      </c>
      <c r="C209" s="18" t="s">
        <v>20</v>
      </c>
      <c r="D209" s="81" t="s">
        <v>529</v>
      </c>
      <c r="E209" s="17"/>
      <c r="F209" s="17"/>
      <c r="G209" s="20">
        <v>44305</v>
      </c>
      <c r="H209" s="20">
        <v>44328</v>
      </c>
      <c r="I209" s="20"/>
      <c r="J209" s="21" t="s">
        <v>530</v>
      </c>
      <c r="K209" s="18" t="s">
        <v>388</v>
      </c>
      <c r="L209" s="23"/>
      <c r="M209" s="18" t="s">
        <v>26</v>
      </c>
      <c r="N209" s="18"/>
      <c r="O209" s="18" t="s">
        <v>27</v>
      </c>
      <c r="P209" s="21"/>
      <c r="Q209" s="18"/>
      <c r="R209" s="22"/>
    </row>
    <row r="210" spans="1:18" ht="30" customHeight="1" x14ac:dyDescent="0.25">
      <c r="A210" s="16" t="s">
        <v>39</v>
      </c>
      <c r="B210" s="17" t="s">
        <v>247</v>
      </c>
      <c r="C210" s="18" t="s">
        <v>20</v>
      </c>
      <c r="D210" s="81" t="s">
        <v>531</v>
      </c>
      <c r="E210" s="17"/>
      <c r="F210" s="17"/>
      <c r="G210" s="20">
        <v>44305</v>
      </c>
      <c r="H210" s="20">
        <v>44328</v>
      </c>
      <c r="I210" s="20"/>
      <c r="J210" s="21" t="s">
        <v>530</v>
      </c>
      <c r="K210" s="18" t="s">
        <v>388</v>
      </c>
      <c r="L210" s="23"/>
      <c r="M210" s="18" t="s">
        <v>26</v>
      </c>
      <c r="N210" s="18"/>
      <c r="O210" s="18" t="s">
        <v>27</v>
      </c>
      <c r="P210" s="21"/>
      <c r="Q210" s="18"/>
      <c r="R210" s="22"/>
    </row>
    <row r="211" spans="1:18" ht="30" customHeight="1" x14ac:dyDescent="0.25">
      <c r="A211" s="16" t="s">
        <v>39</v>
      </c>
      <c r="B211" s="17">
        <v>233146</v>
      </c>
      <c r="C211" s="18" t="s">
        <v>20</v>
      </c>
      <c r="D211" s="81" t="s">
        <v>532</v>
      </c>
      <c r="E211" s="17" t="s">
        <v>68</v>
      </c>
      <c r="F211" s="17">
        <v>5</v>
      </c>
      <c r="G211" s="20">
        <v>44305</v>
      </c>
      <c r="H211" s="20">
        <v>44307</v>
      </c>
      <c r="I211" s="20">
        <v>44307</v>
      </c>
      <c r="J211" s="21" t="s">
        <v>533</v>
      </c>
      <c r="K211" s="18" t="s">
        <v>24</v>
      </c>
      <c r="L211" s="23" t="s">
        <v>25</v>
      </c>
      <c r="M211" s="18" t="s">
        <v>26</v>
      </c>
      <c r="N211" s="18"/>
      <c r="O211" s="18" t="s">
        <v>38</v>
      </c>
      <c r="P211" s="21" t="s">
        <v>27</v>
      </c>
      <c r="Q211" s="18" t="s">
        <v>29</v>
      </c>
      <c r="R211" s="22" t="s">
        <v>29</v>
      </c>
    </row>
    <row r="212" spans="1:18" ht="30" customHeight="1" x14ac:dyDescent="0.25">
      <c r="A212" s="16" t="s">
        <v>39</v>
      </c>
      <c r="B212" s="17">
        <v>233146</v>
      </c>
      <c r="C212" s="18" t="s">
        <v>20</v>
      </c>
      <c r="D212" s="81" t="s">
        <v>532</v>
      </c>
      <c r="E212" s="17" t="s">
        <v>153</v>
      </c>
      <c r="F212" s="17">
        <v>5</v>
      </c>
      <c r="G212" s="20">
        <v>44305</v>
      </c>
      <c r="H212" s="20">
        <v>44307</v>
      </c>
      <c r="I212" s="20">
        <v>44307</v>
      </c>
      <c r="J212" s="21" t="s">
        <v>533</v>
      </c>
      <c r="K212" s="18" t="s">
        <v>24</v>
      </c>
      <c r="L212" s="23" t="s">
        <v>25</v>
      </c>
      <c r="M212" s="18" t="s">
        <v>26</v>
      </c>
      <c r="N212" s="18"/>
      <c r="O212" s="18" t="s">
        <v>38</v>
      </c>
      <c r="P212" s="21" t="s">
        <v>27</v>
      </c>
      <c r="Q212" s="18" t="s">
        <v>29</v>
      </c>
      <c r="R212" s="22" t="s">
        <v>29</v>
      </c>
    </row>
    <row r="213" spans="1:18" ht="30" customHeight="1" x14ac:dyDescent="0.25">
      <c r="A213" s="16" t="s">
        <v>39</v>
      </c>
      <c r="B213" s="17">
        <v>233146</v>
      </c>
      <c r="C213" s="18" t="s">
        <v>20</v>
      </c>
      <c r="D213" s="81" t="s">
        <v>532</v>
      </c>
      <c r="E213" s="17" t="s">
        <v>68</v>
      </c>
      <c r="F213" s="17">
        <v>6</v>
      </c>
      <c r="G213" s="20">
        <v>44305</v>
      </c>
      <c r="H213" s="20">
        <v>44314</v>
      </c>
      <c r="I213" s="20">
        <v>44307</v>
      </c>
      <c r="J213" s="21" t="s">
        <v>534</v>
      </c>
      <c r="K213" s="18" t="s">
        <v>24</v>
      </c>
      <c r="L213" s="23" t="s">
        <v>25</v>
      </c>
      <c r="M213" s="18" t="s">
        <v>26</v>
      </c>
      <c r="N213" s="18"/>
      <c r="O213" s="18" t="s">
        <v>38</v>
      </c>
      <c r="P213" s="21" t="s">
        <v>27</v>
      </c>
      <c r="Q213" s="18" t="s">
        <v>29</v>
      </c>
      <c r="R213" s="22" t="s">
        <v>29</v>
      </c>
    </row>
    <row r="214" spans="1:18" ht="30" customHeight="1" x14ac:dyDescent="0.25">
      <c r="A214" s="16" t="s">
        <v>39</v>
      </c>
      <c r="B214" s="17">
        <v>233146</v>
      </c>
      <c r="C214" s="18" t="s">
        <v>20</v>
      </c>
      <c r="D214" s="81" t="s">
        <v>532</v>
      </c>
      <c r="E214" s="17" t="s">
        <v>153</v>
      </c>
      <c r="F214" s="17">
        <v>6</v>
      </c>
      <c r="G214" s="20">
        <v>44305</v>
      </c>
      <c r="H214" s="20">
        <v>44314</v>
      </c>
      <c r="I214" s="20">
        <v>44307</v>
      </c>
      <c r="J214" s="21" t="s">
        <v>534</v>
      </c>
      <c r="K214" s="18" t="s">
        <v>24</v>
      </c>
      <c r="L214" s="23" t="s">
        <v>25</v>
      </c>
      <c r="M214" s="18" t="s">
        <v>26</v>
      </c>
      <c r="N214" s="18"/>
      <c r="O214" s="18" t="s">
        <v>38</v>
      </c>
      <c r="P214" s="21" t="s">
        <v>27</v>
      </c>
      <c r="Q214" s="18" t="s">
        <v>29</v>
      </c>
      <c r="R214" s="22" t="s">
        <v>29</v>
      </c>
    </row>
    <row r="215" spans="1:18" ht="30" customHeight="1" x14ac:dyDescent="0.25">
      <c r="A215" s="16" t="s">
        <v>39</v>
      </c>
      <c r="B215" s="17">
        <v>233146</v>
      </c>
      <c r="C215" s="18" t="s">
        <v>20</v>
      </c>
      <c r="D215" s="81" t="s">
        <v>532</v>
      </c>
      <c r="E215" s="17" t="s">
        <v>68</v>
      </c>
      <c r="F215" s="17">
        <v>5</v>
      </c>
      <c r="G215" s="20">
        <v>44305</v>
      </c>
      <c r="H215" s="20">
        <v>44314</v>
      </c>
      <c r="I215" s="20">
        <v>44307</v>
      </c>
      <c r="J215" s="21" t="s">
        <v>535</v>
      </c>
      <c r="K215" s="18" t="s">
        <v>24</v>
      </c>
      <c r="L215" s="23" t="s">
        <v>25</v>
      </c>
      <c r="M215" s="18" t="s">
        <v>26</v>
      </c>
      <c r="N215" s="18"/>
      <c r="O215" s="18" t="s">
        <v>38</v>
      </c>
      <c r="P215" s="21" t="s">
        <v>27</v>
      </c>
      <c r="Q215" s="18" t="s">
        <v>29</v>
      </c>
      <c r="R215" s="22" t="s">
        <v>29</v>
      </c>
    </row>
    <row r="216" spans="1:18" ht="30" customHeight="1" x14ac:dyDescent="0.25">
      <c r="A216" s="16" t="s">
        <v>39</v>
      </c>
      <c r="B216" s="17">
        <v>233146</v>
      </c>
      <c r="C216" s="18" t="s">
        <v>20</v>
      </c>
      <c r="D216" s="81" t="s">
        <v>532</v>
      </c>
      <c r="E216" s="17" t="s">
        <v>153</v>
      </c>
      <c r="F216" s="17">
        <v>5</v>
      </c>
      <c r="G216" s="20">
        <v>44305</v>
      </c>
      <c r="H216" s="20">
        <v>44314</v>
      </c>
      <c r="I216" s="20">
        <v>44307</v>
      </c>
      <c r="J216" s="21" t="s">
        <v>535</v>
      </c>
      <c r="K216" s="18" t="s">
        <v>24</v>
      </c>
      <c r="L216" s="23" t="s">
        <v>25</v>
      </c>
      <c r="M216" s="18" t="s">
        <v>26</v>
      </c>
      <c r="N216" s="18"/>
      <c r="O216" s="18" t="s">
        <v>38</v>
      </c>
      <c r="P216" s="21" t="s">
        <v>27</v>
      </c>
      <c r="Q216" s="18" t="s">
        <v>29</v>
      </c>
      <c r="R216" s="22" t="s">
        <v>29</v>
      </c>
    </row>
    <row r="217" spans="1:18" ht="30" customHeight="1" x14ac:dyDescent="0.25">
      <c r="A217" s="16" t="s">
        <v>39</v>
      </c>
      <c r="B217" s="17">
        <v>233146</v>
      </c>
      <c r="C217" s="18" t="s">
        <v>20</v>
      </c>
      <c r="D217" s="81" t="s">
        <v>532</v>
      </c>
      <c r="E217" s="17" t="s">
        <v>79</v>
      </c>
      <c r="F217" s="17">
        <v>1</v>
      </c>
      <c r="G217" s="20">
        <v>44305</v>
      </c>
      <c r="H217" s="20">
        <v>44314</v>
      </c>
      <c r="I217" s="20">
        <v>44307</v>
      </c>
      <c r="J217" s="21"/>
      <c r="K217" s="18" t="s">
        <v>24</v>
      </c>
      <c r="L217" s="23" t="s">
        <v>58</v>
      </c>
      <c r="M217" s="18" t="s">
        <v>26</v>
      </c>
      <c r="N217" s="18"/>
      <c r="O217" s="18" t="s">
        <v>38</v>
      </c>
      <c r="P217" s="21" t="s">
        <v>27</v>
      </c>
      <c r="Q217" s="18" t="s">
        <v>29</v>
      </c>
      <c r="R217" s="22" t="s">
        <v>29</v>
      </c>
    </row>
    <row r="218" spans="1:18" ht="30" customHeight="1" x14ac:dyDescent="0.25">
      <c r="A218" s="16" t="s">
        <v>30</v>
      </c>
      <c r="B218" s="17">
        <v>233191</v>
      </c>
      <c r="C218" s="18" t="s">
        <v>410</v>
      </c>
      <c r="D218" s="81" t="s">
        <v>536</v>
      </c>
      <c r="E218" s="17" t="s">
        <v>48</v>
      </c>
      <c r="F218" s="17">
        <v>4</v>
      </c>
      <c r="G218" s="20">
        <v>44305</v>
      </c>
      <c r="H218" s="20">
        <v>44309</v>
      </c>
      <c r="I218" s="20">
        <v>44309</v>
      </c>
      <c r="J218" s="21"/>
      <c r="K218" s="18" t="s">
        <v>24</v>
      </c>
      <c r="L218" s="23" t="s">
        <v>58</v>
      </c>
      <c r="M218" s="18" t="s">
        <v>26</v>
      </c>
      <c r="N218" s="18"/>
      <c r="O218" s="18" t="s">
        <v>27</v>
      </c>
      <c r="P218" s="21" t="s">
        <v>38</v>
      </c>
      <c r="Q218" s="18" t="s">
        <v>29</v>
      </c>
      <c r="R218" s="22" t="s">
        <v>29</v>
      </c>
    </row>
    <row r="219" spans="1:18" ht="30" customHeight="1" x14ac:dyDescent="0.25">
      <c r="A219" s="16" t="s">
        <v>52</v>
      </c>
      <c r="B219" s="17" t="s">
        <v>247</v>
      </c>
      <c r="C219" s="18" t="s">
        <v>20</v>
      </c>
      <c r="D219" s="81" t="s">
        <v>537</v>
      </c>
      <c r="E219" s="17" t="s">
        <v>127</v>
      </c>
      <c r="F219" s="17">
        <v>1</v>
      </c>
      <c r="G219" s="20">
        <v>44305</v>
      </c>
      <c r="H219" s="20">
        <v>44308</v>
      </c>
      <c r="I219" s="20">
        <v>44308</v>
      </c>
      <c r="J219" s="21" t="s">
        <v>538</v>
      </c>
      <c r="K219" s="18" t="s">
        <v>24</v>
      </c>
      <c r="L219" s="23" t="s">
        <v>25</v>
      </c>
      <c r="M219" s="18" t="s">
        <v>26</v>
      </c>
      <c r="N219" s="18"/>
      <c r="O219" s="18" t="s">
        <v>27</v>
      </c>
      <c r="P219" s="21" t="s">
        <v>27</v>
      </c>
      <c r="Q219" s="18"/>
      <c r="R219" s="22"/>
    </row>
    <row r="220" spans="1:18" ht="47.25" customHeight="1" x14ac:dyDescent="0.25">
      <c r="A220" s="16" t="s">
        <v>52</v>
      </c>
      <c r="B220" s="17" t="s">
        <v>247</v>
      </c>
      <c r="C220" s="18" t="s">
        <v>20</v>
      </c>
      <c r="D220" s="81" t="s">
        <v>537</v>
      </c>
      <c r="E220" s="17" t="s">
        <v>124</v>
      </c>
      <c r="F220" s="17">
        <v>1</v>
      </c>
      <c r="G220" s="20">
        <v>44305</v>
      </c>
      <c r="H220" s="20">
        <v>44308</v>
      </c>
      <c r="I220" s="20">
        <v>44308</v>
      </c>
      <c r="J220" s="21" t="s">
        <v>538</v>
      </c>
      <c r="K220" s="18" t="s">
        <v>24</v>
      </c>
      <c r="L220" s="23" t="s">
        <v>25</v>
      </c>
      <c r="M220" s="18" t="s">
        <v>26</v>
      </c>
      <c r="N220" s="18"/>
      <c r="O220" s="18" t="s">
        <v>27</v>
      </c>
      <c r="P220" s="21" t="s">
        <v>27</v>
      </c>
      <c r="Q220" s="18"/>
      <c r="R220" s="22"/>
    </row>
    <row r="221" spans="1:18" ht="30" customHeight="1" x14ac:dyDescent="0.25">
      <c r="A221" s="16" t="s">
        <v>39</v>
      </c>
      <c r="B221" s="17" t="s">
        <v>247</v>
      </c>
      <c r="C221" s="18" t="s">
        <v>20</v>
      </c>
      <c r="D221" s="81" t="s">
        <v>539</v>
      </c>
      <c r="E221" s="17" t="s">
        <v>124</v>
      </c>
      <c r="F221" s="17">
        <v>3</v>
      </c>
      <c r="G221" s="20">
        <v>44305</v>
      </c>
      <c r="H221" s="20">
        <v>44305</v>
      </c>
      <c r="I221" s="20">
        <v>44305</v>
      </c>
      <c r="J221" s="21"/>
      <c r="K221" s="18" t="s">
        <v>24</v>
      </c>
      <c r="L221" s="23" t="s">
        <v>25</v>
      </c>
      <c r="M221" s="18" t="s">
        <v>26</v>
      </c>
      <c r="N221" s="18"/>
      <c r="O221" s="18" t="s">
        <v>27</v>
      </c>
      <c r="P221" s="21" t="s">
        <v>27</v>
      </c>
      <c r="Q221" s="18"/>
      <c r="R221" s="22"/>
    </row>
    <row r="222" spans="1:18" ht="30" customHeight="1" x14ac:dyDescent="0.25">
      <c r="A222" s="16" t="s">
        <v>96</v>
      </c>
      <c r="B222" s="17" t="s">
        <v>540</v>
      </c>
      <c r="C222" s="18" t="s">
        <v>140</v>
      </c>
      <c r="D222" s="81" t="s">
        <v>541</v>
      </c>
      <c r="E222" s="17" t="s">
        <v>107</v>
      </c>
      <c r="F222" s="17">
        <v>1</v>
      </c>
      <c r="G222" s="20">
        <v>44306</v>
      </c>
      <c r="H222" s="20">
        <v>44306</v>
      </c>
      <c r="I222" s="20">
        <v>44306</v>
      </c>
      <c r="J222" s="21"/>
      <c r="K222" s="18" t="s">
        <v>24</v>
      </c>
      <c r="L222" s="23" t="s">
        <v>58</v>
      </c>
      <c r="M222" s="18" t="s">
        <v>26</v>
      </c>
      <c r="N222" s="18"/>
      <c r="O222" s="18" t="s">
        <v>38</v>
      </c>
      <c r="P222" s="21" t="s">
        <v>38</v>
      </c>
      <c r="Q222" s="18" t="s">
        <v>54</v>
      </c>
      <c r="R222" s="22" t="s">
        <v>54</v>
      </c>
    </row>
    <row r="223" spans="1:18" ht="30" customHeight="1" x14ac:dyDescent="0.25">
      <c r="A223" s="16" t="s">
        <v>300</v>
      </c>
      <c r="B223" s="17">
        <v>233300</v>
      </c>
      <c r="C223" s="18" t="s">
        <v>20</v>
      </c>
      <c r="D223" s="81" t="s">
        <v>542</v>
      </c>
      <c r="E223" s="17" t="s">
        <v>69</v>
      </c>
      <c r="F223" s="17">
        <v>1</v>
      </c>
      <c r="G223" s="20">
        <v>44306</v>
      </c>
      <c r="H223" s="20">
        <v>44308</v>
      </c>
      <c r="I223" s="20"/>
      <c r="J223" s="21"/>
      <c r="K223" s="18" t="s">
        <v>384</v>
      </c>
      <c r="L223" s="23" t="s">
        <v>58</v>
      </c>
      <c r="M223" s="18" t="s">
        <v>26</v>
      </c>
      <c r="N223" s="18"/>
      <c r="O223" s="18" t="s">
        <v>38</v>
      </c>
      <c r="P223" s="21" t="s">
        <v>38</v>
      </c>
      <c r="Q223" s="18" t="s">
        <v>286</v>
      </c>
      <c r="R223" s="22"/>
    </row>
    <row r="224" spans="1:18" ht="30" customHeight="1" x14ac:dyDescent="0.25">
      <c r="A224" s="16" t="s">
        <v>300</v>
      </c>
      <c r="B224" s="17">
        <v>233300</v>
      </c>
      <c r="C224" s="18" t="s">
        <v>20</v>
      </c>
      <c r="D224" s="81" t="s">
        <v>542</v>
      </c>
      <c r="E224" s="17" t="s">
        <v>102</v>
      </c>
      <c r="F224" s="17">
        <v>3</v>
      </c>
      <c r="G224" s="20">
        <v>44306</v>
      </c>
      <c r="H224" s="20">
        <v>44308</v>
      </c>
      <c r="I224" s="20"/>
      <c r="J224" s="21"/>
      <c r="K224" s="18" t="s">
        <v>384</v>
      </c>
      <c r="L224" s="23" t="s">
        <v>58</v>
      </c>
      <c r="M224" s="18" t="s">
        <v>26</v>
      </c>
      <c r="N224" s="18">
        <v>2</v>
      </c>
      <c r="O224" s="18" t="s">
        <v>38</v>
      </c>
      <c r="P224" s="21" t="s">
        <v>38</v>
      </c>
      <c r="Q224" s="18" t="s">
        <v>286</v>
      </c>
      <c r="R224" s="22"/>
    </row>
    <row r="225" spans="1:18" ht="30" customHeight="1" x14ac:dyDescent="0.25">
      <c r="A225" s="16" t="s">
        <v>300</v>
      </c>
      <c r="B225" s="17">
        <v>233300</v>
      </c>
      <c r="C225" s="18" t="s">
        <v>20</v>
      </c>
      <c r="D225" s="81" t="s">
        <v>542</v>
      </c>
      <c r="E225" s="17" t="s">
        <v>82</v>
      </c>
      <c r="F225" s="17">
        <v>1</v>
      </c>
      <c r="G225" s="20">
        <v>44306</v>
      </c>
      <c r="H225" s="20">
        <v>44308</v>
      </c>
      <c r="I225" s="20"/>
      <c r="J225" s="21"/>
      <c r="K225" s="18" t="s">
        <v>384</v>
      </c>
      <c r="L225" s="23" t="s">
        <v>58</v>
      </c>
      <c r="M225" s="18" t="s">
        <v>26</v>
      </c>
      <c r="N225" s="18"/>
      <c r="O225" s="18" t="s">
        <v>38</v>
      </c>
      <c r="P225" s="21" t="s">
        <v>38</v>
      </c>
      <c r="Q225" s="18" t="s">
        <v>286</v>
      </c>
      <c r="R225" s="22"/>
    </row>
    <row r="226" spans="1:18" ht="30" customHeight="1" x14ac:dyDescent="0.25">
      <c r="A226" s="16" t="s">
        <v>300</v>
      </c>
      <c r="B226" s="17">
        <v>233300</v>
      </c>
      <c r="C226" s="18" t="s">
        <v>20</v>
      </c>
      <c r="D226" s="81" t="s">
        <v>542</v>
      </c>
      <c r="E226" s="17" t="s">
        <v>68</v>
      </c>
      <c r="F226" s="17">
        <v>3</v>
      </c>
      <c r="G226" s="20">
        <v>44306</v>
      </c>
      <c r="H226" s="20">
        <v>44308</v>
      </c>
      <c r="I226" s="20"/>
      <c r="J226" s="21"/>
      <c r="K226" s="18" t="s">
        <v>384</v>
      </c>
      <c r="L226" s="23" t="s">
        <v>58</v>
      </c>
      <c r="M226" s="18" t="s">
        <v>26</v>
      </c>
      <c r="N226" s="18"/>
      <c r="O226" s="18" t="s">
        <v>38</v>
      </c>
      <c r="P226" s="21" t="s">
        <v>38</v>
      </c>
      <c r="Q226" s="18" t="s">
        <v>286</v>
      </c>
      <c r="R226" s="22"/>
    </row>
    <row r="227" spans="1:18" ht="30" customHeight="1" x14ac:dyDescent="0.25">
      <c r="A227" s="16" t="s">
        <v>300</v>
      </c>
      <c r="B227" s="17">
        <v>233300</v>
      </c>
      <c r="C227" s="18" t="s">
        <v>20</v>
      </c>
      <c r="D227" s="81" t="s">
        <v>364</v>
      </c>
      <c r="E227" s="17" t="s">
        <v>153</v>
      </c>
      <c r="F227" s="17">
        <v>3</v>
      </c>
      <c r="G227" s="20">
        <v>44308</v>
      </c>
      <c r="H227" s="20">
        <v>44308</v>
      </c>
      <c r="I227" s="20"/>
      <c r="J227" s="21"/>
      <c r="K227" s="18" t="s">
        <v>384</v>
      </c>
      <c r="L227" s="23" t="s">
        <v>58</v>
      </c>
      <c r="M227" s="18" t="s">
        <v>26</v>
      </c>
      <c r="N227" s="18"/>
      <c r="O227" s="18" t="s">
        <v>38</v>
      </c>
      <c r="P227" s="21" t="s">
        <v>38</v>
      </c>
      <c r="Q227" s="18" t="s">
        <v>286</v>
      </c>
      <c r="R227" s="22"/>
    </row>
    <row r="228" spans="1:18" ht="30" customHeight="1" x14ac:dyDescent="0.25">
      <c r="A228" s="16" t="s">
        <v>300</v>
      </c>
      <c r="B228" s="17">
        <v>233300</v>
      </c>
      <c r="C228" s="18" t="s">
        <v>20</v>
      </c>
      <c r="D228" s="81" t="s">
        <v>364</v>
      </c>
      <c r="E228" s="17" t="s">
        <v>22</v>
      </c>
      <c r="F228" s="17">
        <v>1</v>
      </c>
      <c r="G228" s="20">
        <v>44308</v>
      </c>
      <c r="H228" s="20">
        <v>44308</v>
      </c>
      <c r="I228" s="20"/>
      <c r="J228" s="21"/>
      <c r="K228" s="18" t="s">
        <v>384</v>
      </c>
      <c r="L228" s="23" t="s">
        <v>58</v>
      </c>
      <c r="M228" s="18" t="s">
        <v>26</v>
      </c>
      <c r="N228" s="18"/>
      <c r="O228" s="18" t="s">
        <v>38</v>
      </c>
      <c r="P228" s="21" t="s">
        <v>38</v>
      </c>
      <c r="Q228" s="18" t="s">
        <v>286</v>
      </c>
      <c r="R228" s="22"/>
    </row>
    <row r="229" spans="1:18" ht="30" customHeight="1" x14ac:dyDescent="0.25">
      <c r="A229" s="16" t="s">
        <v>300</v>
      </c>
      <c r="B229" s="17">
        <v>233300</v>
      </c>
      <c r="C229" s="18" t="s">
        <v>20</v>
      </c>
      <c r="D229" s="81" t="s">
        <v>364</v>
      </c>
      <c r="E229" s="17" t="s">
        <v>111</v>
      </c>
      <c r="F229" s="17">
        <v>1</v>
      </c>
      <c r="G229" s="20">
        <v>44308</v>
      </c>
      <c r="H229" s="20">
        <v>44308</v>
      </c>
      <c r="I229" s="20"/>
      <c r="J229" s="21" t="s">
        <v>543</v>
      </c>
      <c r="K229" s="18" t="s">
        <v>384</v>
      </c>
      <c r="L229" s="23" t="s">
        <v>58</v>
      </c>
      <c r="M229" s="18" t="s">
        <v>26</v>
      </c>
      <c r="N229" s="18"/>
      <c r="O229" s="18" t="s">
        <v>38</v>
      </c>
      <c r="P229" s="21" t="s">
        <v>38</v>
      </c>
      <c r="Q229" s="18" t="s">
        <v>286</v>
      </c>
      <c r="R229" s="22"/>
    </row>
    <row r="230" spans="1:18" ht="30" customHeight="1" x14ac:dyDescent="0.25">
      <c r="A230" s="16" t="s">
        <v>39</v>
      </c>
      <c r="B230" s="17" t="s">
        <v>247</v>
      </c>
      <c r="C230" s="18" t="s">
        <v>140</v>
      </c>
      <c r="D230" s="81" t="s">
        <v>544</v>
      </c>
      <c r="E230" s="17" t="s">
        <v>545</v>
      </c>
      <c r="F230" s="17">
        <v>6</v>
      </c>
      <c r="G230" s="20">
        <v>44274</v>
      </c>
      <c r="H230" s="20">
        <v>44309</v>
      </c>
      <c r="I230" s="20">
        <v>44309</v>
      </c>
      <c r="J230" s="21" t="s">
        <v>546</v>
      </c>
      <c r="K230" s="18" t="s">
        <v>384</v>
      </c>
      <c r="L230" s="23" t="s">
        <v>25</v>
      </c>
      <c r="M230" s="18"/>
      <c r="N230" s="18"/>
      <c r="O230" s="18"/>
      <c r="P230" s="21"/>
      <c r="Q230" s="18"/>
      <c r="R230" s="22"/>
    </row>
    <row r="231" spans="1:18" ht="30" customHeight="1" x14ac:dyDescent="0.25">
      <c r="A231" s="16" t="s">
        <v>49</v>
      </c>
      <c r="B231" s="17">
        <v>233289</v>
      </c>
      <c r="C231" s="18" t="s">
        <v>140</v>
      </c>
      <c r="D231" s="81" t="s">
        <v>547</v>
      </c>
      <c r="E231" s="17" t="s">
        <v>107</v>
      </c>
      <c r="F231" s="17">
        <v>1</v>
      </c>
      <c r="G231" s="20">
        <v>44306</v>
      </c>
      <c r="H231" s="20">
        <v>44312</v>
      </c>
      <c r="I231" s="20">
        <v>44308</v>
      </c>
      <c r="J231" s="21"/>
      <c r="K231" s="18" t="s">
        <v>24</v>
      </c>
      <c r="L231" s="23" t="s">
        <v>37</v>
      </c>
      <c r="M231" s="18" t="s">
        <v>26</v>
      </c>
      <c r="N231" s="18"/>
      <c r="O231" s="18" t="s">
        <v>38</v>
      </c>
      <c r="P231" s="21" t="s">
        <v>38</v>
      </c>
      <c r="Q231" s="18" t="s">
        <v>54</v>
      </c>
      <c r="R231" s="22" t="s">
        <v>54</v>
      </c>
    </row>
    <row r="232" spans="1:18" ht="30" customHeight="1" x14ac:dyDescent="0.25">
      <c r="A232" s="16" t="s">
        <v>548</v>
      </c>
      <c r="B232" s="17" t="s">
        <v>247</v>
      </c>
      <c r="C232" s="18" t="s">
        <v>140</v>
      </c>
      <c r="D232" s="81" t="s">
        <v>319</v>
      </c>
      <c r="E232" s="17" t="s">
        <v>227</v>
      </c>
      <c r="F232" s="17">
        <v>1</v>
      </c>
      <c r="G232" s="20"/>
      <c r="H232" s="20"/>
      <c r="I232" s="20">
        <v>44305</v>
      </c>
      <c r="J232" s="21"/>
      <c r="K232" s="18" t="s">
        <v>384</v>
      </c>
      <c r="L232" s="23" t="s">
        <v>58</v>
      </c>
      <c r="M232" s="18" t="s">
        <v>26</v>
      </c>
      <c r="N232" s="18"/>
      <c r="O232" s="18" t="s">
        <v>38</v>
      </c>
      <c r="P232" s="21" t="s">
        <v>38</v>
      </c>
      <c r="Q232" s="18"/>
      <c r="R232" s="22"/>
    </row>
    <row r="233" spans="1:18" ht="30" customHeight="1" x14ac:dyDescent="0.25">
      <c r="A233" s="16" t="s">
        <v>182</v>
      </c>
      <c r="B233" s="17" t="s">
        <v>247</v>
      </c>
      <c r="C233" s="18" t="s">
        <v>140</v>
      </c>
      <c r="D233" s="81" t="s">
        <v>319</v>
      </c>
      <c r="E233" s="17" t="s">
        <v>227</v>
      </c>
      <c r="F233" s="17">
        <v>1</v>
      </c>
      <c r="G233" s="20">
        <v>44281</v>
      </c>
      <c r="H233" s="20"/>
      <c r="I233" s="20">
        <v>44301</v>
      </c>
      <c r="J233" s="21"/>
      <c r="K233" s="18" t="s">
        <v>24</v>
      </c>
      <c r="L233" s="23" t="s">
        <v>58</v>
      </c>
      <c r="M233" s="18" t="s">
        <v>26</v>
      </c>
      <c r="N233" s="18"/>
      <c r="O233" s="18" t="s">
        <v>38</v>
      </c>
      <c r="P233" s="21" t="s">
        <v>38</v>
      </c>
      <c r="Q233" s="18"/>
      <c r="R233" s="22"/>
    </row>
    <row r="234" spans="1:18" ht="30" customHeight="1" x14ac:dyDescent="0.25">
      <c r="A234" s="16" t="s">
        <v>76</v>
      </c>
      <c r="B234" s="17" t="s">
        <v>247</v>
      </c>
      <c r="C234" s="18" t="s">
        <v>140</v>
      </c>
      <c r="D234" s="81" t="s">
        <v>319</v>
      </c>
      <c r="E234" s="17" t="s">
        <v>227</v>
      </c>
      <c r="F234" s="17">
        <v>1</v>
      </c>
      <c r="G234" s="20">
        <v>44285</v>
      </c>
      <c r="H234" s="20">
        <v>44293</v>
      </c>
      <c r="I234" s="20">
        <v>44293</v>
      </c>
      <c r="J234" s="21"/>
      <c r="K234" s="18" t="s">
        <v>24</v>
      </c>
      <c r="L234" s="23" t="s">
        <v>58</v>
      </c>
      <c r="M234" s="18" t="s">
        <v>26</v>
      </c>
      <c r="N234" s="18"/>
      <c r="O234" s="18" t="s">
        <v>38</v>
      </c>
      <c r="P234" s="21" t="s">
        <v>38</v>
      </c>
      <c r="Q234" s="18" t="s">
        <v>54</v>
      </c>
      <c r="R234" s="22" t="s">
        <v>54</v>
      </c>
    </row>
    <row r="235" spans="1:18" ht="30" customHeight="1" x14ac:dyDescent="0.25">
      <c r="A235" s="16" t="s">
        <v>35</v>
      </c>
      <c r="B235" s="17" t="s">
        <v>247</v>
      </c>
      <c r="C235" s="18" t="s">
        <v>140</v>
      </c>
      <c r="D235" s="81" t="s">
        <v>319</v>
      </c>
      <c r="E235" s="17" t="s">
        <v>227</v>
      </c>
      <c r="F235" s="17">
        <v>1</v>
      </c>
      <c r="G235" s="20">
        <v>44291</v>
      </c>
      <c r="H235" s="20">
        <v>44298</v>
      </c>
      <c r="I235" s="20">
        <v>44298</v>
      </c>
      <c r="J235" s="21"/>
      <c r="K235" s="18" t="s">
        <v>24</v>
      </c>
      <c r="L235" s="23" t="s">
        <v>58</v>
      </c>
      <c r="M235" s="18" t="s">
        <v>26</v>
      </c>
      <c r="N235" s="18">
        <v>2</v>
      </c>
      <c r="O235" s="18" t="s">
        <v>38</v>
      </c>
      <c r="P235" s="21" t="s">
        <v>38</v>
      </c>
      <c r="Q235" s="18" t="s">
        <v>54</v>
      </c>
      <c r="R235" s="22" t="s">
        <v>54</v>
      </c>
    </row>
    <row r="236" spans="1:18" ht="30" customHeight="1" x14ac:dyDescent="0.25">
      <c r="A236" s="16" t="s">
        <v>49</v>
      </c>
      <c r="B236" s="17" t="s">
        <v>247</v>
      </c>
      <c r="C236" s="18" t="s">
        <v>140</v>
      </c>
      <c r="D236" s="81" t="s">
        <v>319</v>
      </c>
      <c r="E236" s="17" t="s">
        <v>227</v>
      </c>
      <c r="F236" s="17">
        <v>1</v>
      </c>
      <c r="G236" s="20">
        <v>44292</v>
      </c>
      <c r="H236" s="20">
        <v>44299</v>
      </c>
      <c r="I236" s="20">
        <v>44298</v>
      </c>
      <c r="J236" s="21"/>
      <c r="K236" s="18" t="s">
        <v>24</v>
      </c>
      <c r="L236" s="23" t="s">
        <v>58</v>
      </c>
      <c r="M236" s="18" t="s">
        <v>26</v>
      </c>
      <c r="N236" s="18">
        <v>1</v>
      </c>
      <c r="O236" s="18" t="s">
        <v>38</v>
      </c>
      <c r="P236" s="21" t="s">
        <v>38</v>
      </c>
      <c r="Q236" s="18" t="s">
        <v>54</v>
      </c>
      <c r="R236" s="22" t="s">
        <v>54</v>
      </c>
    </row>
    <row r="237" spans="1:18" ht="30" customHeight="1" x14ac:dyDescent="0.25">
      <c r="A237" s="16" t="s">
        <v>52</v>
      </c>
      <c r="B237" s="17" t="s">
        <v>247</v>
      </c>
      <c r="C237" s="18" t="s">
        <v>140</v>
      </c>
      <c r="D237" s="81" t="s">
        <v>319</v>
      </c>
      <c r="E237" s="17" t="s">
        <v>227</v>
      </c>
      <c r="F237" s="17">
        <v>1</v>
      </c>
      <c r="G237" s="20">
        <v>44294</v>
      </c>
      <c r="H237" s="20">
        <v>44301</v>
      </c>
      <c r="I237" s="20">
        <v>44299</v>
      </c>
      <c r="J237" s="21"/>
      <c r="K237" s="18" t="s">
        <v>24</v>
      </c>
      <c r="L237" s="23" t="s">
        <v>58</v>
      </c>
      <c r="M237" s="18" t="s">
        <v>26</v>
      </c>
      <c r="N237" s="18">
        <v>3</v>
      </c>
      <c r="O237" s="18" t="s">
        <v>38</v>
      </c>
      <c r="P237" s="21" t="s">
        <v>38</v>
      </c>
      <c r="Q237" s="18" t="s">
        <v>28</v>
      </c>
      <c r="R237" s="22" t="s">
        <v>54</v>
      </c>
    </row>
    <row r="238" spans="1:18" ht="30" customHeight="1" x14ac:dyDescent="0.25">
      <c r="A238" s="16" t="s">
        <v>39</v>
      </c>
      <c r="B238" s="17" t="s">
        <v>247</v>
      </c>
      <c r="C238" s="18" t="s">
        <v>140</v>
      </c>
      <c r="D238" s="81" t="s">
        <v>319</v>
      </c>
      <c r="E238" s="17" t="s">
        <v>227</v>
      </c>
      <c r="F238" s="17">
        <v>1</v>
      </c>
      <c r="G238" s="20">
        <v>44299</v>
      </c>
      <c r="H238" s="20">
        <v>44306</v>
      </c>
      <c r="I238" s="20">
        <v>44306</v>
      </c>
      <c r="J238" s="21"/>
      <c r="K238" s="18" t="s">
        <v>24</v>
      </c>
      <c r="L238" s="23" t="s">
        <v>58</v>
      </c>
      <c r="M238" s="18" t="s">
        <v>26</v>
      </c>
      <c r="N238" s="18">
        <v>2</v>
      </c>
      <c r="O238" s="18" t="s">
        <v>38</v>
      </c>
      <c r="P238" s="21" t="s">
        <v>38</v>
      </c>
      <c r="Q238" s="18" t="s">
        <v>28</v>
      </c>
      <c r="R238" s="22" t="s">
        <v>54</v>
      </c>
    </row>
    <row r="239" spans="1:18" ht="30" customHeight="1" x14ac:dyDescent="0.25">
      <c r="A239" s="16" t="s">
        <v>76</v>
      </c>
      <c r="B239" s="17" t="s">
        <v>549</v>
      </c>
      <c r="C239" s="18" t="s">
        <v>140</v>
      </c>
      <c r="D239" s="81" t="s">
        <v>550</v>
      </c>
      <c r="E239" s="17" t="s">
        <v>107</v>
      </c>
      <c r="F239" s="17">
        <v>1</v>
      </c>
      <c r="G239" s="20">
        <v>44306</v>
      </c>
      <c r="H239" s="20">
        <v>44313</v>
      </c>
      <c r="I239" s="20">
        <v>44312</v>
      </c>
      <c r="J239" s="21" t="s">
        <v>551</v>
      </c>
      <c r="K239" s="18" t="s">
        <v>24</v>
      </c>
      <c r="L239" s="23" t="s">
        <v>58</v>
      </c>
      <c r="M239" s="18" t="s">
        <v>26</v>
      </c>
      <c r="N239" s="18"/>
      <c r="O239" s="18" t="s">
        <v>38</v>
      </c>
      <c r="P239" s="21" t="s">
        <v>38</v>
      </c>
      <c r="Q239" s="18" t="s">
        <v>54</v>
      </c>
      <c r="R239" s="22" t="s">
        <v>54</v>
      </c>
    </row>
    <row r="240" spans="1:18" ht="30" customHeight="1" x14ac:dyDescent="0.25">
      <c r="A240" s="16" t="s">
        <v>76</v>
      </c>
      <c r="B240" s="17" t="s">
        <v>549</v>
      </c>
      <c r="C240" s="18" t="s">
        <v>140</v>
      </c>
      <c r="D240" s="81" t="s">
        <v>550</v>
      </c>
      <c r="E240" s="17" t="s">
        <v>46</v>
      </c>
      <c r="F240" s="17">
        <v>1</v>
      </c>
      <c r="G240" s="20">
        <v>44306</v>
      </c>
      <c r="H240" s="20">
        <v>44313</v>
      </c>
      <c r="I240" s="20">
        <v>44312</v>
      </c>
      <c r="J240" s="21" t="s">
        <v>551</v>
      </c>
      <c r="K240" s="18" t="s">
        <v>24</v>
      </c>
      <c r="L240" s="23" t="s">
        <v>58</v>
      </c>
      <c r="M240" s="18" t="s">
        <v>26</v>
      </c>
      <c r="N240" s="18"/>
      <c r="O240" s="18" t="s">
        <v>38</v>
      </c>
      <c r="P240" s="21" t="s">
        <v>38</v>
      </c>
      <c r="Q240" s="18" t="s">
        <v>54</v>
      </c>
      <c r="R240" s="22" t="s">
        <v>54</v>
      </c>
    </row>
    <row r="241" spans="1:18" ht="30" customHeight="1" x14ac:dyDescent="0.25">
      <c r="A241" s="16" t="s">
        <v>76</v>
      </c>
      <c r="B241" s="17" t="s">
        <v>549</v>
      </c>
      <c r="C241" s="18" t="s">
        <v>140</v>
      </c>
      <c r="D241" s="81" t="s">
        <v>550</v>
      </c>
      <c r="E241" s="17" t="s">
        <v>69</v>
      </c>
      <c r="F241" s="17">
        <v>1</v>
      </c>
      <c r="G241" s="20">
        <v>44306</v>
      </c>
      <c r="H241" s="20">
        <v>44313</v>
      </c>
      <c r="I241" s="20">
        <v>44312</v>
      </c>
      <c r="J241" s="21" t="s">
        <v>551</v>
      </c>
      <c r="K241" s="18" t="s">
        <v>24</v>
      </c>
      <c r="L241" s="23" t="s">
        <v>58</v>
      </c>
      <c r="M241" s="18" t="s">
        <v>26</v>
      </c>
      <c r="N241" s="18"/>
      <c r="O241" s="18" t="s">
        <v>38</v>
      </c>
      <c r="P241" s="21" t="s">
        <v>38</v>
      </c>
      <c r="Q241" s="18" t="s">
        <v>54</v>
      </c>
      <c r="R241" s="22" t="s">
        <v>54</v>
      </c>
    </row>
    <row r="242" spans="1:18" ht="30" customHeight="1" x14ac:dyDescent="0.25">
      <c r="A242" s="16" t="s">
        <v>30</v>
      </c>
      <c r="B242" s="17" t="s">
        <v>552</v>
      </c>
      <c r="C242" s="18" t="s">
        <v>20</v>
      </c>
      <c r="D242" s="81" t="s">
        <v>553</v>
      </c>
      <c r="E242" s="17" t="s">
        <v>59</v>
      </c>
      <c r="F242" s="17"/>
      <c r="G242" s="20">
        <v>44308</v>
      </c>
      <c r="H242" s="20">
        <v>44309</v>
      </c>
      <c r="I242" s="20"/>
      <c r="J242" s="21" t="s">
        <v>554</v>
      </c>
      <c r="K242" s="18" t="s">
        <v>384</v>
      </c>
      <c r="L242" s="23" t="s">
        <v>37</v>
      </c>
      <c r="M242" s="18" t="s">
        <v>26</v>
      </c>
      <c r="N242" s="18"/>
      <c r="O242" s="18" t="s">
        <v>38</v>
      </c>
      <c r="P242" s="21"/>
      <c r="Q242" s="18"/>
      <c r="R242" s="22"/>
    </row>
    <row r="243" spans="1:18" ht="30" customHeight="1" x14ac:dyDescent="0.25">
      <c r="A243" s="16" t="s">
        <v>30</v>
      </c>
      <c r="B243" s="17" t="s">
        <v>552</v>
      </c>
      <c r="C243" s="18" t="s">
        <v>140</v>
      </c>
      <c r="D243" s="81" t="s">
        <v>553</v>
      </c>
      <c r="E243" s="17" t="s">
        <v>110</v>
      </c>
      <c r="F243" s="17">
        <v>1</v>
      </c>
      <c r="G243" s="20">
        <v>44308</v>
      </c>
      <c r="H243" s="20">
        <v>44319</v>
      </c>
      <c r="I243" s="20">
        <v>44316</v>
      </c>
      <c r="J243" s="21"/>
      <c r="K243" s="18" t="s">
        <v>384</v>
      </c>
      <c r="L243" s="23" t="s">
        <v>58</v>
      </c>
      <c r="M243" s="18" t="s">
        <v>26</v>
      </c>
      <c r="N243" s="18"/>
      <c r="O243" s="18" t="s">
        <v>38</v>
      </c>
      <c r="P243" s="21" t="s">
        <v>38</v>
      </c>
      <c r="Q243" s="18"/>
      <c r="R243" s="22"/>
    </row>
    <row r="244" spans="1:18" ht="30" customHeight="1" x14ac:dyDescent="0.25">
      <c r="A244" s="16" t="s">
        <v>30</v>
      </c>
      <c r="B244" s="17" t="s">
        <v>552</v>
      </c>
      <c r="C244" s="18" t="s">
        <v>140</v>
      </c>
      <c r="D244" s="81" t="s">
        <v>553</v>
      </c>
      <c r="E244" s="17" t="s">
        <v>104</v>
      </c>
      <c r="F244" s="17">
        <v>1</v>
      </c>
      <c r="G244" s="20">
        <v>44308</v>
      </c>
      <c r="H244" s="20">
        <v>44319</v>
      </c>
      <c r="I244" s="20">
        <v>44316</v>
      </c>
      <c r="J244" s="21"/>
      <c r="K244" s="18" t="s">
        <v>384</v>
      </c>
      <c r="L244" s="23" t="s">
        <v>58</v>
      </c>
      <c r="M244" s="18" t="s">
        <v>26</v>
      </c>
      <c r="N244" s="18"/>
      <c r="O244" s="18" t="s">
        <v>38</v>
      </c>
      <c r="P244" s="21" t="s">
        <v>38</v>
      </c>
      <c r="Q244" s="18"/>
      <c r="R244" s="22"/>
    </row>
    <row r="245" spans="1:18" ht="30" customHeight="1" x14ac:dyDescent="0.25">
      <c r="A245" s="16" t="s">
        <v>30</v>
      </c>
      <c r="B245" s="17" t="s">
        <v>552</v>
      </c>
      <c r="C245" s="18" t="s">
        <v>140</v>
      </c>
      <c r="D245" s="81" t="s">
        <v>553</v>
      </c>
      <c r="E245" s="17" t="s">
        <v>116</v>
      </c>
      <c r="F245" s="17">
        <v>1</v>
      </c>
      <c r="G245" s="20">
        <v>44308</v>
      </c>
      <c r="H245" s="20">
        <v>44319</v>
      </c>
      <c r="I245" s="20">
        <v>44316</v>
      </c>
      <c r="J245" s="21"/>
      <c r="K245" s="18" t="s">
        <v>384</v>
      </c>
      <c r="L245" s="23" t="s">
        <v>58</v>
      </c>
      <c r="M245" s="18" t="s">
        <v>26</v>
      </c>
      <c r="N245" s="18"/>
      <c r="O245" s="18" t="s">
        <v>38</v>
      </c>
      <c r="P245" s="21" t="s">
        <v>38</v>
      </c>
      <c r="Q245" s="18"/>
      <c r="R245" s="22"/>
    </row>
    <row r="246" spans="1:18" ht="30" customHeight="1" x14ac:dyDescent="0.25">
      <c r="A246" s="16" t="s">
        <v>30</v>
      </c>
      <c r="B246" s="17" t="s">
        <v>552</v>
      </c>
      <c r="C246" s="18" t="s">
        <v>140</v>
      </c>
      <c r="D246" s="81" t="s">
        <v>553</v>
      </c>
      <c r="E246" s="17" t="s">
        <v>22</v>
      </c>
      <c r="F246" s="17">
        <v>1</v>
      </c>
      <c r="G246" s="20">
        <v>44308</v>
      </c>
      <c r="H246" s="20">
        <v>44319</v>
      </c>
      <c r="I246" s="20">
        <v>44316</v>
      </c>
      <c r="J246" s="21"/>
      <c r="K246" s="18" t="s">
        <v>384</v>
      </c>
      <c r="L246" s="23" t="s">
        <v>58</v>
      </c>
      <c r="M246" s="18" t="s">
        <v>26</v>
      </c>
      <c r="N246" s="18"/>
      <c r="O246" s="18" t="s">
        <v>38</v>
      </c>
      <c r="P246" s="21" t="s">
        <v>38</v>
      </c>
      <c r="Q246" s="18"/>
      <c r="R246" s="22"/>
    </row>
    <row r="247" spans="1:18" ht="30" customHeight="1" x14ac:dyDescent="0.25">
      <c r="A247" s="16" t="s">
        <v>30</v>
      </c>
      <c r="B247" s="17" t="s">
        <v>552</v>
      </c>
      <c r="C247" s="18" t="s">
        <v>140</v>
      </c>
      <c r="D247" s="81" t="s">
        <v>553</v>
      </c>
      <c r="E247" s="17" t="s">
        <v>82</v>
      </c>
      <c r="F247" s="17">
        <v>1</v>
      </c>
      <c r="G247" s="20">
        <v>44308</v>
      </c>
      <c r="H247" s="20">
        <v>44319</v>
      </c>
      <c r="I247" s="20">
        <v>44316</v>
      </c>
      <c r="J247" s="21"/>
      <c r="K247" s="18" t="s">
        <v>384</v>
      </c>
      <c r="L247" s="23" t="s">
        <v>58</v>
      </c>
      <c r="M247" s="18" t="s">
        <v>26</v>
      </c>
      <c r="N247" s="18"/>
      <c r="O247" s="18" t="s">
        <v>38</v>
      </c>
      <c r="P247" s="21" t="s">
        <v>38</v>
      </c>
      <c r="Q247" s="18"/>
      <c r="R247" s="22"/>
    </row>
    <row r="248" spans="1:18" ht="30" customHeight="1" x14ac:dyDescent="0.25">
      <c r="A248" s="16" t="s">
        <v>30</v>
      </c>
      <c r="B248" s="17" t="s">
        <v>552</v>
      </c>
      <c r="C248" s="18" t="s">
        <v>140</v>
      </c>
      <c r="D248" s="81" t="s">
        <v>553</v>
      </c>
      <c r="E248" s="17" t="s">
        <v>106</v>
      </c>
      <c r="F248" s="17">
        <v>1</v>
      </c>
      <c r="G248" s="20">
        <v>44308</v>
      </c>
      <c r="H248" s="20">
        <v>44319</v>
      </c>
      <c r="I248" s="20">
        <v>44316</v>
      </c>
      <c r="J248" s="21"/>
      <c r="K248" s="18" t="s">
        <v>384</v>
      </c>
      <c r="L248" s="23" t="s">
        <v>58</v>
      </c>
      <c r="M248" s="18" t="s">
        <v>26</v>
      </c>
      <c r="N248" s="18"/>
      <c r="O248" s="18" t="s">
        <v>38</v>
      </c>
      <c r="P248" s="21" t="s">
        <v>38</v>
      </c>
      <c r="Q248" s="18"/>
      <c r="R248" s="22"/>
    </row>
    <row r="249" spans="1:18" ht="30" customHeight="1" x14ac:dyDescent="0.25">
      <c r="A249" s="16" t="s">
        <v>30</v>
      </c>
      <c r="B249" s="17" t="s">
        <v>552</v>
      </c>
      <c r="C249" s="18" t="s">
        <v>140</v>
      </c>
      <c r="D249" s="81" t="s">
        <v>553</v>
      </c>
      <c r="E249" s="17" t="s">
        <v>111</v>
      </c>
      <c r="F249" s="17">
        <v>1</v>
      </c>
      <c r="G249" s="20">
        <v>44308</v>
      </c>
      <c r="H249" s="20">
        <v>44319</v>
      </c>
      <c r="I249" s="20">
        <v>44316</v>
      </c>
      <c r="J249" s="21" t="s">
        <v>555</v>
      </c>
      <c r="K249" s="18" t="s">
        <v>384</v>
      </c>
      <c r="L249" s="23" t="s">
        <v>58</v>
      </c>
      <c r="M249" s="18" t="s">
        <v>26</v>
      </c>
      <c r="N249" s="18"/>
      <c r="O249" s="18" t="s">
        <v>38</v>
      </c>
      <c r="P249" s="21" t="s">
        <v>38</v>
      </c>
      <c r="Q249" s="18"/>
      <c r="R249" s="22"/>
    </row>
    <row r="250" spans="1:18" ht="30" customHeight="1" x14ac:dyDescent="0.25">
      <c r="A250" s="16" t="s">
        <v>159</v>
      </c>
      <c r="B250" s="17" t="s">
        <v>556</v>
      </c>
      <c r="C250" s="18" t="s">
        <v>410</v>
      </c>
      <c r="D250" s="81" t="s">
        <v>364</v>
      </c>
      <c r="E250" s="17" t="s">
        <v>69</v>
      </c>
      <c r="F250" s="17">
        <v>2</v>
      </c>
      <c r="G250" s="20">
        <v>44306</v>
      </c>
      <c r="H250" s="20">
        <v>44309</v>
      </c>
      <c r="I250" s="20">
        <v>44309</v>
      </c>
      <c r="J250" s="21" t="s">
        <v>557</v>
      </c>
      <c r="K250" s="85" t="s">
        <v>24</v>
      </c>
      <c r="L250" s="23" t="s">
        <v>58</v>
      </c>
      <c r="M250" s="18" t="s">
        <v>26</v>
      </c>
      <c r="N250" s="18">
        <v>2</v>
      </c>
      <c r="O250" s="18" t="s">
        <v>38</v>
      </c>
      <c r="P250" s="21"/>
      <c r="Q250" s="18" t="s">
        <v>54</v>
      </c>
      <c r="R250" s="18" t="s">
        <v>54</v>
      </c>
    </row>
    <row r="251" spans="1:18" ht="30" customHeight="1" x14ac:dyDescent="0.25">
      <c r="A251" s="16" t="s">
        <v>159</v>
      </c>
      <c r="B251" s="17" t="s">
        <v>556</v>
      </c>
      <c r="C251" s="18" t="s">
        <v>410</v>
      </c>
      <c r="D251" s="81" t="s">
        <v>364</v>
      </c>
      <c r="E251" s="17" t="s">
        <v>68</v>
      </c>
      <c r="F251" s="17">
        <v>8</v>
      </c>
      <c r="G251" s="20">
        <v>44306</v>
      </c>
      <c r="H251" s="20">
        <v>44309</v>
      </c>
      <c r="I251" s="20">
        <v>44309</v>
      </c>
      <c r="J251" s="21" t="s">
        <v>557</v>
      </c>
      <c r="K251" s="85" t="s">
        <v>24</v>
      </c>
      <c r="L251" s="23" t="s">
        <v>58</v>
      </c>
      <c r="M251" s="18" t="s">
        <v>26</v>
      </c>
      <c r="N251" s="18">
        <v>2</v>
      </c>
      <c r="O251" s="18" t="s">
        <v>38</v>
      </c>
      <c r="P251" s="21"/>
      <c r="Q251" s="18" t="s">
        <v>54</v>
      </c>
      <c r="R251" s="18" t="s">
        <v>54</v>
      </c>
    </row>
    <row r="252" spans="1:18" ht="30" customHeight="1" x14ac:dyDescent="0.25">
      <c r="A252" s="16" t="s">
        <v>159</v>
      </c>
      <c r="B252" s="17" t="s">
        <v>556</v>
      </c>
      <c r="C252" s="18" t="s">
        <v>410</v>
      </c>
      <c r="D252" s="81" t="s">
        <v>364</v>
      </c>
      <c r="E252" s="17" t="s">
        <v>153</v>
      </c>
      <c r="F252" s="17">
        <v>10</v>
      </c>
      <c r="G252" s="20">
        <v>44306</v>
      </c>
      <c r="H252" s="20">
        <v>44309</v>
      </c>
      <c r="I252" s="20">
        <v>44309</v>
      </c>
      <c r="J252" s="21" t="s">
        <v>557</v>
      </c>
      <c r="K252" s="85" t="s">
        <v>24</v>
      </c>
      <c r="L252" s="23" t="s">
        <v>58</v>
      </c>
      <c r="M252" s="18" t="s">
        <v>26</v>
      </c>
      <c r="N252" s="18">
        <v>2</v>
      </c>
      <c r="O252" s="18" t="s">
        <v>38</v>
      </c>
      <c r="P252" s="21"/>
      <c r="Q252" s="18" t="s">
        <v>54</v>
      </c>
      <c r="R252" s="18" t="s">
        <v>54</v>
      </c>
    </row>
    <row r="253" spans="1:18" ht="30" customHeight="1" x14ac:dyDescent="0.25">
      <c r="A253" s="16" t="s">
        <v>159</v>
      </c>
      <c r="B253" s="17" t="s">
        <v>556</v>
      </c>
      <c r="C253" s="18" t="s">
        <v>410</v>
      </c>
      <c r="D253" s="81" t="s">
        <v>364</v>
      </c>
      <c r="E253" s="17" t="s">
        <v>82</v>
      </c>
      <c r="F253" s="17">
        <v>1</v>
      </c>
      <c r="G253" s="20">
        <v>44306</v>
      </c>
      <c r="H253" s="20">
        <v>44309</v>
      </c>
      <c r="I253" s="20">
        <v>44309</v>
      </c>
      <c r="J253" s="21" t="s">
        <v>557</v>
      </c>
      <c r="K253" s="85" t="s">
        <v>24</v>
      </c>
      <c r="L253" s="23" t="s">
        <v>58</v>
      </c>
      <c r="M253" s="18" t="s">
        <v>83</v>
      </c>
      <c r="N253" s="18">
        <v>2</v>
      </c>
      <c r="O253" s="18" t="s">
        <v>38</v>
      </c>
      <c r="P253" s="21"/>
      <c r="Q253" s="18" t="s">
        <v>54</v>
      </c>
      <c r="R253" s="18" t="s">
        <v>54</v>
      </c>
    </row>
    <row r="254" spans="1:18" ht="30" customHeight="1" x14ac:dyDescent="0.25">
      <c r="A254" s="16" t="s">
        <v>72</v>
      </c>
      <c r="B254" s="17">
        <v>231232</v>
      </c>
      <c r="C254" s="18" t="s">
        <v>140</v>
      </c>
      <c r="D254" s="81" t="s">
        <v>558</v>
      </c>
      <c r="E254" s="17" t="s">
        <v>69</v>
      </c>
      <c r="F254" s="17">
        <v>2</v>
      </c>
      <c r="G254" s="20">
        <v>44298</v>
      </c>
      <c r="H254" s="20">
        <v>44309</v>
      </c>
      <c r="I254" s="20">
        <v>44309</v>
      </c>
      <c r="J254" s="21"/>
      <c r="K254" s="18" t="s">
        <v>384</v>
      </c>
      <c r="L254" s="23" t="s">
        <v>58</v>
      </c>
      <c r="M254" s="18" t="s">
        <v>26</v>
      </c>
      <c r="N254" s="18"/>
      <c r="O254" s="18" t="s">
        <v>38</v>
      </c>
      <c r="P254" s="21"/>
      <c r="Q254" s="18"/>
      <c r="R254" s="22"/>
    </row>
    <row r="255" spans="1:18" ht="30" customHeight="1" x14ac:dyDescent="0.25">
      <c r="A255" s="16" t="s">
        <v>39</v>
      </c>
      <c r="B255" s="17" t="s">
        <v>247</v>
      </c>
      <c r="C255" s="18" t="s">
        <v>140</v>
      </c>
      <c r="D255" s="81" t="s">
        <v>559</v>
      </c>
      <c r="E255" s="17" t="s">
        <v>98</v>
      </c>
      <c r="F255" s="17">
        <v>18</v>
      </c>
      <c r="G255" s="20">
        <v>44305</v>
      </c>
      <c r="H255" s="20">
        <v>44326</v>
      </c>
      <c r="I255" s="20">
        <v>44320</v>
      </c>
      <c r="J255" s="21"/>
      <c r="K255" s="18" t="s">
        <v>24</v>
      </c>
      <c r="L255" s="23" t="s">
        <v>25</v>
      </c>
      <c r="M255" s="18" t="s">
        <v>26</v>
      </c>
      <c r="N255" s="18"/>
      <c r="O255" s="18" t="s">
        <v>27</v>
      </c>
      <c r="P255" s="21" t="s">
        <v>27</v>
      </c>
      <c r="Q255" s="18" t="s">
        <v>29</v>
      </c>
      <c r="R255" s="22" t="s">
        <v>29</v>
      </c>
    </row>
    <row r="256" spans="1:18" ht="30" customHeight="1" x14ac:dyDescent="0.25">
      <c r="A256" s="16" t="s">
        <v>87</v>
      </c>
      <c r="B256" s="17">
        <v>233464</v>
      </c>
      <c r="C256" s="18" t="s">
        <v>20</v>
      </c>
      <c r="D256" s="81" t="s">
        <v>364</v>
      </c>
      <c r="E256" s="17" t="s">
        <v>22</v>
      </c>
      <c r="F256" s="17">
        <v>1</v>
      </c>
      <c r="G256" s="20">
        <v>44308</v>
      </c>
      <c r="H256" s="20">
        <v>44309</v>
      </c>
      <c r="I256" s="20"/>
      <c r="J256" s="21"/>
      <c r="K256" s="18" t="s">
        <v>24</v>
      </c>
      <c r="L256" s="23" t="s">
        <v>58</v>
      </c>
      <c r="M256" s="18" t="s">
        <v>26</v>
      </c>
      <c r="N256" s="18">
        <v>1</v>
      </c>
      <c r="O256" s="18" t="s">
        <v>38</v>
      </c>
      <c r="P256" s="21" t="s">
        <v>38</v>
      </c>
      <c r="Q256" s="18" t="s">
        <v>54</v>
      </c>
      <c r="R256" s="22" t="s">
        <v>29</v>
      </c>
    </row>
    <row r="257" spans="1:18" ht="30" customHeight="1" x14ac:dyDescent="0.25">
      <c r="A257" s="16" t="s">
        <v>87</v>
      </c>
      <c r="B257" s="17">
        <v>233464</v>
      </c>
      <c r="C257" s="18" t="s">
        <v>20</v>
      </c>
      <c r="D257" s="81" t="s">
        <v>364</v>
      </c>
      <c r="E257" s="17" t="s">
        <v>68</v>
      </c>
      <c r="F257" s="17">
        <v>3</v>
      </c>
      <c r="G257" s="20">
        <v>44308</v>
      </c>
      <c r="H257" s="20">
        <v>44309</v>
      </c>
      <c r="I257" s="20"/>
      <c r="J257" s="21"/>
      <c r="K257" s="18" t="s">
        <v>24</v>
      </c>
      <c r="L257" s="23" t="s">
        <v>58</v>
      </c>
      <c r="M257" s="18" t="s">
        <v>26</v>
      </c>
      <c r="N257" s="18"/>
      <c r="O257" s="18" t="s">
        <v>38</v>
      </c>
      <c r="P257" s="21" t="s">
        <v>38</v>
      </c>
      <c r="Q257" s="18" t="s">
        <v>54</v>
      </c>
      <c r="R257" s="22" t="s">
        <v>29</v>
      </c>
    </row>
    <row r="258" spans="1:18" ht="30" customHeight="1" x14ac:dyDescent="0.25">
      <c r="A258" s="16" t="s">
        <v>87</v>
      </c>
      <c r="B258" s="17">
        <v>233464</v>
      </c>
      <c r="C258" s="18" t="s">
        <v>20</v>
      </c>
      <c r="D258" s="81" t="s">
        <v>364</v>
      </c>
      <c r="E258" s="17" t="s">
        <v>153</v>
      </c>
      <c r="F258" s="17">
        <v>3</v>
      </c>
      <c r="G258" s="20">
        <v>44308</v>
      </c>
      <c r="H258" s="20">
        <v>44309</v>
      </c>
      <c r="I258" s="20"/>
      <c r="J258" s="21"/>
      <c r="K258" s="18" t="s">
        <v>24</v>
      </c>
      <c r="L258" s="23" t="s">
        <v>58</v>
      </c>
      <c r="M258" s="18" t="s">
        <v>26</v>
      </c>
      <c r="N258" s="18"/>
      <c r="O258" s="18" t="s">
        <v>38</v>
      </c>
      <c r="P258" s="21" t="s">
        <v>38</v>
      </c>
      <c r="Q258" s="18" t="s">
        <v>54</v>
      </c>
      <c r="R258" s="22" t="s">
        <v>29</v>
      </c>
    </row>
    <row r="259" spans="1:18" ht="45" customHeight="1" x14ac:dyDescent="0.25">
      <c r="A259" s="16" t="s">
        <v>87</v>
      </c>
      <c r="B259" s="17">
        <v>233464</v>
      </c>
      <c r="C259" s="18" t="s">
        <v>20</v>
      </c>
      <c r="D259" s="81" t="s">
        <v>364</v>
      </c>
      <c r="E259" s="17" t="s">
        <v>82</v>
      </c>
      <c r="F259" s="17">
        <v>1</v>
      </c>
      <c r="G259" s="20">
        <v>44308</v>
      </c>
      <c r="H259" s="20">
        <v>44309</v>
      </c>
      <c r="I259" s="20"/>
      <c r="J259" s="21"/>
      <c r="K259" s="18" t="s">
        <v>24</v>
      </c>
      <c r="L259" s="23" t="s">
        <v>58</v>
      </c>
      <c r="M259" s="18" t="s">
        <v>26</v>
      </c>
      <c r="N259" s="18"/>
      <c r="O259" s="18" t="s">
        <v>38</v>
      </c>
      <c r="P259" s="21" t="s">
        <v>38</v>
      </c>
      <c r="Q259" s="18" t="s">
        <v>54</v>
      </c>
      <c r="R259" s="22" t="s">
        <v>29</v>
      </c>
    </row>
    <row r="260" spans="1:18" ht="30" customHeight="1" x14ac:dyDescent="0.25">
      <c r="A260" s="16" t="s">
        <v>87</v>
      </c>
      <c r="B260" s="17">
        <v>233464</v>
      </c>
      <c r="C260" s="18" t="s">
        <v>20</v>
      </c>
      <c r="D260" s="81" t="s">
        <v>364</v>
      </c>
      <c r="E260" s="17" t="s">
        <v>69</v>
      </c>
      <c r="F260" s="17">
        <v>1</v>
      </c>
      <c r="G260" s="20">
        <v>44308</v>
      </c>
      <c r="H260" s="20">
        <v>44309</v>
      </c>
      <c r="I260" s="20"/>
      <c r="J260" s="21"/>
      <c r="K260" s="18" t="s">
        <v>24</v>
      </c>
      <c r="L260" s="23" t="s">
        <v>58</v>
      </c>
      <c r="M260" s="18" t="s">
        <v>26</v>
      </c>
      <c r="N260" s="18"/>
      <c r="O260" s="18" t="s">
        <v>38</v>
      </c>
      <c r="P260" s="21" t="s">
        <v>38</v>
      </c>
      <c r="Q260" s="18" t="s">
        <v>54</v>
      </c>
      <c r="R260" s="22" t="s">
        <v>29</v>
      </c>
    </row>
    <row r="261" spans="1:18" ht="30" customHeight="1" x14ac:dyDescent="0.25">
      <c r="A261" s="16" t="s">
        <v>87</v>
      </c>
      <c r="B261" s="17">
        <v>233464</v>
      </c>
      <c r="C261" s="18" t="s">
        <v>20</v>
      </c>
      <c r="D261" s="81" t="s">
        <v>364</v>
      </c>
      <c r="E261" s="17" t="s">
        <v>102</v>
      </c>
      <c r="F261" s="17">
        <v>1</v>
      </c>
      <c r="G261" s="20">
        <v>44308</v>
      </c>
      <c r="H261" s="20">
        <v>44309</v>
      </c>
      <c r="I261" s="20"/>
      <c r="J261" s="21"/>
      <c r="K261" s="18" t="s">
        <v>24</v>
      </c>
      <c r="L261" s="23" t="s">
        <v>58</v>
      </c>
      <c r="M261" s="18" t="s">
        <v>26</v>
      </c>
      <c r="N261" s="18">
        <v>1</v>
      </c>
      <c r="O261" s="18" t="s">
        <v>38</v>
      </c>
      <c r="P261" s="21" t="s">
        <v>38</v>
      </c>
      <c r="Q261" s="18" t="s">
        <v>54</v>
      </c>
      <c r="R261" s="22" t="s">
        <v>29</v>
      </c>
    </row>
    <row r="262" spans="1:18" ht="30" customHeight="1" x14ac:dyDescent="0.25">
      <c r="A262" s="16" t="s">
        <v>87</v>
      </c>
      <c r="B262" s="17">
        <v>233464</v>
      </c>
      <c r="C262" s="18" t="s">
        <v>20</v>
      </c>
      <c r="D262" s="81" t="s">
        <v>364</v>
      </c>
      <c r="E262" s="17" t="s">
        <v>111</v>
      </c>
      <c r="F262" s="17">
        <v>1</v>
      </c>
      <c r="G262" s="20">
        <v>44308</v>
      </c>
      <c r="H262" s="20">
        <v>44309</v>
      </c>
      <c r="I262" s="20"/>
      <c r="J262" s="21" t="s">
        <v>543</v>
      </c>
      <c r="K262" s="18" t="s">
        <v>24</v>
      </c>
      <c r="L262" s="23" t="s">
        <v>58</v>
      </c>
      <c r="M262" s="18" t="s">
        <v>26</v>
      </c>
      <c r="N262" s="18"/>
      <c r="O262" s="18" t="s">
        <v>38</v>
      </c>
      <c r="P262" s="21" t="s">
        <v>38</v>
      </c>
      <c r="Q262" s="18" t="s">
        <v>54</v>
      </c>
      <c r="R262" s="22" t="s">
        <v>29</v>
      </c>
    </row>
    <row r="263" spans="1:18" ht="43.5" customHeight="1" x14ac:dyDescent="0.25">
      <c r="A263" s="16" t="s">
        <v>87</v>
      </c>
      <c r="B263" s="17">
        <v>233464</v>
      </c>
      <c r="C263" s="18" t="s">
        <v>20</v>
      </c>
      <c r="D263" s="81" t="s">
        <v>364</v>
      </c>
      <c r="E263" s="17" t="s">
        <v>463</v>
      </c>
      <c r="F263" s="17">
        <v>1</v>
      </c>
      <c r="G263" s="20">
        <v>44308</v>
      </c>
      <c r="H263" s="20">
        <v>44309</v>
      </c>
      <c r="I263" s="20"/>
      <c r="J263" s="21" t="s">
        <v>560</v>
      </c>
      <c r="K263" s="18" t="s">
        <v>24</v>
      </c>
      <c r="L263" s="23" t="s">
        <v>58</v>
      </c>
      <c r="M263" s="18" t="s">
        <v>26</v>
      </c>
      <c r="N263" s="18">
        <v>1</v>
      </c>
      <c r="O263" s="18" t="s">
        <v>38</v>
      </c>
      <c r="P263" s="21" t="s">
        <v>38</v>
      </c>
      <c r="Q263" s="18" t="s">
        <v>54</v>
      </c>
      <c r="R263" s="22" t="s">
        <v>29</v>
      </c>
    </row>
    <row r="264" spans="1:18" ht="43.5" customHeight="1" x14ac:dyDescent="0.25">
      <c r="A264" s="16" t="s">
        <v>87</v>
      </c>
      <c r="B264" s="17">
        <v>233464</v>
      </c>
      <c r="C264" s="18" t="s">
        <v>20</v>
      </c>
      <c r="D264" s="81" t="s">
        <v>364</v>
      </c>
      <c r="E264" s="17" t="s">
        <v>561</v>
      </c>
      <c r="F264" s="17">
        <v>1</v>
      </c>
      <c r="G264" s="20">
        <v>44308</v>
      </c>
      <c r="H264" s="20">
        <v>44316</v>
      </c>
      <c r="I264" s="20"/>
      <c r="J264" s="21" t="s">
        <v>560</v>
      </c>
      <c r="K264" s="18" t="s">
        <v>24</v>
      </c>
      <c r="L264" s="23" t="s">
        <v>58</v>
      </c>
      <c r="M264" s="18" t="s">
        <v>26</v>
      </c>
      <c r="N264" s="18"/>
      <c r="O264" s="18" t="s">
        <v>38</v>
      </c>
      <c r="P264" s="21" t="s">
        <v>38</v>
      </c>
      <c r="Q264" s="18" t="s">
        <v>54</v>
      </c>
      <c r="R264" s="22" t="s">
        <v>29</v>
      </c>
    </row>
    <row r="265" spans="1:18" ht="43.5" customHeight="1" x14ac:dyDescent="0.25">
      <c r="A265" s="16" t="s">
        <v>87</v>
      </c>
      <c r="B265" s="17">
        <v>233464</v>
      </c>
      <c r="C265" s="18" t="s">
        <v>20</v>
      </c>
      <c r="D265" s="93" t="s">
        <v>364</v>
      </c>
      <c r="E265" s="17" t="s">
        <v>41</v>
      </c>
      <c r="F265" s="17">
        <v>1</v>
      </c>
      <c r="G265" s="20">
        <v>44320</v>
      </c>
      <c r="H265" s="20">
        <v>44321</v>
      </c>
      <c r="I265" s="20"/>
      <c r="J265" s="21"/>
      <c r="K265" s="18" t="s">
        <v>384</v>
      </c>
      <c r="L265" s="23" t="s">
        <v>58</v>
      </c>
      <c r="M265" s="18" t="s">
        <v>26</v>
      </c>
      <c r="N265" s="18"/>
      <c r="O265" s="18" t="s">
        <v>38</v>
      </c>
      <c r="P265" s="21" t="s">
        <v>38</v>
      </c>
      <c r="Q265" s="18" t="s">
        <v>54</v>
      </c>
      <c r="R265" s="22" t="s">
        <v>29</v>
      </c>
    </row>
    <row r="266" spans="1:18" ht="43.5" customHeight="1" x14ac:dyDescent="0.25">
      <c r="A266" s="16" t="s">
        <v>87</v>
      </c>
      <c r="B266" s="17">
        <v>233464</v>
      </c>
      <c r="C266" s="18" t="s">
        <v>20</v>
      </c>
      <c r="D266" s="93" t="s">
        <v>364</v>
      </c>
      <c r="E266" s="17" t="s">
        <v>454</v>
      </c>
      <c r="F266" s="17">
        <v>1</v>
      </c>
      <c r="G266" s="20">
        <v>44320</v>
      </c>
      <c r="H266" s="20">
        <v>44321</v>
      </c>
      <c r="I266" s="20"/>
      <c r="J266" s="21"/>
      <c r="K266" s="18" t="s">
        <v>384</v>
      </c>
      <c r="L266" s="23" t="s">
        <v>58</v>
      </c>
      <c r="M266" s="18" t="s">
        <v>26</v>
      </c>
      <c r="N266" s="18"/>
      <c r="O266" s="18" t="s">
        <v>38</v>
      </c>
      <c r="P266" s="21" t="s">
        <v>38</v>
      </c>
      <c r="Q266" s="18" t="s">
        <v>54</v>
      </c>
      <c r="R266" s="22" t="s">
        <v>29</v>
      </c>
    </row>
    <row r="267" spans="1:18" ht="57.75" customHeight="1" x14ac:dyDescent="0.25">
      <c r="A267" s="16" t="s">
        <v>39</v>
      </c>
      <c r="B267" s="17" t="s">
        <v>247</v>
      </c>
      <c r="C267" s="18" t="s">
        <v>140</v>
      </c>
      <c r="D267" s="81" t="s">
        <v>562</v>
      </c>
      <c r="E267" s="17" t="s">
        <v>102</v>
      </c>
      <c r="F267" s="17">
        <v>4</v>
      </c>
      <c r="G267" s="20">
        <v>44309</v>
      </c>
      <c r="H267" s="20">
        <v>44309</v>
      </c>
      <c r="I267" s="20">
        <v>44309</v>
      </c>
      <c r="J267" s="21"/>
      <c r="K267" s="18" t="s">
        <v>24</v>
      </c>
      <c r="L267" s="23" t="s">
        <v>45</v>
      </c>
      <c r="M267" s="18" t="s">
        <v>26</v>
      </c>
      <c r="N267" s="18"/>
      <c r="O267" s="18" t="s">
        <v>38</v>
      </c>
      <c r="P267" s="21"/>
      <c r="Q267" s="18"/>
      <c r="R267" s="22"/>
    </row>
    <row r="268" spans="1:18" ht="53.25" customHeight="1" x14ac:dyDescent="0.25">
      <c r="A268" s="16" t="s">
        <v>49</v>
      </c>
      <c r="B268" s="17">
        <v>233543</v>
      </c>
      <c r="C268" s="18" t="s">
        <v>140</v>
      </c>
      <c r="D268" s="81" t="s">
        <v>563</v>
      </c>
      <c r="E268" s="17" t="s">
        <v>116</v>
      </c>
      <c r="F268" s="17">
        <v>1</v>
      </c>
      <c r="G268" s="20">
        <v>44309</v>
      </c>
      <c r="H268" s="20">
        <v>44321</v>
      </c>
      <c r="I268" s="20">
        <v>44319</v>
      </c>
      <c r="J268" s="21" t="s">
        <v>564</v>
      </c>
      <c r="K268" s="18" t="s">
        <v>384</v>
      </c>
      <c r="L268" s="23" t="s">
        <v>58</v>
      </c>
      <c r="M268" s="18" t="s">
        <v>26</v>
      </c>
      <c r="N268" s="18"/>
      <c r="O268" s="18" t="s">
        <v>38</v>
      </c>
      <c r="P268" s="21"/>
      <c r="Q268" s="18"/>
      <c r="R268" s="22"/>
    </row>
    <row r="269" spans="1:18" ht="51.75" customHeight="1" x14ac:dyDescent="0.25">
      <c r="A269" s="16" t="s">
        <v>72</v>
      </c>
      <c r="B269" s="17" t="s">
        <v>565</v>
      </c>
      <c r="C269" s="18" t="s">
        <v>20</v>
      </c>
      <c r="D269" s="81" t="s">
        <v>566</v>
      </c>
      <c r="E269" s="17" t="s">
        <v>79</v>
      </c>
      <c r="F269" s="17">
        <v>1</v>
      </c>
      <c r="G269" s="20">
        <v>44309</v>
      </c>
      <c r="H269" s="20">
        <v>44320</v>
      </c>
      <c r="I269" s="20"/>
      <c r="J269" s="21" t="s">
        <v>567</v>
      </c>
      <c r="K269" s="18" t="s">
        <v>384</v>
      </c>
      <c r="L269" s="23" t="s">
        <v>25</v>
      </c>
      <c r="M269" s="18" t="s">
        <v>34</v>
      </c>
      <c r="N269" s="18"/>
      <c r="O269" s="18" t="s">
        <v>27</v>
      </c>
      <c r="P269" s="21" t="s">
        <v>27</v>
      </c>
      <c r="Q269" s="18" t="s">
        <v>54</v>
      </c>
      <c r="R269" s="22" t="s">
        <v>29</v>
      </c>
    </row>
    <row r="270" spans="1:18" ht="51.75" customHeight="1" x14ac:dyDescent="0.25">
      <c r="A270" s="16" t="s">
        <v>72</v>
      </c>
      <c r="B270" s="17" t="s">
        <v>565</v>
      </c>
      <c r="C270" s="18" t="s">
        <v>20</v>
      </c>
      <c r="D270" s="81" t="s">
        <v>566</v>
      </c>
      <c r="E270" s="17" t="s">
        <v>22</v>
      </c>
      <c r="F270" s="17">
        <v>1</v>
      </c>
      <c r="G270" s="20">
        <v>44309</v>
      </c>
      <c r="H270" s="20">
        <v>44320</v>
      </c>
      <c r="I270" s="20"/>
      <c r="J270" s="21" t="s">
        <v>567</v>
      </c>
      <c r="K270" s="18" t="s">
        <v>384</v>
      </c>
      <c r="L270" s="23" t="s">
        <v>25</v>
      </c>
      <c r="M270" s="18" t="s">
        <v>26</v>
      </c>
      <c r="N270" s="18"/>
      <c r="O270" s="18" t="s">
        <v>27</v>
      </c>
      <c r="P270" s="21" t="s">
        <v>27</v>
      </c>
      <c r="Q270" s="18" t="s">
        <v>54</v>
      </c>
      <c r="R270" s="22" t="s">
        <v>29</v>
      </c>
    </row>
    <row r="271" spans="1:18" ht="30" customHeight="1" x14ac:dyDescent="0.25">
      <c r="A271" s="16" t="s">
        <v>49</v>
      </c>
      <c r="B271" s="17">
        <v>233710</v>
      </c>
      <c r="C271" s="18" t="s">
        <v>20</v>
      </c>
      <c r="D271" s="81" t="s">
        <v>568</v>
      </c>
      <c r="E271" s="17" t="s">
        <v>46</v>
      </c>
      <c r="F271" s="17">
        <v>1</v>
      </c>
      <c r="G271" s="20">
        <v>44312</v>
      </c>
      <c r="H271" s="20">
        <v>44319</v>
      </c>
      <c r="I271" s="20"/>
      <c r="J271" s="21" t="s">
        <v>569</v>
      </c>
      <c r="K271" s="18" t="s">
        <v>384</v>
      </c>
      <c r="L271" s="23" t="s">
        <v>25</v>
      </c>
      <c r="M271" s="18" t="s">
        <v>26</v>
      </c>
      <c r="N271" s="18"/>
      <c r="O271" s="18" t="s">
        <v>27</v>
      </c>
      <c r="P271" s="21" t="s">
        <v>27</v>
      </c>
      <c r="Q271" s="18" t="s">
        <v>28</v>
      </c>
      <c r="R271" s="22" t="s">
        <v>54</v>
      </c>
    </row>
    <row r="272" spans="1:18" ht="30" customHeight="1" x14ac:dyDescent="0.25">
      <c r="A272" s="16" t="s">
        <v>49</v>
      </c>
      <c r="B272" s="17">
        <v>233710</v>
      </c>
      <c r="C272" s="18" t="s">
        <v>20</v>
      </c>
      <c r="D272" s="81" t="s">
        <v>568</v>
      </c>
      <c r="E272" s="17" t="s">
        <v>22</v>
      </c>
      <c r="F272" s="17">
        <v>1</v>
      </c>
      <c r="G272" s="20">
        <v>44312</v>
      </c>
      <c r="H272" s="20">
        <v>44319</v>
      </c>
      <c r="I272" s="20"/>
      <c r="J272" s="21"/>
      <c r="K272" s="18" t="s">
        <v>384</v>
      </c>
      <c r="L272" s="23" t="s">
        <v>25</v>
      </c>
      <c r="M272" s="18" t="s">
        <v>26</v>
      </c>
      <c r="N272" s="18"/>
      <c r="O272" s="18" t="s">
        <v>27</v>
      </c>
      <c r="P272" s="21" t="s">
        <v>27</v>
      </c>
      <c r="Q272" s="18" t="s">
        <v>28</v>
      </c>
      <c r="R272" s="22" t="s">
        <v>54</v>
      </c>
    </row>
    <row r="273" spans="1:18" ht="30" customHeight="1" x14ac:dyDescent="0.25">
      <c r="A273" s="16" t="s">
        <v>49</v>
      </c>
      <c r="B273" s="17">
        <v>233710</v>
      </c>
      <c r="C273" s="18" t="s">
        <v>20</v>
      </c>
      <c r="D273" s="81" t="s">
        <v>568</v>
      </c>
      <c r="E273" s="17" t="s">
        <v>177</v>
      </c>
      <c r="F273" s="17">
        <v>1</v>
      </c>
      <c r="G273" s="20">
        <v>44312</v>
      </c>
      <c r="H273" s="20">
        <v>44319</v>
      </c>
      <c r="I273" s="20"/>
      <c r="J273" s="21"/>
      <c r="K273" s="18" t="s">
        <v>384</v>
      </c>
      <c r="L273" s="23" t="s">
        <v>25</v>
      </c>
      <c r="M273" s="18" t="s">
        <v>26</v>
      </c>
      <c r="N273" s="18"/>
      <c r="O273" s="18" t="s">
        <v>27</v>
      </c>
      <c r="P273" s="21" t="s">
        <v>27</v>
      </c>
      <c r="Q273" s="18" t="s">
        <v>28</v>
      </c>
      <c r="R273" s="22" t="s">
        <v>54</v>
      </c>
    </row>
    <row r="274" spans="1:18" ht="30" customHeight="1" x14ac:dyDescent="0.25">
      <c r="A274" s="16" t="s">
        <v>49</v>
      </c>
      <c r="B274" s="17">
        <v>233710</v>
      </c>
      <c r="C274" s="18" t="s">
        <v>20</v>
      </c>
      <c r="D274" s="81" t="s">
        <v>568</v>
      </c>
      <c r="E274" s="17" t="s">
        <v>127</v>
      </c>
      <c r="F274" s="17">
        <v>1</v>
      </c>
      <c r="G274" s="20">
        <v>44312</v>
      </c>
      <c r="H274" s="20">
        <v>44319</v>
      </c>
      <c r="I274" s="20"/>
      <c r="J274" s="21" t="s">
        <v>22</v>
      </c>
      <c r="K274" s="18" t="s">
        <v>384</v>
      </c>
      <c r="L274" s="23" t="s">
        <v>25</v>
      </c>
      <c r="M274" s="18" t="s">
        <v>26</v>
      </c>
      <c r="N274" s="18"/>
      <c r="O274" s="18" t="s">
        <v>27</v>
      </c>
      <c r="P274" s="21" t="s">
        <v>27</v>
      </c>
      <c r="Q274" s="18" t="s">
        <v>28</v>
      </c>
      <c r="R274" s="22" t="s">
        <v>54</v>
      </c>
    </row>
    <row r="275" spans="1:18" ht="45" customHeight="1" x14ac:dyDescent="0.25">
      <c r="A275" s="24" t="s">
        <v>39</v>
      </c>
      <c r="B275" s="25"/>
      <c r="C275" s="26" t="s">
        <v>410</v>
      </c>
      <c r="D275" s="83" t="s">
        <v>570</v>
      </c>
      <c r="E275" s="25" t="s">
        <v>102</v>
      </c>
      <c r="F275" s="25">
        <v>1</v>
      </c>
      <c r="G275" s="84">
        <v>44313</v>
      </c>
      <c r="H275" s="84">
        <v>44313</v>
      </c>
      <c r="I275" s="84">
        <v>44313</v>
      </c>
      <c r="J275" s="28"/>
      <c r="K275" s="26" t="s">
        <v>24</v>
      </c>
      <c r="L275" s="29" t="s">
        <v>58</v>
      </c>
      <c r="M275" s="26" t="s">
        <v>26</v>
      </c>
      <c r="N275" s="26"/>
      <c r="O275" s="26" t="s">
        <v>38</v>
      </c>
      <c r="P275" s="28" t="s">
        <v>38</v>
      </c>
      <c r="Q275" s="26" t="s">
        <v>29</v>
      </c>
      <c r="R275" s="30" t="s">
        <v>29</v>
      </c>
    </row>
    <row r="276" spans="1:18" ht="48" customHeight="1" x14ac:dyDescent="0.25">
      <c r="A276" s="24" t="s">
        <v>159</v>
      </c>
      <c r="B276" s="25"/>
      <c r="C276" s="26" t="s">
        <v>410</v>
      </c>
      <c r="D276" s="83" t="s">
        <v>570</v>
      </c>
      <c r="E276" s="25" t="s">
        <v>102</v>
      </c>
      <c r="F276" s="25">
        <v>1</v>
      </c>
      <c r="G276" s="84">
        <v>44313</v>
      </c>
      <c r="H276" s="84">
        <v>44313</v>
      </c>
      <c r="I276" s="84">
        <v>44313</v>
      </c>
      <c r="J276" s="28"/>
      <c r="K276" s="26" t="s">
        <v>24</v>
      </c>
      <c r="L276" s="29" t="s">
        <v>58</v>
      </c>
      <c r="M276" s="26" t="s">
        <v>26</v>
      </c>
      <c r="N276" s="26"/>
      <c r="O276" s="26" t="s">
        <v>38</v>
      </c>
      <c r="P276" s="28" t="s">
        <v>38</v>
      </c>
      <c r="Q276" s="26" t="s">
        <v>29</v>
      </c>
      <c r="R276" s="30" t="s">
        <v>29</v>
      </c>
    </row>
    <row r="277" spans="1:18" ht="43.5" customHeight="1" x14ac:dyDescent="0.25">
      <c r="A277" s="24" t="s">
        <v>39</v>
      </c>
      <c r="B277" s="25" t="s">
        <v>571</v>
      </c>
      <c r="C277" s="26" t="s">
        <v>140</v>
      </c>
      <c r="D277" s="83" t="s">
        <v>572</v>
      </c>
      <c r="E277" s="25" t="s">
        <v>46</v>
      </c>
      <c r="F277" s="25"/>
      <c r="G277" s="84">
        <v>44313</v>
      </c>
      <c r="H277" s="84">
        <v>44326</v>
      </c>
      <c r="I277" s="84"/>
      <c r="J277" s="28" t="s">
        <v>573</v>
      </c>
      <c r="K277" s="26" t="s">
        <v>388</v>
      </c>
      <c r="L277" s="29" t="s">
        <v>58</v>
      </c>
      <c r="M277" s="26" t="s">
        <v>26</v>
      </c>
      <c r="N277" s="26"/>
      <c r="O277" s="26" t="s">
        <v>38</v>
      </c>
      <c r="P277" s="28" t="s">
        <v>38</v>
      </c>
      <c r="Q277" s="26"/>
      <c r="R277" s="30"/>
    </row>
    <row r="278" spans="1:18" ht="44.25" customHeight="1" x14ac:dyDescent="0.25">
      <c r="A278" s="24" t="s">
        <v>39</v>
      </c>
      <c r="B278" s="25" t="s">
        <v>571</v>
      </c>
      <c r="C278" s="26" t="s">
        <v>140</v>
      </c>
      <c r="D278" s="83" t="s">
        <v>572</v>
      </c>
      <c r="E278" s="25" t="s">
        <v>22</v>
      </c>
      <c r="F278" s="25"/>
      <c r="G278" s="84">
        <v>44313</v>
      </c>
      <c r="H278" s="84">
        <v>44326</v>
      </c>
      <c r="I278" s="84"/>
      <c r="J278" s="28" t="s">
        <v>573</v>
      </c>
      <c r="K278" s="26" t="s">
        <v>388</v>
      </c>
      <c r="L278" s="29" t="s">
        <v>58</v>
      </c>
      <c r="M278" s="26" t="s">
        <v>26</v>
      </c>
      <c r="N278" s="26"/>
      <c r="O278" s="26" t="s">
        <v>38</v>
      </c>
      <c r="P278" s="28" t="s">
        <v>38</v>
      </c>
      <c r="Q278" s="26"/>
      <c r="R278" s="30"/>
    </row>
    <row r="279" spans="1:18" ht="30" customHeight="1" x14ac:dyDescent="0.25">
      <c r="A279" s="24" t="s">
        <v>72</v>
      </c>
      <c r="B279" s="25" t="s">
        <v>574</v>
      </c>
      <c r="C279" s="26" t="s">
        <v>20</v>
      </c>
      <c r="D279" s="83" t="s">
        <v>575</v>
      </c>
      <c r="E279" s="25" t="s">
        <v>157</v>
      </c>
      <c r="F279" s="25"/>
      <c r="G279" s="84">
        <v>44313</v>
      </c>
      <c r="H279" s="84">
        <v>44316</v>
      </c>
      <c r="I279" s="84">
        <v>44316</v>
      </c>
      <c r="J279" s="28" t="s">
        <v>576</v>
      </c>
      <c r="K279" s="26" t="s">
        <v>384</v>
      </c>
      <c r="L279" s="29" t="s">
        <v>58</v>
      </c>
      <c r="M279" s="26" t="s">
        <v>26</v>
      </c>
      <c r="N279" s="26"/>
      <c r="O279" s="26" t="s">
        <v>27</v>
      </c>
      <c r="P279" s="28" t="s">
        <v>27</v>
      </c>
      <c r="Q279" s="26" t="s">
        <v>54</v>
      </c>
      <c r="R279" s="30" t="s">
        <v>54</v>
      </c>
    </row>
    <row r="280" spans="1:18" ht="30" customHeight="1" x14ac:dyDescent="0.25">
      <c r="A280" s="24" t="s">
        <v>76</v>
      </c>
      <c r="B280" s="25" t="s">
        <v>577</v>
      </c>
      <c r="C280" s="26" t="s">
        <v>410</v>
      </c>
      <c r="D280" s="83" t="s">
        <v>578</v>
      </c>
      <c r="E280" s="25" t="s">
        <v>106</v>
      </c>
      <c r="F280" s="25">
        <v>1</v>
      </c>
      <c r="G280" s="84">
        <v>44314</v>
      </c>
      <c r="H280" s="84">
        <v>44314</v>
      </c>
      <c r="I280" s="84"/>
      <c r="J280" s="84"/>
      <c r="K280" s="26" t="s">
        <v>386</v>
      </c>
      <c r="L280" s="29" t="s">
        <v>58</v>
      </c>
      <c r="M280" s="26" t="s">
        <v>26</v>
      </c>
      <c r="N280" s="26">
        <v>1</v>
      </c>
      <c r="O280" s="26" t="s">
        <v>38</v>
      </c>
      <c r="P280" s="28" t="s">
        <v>38</v>
      </c>
      <c r="Q280" s="26" t="s">
        <v>54</v>
      </c>
      <c r="R280" s="30"/>
    </row>
    <row r="281" spans="1:18" ht="30" customHeight="1" x14ac:dyDescent="0.25">
      <c r="A281" s="24" t="s">
        <v>76</v>
      </c>
      <c r="B281" s="25" t="s">
        <v>577</v>
      </c>
      <c r="C281" s="26" t="s">
        <v>410</v>
      </c>
      <c r="D281" s="83" t="s">
        <v>578</v>
      </c>
      <c r="E281" s="25" t="s">
        <v>107</v>
      </c>
      <c r="F281" s="25">
        <v>1</v>
      </c>
      <c r="G281" s="84">
        <v>44314</v>
      </c>
      <c r="H281" s="84">
        <v>44314</v>
      </c>
      <c r="I281" s="84"/>
      <c r="J281" s="84"/>
      <c r="K281" s="88" t="s">
        <v>386</v>
      </c>
      <c r="L281" s="29" t="s">
        <v>58</v>
      </c>
      <c r="M281" s="26" t="s">
        <v>26</v>
      </c>
      <c r="N281" s="26">
        <v>1</v>
      </c>
      <c r="O281" s="26" t="s">
        <v>38</v>
      </c>
      <c r="P281" s="28" t="s">
        <v>38</v>
      </c>
      <c r="Q281" s="26" t="s">
        <v>54</v>
      </c>
      <c r="R281" s="30"/>
    </row>
    <row r="282" spans="1:18" ht="30" customHeight="1" x14ac:dyDescent="0.25">
      <c r="A282" s="24" t="s">
        <v>76</v>
      </c>
      <c r="B282" s="25" t="s">
        <v>577</v>
      </c>
      <c r="C282" s="26" t="s">
        <v>410</v>
      </c>
      <c r="D282" s="83" t="s">
        <v>578</v>
      </c>
      <c r="E282" s="25" t="s">
        <v>46</v>
      </c>
      <c r="F282" s="25">
        <v>1</v>
      </c>
      <c r="G282" s="84">
        <v>44314</v>
      </c>
      <c r="H282" s="84">
        <v>44314</v>
      </c>
      <c r="I282" s="84"/>
      <c r="J282" s="84"/>
      <c r="K282" s="88" t="s">
        <v>386</v>
      </c>
      <c r="L282" s="29" t="s">
        <v>58</v>
      </c>
      <c r="M282" s="26" t="s">
        <v>26</v>
      </c>
      <c r="N282" s="26">
        <v>1</v>
      </c>
      <c r="O282" s="26" t="s">
        <v>38</v>
      </c>
      <c r="P282" s="28" t="s">
        <v>38</v>
      </c>
      <c r="Q282" s="26" t="s">
        <v>54</v>
      </c>
      <c r="R282" s="30"/>
    </row>
    <row r="283" spans="1:18" ht="49.5" customHeight="1" x14ac:dyDescent="0.25">
      <c r="A283" s="24" t="s">
        <v>39</v>
      </c>
      <c r="B283" s="25" t="s">
        <v>247</v>
      </c>
      <c r="C283" s="26" t="s">
        <v>410</v>
      </c>
      <c r="D283" s="83" t="s">
        <v>579</v>
      </c>
      <c r="E283" s="25" t="s">
        <v>86</v>
      </c>
      <c r="F283" s="25"/>
      <c r="G283" s="84">
        <v>44314</v>
      </c>
      <c r="H283" s="84">
        <v>44321</v>
      </c>
      <c r="I283" s="84"/>
      <c r="J283" s="28" t="s">
        <v>580</v>
      </c>
      <c r="K283" s="26" t="s">
        <v>384</v>
      </c>
      <c r="L283" s="29" t="s">
        <v>58</v>
      </c>
      <c r="M283" s="26" t="s">
        <v>26</v>
      </c>
      <c r="N283" s="26"/>
      <c r="O283" s="26"/>
      <c r="P283" s="28"/>
      <c r="Q283" s="26"/>
      <c r="R283" s="30"/>
    </row>
    <row r="284" spans="1:18" ht="30" customHeight="1" x14ac:dyDescent="0.25">
      <c r="A284" s="24" t="s">
        <v>39</v>
      </c>
      <c r="B284" s="25" t="s">
        <v>247</v>
      </c>
      <c r="C284" s="26" t="s">
        <v>410</v>
      </c>
      <c r="D284" s="83" t="s">
        <v>581</v>
      </c>
      <c r="E284" s="25" t="s">
        <v>116</v>
      </c>
      <c r="F284" s="25"/>
      <c r="G284" s="84">
        <v>44435</v>
      </c>
      <c r="H284" s="84">
        <v>44436</v>
      </c>
      <c r="I284" s="84"/>
      <c r="J284" s="28" t="s">
        <v>582</v>
      </c>
      <c r="K284" s="26" t="s">
        <v>24</v>
      </c>
      <c r="L284" s="29" t="s">
        <v>58</v>
      </c>
      <c r="M284" s="26" t="s">
        <v>26</v>
      </c>
      <c r="N284" s="26"/>
      <c r="O284" s="26"/>
      <c r="P284" s="28"/>
      <c r="Q284" s="26"/>
      <c r="R284" s="30"/>
    </row>
    <row r="285" spans="1:18" ht="30" customHeight="1" x14ac:dyDescent="0.25">
      <c r="A285" s="24" t="s">
        <v>39</v>
      </c>
      <c r="B285" s="25" t="s">
        <v>247</v>
      </c>
      <c r="C285" s="26" t="s">
        <v>140</v>
      </c>
      <c r="D285" s="83" t="s">
        <v>583</v>
      </c>
      <c r="E285" s="25" t="s">
        <v>22</v>
      </c>
      <c r="F285" s="25">
        <v>2</v>
      </c>
      <c r="G285" s="84">
        <v>44314</v>
      </c>
      <c r="H285" s="84">
        <v>44314</v>
      </c>
      <c r="I285" s="84"/>
      <c r="J285" s="90"/>
      <c r="K285" s="26" t="s">
        <v>24</v>
      </c>
      <c r="L285" s="29" t="s">
        <v>58</v>
      </c>
      <c r="M285" s="26" t="s">
        <v>26</v>
      </c>
      <c r="N285" s="26"/>
      <c r="O285" s="26" t="s">
        <v>38</v>
      </c>
      <c r="P285" s="28" t="s">
        <v>38</v>
      </c>
      <c r="Q285" s="26"/>
      <c r="R285" s="30"/>
    </row>
    <row r="286" spans="1:18" ht="30" customHeight="1" x14ac:dyDescent="0.25">
      <c r="A286" s="24" t="s">
        <v>39</v>
      </c>
      <c r="B286" s="25" t="s">
        <v>247</v>
      </c>
      <c r="C286" s="26" t="s">
        <v>410</v>
      </c>
      <c r="D286" s="83" t="s">
        <v>584</v>
      </c>
      <c r="E286" s="25" t="s">
        <v>105</v>
      </c>
      <c r="F286" s="25">
        <v>1</v>
      </c>
      <c r="G286" s="84">
        <v>44314</v>
      </c>
      <c r="H286" s="84">
        <v>44319</v>
      </c>
      <c r="I286" s="84"/>
      <c r="J286" s="28" t="s">
        <v>585</v>
      </c>
      <c r="K286" s="26" t="s">
        <v>384</v>
      </c>
      <c r="L286" s="29" t="s">
        <v>25</v>
      </c>
      <c r="M286" s="26" t="s">
        <v>26</v>
      </c>
      <c r="N286" s="26"/>
      <c r="O286" s="26" t="s">
        <v>27</v>
      </c>
      <c r="P286" s="28"/>
      <c r="Q286" s="26"/>
      <c r="R286" s="30"/>
    </row>
    <row r="287" spans="1:18" ht="30" customHeight="1" x14ac:dyDescent="0.25">
      <c r="A287" s="24" t="s">
        <v>72</v>
      </c>
      <c r="B287" s="25" t="s">
        <v>247</v>
      </c>
      <c r="C287" s="26" t="s">
        <v>20</v>
      </c>
      <c r="D287" s="83" t="s">
        <v>586</v>
      </c>
      <c r="E287" s="25" t="s">
        <v>107</v>
      </c>
      <c r="F287" s="25">
        <v>3</v>
      </c>
      <c r="G287" s="84">
        <v>44314</v>
      </c>
      <c r="H287" s="84">
        <v>44314</v>
      </c>
      <c r="I287" s="84">
        <v>44314</v>
      </c>
      <c r="J287" s="90" t="s">
        <v>587</v>
      </c>
      <c r="K287" s="26" t="s">
        <v>24</v>
      </c>
      <c r="L287" s="29" t="s">
        <v>58</v>
      </c>
      <c r="M287" s="26" t="s">
        <v>26</v>
      </c>
      <c r="N287" s="26"/>
      <c r="O287" s="26" t="s">
        <v>38</v>
      </c>
      <c r="P287" s="28" t="s">
        <v>27</v>
      </c>
      <c r="Q287" s="26" t="s">
        <v>54</v>
      </c>
      <c r="R287" s="30" t="s">
        <v>54</v>
      </c>
    </row>
    <row r="288" spans="1:18" ht="30" customHeight="1" x14ac:dyDescent="0.25">
      <c r="A288" s="24" t="s">
        <v>72</v>
      </c>
      <c r="B288" s="25" t="s">
        <v>247</v>
      </c>
      <c r="C288" s="26" t="s">
        <v>20</v>
      </c>
      <c r="D288" s="83" t="s">
        <v>586</v>
      </c>
      <c r="E288" s="25" t="s">
        <v>127</v>
      </c>
      <c r="F288" s="25">
        <v>3</v>
      </c>
      <c r="G288" s="84">
        <v>44314</v>
      </c>
      <c r="H288" s="84">
        <v>44314</v>
      </c>
      <c r="I288" s="84">
        <v>44314</v>
      </c>
      <c r="J288" s="28" t="s">
        <v>587</v>
      </c>
      <c r="K288" s="26" t="s">
        <v>24</v>
      </c>
      <c r="L288" s="29" t="s">
        <v>58</v>
      </c>
      <c r="M288" s="26" t="s">
        <v>26</v>
      </c>
      <c r="N288" s="26"/>
      <c r="O288" s="26" t="s">
        <v>38</v>
      </c>
      <c r="P288" s="28" t="s">
        <v>27</v>
      </c>
      <c r="Q288" s="26" t="s">
        <v>54</v>
      </c>
      <c r="R288" s="30" t="s">
        <v>54</v>
      </c>
    </row>
    <row r="289" spans="1:18" ht="30" customHeight="1" x14ac:dyDescent="0.25">
      <c r="A289" s="24" t="s">
        <v>39</v>
      </c>
      <c r="B289" s="25" t="s">
        <v>247</v>
      </c>
      <c r="C289" s="26" t="s">
        <v>410</v>
      </c>
      <c r="D289" s="83" t="s">
        <v>364</v>
      </c>
      <c r="E289" s="25" t="s">
        <v>82</v>
      </c>
      <c r="F289" s="25">
        <v>7</v>
      </c>
      <c r="G289" s="84">
        <v>44314</v>
      </c>
      <c r="H289" s="84">
        <v>44315</v>
      </c>
      <c r="I289" s="84"/>
      <c r="J289" s="28"/>
      <c r="K289" s="26" t="s">
        <v>24</v>
      </c>
      <c r="L289" s="29" t="s">
        <v>58</v>
      </c>
      <c r="M289" s="26" t="s">
        <v>83</v>
      </c>
      <c r="N289" s="26"/>
      <c r="O289" s="26" t="s">
        <v>38</v>
      </c>
      <c r="P289" s="26" t="s">
        <v>38</v>
      </c>
      <c r="Q289" s="26" t="s">
        <v>54</v>
      </c>
      <c r="R289" s="30"/>
    </row>
    <row r="290" spans="1:18" ht="30" customHeight="1" x14ac:dyDescent="0.25">
      <c r="A290" s="24" t="s">
        <v>39</v>
      </c>
      <c r="B290" s="25" t="s">
        <v>247</v>
      </c>
      <c r="C290" s="26" t="s">
        <v>410</v>
      </c>
      <c r="D290" s="83" t="s">
        <v>364</v>
      </c>
      <c r="E290" s="25" t="s">
        <v>106</v>
      </c>
      <c r="F290" s="25">
        <v>72</v>
      </c>
      <c r="G290" s="84">
        <v>44314</v>
      </c>
      <c r="H290" s="84">
        <v>44315</v>
      </c>
      <c r="I290" s="84"/>
      <c r="J290" s="28"/>
      <c r="K290" s="26" t="s">
        <v>24</v>
      </c>
      <c r="L290" s="29" t="s">
        <v>58</v>
      </c>
      <c r="M290" s="26" t="s">
        <v>26</v>
      </c>
      <c r="N290" s="26"/>
      <c r="O290" s="26" t="s">
        <v>38</v>
      </c>
      <c r="P290" s="26" t="s">
        <v>38</v>
      </c>
      <c r="Q290" s="26" t="s">
        <v>54</v>
      </c>
      <c r="R290" s="30"/>
    </row>
    <row r="291" spans="1:18" ht="30" customHeight="1" x14ac:dyDescent="0.25">
      <c r="A291" s="24" t="s">
        <v>39</v>
      </c>
      <c r="B291" s="25" t="s">
        <v>247</v>
      </c>
      <c r="C291" s="26" t="s">
        <v>410</v>
      </c>
      <c r="D291" s="83" t="s">
        <v>364</v>
      </c>
      <c r="E291" s="25" t="s">
        <v>107</v>
      </c>
      <c r="F291" s="25">
        <v>93</v>
      </c>
      <c r="G291" s="84">
        <v>44314</v>
      </c>
      <c r="H291" s="84">
        <v>44315</v>
      </c>
      <c r="I291" s="84"/>
      <c r="J291" s="28"/>
      <c r="K291" s="26" t="s">
        <v>24</v>
      </c>
      <c r="L291" s="29" t="s">
        <v>58</v>
      </c>
      <c r="M291" s="26" t="s">
        <v>26</v>
      </c>
      <c r="N291" s="26"/>
      <c r="O291" s="26" t="s">
        <v>38</v>
      </c>
      <c r="P291" s="26" t="s">
        <v>38</v>
      </c>
      <c r="Q291" s="26" t="s">
        <v>54</v>
      </c>
      <c r="R291" s="30"/>
    </row>
    <row r="292" spans="1:18" ht="30" customHeight="1" x14ac:dyDescent="0.25">
      <c r="A292" s="24" t="s">
        <v>39</v>
      </c>
      <c r="B292" s="25" t="s">
        <v>247</v>
      </c>
      <c r="C292" s="26" t="s">
        <v>410</v>
      </c>
      <c r="D292" s="83" t="s">
        <v>364</v>
      </c>
      <c r="E292" s="25" t="s">
        <v>102</v>
      </c>
      <c r="F292" s="25">
        <v>7</v>
      </c>
      <c r="G292" s="84">
        <v>44314</v>
      </c>
      <c r="H292" s="84">
        <v>44315</v>
      </c>
      <c r="I292" s="84"/>
      <c r="J292" s="28"/>
      <c r="K292" s="26" t="s">
        <v>24</v>
      </c>
      <c r="L292" s="29" t="s">
        <v>58</v>
      </c>
      <c r="M292" s="26" t="s">
        <v>26</v>
      </c>
      <c r="N292" s="26"/>
      <c r="O292" s="26" t="s">
        <v>38</v>
      </c>
      <c r="P292" s="26" t="s">
        <v>38</v>
      </c>
      <c r="Q292" s="26" t="s">
        <v>54</v>
      </c>
      <c r="R292" s="30"/>
    </row>
    <row r="293" spans="1:18" ht="30" customHeight="1" x14ac:dyDescent="0.25">
      <c r="A293" s="24" t="s">
        <v>39</v>
      </c>
      <c r="B293" s="25" t="s">
        <v>247</v>
      </c>
      <c r="C293" s="26" t="s">
        <v>410</v>
      </c>
      <c r="D293" s="83" t="s">
        <v>364</v>
      </c>
      <c r="E293" s="25" t="s">
        <v>116</v>
      </c>
      <c r="F293" s="25">
        <v>1</v>
      </c>
      <c r="G293" s="84">
        <v>44315</v>
      </c>
      <c r="H293" s="84">
        <v>44315</v>
      </c>
      <c r="I293" s="84">
        <v>44315</v>
      </c>
      <c r="J293" s="28"/>
      <c r="K293" s="26" t="s">
        <v>24</v>
      </c>
      <c r="L293" s="29" t="s">
        <v>58</v>
      </c>
      <c r="M293" s="88" t="s">
        <v>26</v>
      </c>
      <c r="N293" s="88">
        <v>4</v>
      </c>
      <c r="O293" s="88" t="s">
        <v>38</v>
      </c>
      <c r="P293" s="88" t="s">
        <v>38</v>
      </c>
      <c r="Q293" s="88" t="s">
        <v>54</v>
      </c>
      <c r="R293" s="30"/>
    </row>
    <row r="294" spans="1:18" ht="45" x14ac:dyDescent="0.25">
      <c r="A294" s="24" t="s">
        <v>39</v>
      </c>
      <c r="B294" s="25" t="s">
        <v>588</v>
      </c>
      <c r="C294" s="26" t="s">
        <v>140</v>
      </c>
      <c r="D294" s="87" t="s">
        <v>589</v>
      </c>
      <c r="E294" s="25" t="s">
        <v>46</v>
      </c>
      <c r="F294" s="25">
        <v>2</v>
      </c>
      <c r="G294" s="84">
        <v>44314</v>
      </c>
      <c r="H294" s="84">
        <v>44316</v>
      </c>
      <c r="I294" s="84">
        <v>44316</v>
      </c>
      <c r="J294" s="28" t="s">
        <v>590</v>
      </c>
      <c r="K294" s="26" t="s">
        <v>24</v>
      </c>
      <c r="L294" s="29" t="s">
        <v>58</v>
      </c>
      <c r="M294" s="26" t="s">
        <v>26</v>
      </c>
      <c r="N294" s="88"/>
      <c r="O294" s="26" t="s">
        <v>38</v>
      </c>
      <c r="P294" s="28" t="s">
        <v>38</v>
      </c>
      <c r="Q294" s="26" t="s">
        <v>54</v>
      </c>
      <c r="R294" s="30" t="s">
        <v>54</v>
      </c>
    </row>
    <row r="295" spans="1:18" ht="45" x14ac:dyDescent="0.25">
      <c r="A295" s="24" t="s">
        <v>39</v>
      </c>
      <c r="B295" s="25" t="s">
        <v>588</v>
      </c>
      <c r="C295" s="26" t="s">
        <v>140</v>
      </c>
      <c r="D295" s="87" t="s">
        <v>589</v>
      </c>
      <c r="E295" s="25" t="s">
        <v>22</v>
      </c>
      <c r="F295" s="25">
        <v>2</v>
      </c>
      <c r="G295" s="84">
        <v>44314</v>
      </c>
      <c r="H295" s="84">
        <v>44316</v>
      </c>
      <c r="I295" s="84">
        <v>44316</v>
      </c>
      <c r="J295" s="28" t="s">
        <v>590</v>
      </c>
      <c r="K295" s="26" t="s">
        <v>24</v>
      </c>
      <c r="L295" s="29" t="s">
        <v>58</v>
      </c>
      <c r="M295" s="26" t="s">
        <v>26</v>
      </c>
      <c r="N295" s="26"/>
      <c r="O295" s="26" t="s">
        <v>38</v>
      </c>
      <c r="P295" s="28" t="s">
        <v>38</v>
      </c>
      <c r="Q295" s="26" t="s">
        <v>54</v>
      </c>
      <c r="R295" s="30" t="s">
        <v>54</v>
      </c>
    </row>
    <row r="296" spans="1:18" ht="40.5" customHeight="1" x14ac:dyDescent="0.25">
      <c r="A296" s="24" t="s">
        <v>52</v>
      </c>
      <c r="B296" s="25">
        <v>233961</v>
      </c>
      <c r="C296" s="26" t="s">
        <v>20</v>
      </c>
      <c r="D296" s="83" t="s">
        <v>591</v>
      </c>
      <c r="E296" s="25" t="s">
        <v>124</v>
      </c>
      <c r="F296" s="25"/>
      <c r="G296" s="84">
        <v>44314</v>
      </c>
      <c r="H296" s="84">
        <v>44323</v>
      </c>
      <c r="I296" s="84"/>
      <c r="J296" s="28"/>
      <c r="K296" s="26" t="s">
        <v>388</v>
      </c>
      <c r="L296" s="29" t="s">
        <v>25</v>
      </c>
      <c r="M296" s="26"/>
      <c r="N296" s="26"/>
      <c r="O296" s="26"/>
      <c r="P296" s="28"/>
      <c r="Q296" s="26"/>
      <c r="R296" s="30"/>
    </row>
    <row r="297" spans="1:18" ht="30" customHeight="1" x14ac:dyDescent="0.25">
      <c r="A297" s="24" t="s">
        <v>39</v>
      </c>
      <c r="B297" s="25" t="s">
        <v>592</v>
      </c>
      <c r="C297" s="26" t="s">
        <v>410</v>
      </c>
      <c r="D297" s="83" t="s">
        <v>593</v>
      </c>
      <c r="E297" s="25" t="s">
        <v>22</v>
      </c>
      <c r="F297" s="25">
        <v>1</v>
      </c>
      <c r="G297" s="84">
        <v>44315</v>
      </c>
      <c r="H297" s="84">
        <v>44316</v>
      </c>
      <c r="I297" s="84"/>
      <c r="J297" s="28"/>
      <c r="K297" s="26" t="s">
        <v>24</v>
      </c>
      <c r="L297" s="29" t="s">
        <v>58</v>
      </c>
      <c r="M297" s="26" t="s">
        <v>26</v>
      </c>
      <c r="N297" s="26"/>
      <c r="O297" s="26" t="s">
        <v>38</v>
      </c>
      <c r="P297" s="28"/>
      <c r="Q297" s="26"/>
      <c r="R297" s="30"/>
    </row>
    <row r="298" spans="1:18" ht="30" customHeight="1" x14ac:dyDescent="0.25">
      <c r="A298" s="24" t="s">
        <v>39</v>
      </c>
      <c r="B298" s="25" t="s">
        <v>592</v>
      </c>
      <c r="C298" s="26" t="s">
        <v>410</v>
      </c>
      <c r="D298" s="83" t="s">
        <v>593</v>
      </c>
      <c r="E298" s="25" t="s">
        <v>46</v>
      </c>
      <c r="F298" s="25">
        <v>1</v>
      </c>
      <c r="G298" s="84">
        <v>44315</v>
      </c>
      <c r="H298" s="84">
        <v>44316</v>
      </c>
      <c r="I298" s="84"/>
      <c r="J298" s="28"/>
      <c r="K298" s="26" t="s">
        <v>24</v>
      </c>
      <c r="L298" s="29" t="s">
        <v>58</v>
      </c>
      <c r="M298" s="26" t="s">
        <v>83</v>
      </c>
      <c r="N298" s="26"/>
      <c r="O298" s="26" t="s">
        <v>38</v>
      </c>
      <c r="P298" s="28"/>
      <c r="Q298" s="26"/>
      <c r="R298" s="30"/>
    </row>
    <row r="299" spans="1:18" ht="30" customHeight="1" x14ac:dyDescent="0.25">
      <c r="A299" s="24" t="s">
        <v>39</v>
      </c>
      <c r="B299" s="25" t="s">
        <v>592</v>
      </c>
      <c r="C299" s="26" t="s">
        <v>410</v>
      </c>
      <c r="D299" s="83" t="s">
        <v>593</v>
      </c>
      <c r="E299" s="25" t="s">
        <v>69</v>
      </c>
      <c r="F299" s="25">
        <v>1</v>
      </c>
      <c r="G299" s="84">
        <v>44315</v>
      </c>
      <c r="H299" s="84">
        <v>44316</v>
      </c>
      <c r="I299" s="84"/>
      <c r="J299" s="28" t="s">
        <v>594</v>
      </c>
      <c r="K299" s="26" t="s">
        <v>24</v>
      </c>
      <c r="L299" s="29" t="s">
        <v>58</v>
      </c>
      <c r="M299" s="26" t="s">
        <v>26</v>
      </c>
      <c r="N299" s="26"/>
      <c r="O299" s="26" t="s">
        <v>38</v>
      </c>
      <c r="P299" s="28"/>
      <c r="Q299" s="26"/>
      <c r="R299" s="30"/>
    </row>
    <row r="300" spans="1:18" ht="30" customHeight="1" x14ac:dyDescent="0.25">
      <c r="A300" s="24" t="s">
        <v>39</v>
      </c>
      <c r="B300" s="25" t="s">
        <v>595</v>
      </c>
      <c r="C300" s="26" t="s">
        <v>140</v>
      </c>
      <c r="D300" s="83" t="s">
        <v>596</v>
      </c>
      <c r="E300" s="25" t="s">
        <v>46</v>
      </c>
      <c r="F300" s="25">
        <v>1</v>
      </c>
      <c r="G300" s="84">
        <v>44315</v>
      </c>
      <c r="H300" s="84">
        <v>44319</v>
      </c>
      <c r="I300" s="84">
        <v>44319</v>
      </c>
      <c r="J300" s="28"/>
      <c r="K300" s="26" t="s">
        <v>384</v>
      </c>
      <c r="L300" s="29" t="s">
        <v>58</v>
      </c>
      <c r="M300" s="26" t="s">
        <v>26</v>
      </c>
      <c r="N300" s="26">
        <v>2</v>
      </c>
      <c r="O300" s="26" t="s">
        <v>38</v>
      </c>
      <c r="P300" s="28" t="s">
        <v>38</v>
      </c>
      <c r="Q300" s="26"/>
      <c r="R300" s="30"/>
    </row>
    <row r="301" spans="1:18" ht="30" customHeight="1" x14ac:dyDescent="0.25">
      <c r="A301" s="24" t="s">
        <v>39</v>
      </c>
      <c r="B301" s="25" t="s">
        <v>595</v>
      </c>
      <c r="C301" s="26" t="s">
        <v>140</v>
      </c>
      <c r="D301" s="83" t="s">
        <v>596</v>
      </c>
      <c r="E301" s="25" t="s">
        <v>22</v>
      </c>
      <c r="F301" s="25">
        <v>1</v>
      </c>
      <c r="G301" s="84">
        <v>44315</v>
      </c>
      <c r="H301" s="84">
        <v>44319</v>
      </c>
      <c r="I301" s="84">
        <v>44319</v>
      </c>
      <c r="J301" s="28"/>
      <c r="K301" s="26" t="s">
        <v>384</v>
      </c>
      <c r="L301" s="29" t="s">
        <v>58</v>
      </c>
      <c r="M301" s="26" t="s">
        <v>26</v>
      </c>
      <c r="N301" s="26">
        <v>2</v>
      </c>
      <c r="O301" s="26" t="s">
        <v>38</v>
      </c>
      <c r="P301" s="28" t="s">
        <v>38</v>
      </c>
      <c r="Q301" s="26"/>
      <c r="R301" s="30"/>
    </row>
    <row r="302" spans="1:18" ht="30" customHeight="1" x14ac:dyDescent="0.25">
      <c r="A302" s="24" t="s">
        <v>39</v>
      </c>
      <c r="B302" s="25" t="s">
        <v>597</v>
      </c>
      <c r="C302" s="26" t="s">
        <v>140</v>
      </c>
      <c r="D302" s="83" t="s">
        <v>598</v>
      </c>
      <c r="E302" s="25" t="s">
        <v>22</v>
      </c>
      <c r="F302" s="25">
        <v>1</v>
      </c>
      <c r="G302" s="84">
        <v>44314</v>
      </c>
      <c r="H302" s="84">
        <v>44320</v>
      </c>
      <c r="I302" s="84">
        <v>44316</v>
      </c>
      <c r="J302" s="28"/>
      <c r="K302" s="26" t="s">
        <v>384</v>
      </c>
      <c r="L302" s="29" t="s">
        <v>58</v>
      </c>
      <c r="M302" s="26" t="s">
        <v>26</v>
      </c>
      <c r="N302" s="26"/>
      <c r="O302" s="26" t="s">
        <v>38</v>
      </c>
      <c r="P302" s="28" t="s">
        <v>38</v>
      </c>
      <c r="Q302" s="26"/>
      <c r="R302" s="30"/>
    </row>
    <row r="303" spans="1:18" ht="30" customHeight="1" x14ac:dyDescent="0.25">
      <c r="A303" s="24" t="s">
        <v>159</v>
      </c>
      <c r="B303" s="25" t="s">
        <v>599</v>
      </c>
      <c r="C303" s="26" t="s">
        <v>410</v>
      </c>
      <c r="D303" s="83" t="s">
        <v>175</v>
      </c>
      <c r="E303" s="25" t="s">
        <v>142</v>
      </c>
      <c r="F303" s="25">
        <v>1</v>
      </c>
      <c r="G303" s="84">
        <v>44314</v>
      </c>
      <c r="H303" s="84">
        <v>44319</v>
      </c>
      <c r="I303" s="84"/>
      <c r="J303" s="28" t="s">
        <v>600</v>
      </c>
      <c r="K303" s="26" t="s">
        <v>384</v>
      </c>
      <c r="L303" s="29" t="s">
        <v>58</v>
      </c>
      <c r="M303" s="26" t="s">
        <v>26</v>
      </c>
      <c r="N303" s="26"/>
      <c r="O303" s="26" t="s">
        <v>38</v>
      </c>
      <c r="P303" s="28" t="s">
        <v>38</v>
      </c>
      <c r="Q303" s="26" t="s">
        <v>54</v>
      </c>
      <c r="R303" s="30"/>
    </row>
    <row r="304" spans="1:18" ht="30" customHeight="1" x14ac:dyDescent="0.25">
      <c r="A304" s="24" t="s">
        <v>159</v>
      </c>
      <c r="B304" s="25" t="s">
        <v>599</v>
      </c>
      <c r="C304" s="26" t="s">
        <v>410</v>
      </c>
      <c r="D304" s="83" t="s">
        <v>175</v>
      </c>
      <c r="E304" s="25" t="s">
        <v>142</v>
      </c>
      <c r="F304" s="25"/>
      <c r="G304" s="84">
        <v>44314</v>
      </c>
      <c r="H304" s="84">
        <v>44319</v>
      </c>
      <c r="I304" s="84"/>
      <c r="J304" s="28" t="s">
        <v>601</v>
      </c>
      <c r="K304" s="26" t="s">
        <v>388</v>
      </c>
      <c r="L304" s="29" t="s">
        <v>58</v>
      </c>
      <c r="M304" s="26" t="s">
        <v>26</v>
      </c>
      <c r="N304" s="26"/>
      <c r="O304" s="26" t="s">
        <v>38</v>
      </c>
      <c r="P304" s="28" t="s">
        <v>38</v>
      </c>
      <c r="Q304" s="26" t="s">
        <v>54</v>
      </c>
      <c r="R304" s="30"/>
    </row>
    <row r="305" spans="1:18" ht="30" customHeight="1" x14ac:dyDescent="0.25">
      <c r="A305" s="24" t="s">
        <v>159</v>
      </c>
      <c r="B305" s="25" t="s">
        <v>599</v>
      </c>
      <c r="C305" s="26" t="s">
        <v>410</v>
      </c>
      <c r="D305" s="83" t="s">
        <v>175</v>
      </c>
      <c r="E305" s="25" t="s">
        <v>144</v>
      </c>
      <c r="F305" s="25">
        <v>1</v>
      </c>
      <c r="G305" s="84">
        <v>44314</v>
      </c>
      <c r="H305" s="84">
        <v>44319</v>
      </c>
      <c r="I305" s="84"/>
      <c r="J305" s="28" t="s">
        <v>602</v>
      </c>
      <c r="K305" s="26" t="s">
        <v>384</v>
      </c>
      <c r="L305" s="29" t="s">
        <v>58</v>
      </c>
      <c r="M305" s="26" t="s">
        <v>26</v>
      </c>
      <c r="N305" s="26"/>
      <c r="O305" s="26" t="s">
        <v>38</v>
      </c>
      <c r="P305" s="28" t="s">
        <v>38</v>
      </c>
      <c r="Q305" s="26" t="s">
        <v>54</v>
      </c>
      <c r="R305" s="30"/>
    </row>
    <row r="306" spans="1:18" ht="30" customHeight="1" x14ac:dyDescent="0.25">
      <c r="A306" s="24" t="s">
        <v>76</v>
      </c>
      <c r="B306" s="25" t="s">
        <v>603</v>
      </c>
      <c r="C306" s="26" t="s">
        <v>140</v>
      </c>
      <c r="D306" s="83" t="s">
        <v>604</v>
      </c>
      <c r="E306" s="25" t="s">
        <v>177</v>
      </c>
      <c r="F306" s="25">
        <v>1</v>
      </c>
      <c r="G306" s="84">
        <v>44309</v>
      </c>
      <c r="H306" s="84">
        <v>44316</v>
      </c>
      <c r="I306" s="84">
        <v>44316</v>
      </c>
      <c r="J306" s="28" t="s">
        <v>605</v>
      </c>
      <c r="K306" s="26" t="s">
        <v>24</v>
      </c>
      <c r="L306" s="29" t="s">
        <v>37</v>
      </c>
      <c r="M306" s="26" t="s">
        <v>26</v>
      </c>
      <c r="N306" s="26"/>
      <c r="O306" s="26" t="s">
        <v>38</v>
      </c>
      <c r="P306" s="28" t="s">
        <v>38</v>
      </c>
      <c r="Q306" s="26" t="s">
        <v>28</v>
      </c>
      <c r="R306" s="30"/>
    </row>
    <row r="307" spans="1:18" ht="30" customHeight="1" x14ac:dyDescent="0.25">
      <c r="A307" s="24" t="s">
        <v>39</v>
      </c>
      <c r="B307" s="25" t="s">
        <v>606</v>
      </c>
      <c r="C307" s="26" t="s">
        <v>140</v>
      </c>
      <c r="D307" s="83" t="s">
        <v>607</v>
      </c>
      <c r="E307" s="25" t="s">
        <v>79</v>
      </c>
      <c r="F307" s="25">
        <v>1</v>
      </c>
      <c r="G307" s="84">
        <v>44314</v>
      </c>
      <c r="H307" s="84">
        <v>44321</v>
      </c>
      <c r="I307" s="84">
        <v>44320</v>
      </c>
      <c r="J307" s="28" t="s">
        <v>608</v>
      </c>
      <c r="K307" s="26" t="s">
        <v>24</v>
      </c>
      <c r="L307" s="29" t="s">
        <v>58</v>
      </c>
      <c r="M307" s="26" t="s">
        <v>26</v>
      </c>
      <c r="N307" s="26"/>
      <c r="O307" s="26" t="s">
        <v>38</v>
      </c>
      <c r="P307" s="28" t="s">
        <v>38</v>
      </c>
      <c r="Q307" s="26" t="s">
        <v>54</v>
      </c>
      <c r="R307" s="30" t="s">
        <v>54</v>
      </c>
    </row>
    <row r="308" spans="1:18" ht="30" customHeight="1" x14ac:dyDescent="0.25">
      <c r="A308" s="24" t="s">
        <v>52</v>
      </c>
      <c r="B308" s="89" t="s">
        <v>609</v>
      </c>
      <c r="C308" s="26" t="s">
        <v>20</v>
      </c>
      <c r="D308" s="83" t="s">
        <v>610</v>
      </c>
      <c r="E308" s="25" t="s">
        <v>98</v>
      </c>
      <c r="F308" s="25">
        <v>1</v>
      </c>
      <c r="G308" s="84">
        <v>44312</v>
      </c>
      <c r="H308" s="92">
        <v>44316</v>
      </c>
      <c r="I308" s="92">
        <v>44316</v>
      </c>
      <c r="J308" s="28"/>
      <c r="K308" s="26" t="s">
        <v>24</v>
      </c>
      <c r="L308" s="29" t="s">
        <v>37</v>
      </c>
      <c r="M308" s="26" t="s">
        <v>26</v>
      </c>
      <c r="N308" s="26"/>
      <c r="O308" s="26" t="s">
        <v>27</v>
      </c>
      <c r="P308" s="28" t="s">
        <v>27</v>
      </c>
      <c r="Q308" s="26" t="s">
        <v>185</v>
      </c>
      <c r="R308" s="30" t="s">
        <v>185</v>
      </c>
    </row>
    <row r="309" spans="1:18" ht="30" customHeight="1" x14ac:dyDescent="0.25">
      <c r="A309" s="24" t="s">
        <v>39</v>
      </c>
      <c r="B309" s="25" t="s">
        <v>247</v>
      </c>
      <c r="C309" s="26" t="s">
        <v>410</v>
      </c>
      <c r="D309" s="83" t="s">
        <v>611</v>
      </c>
      <c r="E309" s="25" t="s">
        <v>102</v>
      </c>
      <c r="F309" s="25">
        <v>2</v>
      </c>
      <c r="G309" s="84">
        <v>44315</v>
      </c>
      <c r="H309" s="84">
        <v>44316</v>
      </c>
      <c r="I309" s="84">
        <v>44316</v>
      </c>
      <c r="J309" s="28"/>
      <c r="K309" s="26" t="s">
        <v>24</v>
      </c>
      <c r="L309" s="29" t="s">
        <v>58</v>
      </c>
      <c r="M309" s="26" t="s">
        <v>26</v>
      </c>
      <c r="N309" s="26"/>
      <c r="O309" s="26" t="s">
        <v>27</v>
      </c>
      <c r="P309" s="28" t="s">
        <v>27</v>
      </c>
      <c r="Q309" s="26"/>
      <c r="R309" s="30"/>
    </row>
    <row r="310" spans="1:18" ht="30" customHeight="1" x14ac:dyDescent="0.25">
      <c r="A310" s="24" t="s">
        <v>39</v>
      </c>
      <c r="B310" s="25" t="s">
        <v>247</v>
      </c>
      <c r="C310" s="26" t="s">
        <v>410</v>
      </c>
      <c r="D310" s="83" t="s">
        <v>611</v>
      </c>
      <c r="E310" s="25" t="s">
        <v>22</v>
      </c>
      <c r="F310" s="25">
        <v>4</v>
      </c>
      <c r="G310" s="84">
        <v>44315</v>
      </c>
      <c r="H310" s="84">
        <v>44316</v>
      </c>
      <c r="I310" s="84">
        <v>44316</v>
      </c>
      <c r="J310" s="28"/>
      <c r="K310" s="26" t="s">
        <v>24</v>
      </c>
      <c r="L310" s="29" t="s">
        <v>58</v>
      </c>
      <c r="M310" s="88" t="s">
        <v>26</v>
      </c>
      <c r="N310" s="88"/>
      <c r="O310" s="88" t="s">
        <v>27</v>
      </c>
      <c r="P310" s="90" t="s">
        <v>27</v>
      </c>
      <c r="Q310" s="26"/>
      <c r="R310" s="30"/>
    </row>
    <row r="311" spans="1:18" ht="30" customHeight="1" x14ac:dyDescent="0.25">
      <c r="A311" s="24" t="s">
        <v>39</v>
      </c>
      <c r="B311" s="25" t="s">
        <v>247</v>
      </c>
      <c r="C311" s="26" t="s">
        <v>410</v>
      </c>
      <c r="D311" s="83" t="s">
        <v>611</v>
      </c>
      <c r="E311" s="25" t="s">
        <v>104</v>
      </c>
      <c r="F311" s="25">
        <v>4</v>
      </c>
      <c r="G311" s="84">
        <v>44315</v>
      </c>
      <c r="H311" s="84">
        <v>44316</v>
      </c>
      <c r="I311" s="84">
        <v>44316</v>
      </c>
      <c r="J311" s="28"/>
      <c r="K311" s="26" t="s">
        <v>24</v>
      </c>
      <c r="L311" s="29" t="s">
        <v>58</v>
      </c>
      <c r="M311" s="88" t="s">
        <v>26</v>
      </c>
      <c r="N311" s="88"/>
      <c r="O311" s="88" t="s">
        <v>27</v>
      </c>
      <c r="P311" s="90" t="s">
        <v>27</v>
      </c>
      <c r="Q311" s="26"/>
      <c r="R311" s="30"/>
    </row>
    <row r="312" spans="1:18" ht="30" customHeight="1" x14ac:dyDescent="0.25">
      <c r="A312" s="24" t="s">
        <v>72</v>
      </c>
      <c r="B312" s="25" t="s">
        <v>612</v>
      </c>
      <c r="C312" s="26" t="s">
        <v>140</v>
      </c>
      <c r="D312" s="83" t="s">
        <v>613</v>
      </c>
      <c r="E312" s="25"/>
      <c r="F312" s="25"/>
      <c r="G312" s="84">
        <v>44316</v>
      </c>
      <c r="H312" s="84">
        <v>44319</v>
      </c>
      <c r="I312" s="84">
        <v>44319</v>
      </c>
      <c r="J312" s="28"/>
      <c r="K312" s="26" t="s">
        <v>384</v>
      </c>
      <c r="L312" s="29" t="s">
        <v>58</v>
      </c>
      <c r="M312" s="26"/>
      <c r="N312" s="26"/>
      <c r="O312" s="26"/>
      <c r="P312" s="28"/>
      <c r="Q312" s="26"/>
      <c r="R312" s="30"/>
    </row>
    <row r="313" spans="1:18" ht="30" customHeight="1" x14ac:dyDescent="0.25">
      <c r="A313" s="24" t="s">
        <v>39</v>
      </c>
      <c r="B313" s="25" t="s">
        <v>247</v>
      </c>
      <c r="C313" s="26" t="s">
        <v>20</v>
      </c>
      <c r="D313" s="83" t="s">
        <v>614</v>
      </c>
      <c r="E313" s="25" t="s">
        <v>106</v>
      </c>
      <c r="F313" s="25">
        <v>24</v>
      </c>
      <c r="G313" s="84">
        <v>44315</v>
      </c>
      <c r="H313" s="84">
        <v>44316</v>
      </c>
      <c r="I313" s="84">
        <v>44316</v>
      </c>
      <c r="J313" s="28"/>
      <c r="K313" s="26" t="s">
        <v>24</v>
      </c>
      <c r="L313" s="29" t="s">
        <v>25</v>
      </c>
      <c r="M313" s="26" t="s">
        <v>26</v>
      </c>
      <c r="N313" s="26"/>
      <c r="O313" s="26" t="s">
        <v>27</v>
      </c>
      <c r="P313" s="28" t="s">
        <v>27</v>
      </c>
      <c r="Q313" s="26"/>
      <c r="R313" s="30"/>
    </row>
    <row r="314" spans="1:18" ht="30" customHeight="1" x14ac:dyDescent="0.25">
      <c r="A314" s="24" t="s">
        <v>159</v>
      </c>
      <c r="B314" s="25" t="s">
        <v>615</v>
      </c>
      <c r="C314" s="26" t="s">
        <v>20</v>
      </c>
      <c r="D314" s="83" t="s">
        <v>616</v>
      </c>
      <c r="E314" s="25" t="s">
        <v>82</v>
      </c>
      <c r="F314" s="25">
        <v>1</v>
      </c>
      <c r="G314" s="84">
        <v>44289</v>
      </c>
      <c r="H314" s="84">
        <v>44321</v>
      </c>
      <c r="I314" s="84"/>
      <c r="J314" s="28"/>
      <c r="K314" s="26" t="s">
        <v>384</v>
      </c>
      <c r="L314" s="29" t="s">
        <v>25</v>
      </c>
      <c r="M314" s="26" t="s">
        <v>26</v>
      </c>
      <c r="N314" s="26"/>
      <c r="O314" s="26" t="s">
        <v>38</v>
      </c>
      <c r="P314" s="28" t="s">
        <v>27</v>
      </c>
      <c r="Q314" s="26" t="s">
        <v>54</v>
      </c>
      <c r="R314" s="30" t="s">
        <v>28</v>
      </c>
    </row>
    <row r="315" spans="1:18" ht="30" customHeight="1" x14ac:dyDescent="0.25">
      <c r="A315" s="24" t="s">
        <v>39</v>
      </c>
      <c r="B315" s="25" t="s">
        <v>247</v>
      </c>
      <c r="C315" s="26" t="s">
        <v>410</v>
      </c>
      <c r="D315" s="83" t="s">
        <v>617</v>
      </c>
      <c r="E315" s="25" t="s">
        <v>106</v>
      </c>
      <c r="F315" s="25">
        <v>1</v>
      </c>
      <c r="G315" s="84">
        <v>44320</v>
      </c>
      <c r="H315" s="84">
        <v>44320</v>
      </c>
      <c r="I315" s="84">
        <v>44320</v>
      </c>
      <c r="J315" s="28"/>
      <c r="K315" s="26" t="s">
        <v>384</v>
      </c>
      <c r="L315" s="29" t="s">
        <v>58</v>
      </c>
      <c r="M315" s="88" t="s">
        <v>26</v>
      </c>
      <c r="N315" s="26"/>
      <c r="O315" s="26"/>
      <c r="P315" s="28"/>
      <c r="Q315" s="26"/>
      <c r="R315" s="30"/>
    </row>
    <row r="316" spans="1:18" ht="30" customHeight="1" x14ac:dyDescent="0.25">
      <c r="A316" s="24" t="s">
        <v>30</v>
      </c>
      <c r="B316" s="25">
        <v>233744</v>
      </c>
      <c r="C316" s="26" t="s">
        <v>140</v>
      </c>
      <c r="D316" s="83" t="s">
        <v>618</v>
      </c>
      <c r="E316" s="25" t="s">
        <v>107</v>
      </c>
      <c r="F316" s="25"/>
      <c r="G316" s="84">
        <v>44313</v>
      </c>
      <c r="H316" s="84">
        <v>44321</v>
      </c>
      <c r="I316" s="84"/>
      <c r="J316" s="28"/>
      <c r="K316" s="26" t="s">
        <v>388</v>
      </c>
      <c r="L316" s="29"/>
      <c r="M316" s="26"/>
      <c r="N316" s="26"/>
      <c r="O316" s="26"/>
      <c r="P316" s="28"/>
      <c r="Q316" s="26"/>
      <c r="R316" s="30"/>
    </row>
    <row r="317" spans="1:18" ht="30" customHeight="1" x14ac:dyDescent="0.25">
      <c r="A317" s="24" t="s">
        <v>39</v>
      </c>
      <c r="B317" s="25" t="s">
        <v>61</v>
      </c>
      <c r="C317" s="26" t="s">
        <v>140</v>
      </c>
      <c r="D317" s="83" t="s">
        <v>583</v>
      </c>
      <c r="E317" s="25" t="s">
        <v>22</v>
      </c>
      <c r="F317" s="25">
        <v>2</v>
      </c>
      <c r="G317" s="84">
        <v>44321</v>
      </c>
      <c r="H317" s="84">
        <v>44321</v>
      </c>
      <c r="I317" s="84">
        <v>44321</v>
      </c>
      <c r="J317" s="28"/>
      <c r="K317" s="26" t="s">
        <v>24</v>
      </c>
      <c r="L317" s="29" t="s">
        <v>58</v>
      </c>
      <c r="M317" s="26" t="s">
        <v>26</v>
      </c>
      <c r="N317" s="26"/>
      <c r="O317" s="26" t="s">
        <v>38</v>
      </c>
      <c r="P317" s="28" t="s">
        <v>38</v>
      </c>
      <c r="Q317" s="26"/>
      <c r="R317" s="30"/>
    </row>
    <row r="318" spans="1:18" ht="30" customHeight="1" x14ac:dyDescent="0.25">
      <c r="A318" s="24" t="s">
        <v>39</v>
      </c>
      <c r="B318" s="25" t="s">
        <v>247</v>
      </c>
      <c r="C318" s="26" t="s">
        <v>410</v>
      </c>
      <c r="D318" s="83" t="s">
        <v>619</v>
      </c>
      <c r="E318" s="25" t="s">
        <v>106</v>
      </c>
      <c r="F318" s="25">
        <v>11</v>
      </c>
      <c r="G318" s="84">
        <v>44321</v>
      </c>
      <c r="H318" s="84">
        <v>44321</v>
      </c>
      <c r="I318" s="84">
        <v>44321</v>
      </c>
      <c r="J318" s="28"/>
      <c r="K318" s="26" t="s">
        <v>24</v>
      </c>
      <c r="L318" s="29" t="s">
        <v>58</v>
      </c>
      <c r="M318" s="26" t="s">
        <v>26</v>
      </c>
      <c r="N318" s="26"/>
      <c r="O318" s="26"/>
      <c r="P318" s="28"/>
      <c r="Q318" s="26"/>
      <c r="R318" s="30"/>
    </row>
    <row r="319" spans="1:18" ht="30" customHeight="1" x14ac:dyDescent="0.25">
      <c r="A319" s="24" t="s">
        <v>39</v>
      </c>
      <c r="B319" s="25" t="s">
        <v>247</v>
      </c>
      <c r="C319" s="26" t="s">
        <v>410</v>
      </c>
      <c r="D319" s="83" t="s">
        <v>619</v>
      </c>
      <c r="E319" s="25" t="s">
        <v>68</v>
      </c>
      <c r="F319" s="25">
        <v>11</v>
      </c>
      <c r="G319" s="84">
        <v>44321</v>
      </c>
      <c r="H319" s="84">
        <v>44321</v>
      </c>
      <c r="I319" s="84">
        <v>44321</v>
      </c>
      <c r="J319" s="28"/>
      <c r="K319" s="26" t="s">
        <v>24</v>
      </c>
      <c r="L319" s="29" t="s">
        <v>58</v>
      </c>
      <c r="M319" s="26" t="s">
        <v>26</v>
      </c>
      <c r="N319" s="26"/>
      <c r="O319" s="26"/>
      <c r="P319" s="28"/>
      <c r="Q319" s="26"/>
      <c r="R319" s="30"/>
    </row>
    <row r="320" spans="1:18" ht="30" customHeight="1" x14ac:dyDescent="0.25">
      <c r="A320" s="24" t="s">
        <v>39</v>
      </c>
      <c r="B320" s="25" t="s">
        <v>247</v>
      </c>
      <c r="C320" s="26" t="s">
        <v>410</v>
      </c>
      <c r="D320" s="83" t="s">
        <v>620</v>
      </c>
      <c r="E320" s="25" t="s">
        <v>106</v>
      </c>
      <c r="F320" s="25">
        <v>8</v>
      </c>
      <c r="G320" s="84">
        <v>44321</v>
      </c>
      <c r="H320" s="84">
        <v>44321</v>
      </c>
      <c r="I320" s="84">
        <v>44321</v>
      </c>
      <c r="J320" s="28"/>
      <c r="K320" s="26" t="s">
        <v>24</v>
      </c>
      <c r="L320" s="29" t="s">
        <v>58</v>
      </c>
      <c r="M320" s="26" t="s">
        <v>26</v>
      </c>
      <c r="N320" s="26"/>
      <c r="O320" s="26"/>
      <c r="P320" s="28"/>
      <c r="Q320" s="26"/>
      <c r="R320" s="30"/>
    </row>
    <row r="321" spans="1:18" ht="30" customHeight="1" x14ac:dyDescent="0.25">
      <c r="A321" s="24"/>
      <c r="B321" s="25"/>
      <c r="C321" s="26"/>
      <c r="D321" s="87"/>
      <c r="E321" s="25"/>
      <c r="F321" s="25"/>
      <c r="G321" s="84"/>
      <c r="H321" s="84"/>
      <c r="I321" s="84"/>
      <c r="J321" s="28"/>
      <c r="K321" s="26"/>
      <c r="L321" s="29"/>
      <c r="M321" s="26"/>
      <c r="N321" s="26"/>
      <c r="O321" s="26"/>
      <c r="P321" s="28"/>
      <c r="Q321" s="26"/>
      <c r="R321" s="30"/>
    </row>
    <row r="322" spans="1:18" ht="30" customHeight="1" x14ac:dyDescent="0.25">
      <c r="A322" s="24"/>
      <c r="B322" s="25"/>
      <c r="C322" s="26"/>
      <c r="D322" s="83"/>
      <c r="E322" s="25"/>
      <c r="F322" s="25"/>
      <c r="G322" s="84"/>
      <c r="H322" s="84"/>
      <c r="I322" s="84"/>
      <c r="J322" s="28"/>
      <c r="K322" s="26"/>
      <c r="L322" s="29"/>
      <c r="M322" s="26"/>
      <c r="N322" s="26"/>
      <c r="O322" s="26"/>
      <c r="P322" s="28"/>
      <c r="Q322" s="26"/>
      <c r="R322" s="30"/>
    </row>
    <row r="323" spans="1:18" ht="30" customHeight="1" x14ac:dyDescent="0.25">
      <c r="A323" s="24"/>
      <c r="B323" s="25"/>
      <c r="C323" s="26"/>
      <c r="D323" s="83"/>
      <c r="E323" s="25"/>
      <c r="F323" s="25"/>
      <c r="G323" s="84"/>
      <c r="H323" s="84"/>
      <c r="I323" s="84"/>
      <c r="J323" s="28"/>
      <c r="K323" s="26"/>
      <c r="L323" s="29"/>
      <c r="M323" s="26"/>
      <c r="N323" s="26"/>
      <c r="O323" s="26"/>
      <c r="P323" s="28"/>
      <c r="Q323" s="26"/>
      <c r="R323" s="30"/>
    </row>
    <row r="324" spans="1:18" ht="30" customHeight="1" x14ac:dyDescent="0.25">
      <c r="A324" s="24"/>
      <c r="B324" s="25"/>
      <c r="C324" s="26"/>
      <c r="D324" s="83"/>
      <c r="E324" s="25"/>
      <c r="F324" s="25"/>
      <c r="G324" s="84"/>
      <c r="H324" s="84"/>
      <c r="I324" s="84"/>
      <c r="J324" s="28"/>
      <c r="K324" s="26"/>
      <c r="L324" s="29"/>
      <c r="M324" s="26"/>
      <c r="N324" s="26"/>
      <c r="O324" s="26"/>
      <c r="P324" s="28"/>
      <c r="Q324" s="26"/>
      <c r="R324" s="30"/>
    </row>
    <row r="325" spans="1:18" ht="30" customHeight="1" x14ac:dyDescent="0.25">
      <c r="A325" s="24"/>
      <c r="B325" s="25"/>
      <c r="C325" s="26"/>
      <c r="D325" s="83"/>
      <c r="E325" s="25"/>
      <c r="F325" s="25"/>
      <c r="G325" s="84"/>
      <c r="H325" s="84"/>
      <c r="I325" s="84"/>
      <c r="J325" s="28"/>
      <c r="K325" s="26"/>
      <c r="L325" s="29"/>
      <c r="M325" s="26"/>
      <c r="N325" s="26"/>
      <c r="O325" s="26"/>
      <c r="P325" s="28"/>
      <c r="Q325" s="26"/>
      <c r="R325" s="30"/>
    </row>
    <row r="326" spans="1:18" ht="30" customHeight="1" x14ac:dyDescent="0.25">
      <c r="A326" s="24"/>
      <c r="B326" s="25"/>
      <c r="C326" s="26"/>
      <c r="D326" s="83"/>
      <c r="E326" s="25"/>
      <c r="F326" s="25"/>
      <c r="G326" s="84"/>
      <c r="H326" s="84"/>
      <c r="I326" s="84"/>
      <c r="J326" s="28"/>
      <c r="K326" s="26"/>
      <c r="L326" s="29"/>
      <c r="M326" s="26"/>
      <c r="N326" s="26"/>
      <c r="O326" s="26"/>
      <c r="P326" s="28"/>
      <c r="Q326" s="26"/>
      <c r="R326" s="30"/>
    </row>
    <row r="327" spans="1:18" ht="30" customHeight="1" x14ac:dyDescent="0.25">
      <c r="A327" s="24"/>
      <c r="B327" s="25"/>
      <c r="C327" s="26"/>
      <c r="D327" s="83"/>
      <c r="E327" s="25"/>
      <c r="F327" s="25"/>
      <c r="G327" s="84"/>
      <c r="H327" s="84"/>
      <c r="I327" s="84"/>
      <c r="J327" s="28"/>
      <c r="K327" s="26"/>
      <c r="L327" s="29"/>
      <c r="M327" s="26"/>
      <c r="N327" s="26"/>
      <c r="O327" s="26"/>
      <c r="P327" s="28"/>
      <c r="Q327" s="26"/>
      <c r="R327" s="30"/>
    </row>
    <row r="328" spans="1:18" ht="30" customHeight="1" x14ac:dyDescent="0.25">
      <c r="A328" s="24"/>
      <c r="B328" s="25"/>
      <c r="C328" s="26"/>
      <c r="D328" s="83"/>
      <c r="E328" s="25"/>
      <c r="F328" s="25"/>
      <c r="G328" s="84"/>
      <c r="H328" s="84"/>
      <c r="I328" s="84"/>
      <c r="J328" s="28"/>
      <c r="K328" s="26"/>
      <c r="L328" s="29"/>
      <c r="M328" s="26"/>
      <c r="N328" s="26"/>
      <c r="O328" s="26"/>
      <c r="P328" s="28"/>
      <c r="Q328" s="26"/>
      <c r="R328" s="30"/>
    </row>
    <row r="329" spans="1:18" ht="30" customHeight="1" x14ac:dyDescent="0.25">
      <c r="A329" s="24"/>
      <c r="B329" s="25"/>
      <c r="C329" s="26"/>
      <c r="D329" s="83"/>
      <c r="E329" s="25"/>
      <c r="F329" s="25"/>
      <c r="G329" s="84"/>
      <c r="H329" s="84"/>
      <c r="I329" s="84"/>
      <c r="J329" s="28"/>
      <c r="K329" s="26"/>
      <c r="L329" s="29"/>
      <c r="M329" s="26"/>
      <c r="N329" s="26"/>
      <c r="O329" s="26"/>
      <c r="P329" s="28"/>
      <c r="Q329" s="26"/>
      <c r="R329" s="30"/>
    </row>
    <row r="330" spans="1:18" ht="30" customHeight="1" x14ac:dyDescent="0.25">
      <c r="A330" s="24"/>
      <c r="B330" s="25"/>
      <c r="C330" s="26"/>
      <c r="D330" s="83"/>
      <c r="E330" s="25"/>
      <c r="F330" s="25"/>
      <c r="G330" s="84"/>
      <c r="H330" s="84"/>
      <c r="I330" s="84"/>
      <c r="J330" s="28"/>
      <c r="K330" s="26"/>
      <c r="L330" s="29"/>
      <c r="M330" s="26"/>
      <c r="N330" s="26"/>
      <c r="O330" s="26"/>
      <c r="P330" s="28"/>
      <c r="Q330" s="26"/>
      <c r="R330" s="30"/>
    </row>
    <row r="331" spans="1:18" ht="30" customHeight="1" x14ac:dyDescent="0.25">
      <c r="A331" s="24"/>
      <c r="B331" s="25"/>
      <c r="C331" s="26"/>
      <c r="D331" s="83"/>
      <c r="E331" s="25"/>
      <c r="F331" s="25"/>
      <c r="G331" s="84"/>
      <c r="H331" s="84"/>
      <c r="I331" s="84"/>
      <c r="J331" s="28"/>
      <c r="K331" s="26"/>
      <c r="L331" s="29"/>
      <c r="M331" s="26"/>
      <c r="N331" s="26"/>
      <c r="O331" s="26"/>
      <c r="P331" s="28"/>
      <c r="Q331" s="26"/>
      <c r="R331" s="30"/>
    </row>
    <row r="332" spans="1:18" ht="30" customHeight="1" x14ac:dyDescent="0.25">
      <c r="A332" s="24"/>
      <c r="B332" s="25"/>
      <c r="C332" s="26"/>
      <c r="D332" s="83"/>
      <c r="E332" s="25"/>
      <c r="F332" s="25"/>
      <c r="G332" s="84"/>
      <c r="H332" s="84"/>
      <c r="I332" s="84"/>
      <c r="J332" s="28"/>
      <c r="K332" s="26"/>
      <c r="L332" s="29"/>
      <c r="M332" s="26"/>
      <c r="N332" s="26"/>
      <c r="O332" s="26"/>
      <c r="P332" s="28"/>
      <c r="Q332" s="26"/>
      <c r="R332" s="30"/>
    </row>
    <row r="333" spans="1:18" ht="30" customHeight="1" x14ac:dyDescent="0.25">
      <c r="A333" s="24"/>
      <c r="B333" s="25"/>
      <c r="C333" s="26"/>
      <c r="D333" s="83"/>
      <c r="E333" s="25"/>
      <c r="F333" s="25"/>
      <c r="G333" s="84"/>
      <c r="H333" s="84"/>
      <c r="I333" s="84"/>
      <c r="J333" s="28"/>
      <c r="K333" s="26"/>
      <c r="L333" s="29"/>
      <c r="M333" s="26"/>
      <c r="N333" s="26"/>
      <c r="O333" s="26"/>
      <c r="P333" s="28"/>
      <c r="Q333" s="26"/>
      <c r="R333" s="30"/>
    </row>
    <row r="334" spans="1:18" x14ac:dyDescent="0.25">
      <c r="A334" s="24"/>
      <c r="B334" s="25"/>
      <c r="C334" s="26"/>
      <c r="D334" s="83"/>
      <c r="E334" s="25"/>
      <c r="F334" s="25"/>
      <c r="G334" s="84"/>
      <c r="H334" s="84"/>
      <c r="I334" s="84"/>
      <c r="J334" s="28"/>
      <c r="K334" s="26"/>
      <c r="L334" s="29"/>
      <c r="M334" s="26"/>
      <c r="N334" s="26"/>
      <c r="O334" s="26"/>
      <c r="P334" s="28"/>
      <c r="Q334" s="26"/>
      <c r="R334" s="30"/>
    </row>
    <row r="335" spans="1:18" x14ac:dyDescent="0.25">
      <c r="A335" s="24"/>
      <c r="B335" s="25"/>
      <c r="C335" s="26"/>
      <c r="D335" s="83"/>
      <c r="E335" s="25"/>
      <c r="F335" s="25"/>
      <c r="G335" s="84"/>
      <c r="H335" s="84"/>
      <c r="I335" s="84"/>
      <c r="J335" s="28"/>
      <c r="K335" s="26"/>
      <c r="L335" s="29"/>
      <c r="M335" s="26"/>
      <c r="N335" s="26"/>
      <c r="O335" s="26"/>
      <c r="P335" s="28"/>
      <c r="Q335" s="26"/>
      <c r="R335" s="30"/>
    </row>
    <row r="336" spans="1:18" x14ac:dyDescent="0.25">
      <c r="A336" s="24"/>
      <c r="B336" s="25"/>
      <c r="C336" s="26"/>
      <c r="D336" s="83"/>
      <c r="E336" s="25"/>
      <c r="F336" s="25"/>
      <c r="G336" s="84"/>
      <c r="H336" s="84"/>
      <c r="I336" s="84"/>
      <c r="J336" s="28"/>
      <c r="K336" s="26"/>
      <c r="L336" s="29"/>
      <c r="M336" s="26"/>
      <c r="N336" s="26"/>
      <c r="O336" s="26"/>
      <c r="P336" s="28"/>
      <c r="Q336" s="26"/>
      <c r="R336" s="30"/>
    </row>
    <row r="337" spans="1:18" x14ac:dyDescent="0.25">
      <c r="A337" s="24"/>
      <c r="B337" s="25"/>
      <c r="C337" s="26"/>
      <c r="D337" s="83"/>
      <c r="E337" s="25"/>
      <c r="F337" s="25"/>
      <c r="G337" s="84"/>
      <c r="H337" s="84"/>
      <c r="I337" s="84"/>
      <c r="J337" s="28"/>
      <c r="K337" s="26"/>
      <c r="L337" s="29"/>
      <c r="M337" s="26"/>
      <c r="N337" s="26"/>
      <c r="O337" s="26"/>
      <c r="P337" s="28"/>
      <c r="Q337" s="26"/>
      <c r="R337" s="30"/>
    </row>
    <row r="338" spans="1:18" x14ac:dyDescent="0.25">
      <c r="A338" s="24"/>
      <c r="B338" s="25"/>
      <c r="C338" s="26"/>
      <c r="D338" s="83"/>
      <c r="E338" s="25"/>
      <c r="F338" s="25"/>
      <c r="G338" s="84"/>
      <c r="H338" s="84"/>
      <c r="I338" s="84"/>
      <c r="J338" s="28"/>
      <c r="K338" s="26"/>
      <c r="L338" s="29"/>
      <c r="M338" s="26"/>
      <c r="N338" s="26"/>
      <c r="O338" s="26"/>
      <c r="P338" s="28"/>
      <c r="Q338" s="26"/>
      <c r="R338" s="30"/>
    </row>
    <row r="339" spans="1:18" x14ac:dyDescent="0.25">
      <c r="A339" s="24"/>
      <c r="B339" s="25"/>
      <c r="C339" s="26"/>
      <c r="D339" s="83"/>
      <c r="E339" s="25"/>
      <c r="F339" s="25"/>
      <c r="G339" s="84"/>
      <c r="H339" s="84"/>
      <c r="I339" s="84"/>
      <c r="J339" s="28"/>
      <c r="K339" s="26"/>
      <c r="L339" s="29"/>
      <c r="M339" s="26"/>
      <c r="N339" s="26"/>
      <c r="O339" s="26"/>
      <c r="P339" s="28"/>
      <c r="Q339" s="26"/>
      <c r="R339" s="30"/>
    </row>
    <row r="340" spans="1:18" x14ac:dyDescent="0.25">
      <c r="A340" s="24"/>
      <c r="B340" s="25"/>
      <c r="C340" s="26"/>
      <c r="D340" s="83"/>
      <c r="E340" s="25"/>
      <c r="F340" s="25"/>
      <c r="G340" s="84"/>
      <c r="H340" s="84"/>
      <c r="I340" s="84"/>
      <c r="J340" s="28"/>
      <c r="K340" s="26"/>
      <c r="L340" s="29"/>
      <c r="M340" s="26"/>
      <c r="N340" s="26"/>
      <c r="O340" s="26"/>
      <c r="P340" s="28"/>
      <c r="Q340" s="26"/>
      <c r="R340" s="30"/>
    </row>
    <row r="341" spans="1:18" x14ac:dyDescent="0.25">
      <c r="A341" s="24"/>
      <c r="B341" s="25"/>
      <c r="C341" s="26"/>
      <c r="D341" s="83"/>
      <c r="E341" s="25"/>
      <c r="F341" s="25"/>
      <c r="G341" s="84"/>
      <c r="H341" s="84"/>
      <c r="I341" s="84"/>
      <c r="J341" s="28"/>
      <c r="K341" s="26"/>
      <c r="L341" s="29"/>
      <c r="M341" s="26"/>
      <c r="N341" s="26"/>
      <c r="O341" s="26"/>
      <c r="P341" s="28"/>
      <c r="Q341" s="26"/>
      <c r="R341" s="30"/>
    </row>
  </sheetData>
  <conditionalFormatting sqref="A281:J281 R281 A297:R297 A300:R300 A302:R303 A306:R306 A279:R280 A283:R294 L281:P281 A309:J311 L309:R311 K297:K299 A267:R277 A2:R264 A312:R341">
    <cfRule type="expression" dxfId="205" priority="171">
      <formula>$K2="CANCELADO"</formula>
    </cfRule>
    <cfRule type="expression" dxfId="204" priority="172">
      <formula>$K2="STAND-BY"</formula>
    </cfRule>
    <cfRule type="expression" dxfId="203" priority="173">
      <formula>$K2="AGUARDANDO APROVAÇÃO"</formula>
    </cfRule>
    <cfRule type="expression" dxfId="202" priority="174">
      <formula>$K2="OK"</formula>
    </cfRule>
    <cfRule type="expression" dxfId="201" priority="175">
      <formula>AND((TODAY()-$H2)&gt;0,$H2&lt;&gt;"",$I2="")=TRUE</formula>
    </cfRule>
  </conditionalFormatting>
  <conditionalFormatting sqref="A277:R277">
    <cfRule type="expression" dxfId="200" priority="81">
      <formula>$K277="CANCELADO"</formula>
    </cfRule>
    <cfRule type="expression" dxfId="199" priority="82">
      <formula>$K277="STAND-BY"</formula>
    </cfRule>
    <cfRule type="expression" dxfId="198" priority="83">
      <formula>$K277="AGUARDANDO APROVAÇÃO"</formula>
    </cfRule>
    <cfRule type="expression" dxfId="197" priority="84">
      <formula>$K277="OK"</formula>
    </cfRule>
    <cfRule type="expression" dxfId="196" priority="85">
      <formula>AND((TODAY()-$H277)&gt;0,$H277&lt;&gt;"",$I277="")=TRUE</formula>
    </cfRule>
  </conditionalFormatting>
  <conditionalFormatting sqref="A278:R278">
    <cfRule type="expression" dxfId="195" priority="71">
      <formula>$K278="CANCELADO"</formula>
    </cfRule>
    <cfRule type="expression" dxfId="194" priority="72">
      <formula>$K278="STAND-BY"</formula>
    </cfRule>
    <cfRule type="expression" dxfId="193" priority="73">
      <formula>$K278="AGUARDANDO APROVAÇÃO"</formula>
    </cfRule>
    <cfRule type="expression" dxfId="192" priority="74">
      <formula>$K278="OK"</formula>
    </cfRule>
    <cfRule type="expression" dxfId="191" priority="75">
      <formula>AND((TODAY()-$H278)&gt;0,$H278&lt;&gt;"",$I278="")=TRUE</formula>
    </cfRule>
  </conditionalFormatting>
  <conditionalFormatting sqref="A278:R278">
    <cfRule type="expression" dxfId="190" priority="66">
      <formula>$K278="CANCELADO"</formula>
    </cfRule>
    <cfRule type="expression" dxfId="189" priority="67">
      <formula>$K278="STAND-BY"</formula>
    </cfRule>
    <cfRule type="expression" dxfId="188" priority="68">
      <formula>$K278="AGUARDANDO APROVAÇÃO"</formula>
    </cfRule>
    <cfRule type="expression" dxfId="187" priority="69">
      <formula>$K278="OK"</formula>
    </cfRule>
    <cfRule type="expression" dxfId="186" priority="70">
      <formula>AND((TODAY()-$H278)&gt;0,$H278&lt;&gt;"",$I278="")=TRUE</formula>
    </cfRule>
  </conditionalFormatting>
  <conditionalFormatting sqref="A282:H282 L282:P282 R282">
    <cfRule type="expression" dxfId="185" priority="61">
      <formula>$K282="CANCELADO"</formula>
    </cfRule>
    <cfRule type="expression" dxfId="184" priority="62">
      <formula>$K282="STAND-BY"</formula>
    </cfRule>
    <cfRule type="expression" dxfId="183" priority="63">
      <formula>$K282="AGUARDANDO APROVAÇÃO"</formula>
    </cfRule>
    <cfRule type="expression" dxfId="182" priority="64">
      <formula>$K282="OK"</formula>
    </cfRule>
    <cfRule type="expression" dxfId="181" priority="65">
      <formula>AND((TODAY()-$H282)&gt;0,$H282&lt;&gt;"",$I282="")=TRUE</formula>
    </cfRule>
  </conditionalFormatting>
  <conditionalFormatting sqref="I282:J282">
    <cfRule type="expression" dxfId="180" priority="56">
      <formula>$K282="CANCELADO"</formula>
    </cfRule>
    <cfRule type="expression" dxfId="179" priority="57">
      <formula>$K282="STAND-BY"</formula>
    </cfRule>
    <cfRule type="expression" dxfId="178" priority="58">
      <formula>$K282="AGUARDANDO APROVAÇÃO"</formula>
    </cfRule>
    <cfRule type="expression" dxfId="177" priority="59">
      <formula>$K282="OK"</formula>
    </cfRule>
    <cfRule type="expression" dxfId="176" priority="60">
      <formula>AND((TODAY()-$H282)&gt;0,$H282&lt;&gt;"",$I282="")=TRUE</formula>
    </cfRule>
  </conditionalFormatting>
  <conditionalFormatting sqref="Q281:Q282">
    <cfRule type="expression" dxfId="175" priority="51">
      <formula>$K281="CANCELADO"</formula>
    </cfRule>
    <cfRule type="expression" dxfId="174" priority="52">
      <formula>$K281="STAND-BY"</formula>
    </cfRule>
    <cfRule type="expression" dxfId="173" priority="53">
      <formula>$K281="AGUARDANDO APROVAÇÃO"</formula>
    </cfRule>
    <cfRule type="expression" dxfId="172" priority="54">
      <formula>$K281="OK"</formula>
    </cfRule>
    <cfRule type="expression" dxfId="171" priority="55">
      <formula>AND((TODAY()-$H281)&gt;0,$H281&lt;&gt;"",$I281="")=TRUE</formula>
    </cfRule>
  </conditionalFormatting>
  <conditionalFormatting sqref="A295:R296">
    <cfRule type="expression" dxfId="170" priority="46">
      <formula>$K295="CANCELADO"</formula>
    </cfRule>
    <cfRule type="expression" dxfId="169" priority="47">
      <formula>$K295="STAND-BY"</formula>
    </cfRule>
    <cfRule type="expression" dxfId="168" priority="48">
      <formula>$K295="AGUARDANDO APROVAÇÃO"</formula>
    </cfRule>
    <cfRule type="expression" dxfId="167" priority="49">
      <formula>$K295="OK"</formula>
    </cfRule>
    <cfRule type="expression" dxfId="166" priority="50">
      <formula>AND((TODAY()-$H295)&gt;0,$H295&lt;&gt;"",$I295="")=TRUE</formula>
    </cfRule>
  </conditionalFormatting>
  <conditionalFormatting sqref="A298:R299">
    <cfRule type="expression" dxfId="165" priority="41">
      <formula>$K298="CANCELADO"</formula>
    </cfRule>
    <cfRule type="expression" dxfId="164" priority="42">
      <formula>$K298="STAND-BY"</formula>
    </cfRule>
    <cfRule type="expression" dxfId="163" priority="43">
      <formula>$K298="AGUARDANDO APROVAÇÃO"</formula>
    </cfRule>
    <cfRule type="expression" dxfId="162" priority="44">
      <formula>$K298="OK"</formula>
    </cfRule>
    <cfRule type="expression" dxfId="161" priority="45">
      <formula>AND((TODAY()-$H298)&gt;0,$H298&lt;&gt;"",$I298="")=TRUE</formula>
    </cfRule>
  </conditionalFormatting>
  <conditionalFormatting sqref="A301:R301">
    <cfRule type="expression" dxfId="160" priority="36">
      <formula>$K301="CANCELADO"</formula>
    </cfRule>
    <cfRule type="expression" dxfId="159" priority="37">
      <formula>$K301="STAND-BY"</formula>
    </cfRule>
    <cfRule type="expression" dxfId="158" priority="38">
      <formula>$K301="AGUARDANDO APROVAÇÃO"</formula>
    </cfRule>
    <cfRule type="expression" dxfId="157" priority="39">
      <formula>$K301="OK"</formula>
    </cfRule>
    <cfRule type="expression" dxfId="156" priority="40">
      <formula>AND((TODAY()-$H301)&gt;0,$H301&lt;&gt;"",$I301="")=TRUE</formula>
    </cfRule>
  </conditionalFormatting>
  <conditionalFormatting sqref="A304:R305">
    <cfRule type="expression" dxfId="155" priority="31">
      <formula>$K304="CANCELADO"</formula>
    </cfRule>
    <cfRule type="expression" dxfId="154" priority="32">
      <formula>$K304="STAND-BY"</formula>
    </cfRule>
    <cfRule type="expression" dxfId="153" priority="33">
      <formula>$K304="AGUARDANDO APROVAÇÃO"</formula>
    </cfRule>
    <cfRule type="expression" dxfId="152" priority="34">
      <formula>$K304="OK"</formula>
    </cfRule>
    <cfRule type="expression" dxfId="151" priority="35">
      <formula>AND((TODAY()-$H304)&gt;0,$H304&lt;&gt;"",$I304="")=TRUE</formula>
    </cfRule>
  </conditionalFormatting>
  <conditionalFormatting sqref="H308">
    <cfRule type="expression" dxfId="150" priority="991">
      <formula>$K307="CANCELADO"</formula>
    </cfRule>
    <cfRule type="expression" dxfId="149" priority="992">
      <formula>$K307="STAND-BY"</formula>
    </cfRule>
    <cfRule type="expression" dxfId="148" priority="993">
      <formula>$K307="AGUARDANDO APROVAÇÃO"</formula>
    </cfRule>
    <cfRule type="expression" dxfId="147" priority="994">
      <formula>$K307="OK"</formula>
    </cfRule>
    <cfRule type="expression" dxfId="146" priority="995">
      <formula>AND((TODAY()-$H308)&gt;0,$H308&lt;&gt;"",$I307="")=TRUE</formula>
    </cfRule>
  </conditionalFormatting>
  <conditionalFormatting sqref="I307:R307 A307:G307 H308">
    <cfRule type="expression" dxfId="145" priority="996">
      <formula>$K307="CANCELADO"</formula>
    </cfRule>
    <cfRule type="expression" dxfId="144" priority="997">
      <formula>$K307="STAND-BY"</formula>
    </cfRule>
    <cfRule type="expression" dxfId="143" priority="998">
      <formula>$K307="AGUARDANDO APROVAÇÃO"</formula>
    </cfRule>
    <cfRule type="expression" dxfId="142" priority="999">
      <formula>$K307="OK"</formula>
    </cfRule>
    <cfRule type="expression" dxfId="141" priority="1000">
      <formula>AND((TODAY()-$H308)&gt;0,$H308&lt;&gt;"",$I307="")=TRUE</formula>
    </cfRule>
  </conditionalFormatting>
  <conditionalFormatting sqref="A308 J308:R308 C308:G308">
    <cfRule type="expression" dxfId="140" priority="1001">
      <formula>$K308="CANCELADO"</formula>
    </cfRule>
    <cfRule type="expression" dxfId="139" priority="1002">
      <formula>$K308="STAND-BY"</formula>
    </cfRule>
    <cfRule type="expression" dxfId="138" priority="1003">
      <formula>$K308="AGUARDANDO APROVAÇÃO"</formula>
    </cfRule>
    <cfRule type="expression" dxfId="137" priority="1004">
      <formula>$K308="OK"</formula>
    </cfRule>
    <cfRule type="expression" dxfId="136" priority="1005">
      <formula>AND((TODAY()-#REF!)&gt;0,#REF!&lt;&gt;"",$I308="")=TRUE</formula>
    </cfRule>
  </conditionalFormatting>
  <conditionalFormatting sqref="I308">
    <cfRule type="expression" dxfId="135" priority="21">
      <formula>$K307="CANCELADO"</formula>
    </cfRule>
    <cfRule type="expression" dxfId="134" priority="22">
      <formula>$K307="STAND-BY"</formula>
    </cfRule>
    <cfRule type="expression" dxfId="133" priority="23">
      <formula>$K307="AGUARDANDO APROVAÇÃO"</formula>
    </cfRule>
    <cfRule type="expression" dxfId="132" priority="24">
      <formula>$K307="OK"</formula>
    </cfRule>
    <cfRule type="expression" dxfId="131" priority="25">
      <formula>AND((TODAY()-$H308)&gt;0,$H308&lt;&gt;"",$I307="")=TRUE</formula>
    </cfRule>
  </conditionalFormatting>
  <conditionalFormatting sqref="I308">
    <cfRule type="expression" dxfId="130" priority="26">
      <formula>$K308="CANCELADO"</formula>
    </cfRule>
    <cfRule type="expression" dxfId="129" priority="27">
      <formula>$K308="STAND-BY"</formula>
    </cfRule>
    <cfRule type="expression" dxfId="128" priority="28">
      <formula>$K308="AGUARDANDO APROVAÇÃO"</formula>
    </cfRule>
    <cfRule type="expression" dxfId="127" priority="29">
      <formula>$K308="OK"</formula>
    </cfRule>
    <cfRule type="expression" dxfId="126" priority="30">
      <formula>AND((TODAY()-$H309)&gt;0,$H309&lt;&gt;"",$I308="")=TRUE</formula>
    </cfRule>
  </conditionalFormatting>
  <conditionalFormatting sqref="K281:K282">
    <cfRule type="expression" dxfId="125" priority="16">
      <formula>$K281="CANCELADO"</formula>
    </cfRule>
    <cfRule type="expression" dxfId="124" priority="17">
      <formula>$K281="STAND-BY"</formula>
    </cfRule>
    <cfRule type="expression" dxfId="123" priority="18">
      <formula>$K281="AGUARDANDO APROVAÇÃO"</formula>
    </cfRule>
    <cfRule type="expression" dxfId="122" priority="19">
      <formula>$K281="OK"</formula>
    </cfRule>
    <cfRule type="expression" dxfId="121" priority="20">
      <formula>AND((TODAY()-$H281)&gt;0,$H281&lt;&gt;"",$I281="")=TRUE</formula>
    </cfRule>
  </conditionalFormatting>
  <conditionalFormatting sqref="K309:K311">
    <cfRule type="expression" dxfId="120" priority="11">
      <formula>$K309="CANCELADO"</formula>
    </cfRule>
    <cfRule type="expression" dxfId="119" priority="12">
      <formula>$K309="STAND-BY"</formula>
    </cfRule>
    <cfRule type="expression" dxfId="118" priority="13">
      <formula>$K309="AGUARDANDO APROVAÇÃO"</formula>
    </cfRule>
    <cfRule type="expression" dxfId="117" priority="14">
      <formula>$K309="OK"</formula>
    </cfRule>
    <cfRule type="expression" dxfId="116" priority="15">
      <formula>AND((TODAY()-#REF!)&gt;0,#REF!&lt;&gt;"",$I309="")=TRUE</formula>
    </cfRule>
  </conditionalFormatting>
  <conditionalFormatting sqref="H307">
    <cfRule type="expression" dxfId="115" priority="6">
      <formula>$K307="CANCELADO"</formula>
    </cfRule>
    <cfRule type="expression" dxfId="114" priority="7">
      <formula>$K307="STAND-BY"</formula>
    </cfRule>
    <cfRule type="expression" dxfId="113" priority="8">
      <formula>$K307="AGUARDANDO APROVAÇÃO"</formula>
    </cfRule>
    <cfRule type="expression" dxfId="112" priority="9">
      <formula>$K307="OK"</formula>
    </cfRule>
    <cfRule type="expression" dxfId="111" priority="10">
      <formula>AND((TODAY()-$H307)&gt;0,$H307&lt;&gt;"",$I307="")=TRUE</formula>
    </cfRule>
  </conditionalFormatting>
  <conditionalFormatting sqref="A265:R266">
    <cfRule type="expression" dxfId="110" priority="1">
      <formula>$K265="CANCELADO"</formula>
    </cfRule>
    <cfRule type="expression" dxfId="109" priority="2">
      <formula>$K265="STAND-BY"</formula>
    </cfRule>
    <cfRule type="expression" dxfId="108" priority="3">
      <formula>$K265="AGUARDANDO APROVAÇÃO"</formula>
    </cfRule>
    <cfRule type="expression" dxfId="107" priority="4">
      <formula>$K265="OK"</formula>
    </cfRule>
    <cfRule type="expression" dxfId="106" priority="5">
      <formula>AND((TODAY()-$H265)&gt;0,$H265&lt;&gt;"",$I265="")=TRUE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7FDEBB9-4A4C-4117-8AE3-488D052CF626}">
          <x14:formula1>
            <xm:f>'NÃO MEXER'!$I$2:$I$6</xm:f>
          </x14:formula1>
          <xm:sqref>R81:R83 R250:R253 Q2:Q341</xm:sqref>
        </x14:dataValidation>
        <x14:dataValidation type="list" allowBlank="1" showInputMessage="1" showErrorMessage="1" xr:uid="{5D401A44-7ECF-4A73-938F-D7B7D57A5C02}">
          <x14:formula1>
            <xm:f>'NÃO MEXER'!$J$2:$J$6</xm:f>
          </x14:formula1>
          <xm:sqref>R84:R249 R2:R80 R254:R341</xm:sqref>
        </x14:dataValidation>
        <x14:dataValidation type="list" allowBlank="1" showInputMessage="1" showErrorMessage="1" xr:uid="{87DC728C-6004-4065-A6D5-86BAC634C4DA}">
          <x14:formula1>
            <xm:f>'NÃO MEXER'!$E$2:$E$6</xm:f>
          </x14:formula1>
          <xm:sqref>K2:K341</xm:sqref>
        </x14:dataValidation>
        <x14:dataValidation type="list" allowBlank="1" showInputMessage="1" showErrorMessage="1" xr:uid="{A5A13E7B-97A5-4A24-9663-B03F3710986D}">
          <x14:formula1>
            <xm:f>'NÃO MEXER'!$B$2:$B$19</xm:f>
          </x14:formula1>
          <xm:sqref>C2:C341</xm:sqref>
        </x14:dataValidation>
        <x14:dataValidation type="list" allowBlank="1" showInputMessage="1" showErrorMessage="1" xr:uid="{06D6C676-731D-4803-80A1-15DA9610ECFC}">
          <x14:formula1>
            <xm:f>'NÃO MEXER'!$H$2:$H$3</xm:f>
          </x14:formula1>
          <xm:sqref>O2:P341</xm:sqref>
        </x14:dataValidation>
        <x14:dataValidation type="list" allowBlank="1" showInputMessage="1" showErrorMessage="1" xr:uid="{688DB1F8-C5B3-4CAF-9501-3F6A430ACC81}">
          <x14:formula1>
            <xm:f>'NÃO MEXER'!$G$2:$G$7</xm:f>
          </x14:formula1>
          <xm:sqref>M2:M341</xm:sqref>
        </x14:dataValidation>
        <x14:dataValidation type="list" allowBlank="1" showInputMessage="1" showErrorMessage="1" xr:uid="{153F8CF7-94A1-473A-8ECF-BDA9E7F8BC82}">
          <x14:formula1>
            <xm:f>'NÃO MEXER'!$F$2:$F$6</xm:f>
          </x14:formula1>
          <xm:sqref>L2:L341</xm:sqref>
        </x14:dataValidation>
        <x14:dataValidation type="list" allowBlank="1" showInputMessage="1" showErrorMessage="1" xr:uid="{95AB225B-A5CC-4550-8EAE-6BAE9A091089}">
          <x14:formula1>
            <xm:f>'NÃO MEXER'!$A$2:$A$25</xm:f>
          </x14:formula1>
          <xm:sqref>A2:A341</xm:sqref>
        </x14:dataValidation>
        <x14:dataValidation type="list" allowBlank="1" showInputMessage="1" showErrorMessage="1" xr:uid="{9DF0676C-D989-476C-8E6D-211D49A8DCD3}">
          <x14:formula1>
            <xm:f>'NÃO MEXER'!$C$2:$C$94</xm:f>
          </x14:formula1>
          <xm:sqref>E2:E341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36E3-A481-4FB7-846F-DF59AE468626}">
  <sheetPr codeName="Planilha12"/>
  <dimension ref="A1:R131"/>
  <sheetViews>
    <sheetView topLeftCell="A99" workbookViewId="0">
      <selection activeCell="A111" sqref="A111:XFD11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163</v>
      </c>
      <c r="B4" s="17">
        <v>214878</v>
      </c>
      <c r="C4" s="18" t="s">
        <v>20</v>
      </c>
      <c r="D4" s="81" t="s">
        <v>164</v>
      </c>
      <c r="E4" s="17" t="s">
        <v>43</v>
      </c>
      <c r="F4" s="17">
        <v>1</v>
      </c>
      <c r="G4" s="20">
        <v>44211</v>
      </c>
      <c r="H4" s="20"/>
      <c r="I4" s="20"/>
      <c r="J4" s="21" t="s">
        <v>385</v>
      </c>
      <c r="K4" s="18" t="s">
        <v>386</v>
      </c>
      <c r="L4" s="23" t="s">
        <v>25</v>
      </c>
      <c r="M4" s="18" t="s">
        <v>34</v>
      </c>
      <c r="N4" s="18"/>
      <c r="O4" s="18" t="s">
        <v>27</v>
      </c>
      <c r="P4" s="21"/>
      <c r="Q4" s="18"/>
      <c r="R4" s="22"/>
    </row>
    <row r="5" spans="1:18" ht="30" customHeight="1" x14ac:dyDescent="0.25">
      <c r="A5" s="16" t="s">
        <v>39</v>
      </c>
      <c r="B5" s="17">
        <v>214031</v>
      </c>
      <c r="C5" s="18" t="s">
        <v>20</v>
      </c>
      <c r="D5" s="81" t="s">
        <v>167</v>
      </c>
      <c r="E5" s="17" t="s">
        <v>22</v>
      </c>
      <c r="F5" s="17">
        <v>1</v>
      </c>
      <c r="G5" s="20">
        <v>44208</v>
      </c>
      <c r="H5" s="20">
        <v>44324</v>
      </c>
      <c r="I5" s="20"/>
      <c r="J5" s="21" t="s">
        <v>387</v>
      </c>
      <c r="K5" s="18" t="s">
        <v>388</v>
      </c>
      <c r="L5" s="23" t="s">
        <v>25</v>
      </c>
      <c r="M5" s="18" t="s">
        <v>26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35</v>
      </c>
      <c r="B6" s="17">
        <v>217447</v>
      </c>
      <c r="C6" s="18" t="s">
        <v>20</v>
      </c>
      <c r="D6" s="81" t="s">
        <v>393</v>
      </c>
      <c r="E6" s="17" t="s">
        <v>46</v>
      </c>
      <c r="F6" s="17">
        <v>1</v>
      </c>
      <c r="G6" s="20">
        <v>44225</v>
      </c>
      <c r="H6" s="20">
        <v>44237</v>
      </c>
      <c r="I6" s="20">
        <v>44237</v>
      </c>
      <c r="J6" s="21" t="s">
        <v>394</v>
      </c>
      <c r="K6" s="18" t="s">
        <v>386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35</v>
      </c>
      <c r="B7" s="17">
        <v>217447</v>
      </c>
      <c r="C7" s="18" t="s">
        <v>20</v>
      </c>
      <c r="D7" s="81" t="s">
        <v>393</v>
      </c>
      <c r="E7" s="17" t="s">
        <v>22</v>
      </c>
      <c r="F7" s="17">
        <v>1</v>
      </c>
      <c r="G7" s="20">
        <v>44225</v>
      </c>
      <c r="H7" s="20">
        <v>44237</v>
      </c>
      <c r="I7" s="20">
        <v>44237</v>
      </c>
      <c r="J7" s="21" t="s">
        <v>394</v>
      </c>
      <c r="K7" s="18" t="s">
        <v>386</v>
      </c>
      <c r="L7" s="23" t="s">
        <v>25</v>
      </c>
      <c r="M7" s="18" t="s">
        <v>26</v>
      </c>
      <c r="N7" s="18"/>
      <c r="O7" s="18" t="s">
        <v>27</v>
      </c>
      <c r="P7" s="21"/>
      <c r="Q7" s="18"/>
      <c r="R7" s="22"/>
    </row>
    <row r="8" spans="1:18" ht="30" customHeight="1" x14ac:dyDescent="0.25">
      <c r="A8" s="16" t="s">
        <v>39</v>
      </c>
      <c r="B8" s="17">
        <v>202587</v>
      </c>
      <c r="C8" s="18" t="s">
        <v>140</v>
      </c>
      <c r="D8" s="81" t="s">
        <v>395</v>
      </c>
      <c r="E8" s="17" t="s">
        <v>288</v>
      </c>
      <c r="F8" s="17"/>
      <c r="G8" s="20">
        <v>44518</v>
      </c>
      <c r="H8" s="20">
        <v>44211</v>
      </c>
      <c r="I8" s="20"/>
      <c r="J8" s="21" t="s">
        <v>396</v>
      </c>
      <c r="K8" s="18" t="s">
        <v>384</v>
      </c>
      <c r="L8" s="23" t="s">
        <v>58</v>
      </c>
      <c r="M8" s="18" t="s">
        <v>26</v>
      </c>
      <c r="N8" s="18"/>
      <c r="O8" s="18" t="s">
        <v>38</v>
      </c>
      <c r="P8" s="21"/>
      <c r="Q8" s="18"/>
      <c r="R8" s="22"/>
    </row>
    <row r="9" spans="1:18" ht="30" customHeight="1" x14ac:dyDescent="0.25">
      <c r="A9" s="16" t="s">
        <v>159</v>
      </c>
      <c r="B9" s="17">
        <v>210194</v>
      </c>
      <c r="C9" s="18" t="s">
        <v>77</v>
      </c>
      <c r="D9" s="81" t="s">
        <v>397</v>
      </c>
      <c r="E9" s="17" t="s">
        <v>69</v>
      </c>
      <c r="F9" s="17"/>
      <c r="G9" s="20">
        <v>44187</v>
      </c>
      <c r="H9" s="20">
        <v>44229</v>
      </c>
      <c r="I9" s="20"/>
      <c r="J9" s="21"/>
      <c r="K9" s="18" t="s">
        <v>384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39</v>
      </c>
      <c r="B10" s="17">
        <v>199736</v>
      </c>
      <c r="C10" s="18" t="s">
        <v>20</v>
      </c>
      <c r="D10" s="81" t="s">
        <v>398</v>
      </c>
      <c r="E10" s="17" t="s">
        <v>157</v>
      </c>
      <c r="F10" s="17"/>
      <c r="G10" s="20">
        <v>44139</v>
      </c>
      <c r="H10" s="20">
        <v>44253</v>
      </c>
      <c r="I10" s="20">
        <v>44253</v>
      </c>
      <c r="J10" s="21" t="s">
        <v>399</v>
      </c>
      <c r="K10" s="18" t="s">
        <v>386</v>
      </c>
      <c r="L10" s="23"/>
      <c r="M10" s="18"/>
      <c r="N10" s="18"/>
      <c r="O10" s="18"/>
      <c r="P10" s="21"/>
      <c r="Q10" s="18"/>
      <c r="R10" s="22"/>
    </row>
    <row r="11" spans="1:18" ht="30" customHeight="1" x14ac:dyDescent="0.25">
      <c r="A11" s="16" t="s">
        <v>130</v>
      </c>
      <c r="B11" s="17">
        <v>219469</v>
      </c>
      <c r="C11" s="18" t="s">
        <v>77</v>
      </c>
      <c r="D11" s="81" t="s">
        <v>400</v>
      </c>
      <c r="E11" s="17"/>
      <c r="F11" s="17"/>
      <c r="G11" s="20">
        <v>44235</v>
      </c>
      <c r="H11" s="20">
        <v>44251</v>
      </c>
      <c r="I11" s="20"/>
      <c r="J11" s="21"/>
      <c r="K11" s="18" t="s">
        <v>388</v>
      </c>
      <c r="L11" s="23" t="s">
        <v>37</v>
      </c>
      <c r="M11" s="18"/>
      <c r="N11" s="18"/>
      <c r="O11" s="18"/>
      <c r="P11" s="21"/>
      <c r="Q11" s="18"/>
      <c r="R11" s="22"/>
    </row>
    <row r="12" spans="1:18" ht="30" customHeight="1" x14ac:dyDescent="0.25">
      <c r="A12" s="16" t="s">
        <v>96</v>
      </c>
      <c r="B12" s="17">
        <v>209414</v>
      </c>
      <c r="C12" s="18" t="s">
        <v>20</v>
      </c>
      <c r="D12" s="81" t="s">
        <v>401</v>
      </c>
      <c r="E12" s="17" t="s">
        <v>22</v>
      </c>
      <c r="F12" s="17">
        <v>2</v>
      </c>
      <c r="G12" s="20">
        <v>44201</v>
      </c>
      <c r="H12" s="20">
        <v>44302</v>
      </c>
      <c r="I12" s="20"/>
      <c r="J12" s="21"/>
      <c r="K12" s="18" t="s">
        <v>384</v>
      </c>
      <c r="L12" s="23" t="s">
        <v>25</v>
      </c>
      <c r="M12" s="18" t="s">
        <v>26</v>
      </c>
      <c r="N12" s="18"/>
      <c r="O12" s="18" t="s">
        <v>27</v>
      </c>
      <c r="P12" s="21" t="s">
        <v>27</v>
      </c>
      <c r="Q12" s="18" t="s">
        <v>54</v>
      </c>
      <c r="R12" s="22" t="s">
        <v>29</v>
      </c>
    </row>
    <row r="13" spans="1:18" ht="30" customHeight="1" x14ac:dyDescent="0.25">
      <c r="A13" s="16" t="s">
        <v>96</v>
      </c>
      <c r="B13" s="17">
        <v>209414</v>
      </c>
      <c r="C13" s="18" t="s">
        <v>20</v>
      </c>
      <c r="D13" s="81" t="s">
        <v>401</v>
      </c>
      <c r="E13" s="17" t="s">
        <v>107</v>
      </c>
      <c r="F13" s="17"/>
      <c r="G13" s="20">
        <v>44201</v>
      </c>
      <c r="H13" s="20"/>
      <c r="I13" s="20"/>
      <c r="J13" s="21"/>
      <c r="K13" s="18" t="s">
        <v>388</v>
      </c>
      <c r="L13" s="23" t="s">
        <v>25</v>
      </c>
      <c r="M13" s="18" t="s">
        <v>26</v>
      </c>
      <c r="N13" s="18"/>
      <c r="O13" s="18" t="s">
        <v>27</v>
      </c>
      <c r="P13" s="21" t="s">
        <v>27</v>
      </c>
      <c r="Q13" s="18" t="s">
        <v>54</v>
      </c>
      <c r="R13" s="22" t="s">
        <v>29</v>
      </c>
    </row>
    <row r="14" spans="1:18" ht="30" customHeight="1" x14ac:dyDescent="0.25">
      <c r="A14" s="16" t="s">
        <v>96</v>
      </c>
      <c r="B14" s="17">
        <v>209414</v>
      </c>
      <c r="C14" s="18" t="s">
        <v>140</v>
      </c>
      <c r="D14" s="81" t="s">
        <v>401</v>
      </c>
      <c r="E14" s="17" t="s">
        <v>107</v>
      </c>
      <c r="F14" s="17">
        <v>2</v>
      </c>
      <c r="G14" s="20">
        <v>44201</v>
      </c>
      <c r="H14" s="20">
        <v>44302</v>
      </c>
      <c r="I14" s="20"/>
      <c r="J14" s="21" t="s">
        <v>403</v>
      </c>
      <c r="K14" s="18" t="s">
        <v>386</v>
      </c>
      <c r="L14" s="23" t="s">
        <v>58</v>
      </c>
      <c r="M14" s="18" t="s">
        <v>26</v>
      </c>
      <c r="N14" s="18"/>
      <c r="O14" s="18" t="s">
        <v>38</v>
      </c>
      <c r="P14" s="21"/>
      <c r="Q14" s="18"/>
      <c r="R14" s="22"/>
    </row>
    <row r="15" spans="1:18" ht="30" customHeight="1" x14ac:dyDescent="0.25">
      <c r="A15" s="16" t="s">
        <v>39</v>
      </c>
      <c r="B15" s="17">
        <v>221340</v>
      </c>
      <c r="C15" s="18" t="s">
        <v>20</v>
      </c>
      <c r="D15" s="81" t="s">
        <v>404</v>
      </c>
      <c r="E15" s="17" t="s">
        <v>86</v>
      </c>
      <c r="F15" s="17">
        <v>1</v>
      </c>
      <c r="G15" s="20">
        <v>44239</v>
      </c>
      <c r="H15" s="20"/>
      <c r="I15" s="20"/>
      <c r="J15" s="21"/>
      <c r="K15" s="18" t="s">
        <v>388</v>
      </c>
      <c r="L15" s="23" t="s">
        <v>25</v>
      </c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221340</v>
      </c>
      <c r="C16" s="18" t="s">
        <v>62</v>
      </c>
      <c r="D16" s="81" t="s">
        <v>404</v>
      </c>
      <c r="E16" s="17" t="s">
        <v>302</v>
      </c>
      <c r="F16" s="17"/>
      <c r="G16" s="20">
        <v>44239</v>
      </c>
      <c r="H16" s="20"/>
      <c r="I16" s="20"/>
      <c r="J16" s="21" t="s">
        <v>405</v>
      </c>
      <c r="K16" s="18" t="s">
        <v>388</v>
      </c>
      <c r="L16" s="23" t="s">
        <v>25</v>
      </c>
      <c r="M16" s="18"/>
      <c r="N16" s="18"/>
      <c r="O16" s="18"/>
      <c r="P16" s="21"/>
      <c r="Q16" s="18"/>
      <c r="R16" s="22"/>
    </row>
    <row r="17" spans="1:18" ht="30" customHeight="1" x14ac:dyDescent="0.25">
      <c r="A17" s="16" t="s">
        <v>39</v>
      </c>
      <c r="B17" s="17">
        <v>221340</v>
      </c>
      <c r="C17" s="18" t="s">
        <v>138</v>
      </c>
      <c r="D17" s="81" t="s">
        <v>404</v>
      </c>
      <c r="E17" s="17" t="s">
        <v>83</v>
      </c>
      <c r="F17" s="17"/>
      <c r="G17" s="20">
        <v>44239</v>
      </c>
      <c r="H17" s="20"/>
      <c r="I17" s="20"/>
      <c r="J17" s="21" t="s">
        <v>406</v>
      </c>
      <c r="K17" s="18" t="s">
        <v>388</v>
      </c>
      <c r="L17" s="23" t="s">
        <v>25</v>
      </c>
      <c r="M17" s="18"/>
      <c r="N17" s="18"/>
      <c r="O17" s="18"/>
      <c r="P17" s="21"/>
      <c r="Q17" s="18"/>
      <c r="R17" s="22"/>
    </row>
    <row r="18" spans="1:18" ht="30" customHeight="1" x14ac:dyDescent="0.25">
      <c r="A18" s="16" t="s">
        <v>300</v>
      </c>
      <c r="B18" s="17">
        <v>224036</v>
      </c>
      <c r="C18" s="18" t="s">
        <v>77</v>
      </c>
      <c r="D18" s="81" t="s">
        <v>301</v>
      </c>
      <c r="E18" s="17" t="s">
        <v>83</v>
      </c>
      <c r="F18" s="17"/>
      <c r="G18" s="20">
        <v>44253</v>
      </c>
      <c r="H18" s="20">
        <v>44295</v>
      </c>
      <c r="I18" s="20"/>
      <c r="J18" s="21" t="s">
        <v>409</v>
      </c>
      <c r="K18" s="18" t="s">
        <v>388</v>
      </c>
      <c r="L18" s="23" t="s">
        <v>25</v>
      </c>
      <c r="M18" s="18" t="s">
        <v>83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159</v>
      </c>
      <c r="B19" s="17">
        <v>224281</v>
      </c>
      <c r="C19" s="18" t="s">
        <v>140</v>
      </c>
      <c r="D19" s="81" t="s">
        <v>411</v>
      </c>
      <c r="E19" s="17" t="s">
        <v>134</v>
      </c>
      <c r="F19" s="17">
        <v>1</v>
      </c>
      <c r="G19" s="20">
        <v>44256</v>
      </c>
      <c r="H19" s="20">
        <v>44257</v>
      </c>
      <c r="I19" s="20">
        <v>44257</v>
      </c>
      <c r="J19" s="21"/>
      <c r="K19" s="18" t="s">
        <v>384</v>
      </c>
      <c r="L19" s="23" t="s">
        <v>58</v>
      </c>
      <c r="M19" s="18" t="s">
        <v>26</v>
      </c>
      <c r="N19" s="18">
        <v>1</v>
      </c>
      <c r="O19" s="18" t="s">
        <v>38</v>
      </c>
      <c r="P19" s="21" t="s">
        <v>38</v>
      </c>
      <c r="Q19" s="18" t="s">
        <v>54</v>
      </c>
      <c r="R19" s="22"/>
    </row>
    <row r="20" spans="1:18" ht="30" customHeight="1" x14ac:dyDescent="0.25">
      <c r="A20" s="16" t="s">
        <v>35</v>
      </c>
      <c r="B20" s="17">
        <v>224701</v>
      </c>
      <c r="C20" s="18" t="s">
        <v>77</v>
      </c>
      <c r="D20" s="81" t="s">
        <v>316</v>
      </c>
      <c r="E20" s="17" t="s">
        <v>83</v>
      </c>
      <c r="F20" s="17"/>
      <c r="G20" s="20">
        <v>44257</v>
      </c>
      <c r="H20" s="20">
        <v>44287</v>
      </c>
      <c r="I20" s="20"/>
      <c r="J20" s="21" t="s">
        <v>412</v>
      </c>
      <c r="K20" s="18" t="s">
        <v>388</v>
      </c>
      <c r="L20" s="23" t="s">
        <v>25</v>
      </c>
      <c r="M20" s="18" t="s">
        <v>83</v>
      </c>
      <c r="N20" s="18"/>
      <c r="O20" s="18" t="s">
        <v>27</v>
      </c>
      <c r="P20" s="21"/>
      <c r="Q20" s="18"/>
      <c r="R20" s="22"/>
    </row>
    <row r="21" spans="1:18" ht="30" customHeight="1" x14ac:dyDescent="0.25">
      <c r="A21" s="16" t="s">
        <v>39</v>
      </c>
      <c r="B21" s="17">
        <v>202584</v>
      </c>
      <c r="C21" s="18" t="s">
        <v>20</v>
      </c>
      <c r="D21" s="81" t="s">
        <v>418</v>
      </c>
      <c r="E21" s="17" t="s">
        <v>43</v>
      </c>
      <c r="F21" s="17"/>
      <c r="G21" s="20">
        <v>44230</v>
      </c>
      <c r="H21" s="20"/>
      <c r="I21" s="20"/>
      <c r="J21" s="21"/>
      <c r="K21" s="18" t="s">
        <v>386</v>
      </c>
      <c r="L21" s="23" t="s">
        <v>25</v>
      </c>
      <c r="M21" s="18" t="s">
        <v>34</v>
      </c>
      <c r="N21" s="18"/>
      <c r="O21" s="18"/>
      <c r="P21" s="21"/>
      <c r="Q21" s="18"/>
      <c r="R21" s="22"/>
    </row>
    <row r="22" spans="1:18" ht="30" customHeight="1" x14ac:dyDescent="0.25">
      <c r="A22" s="16" t="s">
        <v>39</v>
      </c>
      <c r="B22" s="17">
        <v>227231</v>
      </c>
      <c r="C22" s="18" t="s">
        <v>20</v>
      </c>
      <c r="D22" s="81" t="s">
        <v>342</v>
      </c>
      <c r="E22" s="17" t="s">
        <v>46</v>
      </c>
      <c r="F22" s="17">
        <v>1</v>
      </c>
      <c r="G22" s="20">
        <v>44267</v>
      </c>
      <c r="H22" s="20">
        <v>44284</v>
      </c>
      <c r="I22" s="20"/>
      <c r="J22" s="21"/>
      <c r="K22" s="18" t="s">
        <v>384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54</v>
      </c>
      <c r="R22" s="22"/>
    </row>
    <row r="23" spans="1:18" ht="30" customHeight="1" x14ac:dyDescent="0.25">
      <c r="A23" s="16" t="s">
        <v>39</v>
      </c>
      <c r="B23" s="17">
        <v>227231</v>
      </c>
      <c r="C23" s="18" t="s">
        <v>20</v>
      </c>
      <c r="D23" s="81" t="s">
        <v>342</v>
      </c>
      <c r="E23" s="17" t="s">
        <v>22</v>
      </c>
      <c r="F23" s="17">
        <v>1</v>
      </c>
      <c r="G23" s="20">
        <v>44267</v>
      </c>
      <c r="H23" s="20">
        <v>44284</v>
      </c>
      <c r="I23" s="20"/>
      <c r="J23" s="21"/>
      <c r="K23" s="18" t="s">
        <v>384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54</v>
      </c>
      <c r="R23" s="22"/>
    </row>
    <row r="24" spans="1:18" ht="30" customHeight="1" x14ac:dyDescent="0.25">
      <c r="A24" s="16" t="s">
        <v>39</v>
      </c>
      <c r="B24" s="17">
        <v>227231</v>
      </c>
      <c r="C24" s="18" t="s">
        <v>20</v>
      </c>
      <c r="D24" s="81" t="s">
        <v>342</v>
      </c>
      <c r="E24" s="17" t="s">
        <v>177</v>
      </c>
      <c r="F24" s="17">
        <v>1</v>
      </c>
      <c r="G24" s="20">
        <v>44267</v>
      </c>
      <c r="H24" s="20">
        <v>44284</v>
      </c>
      <c r="I24" s="20"/>
      <c r="J24" s="21"/>
      <c r="K24" s="18" t="s">
        <v>384</v>
      </c>
      <c r="L24" s="23" t="s">
        <v>45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/>
    </row>
    <row r="25" spans="1:18" ht="30" customHeight="1" x14ac:dyDescent="0.25">
      <c r="A25" s="16" t="s">
        <v>39</v>
      </c>
      <c r="B25" s="17" t="s">
        <v>247</v>
      </c>
      <c r="C25" s="18" t="s">
        <v>20</v>
      </c>
      <c r="D25" s="81" t="s">
        <v>357</v>
      </c>
      <c r="E25" s="17" t="s">
        <v>22</v>
      </c>
      <c r="F25" s="17">
        <v>1</v>
      </c>
      <c r="G25" s="20">
        <v>44273</v>
      </c>
      <c r="H25" s="20">
        <v>44284</v>
      </c>
      <c r="I25" s="20"/>
      <c r="J25" s="21"/>
      <c r="K25" s="18" t="s">
        <v>384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/>
    </row>
    <row r="26" spans="1:18" ht="30" customHeight="1" x14ac:dyDescent="0.25">
      <c r="A26" s="16" t="s">
        <v>39</v>
      </c>
      <c r="B26" s="17" t="s">
        <v>247</v>
      </c>
      <c r="C26" s="18" t="s">
        <v>20</v>
      </c>
      <c r="D26" s="81" t="s">
        <v>357</v>
      </c>
      <c r="E26" s="17" t="s">
        <v>46</v>
      </c>
      <c r="F26" s="17">
        <v>1</v>
      </c>
      <c r="G26" s="20">
        <v>44273</v>
      </c>
      <c r="H26" s="20">
        <v>44284</v>
      </c>
      <c r="I26" s="20"/>
      <c r="J26" s="21"/>
      <c r="K26" s="18" t="s">
        <v>384</v>
      </c>
      <c r="L26" s="23" t="s">
        <v>45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/>
    </row>
    <row r="27" spans="1:18" ht="30" customHeight="1" x14ac:dyDescent="0.25">
      <c r="A27" s="16" t="s">
        <v>39</v>
      </c>
      <c r="B27" s="17" t="s">
        <v>247</v>
      </c>
      <c r="C27" s="18" t="s">
        <v>20</v>
      </c>
      <c r="D27" s="81" t="s">
        <v>357</v>
      </c>
      <c r="E27" s="17" t="s">
        <v>177</v>
      </c>
      <c r="F27" s="17">
        <v>1</v>
      </c>
      <c r="G27" s="20">
        <v>44273</v>
      </c>
      <c r="H27" s="20">
        <v>44284</v>
      </c>
      <c r="I27" s="20"/>
      <c r="J27" s="21"/>
      <c r="K27" s="18" t="s">
        <v>384</v>
      </c>
      <c r="L27" s="23" t="s">
        <v>45</v>
      </c>
      <c r="M27" s="18" t="s">
        <v>26</v>
      </c>
      <c r="N27" s="18"/>
      <c r="O27" s="18" t="s">
        <v>27</v>
      </c>
      <c r="P27" s="21" t="s">
        <v>27</v>
      </c>
      <c r="Q27" s="18" t="s">
        <v>54</v>
      </c>
      <c r="R27" s="22"/>
    </row>
    <row r="28" spans="1:18" ht="30" customHeight="1" x14ac:dyDescent="0.25">
      <c r="A28" s="16" t="s">
        <v>39</v>
      </c>
      <c r="B28" s="17" t="s">
        <v>247</v>
      </c>
      <c r="C28" s="18" t="s">
        <v>20</v>
      </c>
      <c r="D28" s="81" t="s">
        <v>439</v>
      </c>
      <c r="E28" s="17" t="s">
        <v>22</v>
      </c>
      <c r="F28" s="17">
        <v>3</v>
      </c>
      <c r="G28" s="20">
        <v>44284</v>
      </c>
      <c r="H28" s="20">
        <v>44295</v>
      </c>
      <c r="I28" s="20"/>
      <c r="J28" s="21"/>
      <c r="K28" s="18" t="s">
        <v>384</v>
      </c>
      <c r="L28" s="23" t="s">
        <v>25</v>
      </c>
      <c r="M28" s="18" t="s">
        <v>26</v>
      </c>
      <c r="N28" s="18"/>
      <c r="O28" s="18" t="s">
        <v>27</v>
      </c>
      <c r="P28" s="21" t="s">
        <v>27</v>
      </c>
      <c r="Q28" s="18" t="s">
        <v>54</v>
      </c>
      <c r="R28" s="22"/>
    </row>
    <row r="29" spans="1:18" ht="30" customHeight="1" x14ac:dyDescent="0.25">
      <c r="A29" s="16" t="s">
        <v>39</v>
      </c>
      <c r="B29" s="17" t="s">
        <v>247</v>
      </c>
      <c r="C29" s="18" t="s">
        <v>20</v>
      </c>
      <c r="D29" s="81" t="s">
        <v>439</v>
      </c>
      <c r="E29" s="17" t="s">
        <v>79</v>
      </c>
      <c r="F29" s="17">
        <v>1</v>
      </c>
      <c r="G29" s="20">
        <v>44284</v>
      </c>
      <c r="H29" s="20">
        <v>44295</v>
      </c>
      <c r="I29" s="20"/>
      <c r="J29" s="21"/>
      <c r="K29" s="18" t="s">
        <v>384</v>
      </c>
      <c r="L29" s="23" t="s">
        <v>25</v>
      </c>
      <c r="M29" s="18" t="s">
        <v>26</v>
      </c>
      <c r="N29" s="18"/>
      <c r="O29" s="18" t="s">
        <v>27</v>
      </c>
      <c r="P29" s="21" t="s">
        <v>27</v>
      </c>
      <c r="Q29" s="18" t="s">
        <v>54</v>
      </c>
      <c r="R29" s="22"/>
    </row>
    <row r="30" spans="1:18" ht="30" customHeight="1" x14ac:dyDescent="0.25">
      <c r="A30" s="16" t="s">
        <v>52</v>
      </c>
      <c r="B30" s="17">
        <v>229683</v>
      </c>
      <c r="C30" s="18" t="s">
        <v>77</v>
      </c>
      <c r="D30" s="81" t="s">
        <v>441</v>
      </c>
      <c r="E30" s="17" t="s">
        <v>83</v>
      </c>
      <c r="F30" s="17"/>
      <c r="G30" s="20">
        <v>44285</v>
      </c>
      <c r="H30" s="20"/>
      <c r="I30" s="20"/>
      <c r="J30" s="21" t="s">
        <v>443</v>
      </c>
      <c r="K30" s="18" t="s">
        <v>388</v>
      </c>
      <c r="L30" s="23" t="s">
        <v>25</v>
      </c>
      <c r="M30" s="18" t="s">
        <v>34</v>
      </c>
      <c r="N30" s="18"/>
      <c r="O30" s="18" t="s">
        <v>27</v>
      </c>
      <c r="P30" s="21"/>
      <c r="Q30" s="18"/>
      <c r="R30" s="22"/>
    </row>
    <row r="31" spans="1:18" ht="30" customHeight="1" x14ac:dyDescent="0.25">
      <c r="A31" s="16" t="s">
        <v>52</v>
      </c>
      <c r="B31" s="17">
        <v>229683</v>
      </c>
      <c r="C31" s="18" t="s">
        <v>20</v>
      </c>
      <c r="D31" s="81" t="s">
        <v>441</v>
      </c>
      <c r="E31" s="17" t="s">
        <v>69</v>
      </c>
      <c r="F31" s="17">
        <v>2</v>
      </c>
      <c r="G31" s="20">
        <v>44285</v>
      </c>
      <c r="H31" s="20">
        <v>44295</v>
      </c>
      <c r="I31" s="20"/>
      <c r="J31" s="21"/>
      <c r="K31" s="18" t="s">
        <v>384</v>
      </c>
      <c r="L31" s="23" t="s">
        <v>25</v>
      </c>
      <c r="M31" s="18" t="s">
        <v>34</v>
      </c>
      <c r="N31" s="18"/>
      <c r="O31" s="18" t="s">
        <v>27</v>
      </c>
      <c r="P31" s="21"/>
      <c r="Q31" s="18"/>
      <c r="R31" s="22"/>
    </row>
    <row r="32" spans="1:18" ht="30" customHeight="1" x14ac:dyDescent="0.25">
      <c r="A32" s="16" t="s">
        <v>52</v>
      </c>
      <c r="B32" s="17">
        <v>229683</v>
      </c>
      <c r="C32" s="18" t="s">
        <v>20</v>
      </c>
      <c r="D32" s="81" t="s">
        <v>441</v>
      </c>
      <c r="E32" s="17" t="s">
        <v>79</v>
      </c>
      <c r="F32" s="17">
        <v>1</v>
      </c>
      <c r="G32" s="20">
        <v>44285</v>
      </c>
      <c r="H32" s="20">
        <v>44295</v>
      </c>
      <c r="I32" s="20"/>
      <c r="J32" s="21"/>
      <c r="K32" s="18" t="s">
        <v>384</v>
      </c>
      <c r="L32" s="23" t="s">
        <v>25</v>
      </c>
      <c r="M32" s="18" t="s">
        <v>34</v>
      </c>
      <c r="N32" s="18"/>
      <c r="O32" s="18" t="s">
        <v>27</v>
      </c>
      <c r="P32" s="21"/>
      <c r="Q32" s="18"/>
      <c r="R32" s="22"/>
    </row>
    <row r="33" spans="1:18" ht="30" customHeight="1" x14ac:dyDescent="0.25">
      <c r="A33" s="16" t="s">
        <v>39</v>
      </c>
      <c r="B33" s="17">
        <v>231804</v>
      </c>
      <c r="C33" s="18" t="s">
        <v>410</v>
      </c>
      <c r="D33" s="81" t="s">
        <v>446</v>
      </c>
      <c r="E33" s="17" t="s">
        <v>59</v>
      </c>
      <c r="F33" s="17">
        <v>10</v>
      </c>
      <c r="G33" s="20">
        <v>44291</v>
      </c>
      <c r="H33" s="20">
        <v>44294</v>
      </c>
      <c r="I33" s="20">
        <v>44294</v>
      </c>
      <c r="J33" s="21" t="s">
        <v>459</v>
      </c>
      <c r="K33" s="18" t="s">
        <v>386</v>
      </c>
      <c r="L33" s="23" t="s">
        <v>58</v>
      </c>
      <c r="M33" s="18" t="s">
        <v>26</v>
      </c>
      <c r="N33" s="18"/>
      <c r="O33" s="18" t="s">
        <v>38</v>
      </c>
      <c r="P33" s="21"/>
      <c r="Q33" s="18"/>
      <c r="R33" s="22"/>
    </row>
    <row r="34" spans="1:18" ht="30" customHeight="1" x14ac:dyDescent="0.25">
      <c r="A34" s="16" t="s">
        <v>30</v>
      </c>
      <c r="B34" s="17">
        <v>231826</v>
      </c>
      <c r="C34" s="18" t="s">
        <v>20</v>
      </c>
      <c r="D34" s="81" t="s">
        <v>447</v>
      </c>
      <c r="E34" s="17" t="s">
        <v>59</v>
      </c>
      <c r="F34" s="17"/>
      <c r="G34" s="20">
        <v>44291</v>
      </c>
      <c r="H34" s="20"/>
      <c r="I34" s="20"/>
      <c r="J34" s="21" t="s">
        <v>460</v>
      </c>
      <c r="K34" s="18" t="s">
        <v>388</v>
      </c>
      <c r="L34" s="23" t="s">
        <v>58</v>
      </c>
      <c r="M34" s="18" t="s">
        <v>26</v>
      </c>
      <c r="N34" s="18"/>
      <c r="O34" s="18" t="s">
        <v>38</v>
      </c>
      <c r="P34" s="21"/>
      <c r="Q34" s="18"/>
      <c r="R34" s="22"/>
    </row>
    <row r="35" spans="1:18" ht="42" customHeight="1" x14ac:dyDescent="0.25">
      <c r="A35" s="16" t="s">
        <v>30</v>
      </c>
      <c r="B35" s="17">
        <v>231829</v>
      </c>
      <c r="C35" s="18" t="s">
        <v>20</v>
      </c>
      <c r="D35" s="81" t="s">
        <v>449</v>
      </c>
      <c r="E35" s="17" t="s">
        <v>59</v>
      </c>
      <c r="F35" s="17"/>
      <c r="G35" s="20">
        <v>44291</v>
      </c>
      <c r="H35" s="20"/>
      <c r="I35" s="20"/>
      <c r="J35" s="21" t="s">
        <v>460</v>
      </c>
      <c r="K35" s="18" t="s">
        <v>388</v>
      </c>
      <c r="L35" s="23" t="s">
        <v>58</v>
      </c>
      <c r="M35" s="18" t="s">
        <v>26</v>
      </c>
      <c r="N35" s="18"/>
      <c r="O35" s="18" t="s">
        <v>38</v>
      </c>
      <c r="P35" s="21"/>
      <c r="Q35" s="18"/>
      <c r="R35" s="22"/>
    </row>
    <row r="36" spans="1:18" ht="30" customHeight="1" x14ac:dyDescent="0.25">
      <c r="A36" s="16" t="s">
        <v>39</v>
      </c>
      <c r="B36" s="17">
        <v>231941</v>
      </c>
      <c r="C36" s="18" t="s">
        <v>140</v>
      </c>
      <c r="D36" s="81" t="s">
        <v>461</v>
      </c>
      <c r="E36" s="17"/>
      <c r="F36" s="17">
        <v>1</v>
      </c>
      <c r="G36" s="20">
        <v>44292</v>
      </c>
      <c r="H36" s="20">
        <v>44314</v>
      </c>
      <c r="I36" s="20">
        <v>44312</v>
      </c>
      <c r="J36" s="21" t="s">
        <v>462</v>
      </c>
      <c r="K36" s="18" t="s">
        <v>384</v>
      </c>
      <c r="L36" s="23" t="s">
        <v>58</v>
      </c>
      <c r="M36" s="18" t="s">
        <v>26</v>
      </c>
      <c r="N36" s="18"/>
      <c r="O36" s="18"/>
      <c r="P36" s="21"/>
      <c r="Q36" s="18"/>
      <c r="R36" s="22"/>
    </row>
    <row r="37" spans="1:18" ht="30" customHeight="1" x14ac:dyDescent="0.25">
      <c r="A37" s="16" t="s">
        <v>39</v>
      </c>
      <c r="B37" s="17">
        <v>231941</v>
      </c>
      <c r="C37" s="18" t="s">
        <v>140</v>
      </c>
      <c r="D37" s="81" t="s">
        <v>461</v>
      </c>
      <c r="E37" s="17" t="s">
        <v>69</v>
      </c>
      <c r="F37" s="17">
        <v>3</v>
      </c>
      <c r="G37" s="20">
        <v>44292</v>
      </c>
      <c r="H37" s="20">
        <v>44314</v>
      </c>
      <c r="I37" s="20">
        <v>44313</v>
      </c>
      <c r="J37" s="21" t="s">
        <v>466</v>
      </c>
      <c r="K37" s="18" t="s">
        <v>384</v>
      </c>
      <c r="L37" s="23" t="s">
        <v>58</v>
      </c>
      <c r="M37" s="18" t="s">
        <v>26</v>
      </c>
      <c r="N37" s="18"/>
      <c r="O37" s="18"/>
      <c r="P37" s="21"/>
      <c r="Q37" s="18"/>
      <c r="R37" s="22"/>
    </row>
    <row r="38" spans="1:18" ht="30" customHeight="1" x14ac:dyDescent="0.25">
      <c r="A38" s="16" t="s">
        <v>39</v>
      </c>
      <c r="B38" s="17">
        <v>231941</v>
      </c>
      <c r="C38" s="18" t="s">
        <v>140</v>
      </c>
      <c r="D38" s="81" t="s">
        <v>461</v>
      </c>
      <c r="E38" s="17" t="s">
        <v>46</v>
      </c>
      <c r="F38" s="17">
        <v>2</v>
      </c>
      <c r="G38" s="20">
        <v>44292</v>
      </c>
      <c r="H38" s="20">
        <v>44321</v>
      </c>
      <c r="I38" s="20">
        <v>44321</v>
      </c>
      <c r="J38" s="21" t="s">
        <v>467</v>
      </c>
      <c r="K38" s="18" t="s">
        <v>384</v>
      </c>
      <c r="L38" s="23" t="s">
        <v>58</v>
      </c>
      <c r="M38" s="18" t="s">
        <v>26</v>
      </c>
      <c r="N38" s="18"/>
      <c r="O38" s="18"/>
      <c r="P38" s="21"/>
      <c r="Q38" s="18"/>
      <c r="R38" s="22"/>
    </row>
    <row r="39" spans="1:18" ht="30" customHeight="1" x14ac:dyDescent="0.25">
      <c r="A39" s="16" t="s">
        <v>39</v>
      </c>
      <c r="B39" s="17">
        <v>231941</v>
      </c>
      <c r="C39" s="18" t="s">
        <v>140</v>
      </c>
      <c r="D39" s="81" t="s">
        <v>461</v>
      </c>
      <c r="E39" s="17" t="s">
        <v>22</v>
      </c>
      <c r="F39" s="17">
        <v>2</v>
      </c>
      <c r="G39" s="20">
        <v>44292</v>
      </c>
      <c r="H39" s="20">
        <v>44321</v>
      </c>
      <c r="I39" s="20">
        <v>44321</v>
      </c>
      <c r="J39" s="21" t="s">
        <v>468</v>
      </c>
      <c r="K39" s="18" t="s">
        <v>384</v>
      </c>
      <c r="L39" s="23" t="s">
        <v>58</v>
      </c>
      <c r="M39" s="18" t="s">
        <v>26</v>
      </c>
      <c r="N39" s="18"/>
      <c r="O39" s="18"/>
      <c r="P39" s="21"/>
      <c r="Q39" s="18"/>
      <c r="R39" s="22"/>
    </row>
    <row r="40" spans="1:18" ht="30" customHeight="1" x14ac:dyDescent="0.25">
      <c r="A40" s="16" t="s">
        <v>30</v>
      </c>
      <c r="B40" s="17">
        <v>232333</v>
      </c>
      <c r="C40" s="18" t="s">
        <v>20</v>
      </c>
      <c r="D40" s="81" t="s">
        <v>475</v>
      </c>
      <c r="E40" s="17" t="s">
        <v>127</v>
      </c>
      <c r="F40" s="17">
        <v>1</v>
      </c>
      <c r="G40" s="20">
        <v>44294</v>
      </c>
      <c r="H40" s="20">
        <v>44316</v>
      </c>
      <c r="I40" s="20"/>
      <c r="J40" s="21"/>
      <c r="K40" s="18" t="s">
        <v>384</v>
      </c>
      <c r="L40" s="23" t="s">
        <v>25</v>
      </c>
      <c r="M40" s="18" t="s">
        <v>26</v>
      </c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30</v>
      </c>
      <c r="B41" s="17">
        <v>232333</v>
      </c>
      <c r="C41" s="18" t="s">
        <v>140</v>
      </c>
      <c r="D41" s="81" t="s">
        <v>475</v>
      </c>
      <c r="E41" s="17" t="s">
        <v>127</v>
      </c>
      <c r="F41" s="17">
        <v>1</v>
      </c>
      <c r="G41" s="20">
        <v>44294</v>
      </c>
      <c r="H41" s="20">
        <v>44316</v>
      </c>
      <c r="I41" s="20"/>
      <c r="J41" s="21"/>
      <c r="K41" s="18" t="s">
        <v>384</v>
      </c>
      <c r="L41" s="23" t="s">
        <v>25</v>
      </c>
      <c r="M41" s="18" t="s">
        <v>26</v>
      </c>
      <c r="N41" s="18"/>
      <c r="O41" s="18" t="s">
        <v>38</v>
      </c>
      <c r="P41" s="21"/>
      <c r="Q41" s="18"/>
      <c r="R41" s="22"/>
    </row>
    <row r="42" spans="1:18" ht="30" customHeight="1" x14ac:dyDescent="0.25">
      <c r="A42" s="16" t="s">
        <v>132</v>
      </c>
      <c r="B42" s="17">
        <v>232735</v>
      </c>
      <c r="C42" s="18" t="s">
        <v>140</v>
      </c>
      <c r="D42" s="81" t="s">
        <v>489</v>
      </c>
      <c r="E42" s="17" t="s">
        <v>102</v>
      </c>
      <c r="F42" s="17">
        <v>1</v>
      </c>
      <c r="G42" s="20">
        <v>44299</v>
      </c>
      <c r="H42" s="20">
        <v>44326</v>
      </c>
      <c r="I42" s="20">
        <v>44314</v>
      </c>
      <c r="J42" s="21" t="s">
        <v>490</v>
      </c>
      <c r="K42" s="18" t="s">
        <v>384</v>
      </c>
      <c r="L42" s="23" t="s">
        <v>25</v>
      </c>
      <c r="M42" s="18" t="s">
        <v>26</v>
      </c>
      <c r="N42" s="18"/>
      <c r="O42" s="18" t="s">
        <v>27</v>
      </c>
      <c r="P42" s="21" t="s">
        <v>27</v>
      </c>
      <c r="Q42" s="18" t="s">
        <v>54</v>
      </c>
      <c r="R42" s="22"/>
    </row>
    <row r="43" spans="1:18" ht="30" customHeight="1" x14ac:dyDescent="0.25">
      <c r="A43" s="16" t="s">
        <v>132</v>
      </c>
      <c r="B43" s="17">
        <v>232735</v>
      </c>
      <c r="C43" s="18" t="s">
        <v>140</v>
      </c>
      <c r="D43" s="81" t="s">
        <v>489</v>
      </c>
      <c r="E43" s="17" t="s">
        <v>116</v>
      </c>
      <c r="F43" s="17">
        <v>1</v>
      </c>
      <c r="G43" s="20">
        <v>44299</v>
      </c>
      <c r="H43" s="20">
        <v>44326</v>
      </c>
      <c r="I43" s="20">
        <v>44314</v>
      </c>
      <c r="J43" s="21" t="s">
        <v>490</v>
      </c>
      <c r="K43" s="18" t="s">
        <v>384</v>
      </c>
      <c r="L43" s="23" t="s">
        <v>25</v>
      </c>
      <c r="M43" s="18" t="s">
        <v>26</v>
      </c>
      <c r="N43" s="18"/>
      <c r="O43" s="18" t="s">
        <v>27</v>
      </c>
      <c r="P43" s="21" t="s">
        <v>27</v>
      </c>
      <c r="Q43" s="18" t="s">
        <v>54</v>
      </c>
      <c r="R43" s="22"/>
    </row>
    <row r="44" spans="1:18" ht="30" customHeight="1" x14ac:dyDescent="0.25">
      <c r="A44" s="16" t="s">
        <v>132</v>
      </c>
      <c r="B44" s="17">
        <v>232735</v>
      </c>
      <c r="C44" s="18" t="s">
        <v>140</v>
      </c>
      <c r="D44" s="81" t="s">
        <v>489</v>
      </c>
      <c r="E44" s="17" t="s">
        <v>115</v>
      </c>
      <c r="F44" s="17">
        <v>2</v>
      </c>
      <c r="G44" s="20">
        <v>44299</v>
      </c>
      <c r="H44" s="20">
        <v>44326</v>
      </c>
      <c r="I44" s="20">
        <v>44314</v>
      </c>
      <c r="J44" s="21" t="s">
        <v>490</v>
      </c>
      <c r="K44" s="18" t="s">
        <v>384</v>
      </c>
      <c r="L44" s="23" t="s">
        <v>25</v>
      </c>
      <c r="M44" s="18" t="s">
        <v>26</v>
      </c>
      <c r="N44" s="18"/>
      <c r="O44" s="18" t="s">
        <v>27</v>
      </c>
      <c r="P44" s="21" t="s">
        <v>27</v>
      </c>
      <c r="Q44" s="18" t="s">
        <v>54</v>
      </c>
      <c r="R44" s="22"/>
    </row>
    <row r="45" spans="1:18" ht="30" customHeight="1" x14ac:dyDescent="0.25">
      <c r="A45" s="16" t="s">
        <v>52</v>
      </c>
      <c r="B45" s="17">
        <v>232845</v>
      </c>
      <c r="C45" s="18" t="s">
        <v>20</v>
      </c>
      <c r="D45" s="81" t="s">
        <v>491</v>
      </c>
      <c r="E45" s="17" t="s">
        <v>157</v>
      </c>
      <c r="F45" s="17">
        <v>1</v>
      </c>
      <c r="G45" s="20">
        <v>44300</v>
      </c>
      <c r="H45" s="20">
        <v>44313</v>
      </c>
      <c r="I45" s="20"/>
      <c r="J45" s="21"/>
      <c r="K45" s="18" t="s">
        <v>384</v>
      </c>
      <c r="L45" s="23" t="s">
        <v>25</v>
      </c>
      <c r="M45" s="18" t="s">
        <v>26</v>
      </c>
      <c r="N45" s="18"/>
      <c r="O45" s="18" t="s">
        <v>27</v>
      </c>
      <c r="P45" s="21" t="s">
        <v>27</v>
      </c>
      <c r="Q45" s="18"/>
      <c r="R45" s="22"/>
    </row>
    <row r="46" spans="1:18" ht="30" customHeight="1" x14ac:dyDescent="0.25">
      <c r="A46" s="16" t="s">
        <v>300</v>
      </c>
      <c r="B46" s="17">
        <v>232745</v>
      </c>
      <c r="C46" s="18" t="s">
        <v>20</v>
      </c>
      <c r="D46" s="81" t="s">
        <v>492</v>
      </c>
      <c r="E46" s="17" t="s">
        <v>94</v>
      </c>
      <c r="F46" s="17">
        <v>1</v>
      </c>
      <c r="G46" s="20">
        <v>44299</v>
      </c>
      <c r="H46" s="20">
        <v>44301</v>
      </c>
      <c r="I46" s="20"/>
      <c r="J46" s="21"/>
      <c r="K46" s="18" t="s">
        <v>384</v>
      </c>
      <c r="L46" s="23" t="s">
        <v>37</v>
      </c>
      <c r="M46" s="18" t="s">
        <v>26</v>
      </c>
      <c r="N46" s="18"/>
      <c r="O46" s="18" t="s">
        <v>38</v>
      </c>
      <c r="P46" s="21" t="s">
        <v>38</v>
      </c>
      <c r="Q46" s="18" t="s">
        <v>286</v>
      </c>
      <c r="R46" s="22"/>
    </row>
    <row r="47" spans="1:18" ht="30" customHeight="1" x14ac:dyDescent="0.25">
      <c r="A47" s="16" t="s">
        <v>300</v>
      </c>
      <c r="B47" s="17">
        <v>232745</v>
      </c>
      <c r="C47" s="18" t="s">
        <v>20</v>
      </c>
      <c r="D47" s="81" t="s">
        <v>492</v>
      </c>
      <c r="E47" s="17" t="s">
        <v>84</v>
      </c>
      <c r="F47" s="17">
        <v>1</v>
      </c>
      <c r="G47" s="20">
        <v>44299</v>
      </c>
      <c r="H47" s="20">
        <v>44301</v>
      </c>
      <c r="I47" s="20"/>
      <c r="J47" s="21"/>
      <c r="K47" s="18" t="s">
        <v>384</v>
      </c>
      <c r="L47" s="23" t="s">
        <v>37</v>
      </c>
      <c r="M47" s="18" t="s">
        <v>26</v>
      </c>
      <c r="N47" s="18"/>
      <c r="O47" s="18" t="s">
        <v>38</v>
      </c>
      <c r="P47" s="21" t="s">
        <v>38</v>
      </c>
      <c r="Q47" s="18" t="s">
        <v>286</v>
      </c>
      <c r="R47" s="22"/>
    </row>
    <row r="48" spans="1:18" ht="30" customHeight="1" x14ac:dyDescent="0.25">
      <c r="A48" s="16" t="s">
        <v>39</v>
      </c>
      <c r="B48" s="17" t="s">
        <v>496</v>
      </c>
      <c r="C48" s="18" t="s">
        <v>20</v>
      </c>
      <c r="D48" s="81" t="s">
        <v>497</v>
      </c>
      <c r="E48" s="17" t="s">
        <v>22</v>
      </c>
      <c r="F48" s="17">
        <v>1</v>
      </c>
      <c r="G48" s="20">
        <v>44294</v>
      </c>
      <c r="H48" s="20">
        <v>44319</v>
      </c>
      <c r="I48" s="20"/>
      <c r="J48" s="21" t="s">
        <v>498</v>
      </c>
      <c r="K48" s="18" t="s">
        <v>384</v>
      </c>
      <c r="L48" s="23" t="s">
        <v>25</v>
      </c>
      <c r="M48" s="18" t="s">
        <v>26</v>
      </c>
      <c r="N48" s="18"/>
      <c r="O48" s="18" t="s">
        <v>27</v>
      </c>
      <c r="P48" s="21" t="s">
        <v>27</v>
      </c>
      <c r="Q48" s="18" t="s">
        <v>54</v>
      </c>
      <c r="R48" s="22" t="s">
        <v>29</v>
      </c>
    </row>
    <row r="49" spans="1:18" ht="30" customHeight="1" x14ac:dyDescent="0.25">
      <c r="A49" s="16" t="s">
        <v>39</v>
      </c>
      <c r="B49" s="17" t="s">
        <v>496</v>
      </c>
      <c r="C49" s="18" t="s">
        <v>20</v>
      </c>
      <c r="D49" s="81" t="s">
        <v>497</v>
      </c>
      <c r="E49" s="17" t="s">
        <v>46</v>
      </c>
      <c r="F49" s="17">
        <v>1</v>
      </c>
      <c r="G49" s="20">
        <v>44294</v>
      </c>
      <c r="H49" s="20">
        <v>44319</v>
      </c>
      <c r="I49" s="20"/>
      <c r="J49" s="21"/>
      <c r="K49" s="18" t="s">
        <v>384</v>
      </c>
      <c r="L49" s="23" t="s">
        <v>25</v>
      </c>
      <c r="M49" s="18" t="s">
        <v>26</v>
      </c>
      <c r="N49" s="18"/>
      <c r="O49" s="18" t="s">
        <v>27</v>
      </c>
      <c r="P49" s="21" t="s">
        <v>27</v>
      </c>
      <c r="Q49" s="18" t="s">
        <v>54</v>
      </c>
      <c r="R49" s="22" t="s">
        <v>29</v>
      </c>
    </row>
    <row r="50" spans="1:18" ht="30" customHeight="1" x14ac:dyDescent="0.25">
      <c r="A50" s="16" t="s">
        <v>39</v>
      </c>
      <c r="B50" s="17" t="s">
        <v>496</v>
      </c>
      <c r="C50" s="18" t="s">
        <v>20</v>
      </c>
      <c r="D50" s="81" t="s">
        <v>497</v>
      </c>
      <c r="E50" s="17" t="s">
        <v>177</v>
      </c>
      <c r="F50" s="17">
        <v>1</v>
      </c>
      <c r="G50" s="20">
        <v>44294</v>
      </c>
      <c r="H50" s="20">
        <v>44319</v>
      </c>
      <c r="I50" s="20"/>
      <c r="J50" s="21"/>
      <c r="K50" s="18" t="s">
        <v>384</v>
      </c>
      <c r="L50" s="23" t="s">
        <v>25</v>
      </c>
      <c r="M50" s="18" t="s">
        <v>26</v>
      </c>
      <c r="N50" s="18"/>
      <c r="O50" s="18" t="s">
        <v>27</v>
      </c>
      <c r="P50" s="21" t="s">
        <v>27</v>
      </c>
      <c r="Q50" s="18" t="s">
        <v>54</v>
      </c>
      <c r="R50" s="22" t="s">
        <v>29</v>
      </c>
    </row>
    <row r="51" spans="1:18" ht="30" customHeight="1" x14ac:dyDescent="0.25">
      <c r="A51" s="16" t="s">
        <v>300</v>
      </c>
      <c r="B51" s="17" t="s">
        <v>504</v>
      </c>
      <c r="C51" s="18" t="s">
        <v>77</v>
      </c>
      <c r="D51" s="81" t="s">
        <v>505</v>
      </c>
      <c r="E51" s="17" t="s">
        <v>506</v>
      </c>
      <c r="F51" s="17"/>
      <c r="G51" s="20">
        <v>44301</v>
      </c>
      <c r="H51" s="20">
        <v>44308</v>
      </c>
      <c r="I51" s="20"/>
      <c r="J51" s="21" t="s">
        <v>507</v>
      </c>
      <c r="K51" s="18" t="s">
        <v>388</v>
      </c>
      <c r="L51" s="23" t="s">
        <v>25</v>
      </c>
      <c r="M51" s="18" t="s">
        <v>74</v>
      </c>
      <c r="N51" s="18"/>
      <c r="O51" s="18"/>
      <c r="P51" s="21"/>
      <c r="Q51" s="18"/>
      <c r="R51" s="22"/>
    </row>
    <row r="52" spans="1:18" ht="30" customHeight="1" x14ac:dyDescent="0.25">
      <c r="A52" s="16" t="s">
        <v>30</v>
      </c>
      <c r="B52" s="17">
        <v>233037</v>
      </c>
      <c r="C52" s="18" t="s">
        <v>410</v>
      </c>
      <c r="D52" s="81" t="s">
        <v>508</v>
      </c>
      <c r="E52" s="17" t="s">
        <v>51</v>
      </c>
      <c r="F52" s="17">
        <v>1</v>
      </c>
      <c r="G52" s="20">
        <v>44302</v>
      </c>
      <c r="H52" s="20">
        <v>44305</v>
      </c>
      <c r="I52" s="20"/>
      <c r="J52" s="86"/>
      <c r="K52" s="18" t="s">
        <v>384</v>
      </c>
      <c r="L52" s="23" t="s">
        <v>25</v>
      </c>
      <c r="M52" s="18" t="s">
        <v>26</v>
      </c>
      <c r="N52" s="18">
        <v>2</v>
      </c>
      <c r="O52" s="18" t="s">
        <v>27</v>
      </c>
      <c r="P52" s="21"/>
      <c r="Q52" s="18" t="s">
        <v>29</v>
      </c>
      <c r="R52" s="22" t="s">
        <v>29</v>
      </c>
    </row>
    <row r="53" spans="1:18" ht="30" customHeight="1" x14ac:dyDescent="0.25">
      <c r="A53" s="16" t="s">
        <v>96</v>
      </c>
      <c r="B53" s="17" t="s">
        <v>513</v>
      </c>
      <c r="C53" s="18" t="s">
        <v>20</v>
      </c>
      <c r="D53" s="81" t="s">
        <v>514</v>
      </c>
      <c r="E53" s="17" t="s">
        <v>515</v>
      </c>
      <c r="F53" s="17">
        <v>1</v>
      </c>
      <c r="G53" s="20">
        <v>44301</v>
      </c>
      <c r="H53" s="20"/>
      <c r="I53" s="20"/>
      <c r="J53" s="21"/>
      <c r="K53" s="18" t="s">
        <v>388</v>
      </c>
      <c r="L53" s="23" t="s">
        <v>58</v>
      </c>
      <c r="M53" s="18" t="s">
        <v>26</v>
      </c>
      <c r="N53" s="18"/>
      <c r="O53" s="18" t="s">
        <v>38</v>
      </c>
      <c r="P53" s="21"/>
      <c r="Q53" s="18"/>
      <c r="R53" s="22"/>
    </row>
    <row r="54" spans="1:18" ht="30" customHeight="1" x14ac:dyDescent="0.25">
      <c r="A54" s="16" t="s">
        <v>96</v>
      </c>
      <c r="B54" s="17" t="s">
        <v>518</v>
      </c>
      <c r="C54" s="18" t="s">
        <v>20</v>
      </c>
      <c r="D54" s="81" t="s">
        <v>519</v>
      </c>
      <c r="E54" s="17" t="s">
        <v>84</v>
      </c>
      <c r="F54" s="17"/>
      <c r="G54" s="20">
        <v>44301</v>
      </c>
      <c r="H54" s="20">
        <v>44308</v>
      </c>
      <c r="I54" s="20">
        <v>44308</v>
      </c>
      <c r="J54" s="21" t="s">
        <v>520</v>
      </c>
      <c r="K54" s="18" t="s">
        <v>384</v>
      </c>
      <c r="L54" s="23" t="s">
        <v>37</v>
      </c>
      <c r="M54" s="18" t="s">
        <v>34</v>
      </c>
      <c r="N54" s="18"/>
      <c r="O54" s="18" t="s">
        <v>38</v>
      </c>
      <c r="P54" s="21" t="s">
        <v>27</v>
      </c>
      <c r="Q54" s="18" t="s">
        <v>286</v>
      </c>
      <c r="R54" s="22" t="s">
        <v>28</v>
      </c>
    </row>
    <row r="55" spans="1:18" ht="30" customHeight="1" x14ac:dyDescent="0.25">
      <c r="A55" s="16" t="s">
        <v>159</v>
      </c>
      <c r="B55" s="17" t="s">
        <v>521</v>
      </c>
      <c r="C55" s="18" t="s">
        <v>20</v>
      </c>
      <c r="D55" s="81" t="s">
        <v>522</v>
      </c>
      <c r="E55" s="17" t="s">
        <v>22</v>
      </c>
      <c r="F55" s="17">
        <v>2</v>
      </c>
      <c r="G55" s="20">
        <v>44293</v>
      </c>
      <c r="H55" s="20">
        <v>44309</v>
      </c>
      <c r="I55" s="20"/>
      <c r="J55" s="21"/>
      <c r="K55" s="18" t="s">
        <v>384</v>
      </c>
      <c r="L55" s="23" t="s">
        <v>58</v>
      </c>
      <c r="M55" s="18" t="s">
        <v>34</v>
      </c>
      <c r="N55" s="18">
        <v>1</v>
      </c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159</v>
      </c>
      <c r="B56" s="17" t="s">
        <v>521</v>
      </c>
      <c r="C56" s="18" t="s">
        <v>20</v>
      </c>
      <c r="D56" s="81" t="s">
        <v>522</v>
      </c>
      <c r="E56" s="17" t="s">
        <v>68</v>
      </c>
      <c r="F56" s="17">
        <v>1</v>
      </c>
      <c r="G56" s="20">
        <v>44293</v>
      </c>
      <c r="H56" s="20">
        <v>44309</v>
      </c>
      <c r="I56" s="20"/>
      <c r="J56" s="21"/>
      <c r="K56" s="18" t="s">
        <v>384</v>
      </c>
      <c r="L56" s="23" t="s">
        <v>58</v>
      </c>
      <c r="M56" s="18" t="s">
        <v>34</v>
      </c>
      <c r="N56" s="18"/>
      <c r="O56" s="18" t="s">
        <v>38</v>
      </c>
      <c r="P56" s="21" t="s">
        <v>38</v>
      </c>
      <c r="Q56" s="18" t="s">
        <v>54</v>
      </c>
      <c r="R56" s="22" t="s">
        <v>54</v>
      </c>
    </row>
    <row r="57" spans="1:18" ht="30" customHeight="1" x14ac:dyDescent="0.25">
      <c r="A57" s="16" t="s">
        <v>159</v>
      </c>
      <c r="B57" s="17" t="s">
        <v>521</v>
      </c>
      <c r="C57" s="18" t="s">
        <v>20</v>
      </c>
      <c r="D57" s="81" t="s">
        <v>522</v>
      </c>
      <c r="E57" s="17" t="s">
        <v>46</v>
      </c>
      <c r="F57" s="17">
        <v>2</v>
      </c>
      <c r="G57" s="20">
        <v>44293</v>
      </c>
      <c r="H57" s="20">
        <v>44309</v>
      </c>
      <c r="I57" s="20"/>
      <c r="J57" s="21"/>
      <c r="K57" s="18" t="s">
        <v>384</v>
      </c>
      <c r="L57" s="23" t="s">
        <v>58</v>
      </c>
      <c r="M57" s="18" t="s">
        <v>34</v>
      </c>
      <c r="N57" s="18"/>
      <c r="O57" s="18" t="s">
        <v>38</v>
      </c>
      <c r="P57" s="21" t="s">
        <v>38</v>
      </c>
      <c r="Q57" s="18" t="s">
        <v>54</v>
      </c>
      <c r="R57" s="22" t="s">
        <v>54</v>
      </c>
    </row>
    <row r="58" spans="1:18" ht="30" customHeight="1" x14ac:dyDescent="0.25">
      <c r="A58" s="16" t="s">
        <v>159</v>
      </c>
      <c r="B58" s="17" t="s">
        <v>521</v>
      </c>
      <c r="C58" s="18" t="s">
        <v>20</v>
      </c>
      <c r="D58" s="81" t="s">
        <v>522</v>
      </c>
      <c r="E58" s="17" t="s">
        <v>177</v>
      </c>
      <c r="F58" s="17">
        <v>2</v>
      </c>
      <c r="G58" s="20">
        <v>44293</v>
      </c>
      <c r="H58" s="20">
        <v>44309</v>
      </c>
      <c r="I58" s="20"/>
      <c r="J58" s="21"/>
      <c r="K58" s="18" t="s">
        <v>384</v>
      </c>
      <c r="L58" s="23" t="s">
        <v>58</v>
      </c>
      <c r="M58" s="18" t="s">
        <v>34</v>
      </c>
      <c r="N58" s="18"/>
      <c r="O58" s="18" t="s">
        <v>38</v>
      </c>
      <c r="P58" s="21" t="s">
        <v>38</v>
      </c>
      <c r="Q58" s="18" t="s">
        <v>54</v>
      </c>
      <c r="R58" s="22" t="s">
        <v>54</v>
      </c>
    </row>
    <row r="59" spans="1:18" ht="30" customHeight="1" x14ac:dyDescent="0.25">
      <c r="A59" s="16" t="s">
        <v>159</v>
      </c>
      <c r="B59" s="17" t="s">
        <v>521</v>
      </c>
      <c r="C59" s="18" t="s">
        <v>20</v>
      </c>
      <c r="D59" s="81" t="s">
        <v>522</v>
      </c>
      <c r="E59" s="17" t="s">
        <v>106</v>
      </c>
      <c r="F59" s="17">
        <v>2</v>
      </c>
      <c r="G59" s="20">
        <v>44293</v>
      </c>
      <c r="H59" s="20">
        <v>44309</v>
      </c>
      <c r="I59" s="20"/>
      <c r="J59" s="21"/>
      <c r="K59" s="18" t="s">
        <v>384</v>
      </c>
      <c r="L59" s="23" t="s">
        <v>58</v>
      </c>
      <c r="M59" s="18" t="s">
        <v>34</v>
      </c>
      <c r="N59" s="18"/>
      <c r="O59" s="18" t="s">
        <v>38</v>
      </c>
      <c r="P59" s="21" t="s">
        <v>38</v>
      </c>
      <c r="Q59" s="18" t="s">
        <v>54</v>
      </c>
      <c r="R59" s="22" t="s">
        <v>54</v>
      </c>
    </row>
    <row r="60" spans="1:18" ht="30" customHeight="1" x14ac:dyDescent="0.25">
      <c r="A60" s="16" t="s">
        <v>159</v>
      </c>
      <c r="B60" s="17" t="s">
        <v>521</v>
      </c>
      <c r="C60" s="18" t="s">
        <v>20</v>
      </c>
      <c r="D60" s="81" t="s">
        <v>522</v>
      </c>
      <c r="E60" s="17" t="s">
        <v>41</v>
      </c>
      <c r="F60" s="17">
        <v>1</v>
      </c>
      <c r="G60" s="20">
        <v>44293</v>
      </c>
      <c r="H60" s="20">
        <v>44309</v>
      </c>
      <c r="I60" s="20"/>
      <c r="J60" s="21"/>
      <c r="K60" s="18" t="s">
        <v>384</v>
      </c>
      <c r="L60" s="23" t="s">
        <v>58</v>
      </c>
      <c r="M60" s="18" t="s">
        <v>34</v>
      </c>
      <c r="N60" s="18"/>
      <c r="O60" s="18" t="s">
        <v>38</v>
      </c>
      <c r="P60" s="21" t="s">
        <v>38</v>
      </c>
      <c r="Q60" s="18" t="s">
        <v>54</v>
      </c>
      <c r="R60" s="22" t="s">
        <v>54</v>
      </c>
    </row>
    <row r="61" spans="1:18" ht="30" customHeight="1" x14ac:dyDescent="0.25">
      <c r="A61" s="16" t="s">
        <v>159</v>
      </c>
      <c r="B61" s="17" t="s">
        <v>521</v>
      </c>
      <c r="C61" s="18" t="s">
        <v>20</v>
      </c>
      <c r="D61" s="81" t="s">
        <v>522</v>
      </c>
      <c r="E61" s="17" t="s">
        <v>74</v>
      </c>
      <c r="F61" s="17">
        <v>1</v>
      </c>
      <c r="G61" s="20">
        <v>44293</v>
      </c>
      <c r="H61" s="20">
        <v>44309</v>
      </c>
      <c r="I61" s="20"/>
      <c r="J61" s="21"/>
      <c r="K61" s="18" t="s">
        <v>384</v>
      </c>
      <c r="L61" s="23" t="s">
        <v>58</v>
      </c>
      <c r="M61" s="18" t="s">
        <v>34</v>
      </c>
      <c r="N61" s="18"/>
      <c r="O61" s="18" t="s">
        <v>38</v>
      </c>
      <c r="P61" s="21" t="s">
        <v>38</v>
      </c>
      <c r="Q61" s="18" t="s">
        <v>54</v>
      </c>
      <c r="R61" s="22" t="s">
        <v>54</v>
      </c>
    </row>
    <row r="62" spans="1:18" ht="30" customHeight="1" x14ac:dyDescent="0.25">
      <c r="A62" s="16" t="s">
        <v>72</v>
      </c>
      <c r="B62" s="17" t="s">
        <v>525</v>
      </c>
      <c r="C62" s="18" t="s">
        <v>140</v>
      </c>
      <c r="D62" s="81" t="s">
        <v>526</v>
      </c>
      <c r="E62" s="17" t="s">
        <v>105</v>
      </c>
      <c r="F62" s="17">
        <v>10</v>
      </c>
      <c r="G62" s="20">
        <v>44301</v>
      </c>
      <c r="H62" s="20">
        <v>44306</v>
      </c>
      <c r="I62" s="20">
        <v>44305</v>
      </c>
      <c r="J62" s="21"/>
      <c r="K62" s="18" t="s">
        <v>384</v>
      </c>
      <c r="L62" s="23" t="s">
        <v>58</v>
      </c>
      <c r="M62" s="18" t="s">
        <v>26</v>
      </c>
      <c r="N62" s="18"/>
      <c r="O62" s="18" t="s">
        <v>38</v>
      </c>
      <c r="P62" s="21"/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20</v>
      </c>
      <c r="D63" s="81" t="s">
        <v>529</v>
      </c>
      <c r="E63" s="17"/>
      <c r="F63" s="17"/>
      <c r="G63" s="20">
        <v>44305</v>
      </c>
      <c r="H63" s="20">
        <v>44328</v>
      </c>
      <c r="I63" s="20"/>
      <c r="J63" s="21" t="s">
        <v>530</v>
      </c>
      <c r="K63" s="18" t="s">
        <v>388</v>
      </c>
      <c r="L63" s="23"/>
      <c r="M63" s="18" t="s">
        <v>26</v>
      </c>
      <c r="N63" s="18"/>
      <c r="O63" s="18" t="s">
        <v>27</v>
      </c>
      <c r="P63" s="21"/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20</v>
      </c>
      <c r="D64" s="81" t="s">
        <v>531</v>
      </c>
      <c r="E64" s="17"/>
      <c r="F64" s="17"/>
      <c r="G64" s="20">
        <v>44305</v>
      </c>
      <c r="H64" s="20">
        <v>44328</v>
      </c>
      <c r="I64" s="20"/>
      <c r="J64" s="21" t="s">
        <v>530</v>
      </c>
      <c r="K64" s="18" t="s">
        <v>388</v>
      </c>
      <c r="L64" s="23"/>
      <c r="M64" s="18" t="s">
        <v>26</v>
      </c>
      <c r="N64" s="18"/>
      <c r="O64" s="18" t="s">
        <v>27</v>
      </c>
      <c r="P64" s="21"/>
      <c r="Q64" s="18"/>
      <c r="R64" s="22"/>
    </row>
    <row r="65" spans="1:18" ht="30" customHeight="1" x14ac:dyDescent="0.25">
      <c r="A65" s="16" t="s">
        <v>300</v>
      </c>
      <c r="B65" s="17">
        <v>233300</v>
      </c>
      <c r="C65" s="18" t="s">
        <v>20</v>
      </c>
      <c r="D65" s="81" t="s">
        <v>542</v>
      </c>
      <c r="E65" s="17" t="s">
        <v>69</v>
      </c>
      <c r="F65" s="17">
        <v>1</v>
      </c>
      <c r="G65" s="20">
        <v>44306</v>
      </c>
      <c r="H65" s="20">
        <v>44308</v>
      </c>
      <c r="I65" s="20"/>
      <c r="J65" s="21"/>
      <c r="K65" s="18" t="s">
        <v>384</v>
      </c>
      <c r="L65" s="23" t="s">
        <v>58</v>
      </c>
      <c r="M65" s="18" t="s">
        <v>26</v>
      </c>
      <c r="N65" s="18"/>
      <c r="O65" s="18" t="s">
        <v>38</v>
      </c>
      <c r="P65" s="21" t="s">
        <v>38</v>
      </c>
      <c r="Q65" s="18" t="s">
        <v>286</v>
      </c>
      <c r="R65" s="22"/>
    </row>
    <row r="66" spans="1:18" ht="30" customHeight="1" x14ac:dyDescent="0.25">
      <c r="A66" s="16" t="s">
        <v>300</v>
      </c>
      <c r="B66" s="17">
        <v>233300</v>
      </c>
      <c r="C66" s="18" t="s">
        <v>20</v>
      </c>
      <c r="D66" s="81" t="s">
        <v>542</v>
      </c>
      <c r="E66" s="17" t="s">
        <v>102</v>
      </c>
      <c r="F66" s="17">
        <v>3</v>
      </c>
      <c r="G66" s="20">
        <v>44306</v>
      </c>
      <c r="H66" s="20">
        <v>44308</v>
      </c>
      <c r="I66" s="20"/>
      <c r="J66" s="21"/>
      <c r="K66" s="18" t="s">
        <v>384</v>
      </c>
      <c r="L66" s="23" t="s">
        <v>58</v>
      </c>
      <c r="M66" s="18" t="s">
        <v>26</v>
      </c>
      <c r="N66" s="18">
        <v>2</v>
      </c>
      <c r="O66" s="18" t="s">
        <v>38</v>
      </c>
      <c r="P66" s="21" t="s">
        <v>38</v>
      </c>
      <c r="Q66" s="18" t="s">
        <v>286</v>
      </c>
      <c r="R66" s="22"/>
    </row>
    <row r="67" spans="1:18" ht="30" customHeight="1" x14ac:dyDescent="0.25">
      <c r="A67" s="16" t="s">
        <v>300</v>
      </c>
      <c r="B67" s="17">
        <v>233300</v>
      </c>
      <c r="C67" s="18" t="s">
        <v>20</v>
      </c>
      <c r="D67" s="81" t="s">
        <v>542</v>
      </c>
      <c r="E67" s="17" t="s">
        <v>82</v>
      </c>
      <c r="F67" s="17">
        <v>1</v>
      </c>
      <c r="G67" s="20">
        <v>44306</v>
      </c>
      <c r="H67" s="20">
        <v>44308</v>
      </c>
      <c r="I67" s="20"/>
      <c r="J67" s="21"/>
      <c r="K67" s="18" t="s">
        <v>384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286</v>
      </c>
      <c r="R67" s="22"/>
    </row>
    <row r="68" spans="1:18" ht="30" customHeight="1" x14ac:dyDescent="0.25">
      <c r="A68" s="16" t="s">
        <v>300</v>
      </c>
      <c r="B68" s="17">
        <v>233300</v>
      </c>
      <c r="C68" s="18" t="s">
        <v>20</v>
      </c>
      <c r="D68" s="81" t="s">
        <v>542</v>
      </c>
      <c r="E68" s="17" t="s">
        <v>68</v>
      </c>
      <c r="F68" s="17">
        <v>3</v>
      </c>
      <c r="G68" s="20">
        <v>44306</v>
      </c>
      <c r="H68" s="20">
        <v>44308</v>
      </c>
      <c r="I68" s="20"/>
      <c r="J68" s="21"/>
      <c r="K68" s="18" t="s">
        <v>384</v>
      </c>
      <c r="L68" s="23" t="s">
        <v>58</v>
      </c>
      <c r="M68" s="18" t="s">
        <v>26</v>
      </c>
      <c r="N68" s="18"/>
      <c r="O68" s="18" t="s">
        <v>38</v>
      </c>
      <c r="P68" s="21" t="s">
        <v>38</v>
      </c>
      <c r="Q68" s="18" t="s">
        <v>286</v>
      </c>
      <c r="R68" s="22"/>
    </row>
    <row r="69" spans="1:18" ht="30" customHeight="1" x14ac:dyDescent="0.25">
      <c r="A69" s="16" t="s">
        <v>300</v>
      </c>
      <c r="B69" s="17">
        <v>233300</v>
      </c>
      <c r="C69" s="18" t="s">
        <v>20</v>
      </c>
      <c r="D69" s="81" t="s">
        <v>364</v>
      </c>
      <c r="E69" s="17" t="s">
        <v>153</v>
      </c>
      <c r="F69" s="17">
        <v>3</v>
      </c>
      <c r="G69" s="20">
        <v>44308</v>
      </c>
      <c r="H69" s="20">
        <v>44308</v>
      </c>
      <c r="I69" s="20"/>
      <c r="J69" s="21"/>
      <c r="K69" s="18" t="s">
        <v>384</v>
      </c>
      <c r="L69" s="23" t="s">
        <v>58</v>
      </c>
      <c r="M69" s="18" t="s">
        <v>26</v>
      </c>
      <c r="N69" s="18"/>
      <c r="O69" s="18" t="s">
        <v>38</v>
      </c>
      <c r="P69" s="21" t="s">
        <v>38</v>
      </c>
      <c r="Q69" s="18" t="s">
        <v>286</v>
      </c>
      <c r="R69" s="22"/>
    </row>
    <row r="70" spans="1:18" ht="30" customHeight="1" x14ac:dyDescent="0.25">
      <c r="A70" s="16" t="s">
        <v>300</v>
      </c>
      <c r="B70" s="17">
        <v>233300</v>
      </c>
      <c r="C70" s="18" t="s">
        <v>20</v>
      </c>
      <c r="D70" s="81" t="s">
        <v>364</v>
      </c>
      <c r="E70" s="17" t="s">
        <v>22</v>
      </c>
      <c r="F70" s="17">
        <v>1</v>
      </c>
      <c r="G70" s="20">
        <v>44308</v>
      </c>
      <c r="H70" s="20">
        <v>44308</v>
      </c>
      <c r="I70" s="20"/>
      <c r="J70" s="21"/>
      <c r="K70" s="18" t="s">
        <v>384</v>
      </c>
      <c r="L70" s="23" t="s">
        <v>58</v>
      </c>
      <c r="M70" s="18" t="s">
        <v>26</v>
      </c>
      <c r="N70" s="18"/>
      <c r="O70" s="18" t="s">
        <v>38</v>
      </c>
      <c r="P70" s="21" t="s">
        <v>38</v>
      </c>
      <c r="Q70" s="18" t="s">
        <v>286</v>
      </c>
      <c r="R70" s="22"/>
    </row>
    <row r="71" spans="1:18" ht="30" customHeight="1" x14ac:dyDescent="0.25">
      <c r="A71" s="16" t="s">
        <v>300</v>
      </c>
      <c r="B71" s="17">
        <v>233300</v>
      </c>
      <c r="C71" s="18" t="s">
        <v>20</v>
      </c>
      <c r="D71" s="81" t="s">
        <v>364</v>
      </c>
      <c r="E71" s="17" t="s">
        <v>111</v>
      </c>
      <c r="F71" s="17">
        <v>1</v>
      </c>
      <c r="G71" s="20">
        <v>44308</v>
      </c>
      <c r="H71" s="20">
        <v>44308</v>
      </c>
      <c r="I71" s="20"/>
      <c r="J71" s="21" t="s">
        <v>543</v>
      </c>
      <c r="K71" s="18" t="s">
        <v>384</v>
      </c>
      <c r="L71" s="23" t="s">
        <v>58</v>
      </c>
      <c r="M71" s="18" t="s">
        <v>26</v>
      </c>
      <c r="N71" s="18"/>
      <c r="O71" s="18" t="s">
        <v>38</v>
      </c>
      <c r="P71" s="21" t="s">
        <v>38</v>
      </c>
      <c r="Q71" s="18" t="s">
        <v>286</v>
      </c>
      <c r="R71" s="22"/>
    </row>
    <row r="72" spans="1:18" ht="30" customHeight="1" x14ac:dyDescent="0.25">
      <c r="A72" s="16" t="s">
        <v>39</v>
      </c>
      <c r="B72" s="17" t="s">
        <v>247</v>
      </c>
      <c r="C72" s="18" t="s">
        <v>140</v>
      </c>
      <c r="D72" s="81" t="s">
        <v>544</v>
      </c>
      <c r="E72" s="17" t="s">
        <v>545</v>
      </c>
      <c r="F72" s="17">
        <v>6</v>
      </c>
      <c r="G72" s="20">
        <v>44274</v>
      </c>
      <c r="H72" s="20">
        <v>44309</v>
      </c>
      <c r="I72" s="20">
        <v>44309</v>
      </c>
      <c r="J72" s="21" t="s">
        <v>546</v>
      </c>
      <c r="K72" s="18" t="s">
        <v>384</v>
      </c>
      <c r="L72" s="23" t="s">
        <v>25</v>
      </c>
      <c r="M72" s="18"/>
      <c r="N72" s="18"/>
      <c r="O72" s="18"/>
      <c r="P72" s="21"/>
      <c r="Q72" s="18"/>
      <c r="R72" s="22"/>
    </row>
    <row r="73" spans="1:18" ht="30" customHeight="1" x14ac:dyDescent="0.25">
      <c r="A73" s="16" t="s">
        <v>548</v>
      </c>
      <c r="B73" s="17" t="s">
        <v>247</v>
      </c>
      <c r="C73" s="18" t="s">
        <v>140</v>
      </c>
      <c r="D73" s="81" t="s">
        <v>319</v>
      </c>
      <c r="E73" s="17" t="s">
        <v>227</v>
      </c>
      <c r="F73" s="17">
        <v>1</v>
      </c>
      <c r="G73" s="20"/>
      <c r="H73" s="20"/>
      <c r="I73" s="20">
        <v>44305</v>
      </c>
      <c r="J73" s="21"/>
      <c r="K73" s="18" t="s">
        <v>384</v>
      </c>
      <c r="L73" s="23" t="s">
        <v>58</v>
      </c>
      <c r="M73" s="18" t="s">
        <v>26</v>
      </c>
      <c r="N73" s="18"/>
      <c r="O73" s="18" t="s">
        <v>38</v>
      </c>
      <c r="P73" s="21" t="s">
        <v>38</v>
      </c>
      <c r="Q73" s="18"/>
      <c r="R73" s="22"/>
    </row>
    <row r="74" spans="1:18" ht="30" customHeight="1" x14ac:dyDescent="0.25">
      <c r="A74" s="16" t="s">
        <v>30</v>
      </c>
      <c r="B74" s="17" t="s">
        <v>552</v>
      </c>
      <c r="C74" s="18" t="s">
        <v>20</v>
      </c>
      <c r="D74" s="81" t="s">
        <v>553</v>
      </c>
      <c r="E74" s="17" t="s">
        <v>59</v>
      </c>
      <c r="F74" s="17"/>
      <c r="G74" s="20">
        <v>44308</v>
      </c>
      <c r="H74" s="20">
        <v>44309</v>
      </c>
      <c r="I74" s="20"/>
      <c r="J74" s="21" t="s">
        <v>554</v>
      </c>
      <c r="K74" s="18" t="s">
        <v>384</v>
      </c>
      <c r="L74" s="23" t="s">
        <v>37</v>
      </c>
      <c r="M74" s="18" t="s">
        <v>26</v>
      </c>
      <c r="N74" s="18"/>
      <c r="O74" s="18" t="s">
        <v>38</v>
      </c>
      <c r="P74" s="21"/>
      <c r="Q74" s="18"/>
      <c r="R74" s="22"/>
    </row>
    <row r="75" spans="1:18" ht="30" customHeight="1" x14ac:dyDescent="0.25">
      <c r="A75" s="16" t="s">
        <v>30</v>
      </c>
      <c r="B75" s="17" t="s">
        <v>552</v>
      </c>
      <c r="C75" s="18" t="s">
        <v>140</v>
      </c>
      <c r="D75" s="81" t="s">
        <v>553</v>
      </c>
      <c r="E75" s="17" t="s">
        <v>110</v>
      </c>
      <c r="F75" s="17">
        <v>1</v>
      </c>
      <c r="G75" s="20">
        <v>44308</v>
      </c>
      <c r="H75" s="20">
        <v>44319</v>
      </c>
      <c r="I75" s="20">
        <v>44316</v>
      </c>
      <c r="J75" s="21"/>
      <c r="K75" s="18" t="s">
        <v>384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/>
      <c r="R75" s="22"/>
    </row>
    <row r="76" spans="1:18" ht="30" customHeight="1" x14ac:dyDescent="0.25">
      <c r="A76" s="16" t="s">
        <v>30</v>
      </c>
      <c r="B76" s="17" t="s">
        <v>552</v>
      </c>
      <c r="C76" s="18" t="s">
        <v>140</v>
      </c>
      <c r="D76" s="81" t="s">
        <v>553</v>
      </c>
      <c r="E76" s="17" t="s">
        <v>104</v>
      </c>
      <c r="F76" s="17">
        <v>1</v>
      </c>
      <c r="G76" s="20">
        <v>44308</v>
      </c>
      <c r="H76" s="20">
        <v>44319</v>
      </c>
      <c r="I76" s="20">
        <v>44316</v>
      </c>
      <c r="J76" s="21"/>
      <c r="K76" s="18" t="s">
        <v>384</v>
      </c>
      <c r="L76" s="23" t="s">
        <v>58</v>
      </c>
      <c r="M76" s="18" t="s">
        <v>26</v>
      </c>
      <c r="N76" s="18"/>
      <c r="O76" s="18" t="s">
        <v>38</v>
      </c>
      <c r="P76" s="21" t="s">
        <v>38</v>
      </c>
      <c r="Q76" s="18"/>
      <c r="R76" s="22"/>
    </row>
    <row r="77" spans="1:18" ht="30" customHeight="1" x14ac:dyDescent="0.25">
      <c r="A77" s="16" t="s">
        <v>30</v>
      </c>
      <c r="B77" s="17" t="s">
        <v>552</v>
      </c>
      <c r="C77" s="18" t="s">
        <v>140</v>
      </c>
      <c r="D77" s="81" t="s">
        <v>553</v>
      </c>
      <c r="E77" s="17" t="s">
        <v>116</v>
      </c>
      <c r="F77" s="17">
        <v>1</v>
      </c>
      <c r="G77" s="20">
        <v>44308</v>
      </c>
      <c r="H77" s="20">
        <v>44319</v>
      </c>
      <c r="I77" s="20">
        <v>44316</v>
      </c>
      <c r="J77" s="21"/>
      <c r="K77" s="18" t="s">
        <v>384</v>
      </c>
      <c r="L77" s="23" t="s">
        <v>58</v>
      </c>
      <c r="M77" s="18" t="s">
        <v>26</v>
      </c>
      <c r="N77" s="18"/>
      <c r="O77" s="18" t="s">
        <v>38</v>
      </c>
      <c r="P77" s="21" t="s">
        <v>38</v>
      </c>
      <c r="Q77" s="18"/>
      <c r="R77" s="22"/>
    </row>
    <row r="78" spans="1:18" ht="30" customHeight="1" x14ac:dyDescent="0.25">
      <c r="A78" s="16" t="s">
        <v>30</v>
      </c>
      <c r="B78" s="17" t="s">
        <v>552</v>
      </c>
      <c r="C78" s="18" t="s">
        <v>140</v>
      </c>
      <c r="D78" s="81" t="s">
        <v>553</v>
      </c>
      <c r="E78" s="17" t="s">
        <v>22</v>
      </c>
      <c r="F78" s="17">
        <v>1</v>
      </c>
      <c r="G78" s="20">
        <v>44308</v>
      </c>
      <c r="H78" s="20">
        <v>44319</v>
      </c>
      <c r="I78" s="20">
        <v>44316</v>
      </c>
      <c r="J78" s="21"/>
      <c r="K78" s="18" t="s">
        <v>384</v>
      </c>
      <c r="L78" s="23" t="s">
        <v>58</v>
      </c>
      <c r="M78" s="18" t="s">
        <v>26</v>
      </c>
      <c r="N78" s="18"/>
      <c r="O78" s="18" t="s">
        <v>38</v>
      </c>
      <c r="P78" s="21" t="s">
        <v>38</v>
      </c>
      <c r="Q78" s="18"/>
      <c r="R78" s="22"/>
    </row>
    <row r="79" spans="1:18" ht="30" customHeight="1" x14ac:dyDescent="0.25">
      <c r="A79" s="16" t="s">
        <v>30</v>
      </c>
      <c r="B79" s="17" t="s">
        <v>552</v>
      </c>
      <c r="C79" s="18" t="s">
        <v>140</v>
      </c>
      <c r="D79" s="81" t="s">
        <v>553</v>
      </c>
      <c r="E79" s="17" t="s">
        <v>82</v>
      </c>
      <c r="F79" s="17">
        <v>1</v>
      </c>
      <c r="G79" s="20">
        <v>44308</v>
      </c>
      <c r="H79" s="20">
        <v>44319</v>
      </c>
      <c r="I79" s="20">
        <v>44316</v>
      </c>
      <c r="J79" s="21"/>
      <c r="K79" s="18" t="s">
        <v>384</v>
      </c>
      <c r="L79" s="23" t="s">
        <v>58</v>
      </c>
      <c r="M79" s="18" t="s">
        <v>26</v>
      </c>
      <c r="N79" s="18"/>
      <c r="O79" s="18" t="s">
        <v>38</v>
      </c>
      <c r="P79" s="21" t="s">
        <v>38</v>
      </c>
      <c r="Q79" s="18"/>
      <c r="R79" s="22"/>
    </row>
    <row r="80" spans="1:18" ht="30" customHeight="1" x14ac:dyDescent="0.25">
      <c r="A80" s="16" t="s">
        <v>30</v>
      </c>
      <c r="B80" s="17" t="s">
        <v>552</v>
      </c>
      <c r="C80" s="18" t="s">
        <v>140</v>
      </c>
      <c r="D80" s="81" t="s">
        <v>553</v>
      </c>
      <c r="E80" s="17" t="s">
        <v>106</v>
      </c>
      <c r="F80" s="17">
        <v>1</v>
      </c>
      <c r="G80" s="20">
        <v>44308</v>
      </c>
      <c r="H80" s="20">
        <v>44319</v>
      </c>
      <c r="I80" s="20">
        <v>44316</v>
      </c>
      <c r="J80" s="21"/>
      <c r="K80" s="18" t="s">
        <v>384</v>
      </c>
      <c r="L80" s="23" t="s">
        <v>58</v>
      </c>
      <c r="M80" s="18" t="s">
        <v>26</v>
      </c>
      <c r="N80" s="18"/>
      <c r="O80" s="18" t="s">
        <v>38</v>
      </c>
      <c r="P80" s="21" t="s">
        <v>38</v>
      </c>
      <c r="Q80" s="18"/>
      <c r="R80" s="22"/>
    </row>
    <row r="81" spans="1:18" ht="30" customHeight="1" x14ac:dyDescent="0.25">
      <c r="A81" s="16" t="s">
        <v>30</v>
      </c>
      <c r="B81" s="17" t="s">
        <v>552</v>
      </c>
      <c r="C81" s="18" t="s">
        <v>140</v>
      </c>
      <c r="D81" s="81" t="s">
        <v>553</v>
      </c>
      <c r="E81" s="17" t="s">
        <v>111</v>
      </c>
      <c r="F81" s="17">
        <v>1</v>
      </c>
      <c r="G81" s="20">
        <v>44308</v>
      </c>
      <c r="H81" s="20">
        <v>44319</v>
      </c>
      <c r="I81" s="20">
        <v>44316</v>
      </c>
      <c r="J81" s="21" t="s">
        <v>555</v>
      </c>
      <c r="K81" s="18" t="s">
        <v>384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/>
      <c r="R81" s="22"/>
    </row>
    <row r="82" spans="1:18" ht="30" customHeight="1" x14ac:dyDescent="0.25">
      <c r="A82" s="16" t="s">
        <v>72</v>
      </c>
      <c r="B82" s="17">
        <v>231232</v>
      </c>
      <c r="C82" s="18" t="s">
        <v>140</v>
      </c>
      <c r="D82" s="81" t="s">
        <v>558</v>
      </c>
      <c r="E82" s="17" t="s">
        <v>69</v>
      </c>
      <c r="F82" s="17">
        <v>2</v>
      </c>
      <c r="G82" s="20">
        <v>44298</v>
      </c>
      <c r="H82" s="20">
        <v>44309</v>
      </c>
      <c r="I82" s="20">
        <v>44309</v>
      </c>
      <c r="J82" s="21"/>
      <c r="K82" s="18" t="s">
        <v>384</v>
      </c>
      <c r="L82" s="23" t="s">
        <v>58</v>
      </c>
      <c r="M82" s="18" t="s">
        <v>26</v>
      </c>
      <c r="N82" s="18"/>
      <c r="O82" s="18" t="s">
        <v>38</v>
      </c>
      <c r="P82" s="21"/>
      <c r="Q82" s="18"/>
      <c r="R82" s="22"/>
    </row>
    <row r="83" spans="1:18" ht="43.5" customHeight="1" x14ac:dyDescent="0.25">
      <c r="A83" s="16" t="s">
        <v>87</v>
      </c>
      <c r="B83" s="17">
        <v>233464</v>
      </c>
      <c r="C83" s="18" t="s">
        <v>20</v>
      </c>
      <c r="D83" s="93" t="s">
        <v>364</v>
      </c>
      <c r="E83" s="17" t="s">
        <v>41</v>
      </c>
      <c r="F83" s="17">
        <v>1</v>
      </c>
      <c r="G83" s="20">
        <v>44320</v>
      </c>
      <c r="H83" s="20">
        <v>44321</v>
      </c>
      <c r="I83" s="20"/>
      <c r="J83" s="21"/>
      <c r="K83" s="18" t="s">
        <v>384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29</v>
      </c>
    </row>
    <row r="84" spans="1:18" ht="43.5" customHeight="1" x14ac:dyDescent="0.25">
      <c r="A84" s="16" t="s">
        <v>87</v>
      </c>
      <c r="B84" s="17">
        <v>233464</v>
      </c>
      <c r="C84" s="18" t="s">
        <v>20</v>
      </c>
      <c r="D84" s="93" t="s">
        <v>364</v>
      </c>
      <c r="E84" s="17" t="s">
        <v>454</v>
      </c>
      <c r="F84" s="17">
        <v>1</v>
      </c>
      <c r="G84" s="20">
        <v>44320</v>
      </c>
      <c r="H84" s="20">
        <v>44321</v>
      </c>
      <c r="I84" s="20"/>
      <c r="J84" s="21"/>
      <c r="K84" s="18" t="s">
        <v>384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29</v>
      </c>
    </row>
    <row r="85" spans="1:18" ht="53.25" customHeight="1" x14ac:dyDescent="0.25">
      <c r="A85" s="16" t="s">
        <v>49</v>
      </c>
      <c r="B85" s="17">
        <v>233543</v>
      </c>
      <c r="C85" s="18" t="s">
        <v>140</v>
      </c>
      <c r="D85" s="81" t="s">
        <v>563</v>
      </c>
      <c r="E85" s="17" t="s">
        <v>116</v>
      </c>
      <c r="F85" s="17">
        <v>1</v>
      </c>
      <c r="G85" s="20">
        <v>44309</v>
      </c>
      <c r="H85" s="20">
        <v>44321</v>
      </c>
      <c r="I85" s="20">
        <v>44319</v>
      </c>
      <c r="J85" s="21" t="s">
        <v>564</v>
      </c>
      <c r="K85" s="18" t="s">
        <v>384</v>
      </c>
      <c r="L85" s="23" t="s">
        <v>58</v>
      </c>
      <c r="M85" s="18" t="s">
        <v>26</v>
      </c>
      <c r="N85" s="18"/>
      <c r="O85" s="18" t="s">
        <v>38</v>
      </c>
      <c r="P85" s="21"/>
      <c r="Q85" s="18"/>
      <c r="R85" s="22"/>
    </row>
    <row r="86" spans="1:18" ht="51.75" customHeight="1" x14ac:dyDescent="0.25">
      <c r="A86" s="16" t="s">
        <v>72</v>
      </c>
      <c r="B86" s="17" t="s">
        <v>565</v>
      </c>
      <c r="C86" s="18" t="s">
        <v>20</v>
      </c>
      <c r="D86" s="81" t="s">
        <v>566</v>
      </c>
      <c r="E86" s="17" t="s">
        <v>79</v>
      </c>
      <c r="F86" s="17">
        <v>1</v>
      </c>
      <c r="G86" s="20">
        <v>44309</v>
      </c>
      <c r="H86" s="20">
        <v>44320</v>
      </c>
      <c r="I86" s="20"/>
      <c r="J86" s="21" t="s">
        <v>567</v>
      </c>
      <c r="K86" s="18" t="s">
        <v>384</v>
      </c>
      <c r="L86" s="23" t="s">
        <v>25</v>
      </c>
      <c r="M86" s="18" t="s">
        <v>34</v>
      </c>
      <c r="N86" s="18"/>
      <c r="O86" s="18" t="s">
        <v>27</v>
      </c>
      <c r="P86" s="21" t="s">
        <v>27</v>
      </c>
      <c r="Q86" s="18" t="s">
        <v>54</v>
      </c>
      <c r="R86" s="22" t="s">
        <v>29</v>
      </c>
    </row>
    <row r="87" spans="1:18" ht="51.75" customHeight="1" x14ac:dyDescent="0.25">
      <c r="A87" s="16" t="s">
        <v>72</v>
      </c>
      <c r="B87" s="17" t="s">
        <v>565</v>
      </c>
      <c r="C87" s="18" t="s">
        <v>20</v>
      </c>
      <c r="D87" s="81" t="s">
        <v>566</v>
      </c>
      <c r="E87" s="17" t="s">
        <v>22</v>
      </c>
      <c r="F87" s="17">
        <v>1</v>
      </c>
      <c r="G87" s="20">
        <v>44309</v>
      </c>
      <c r="H87" s="20">
        <v>44320</v>
      </c>
      <c r="I87" s="20"/>
      <c r="J87" s="21" t="s">
        <v>567</v>
      </c>
      <c r="K87" s="18" t="s">
        <v>384</v>
      </c>
      <c r="L87" s="23" t="s">
        <v>25</v>
      </c>
      <c r="M87" s="18" t="s">
        <v>26</v>
      </c>
      <c r="N87" s="18"/>
      <c r="O87" s="18" t="s">
        <v>27</v>
      </c>
      <c r="P87" s="21" t="s">
        <v>27</v>
      </c>
      <c r="Q87" s="18" t="s">
        <v>54</v>
      </c>
      <c r="R87" s="22" t="s">
        <v>29</v>
      </c>
    </row>
    <row r="88" spans="1:18" ht="30" customHeight="1" x14ac:dyDescent="0.25">
      <c r="A88" s="16" t="s">
        <v>49</v>
      </c>
      <c r="B88" s="17">
        <v>233710</v>
      </c>
      <c r="C88" s="18" t="s">
        <v>20</v>
      </c>
      <c r="D88" s="81" t="s">
        <v>568</v>
      </c>
      <c r="E88" s="17" t="s">
        <v>46</v>
      </c>
      <c r="F88" s="17">
        <v>1</v>
      </c>
      <c r="G88" s="20">
        <v>44312</v>
      </c>
      <c r="H88" s="20">
        <v>44319</v>
      </c>
      <c r="I88" s="20"/>
      <c r="J88" s="21" t="s">
        <v>569</v>
      </c>
      <c r="K88" s="18" t="s">
        <v>384</v>
      </c>
      <c r="L88" s="23" t="s">
        <v>25</v>
      </c>
      <c r="M88" s="18" t="s">
        <v>26</v>
      </c>
      <c r="N88" s="18"/>
      <c r="O88" s="18" t="s">
        <v>27</v>
      </c>
      <c r="P88" s="21" t="s">
        <v>27</v>
      </c>
      <c r="Q88" s="18" t="s">
        <v>28</v>
      </c>
      <c r="R88" s="22" t="s">
        <v>54</v>
      </c>
    </row>
    <row r="89" spans="1:18" ht="30" customHeight="1" x14ac:dyDescent="0.25">
      <c r="A89" s="16" t="s">
        <v>49</v>
      </c>
      <c r="B89" s="17">
        <v>233710</v>
      </c>
      <c r="C89" s="18" t="s">
        <v>20</v>
      </c>
      <c r="D89" s="81" t="s">
        <v>568</v>
      </c>
      <c r="E89" s="17" t="s">
        <v>22</v>
      </c>
      <c r="F89" s="17">
        <v>1</v>
      </c>
      <c r="G89" s="20">
        <v>44312</v>
      </c>
      <c r="H89" s="20">
        <v>44319</v>
      </c>
      <c r="I89" s="20"/>
      <c r="J89" s="21"/>
      <c r="K89" s="18" t="s">
        <v>384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49</v>
      </c>
      <c r="B90" s="17">
        <v>233710</v>
      </c>
      <c r="C90" s="18" t="s">
        <v>20</v>
      </c>
      <c r="D90" s="81" t="s">
        <v>568</v>
      </c>
      <c r="E90" s="17" t="s">
        <v>177</v>
      </c>
      <c r="F90" s="17">
        <v>1</v>
      </c>
      <c r="G90" s="20">
        <v>44312</v>
      </c>
      <c r="H90" s="20">
        <v>44319</v>
      </c>
      <c r="I90" s="20"/>
      <c r="J90" s="21"/>
      <c r="K90" s="18" t="s">
        <v>384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49</v>
      </c>
      <c r="B91" s="17">
        <v>233710</v>
      </c>
      <c r="C91" s="18" t="s">
        <v>20</v>
      </c>
      <c r="D91" s="81" t="s">
        <v>568</v>
      </c>
      <c r="E91" s="17" t="s">
        <v>127</v>
      </c>
      <c r="F91" s="17">
        <v>1</v>
      </c>
      <c r="G91" s="20">
        <v>44312</v>
      </c>
      <c r="H91" s="20">
        <v>44319</v>
      </c>
      <c r="I91" s="20"/>
      <c r="J91" s="21" t="s">
        <v>22</v>
      </c>
      <c r="K91" s="18" t="s">
        <v>384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43.5" customHeight="1" x14ac:dyDescent="0.25">
      <c r="A92" s="24" t="s">
        <v>39</v>
      </c>
      <c r="B92" s="25" t="s">
        <v>571</v>
      </c>
      <c r="C92" s="26" t="s">
        <v>140</v>
      </c>
      <c r="D92" s="83" t="s">
        <v>572</v>
      </c>
      <c r="E92" s="25" t="s">
        <v>46</v>
      </c>
      <c r="F92" s="25"/>
      <c r="G92" s="84">
        <v>44313</v>
      </c>
      <c r="H92" s="84">
        <v>44326</v>
      </c>
      <c r="I92" s="84"/>
      <c r="J92" s="28" t="s">
        <v>573</v>
      </c>
      <c r="K92" s="26" t="s">
        <v>388</v>
      </c>
      <c r="L92" s="29" t="s">
        <v>58</v>
      </c>
      <c r="M92" s="26" t="s">
        <v>26</v>
      </c>
      <c r="N92" s="26"/>
      <c r="O92" s="26" t="s">
        <v>38</v>
      </c>
      <c r="P92" s="28" t="s">
        <v>38</v>
      </c>
      <c r="Q92" s="26"/>
      <c r="R92" s="30"/>
    </row>
    <row r="93" spans="1:18" ht="44.25" customHeight="1" x14ac:dyDescent="0.25">
      <c r="A93" s="24" t="s">
        <v>39</v>
      </c>
      <c r="B93" s="25" t="s">
        <v>571</v>
      </c>
      <c r="C93" s="26" t="s">
        <v>140</v>
      </c>
      <c r="D93" s="83" t="s">
        <v>572</v>
      </c>
      <c r="E93" s="25" t="s">
        <v>22</v>
      </c>
      <c r="F93" s="25"/>
      <c r="G93" s="84">
        <v>44313</v>
      </c>
      <c r="H93" s="84">
        <v>44326</v>
      </c>
      <c r="I93" s="84"/>
      <c r="J93" s="28" t="s">
        <v>573</v>
      </c>
      <c r="K93" s="26" t="s">
        <v>388</v>
      </c>
      <c r="L93" s="29" t="s">
        <v>58</v>
      </c>
      <c r="M93" s="26" t="s">
        <v>26</v>
      </c>
      <c r="N93" s="26"/>
      <c r="O93" s="26" t="s">
        <v>38</v>
      </c>
      <c r="P93" s="28" t="s">
        <v>38</v>
      </c>
      <c r="Q93" s="26"/>
      <c r="R93" s="30"/>
    </row>
    <row r="94" spans="1:18" ht="30" customHeight="1" x14ac:dyDescent="0.25">
      <c r="A94" s="24" t="s">
        <v>72</v>
      </c>
      <c r="B94" s="25" t="s">
        <v>574</v>
      </c>
      <c r="C94" s="26" t="s">
        <v>20</v>
      </c>
      <c r="D94" s="83" t="s">
        <v>575</v>
      </c>
      <c r="E94" s="25" t="s">
        <v>157</v>
      </c>
      <c r="F94" s="25"/>
      <c r="G94" s="84">
        <v>44313</v>
      </c>
      <c r="H94" s="84">
        <v>44316</v>
      </c>
      <c r="I94" s="84">
        <v>44316</v>
      </c>
      <c r="J94" s="28" t="s">
        <v>576</v>
      </c>
      <c r="K94" s="26" t="s">
        <v>384</v>
      </c>
      <c r="L94" s="29" t="s">
        <v>58</v>
      </c>
      <c r="M94" s="26" t="s">
        <v>26</v>
      </c>
      <c r="N94" s="26"/>
      <c r="O94" s="26" t="s">
        <v>27</v>
      </c>
      <c r="P94" s="28" t="s">
        <v>27</v>
      </c>
      <c r="Q94" s="26" t="s">
        <v>54</v>
      </c>
      <c r="R94" s="30" t="s">
        <v>54</v>
      </c>
    </row>
    <row r="95" spans="1:18" ht="30" customHeight="1" x14ac:dyDescent="0.25">
      <c r="A95" s="24" t="s">
        <v>76</v>
      </c>
      <c r="B95" s="25" t="s">
        <v>577</v>
      </c>
      <c r="C95" s="26" t="s">
        <v>410</v>
      </c>
      <c r="D95" s="83" t="s">
        <v>578</v>
      </c>
      <c r="E95" s="25" t="s">
        <v>106</v>
      </c>
      <c r="F95" s="25">
        <v>1</v>
      </c>
      <c r="G95" s="84">
        <v>44314</v>
      </c>
      <c r="H95" s="84">
        <v>44314</v>
      </c>
      <c r="I95" s="84"/>
      <c r="J95" s="84"/>
      <c r="K95" s="26" t="s">
        <v>386</v>
      </c>
      <c r="L95" s="29" t="s">
        <v>58</v>
      </c>
      <c r="M95" s="26" t="s">
        <v>26</v>
      </c>
      <c r="N95" s="26">
        <v>1</v>
      </c>
      <c r="O95" s="26" t="s">
        <v>38</v>
      </c>
      <c r="P95" s="28" t="s">
        <v>38</v>
      </c>
      <c r="Q95" s="26" t="s">
        <v>54</v>
      </c>
      <c r="R95" s="30"/>
    </row>
    <row r="96" spans="1:18" ht="30" customHeight="1" x14ac:dyDescent="0.25">
      <c r="A96" s="24" t="s">
        <v>76</v>
      </c>
      <c r="B96" s="25" t="s">
        <v>577</v>
      </c>
      <c r="C96" s="26" t="s">
        <v>410</v>
      </c>
      <c r="D96" s="83" t="s">
        <v>578</v>
      </c>
      <c r="E96" s="25" t="s">
        <v>107</v>
      </c>
      <c r="F96" s="25">
        <v>1</v>
      </c>
      <c r="G96" s="84">
        <v>44314</v>
      </c>
      <c r="H96" s="84">
        <v>44314</v>
      </c>
      <c r="I96" s="84"/>
      <c r="J96" s="84"/>
      <c r="K96" s="88" t="s">
        <v>386</v>
      </c>
      <c r="L96" s="29" t="s">
        <v>58</v>
      </c>
      <c r="M96" s="26" t="s">
        <v>26</v>
      </c>
      <c r="N96" s="26">
        <v>1</v>
      </c>
      <c r="O96" s="26" t="s">
        <v>38</v>
      </c>
      <c r="P96" s="28" t="s">
        <v>38</v>
      </c>
      <c r="Q96" s="26" t="s">
        <v>54</v>
      </c>
      <c r="R96" s="30"/>
    </row>
    <row r="97" spans="1:18" ht="30" customHeight="1" x14ac:dyDescent="0.25">
      <c r="A97" s="24" t="s">
        <v>76</v>
      </c>
      <c r="B97" s="25" t="s">
        <v>577</v>
      </c>
      <c r="C97" s="26" t="s">
        <v>410</v>
      </c>
      <c r="D97" s="83" t="s">
        <v>578</v>
      </c>
      <c r="E97" s="25" t="s">
        <v>46</v>
      </c>
      <c r="F97" s="25">
        <v>1</v>
      </c>
      <c r="G97" s="84">
        <v>44314</v>
      </c>
      <c r="H97" s="84">
        <v>44314</v>
      </c>
      <c r="I97" s="84"/>
      <c r="J97" s="84"/>
      <c r="K97" s="88" t="s">
        <v>386</v>
      </c>
      <c r="L97" s="29" t="s">
        <v>58</v>
      </c>
      <c r="M97" s="26" t="s">
        <v>26</v>
      </c>
      <c r="N97" s="26">
        <v>1</v>
      </c>
      <c r="O97" s="26" t="s">
        <v>38</v>
      </c>
      <c r="P97" s="28" t="s">
        <v>38</v>
      </c>
      <c r="Q97" s="26" t="s">
        <v>54</v>
      </c>
      <c r="R97" s="30"/>
    </row>
    <row r="98" spans="1:18" ht="49.5" customHeight="1" x14ac:dyDescent="0.25">
      <c r="A98" s="24" t="s">
        <v>39</v>
      </c>
      <c r="B98" s="25" t="s">
        <v>247</v>
      </c>
      <c r="C98" s="26" t="s">
        <v>410</v>
      </c>
      <c r="D98" s="83" t="s">
        <v>579</v>
      </c>
      <c r="E98" s="25" t="s">
        <v>86</v>
      </c>
      <c r="F98" s="25"/>
      <c r="G98" s="84">
        <v>44314</v>
      </c>
      <c r="H98" s="84">
        <v>44321</v>
      </c>
      <c r="I98" s="84"/>
      <c r="J98" s="28" t="s">
        <v>580</v>
      </c>
      <c r="K98" s="26" t="s">
        <v>384</v>
      </c>
      <c r="L98" s="29" t="s">
        <v>58</v>
      </c>
      <c r="M98" s="26" t="s">
        <v>26</v>
      </c>
      <c r="N98" s="26"/>
      <c r="O98" s="26"/>
      <c r="P98" s="28"/>
      <c r="Q98" s="26"/>
      <c r="R98" s="30"/>
    </row>
    <row r="99" spans="1:18" ht="30" customHeight="1" x14ac:dyDescent="0.25">
      <c r="A99" s="24" t="s">
        <v>39</v>
      </c>
      <c r="B99" s="25" t="s">
        <v>247</v>
      </c>
      <c r="C99" s="26" t="s">
        <v>410</v>
      </c>
      <c r="D99" s="83" t="s">
        <v>584</v>
      </c>
      <c r="E99" s="25" t="s">
        <v>105</v>
      </c>
      <c r="F99" s="25">
        <v>1</v>
      </c>
      <c r="G99" s="84">
        <v>44314</v>
      </c>
      <c r="H99" s="84">
        <v>44319</v>
      </c>
      <c r="I99" s="84"/>
      <c r="J99" s="28" t="s">
        <v>585</v>
      </c>
      <c r="K99" s="26" t="s">
        <v>384</v>
      </c>
      <c r="L99" s="29" t="s">
        <v>25</v>
      </c>
      <c r="M99" s="26" t="s">
        <v>26</v>
      </c>
      <c r="N99" s="26"/>
      <c r="O99" s="26" t="s">
        <v>27</v>
      </c>
      <c r="P99" s="28"/>
      <c r="Q99" s="26"/>
      <c r="R99" s="30"/>
    </row>
    <row r="100" spans="1:18" ht="40.5" customHeight="1" x14ac:dyDescent="0.25">
      <c r="A100" s="24" t="s">
        <v>52</v>
      </c>
      <c r="B100" s="25">
        <v>233961</v>
      </c>
      <c r="C100" s="26" t="s">
        <v>20</v>
      </c>
      <c r="D100" s="83" t="s">
        <v>591</v>
      </c>
      <c r="E100" s="25" t="s">
        <v>124</v>
      </c>
      <c r="F100" s="25"/>
      <c r="G100" s="84">
        <v>44314</v>
      </c>
      <c r="H100" s="84">
        <v>44323</v>
      </c>
      <c r="I100" s="84"/>
      <c r="J100" s="28"/>
      <c r="K100" s="26" t="s">
        <v>388</v>
      </c>
      <c r="L100" s="29" t="s">
        <v>25</v>
      </c>
      <c r="M100" s="26"/>
      <c r="N100" s="26"/>
      <c r="O100" s="26"/>
      <c r="P100" s="28"/>
      <c r="Q100" s="26"/>
      <c r="R100" s="30"/>
    </row>
    <row r="101" spans="1:18" ht="30" customHeight="1" x14ac:dyDescent="0.25">
      <c r="A101" s="24" t="s">
        <v>39</v>
      </c>
      <c r="B101" s="25" t="s">
        <v>595</v>
      </c>
      <c r="C101" s="26" t="s">
        <v>140</v>
      </c>
      <c r="D101" s="83" t="s">
        <v>596</v>
      </c>
      <c r="E101" s="25" t="s">
        <v>46</v>
      </c>
      <c r="F101" s="25">
        <v>1</v>
      </c>
      <c r="G101" s="84">
        <v>44315</v>
      </c>
      <c r="H101" s="84">
        <v>44319</v>
      </c>
      <c r="I101" s="84">
        <v>44319</v>
      </c>
      <c r="J101" s="28"/>
      <c r="K101" s="26" t="s">
        <v>384</v>
      </c>
      <c r="L101" s="29" t="s">
        <v>58</v>
      </c>
      <c r="M101" s="26" t="s">
        <v>26</v>
      </c>
      <c r="N101" s="26">
        <v>2</v>
      </c>
      <c r="O101" s="26" t="s">
        <v>38</v>
      </c>
      <c r="P101" s="28" t="s">
        <v>38</v>
      </c>
      <c r="Q101" s="26"/>
      <c r="R101" s="30"/>
    </row>
    <row r="102" spans="1:18" ht="30" customHeight="1" x14ac:dyDescent="0.25">
      <c r="A102" s="24" t="s">
        <v>39</v>
      </c>
      <c r="B102" s="25" t="s">
        <v>595</v>
      </c>
      <c r="C102" s="26" t="s">
        <v>140</v>
      </c>
      <c r="D102" s="83" t="s">
        <v>596</v>
      </c>
      <c r="E102" s="25" t="s">
        <v>22</v>
      </c>
      <c r="F102" s="25">
        <v>1</v>
      </c>
      <c r="G102" s="84">
        <v>44315</v>
      </c>
      <c r="H102" s="84">
        <v>44319</v>
      </c>
      <c r="I102" s="84">
        <v>44319</v>
      </c>
      <c r="J102" s="28"/>
      <c r="K102" s="26" t="s">
        <v>384</v>
      </c>
      <c r="L102" s="29" t="s">
        <v>58</v>
      </c>
      <c r="M102" s="26" t="s">
        <v>26</v>
      </c>
      <c r="N102" s="26">
        <v>2</v>
      </c>
      <c r="O102" s="26" t="s">
        <v>38</v>
      </c>
      <c r="P102" s="28" t="s">
        <v>38</v>
      </c>
      <c r="Q102" s="26"/>
      <c r="R102" s="30"/>
    </row>
    <row r="103" spans="1:18" ht="30" customHeight="1" x14ac:dyDescent="0.25">
      <c r="A103" s="24" t="s">
        <v>39</v>
      </c>
      <c r="B103" s="25" t="s">
        <v>597</v>
      </c>
      <c r="C103" s="26" t="s">
        <v>140</v>
      </c>
      <c r="D103" s="83" t="s">
        <v>598</v>
      </c>
      <c r="E103" s="25" t="s">
        <v>22</v>
      </c>
      <c r="F103" s="25">
        <v>1</v>
      </c>
      <c r="G103" s="84">
        <v>44314</v>
      </c>
      <c r="H103" s="84">
        <v>44320</v>
      </c>
      <c r="I103" s="84">
        <v>44316</v>
      </c>
      <c r="J103" s="28"/>
      <c r="K103" s="26" t="s">
        <v>384</v>
      </c>
      <c r="L103" s="29" t="s">
        <v>58</v>
      </c>
      <c r="M103" s="26" t="s">
        <v>26</v>
      </c>
      <c r="N103" s="26"/>
      <c r="O103" s="26" t="s">
        <v>38</v>
      </c>
      <c r="P103" s="28" t="s">
        <v>38</v>
      </c>
      <c r="Q103" s="26"/>
      <c r="R103" s="30"/>
    </row>
    <row r="104" spans="1:18" ht="30" customHeight="1" x14ac:dyDescent="0.25">
      <c r="A104" s="24" t="s">
        <v>159</v>
      </c>
      <c r="B104" s="25" t="s">
        <v>599</v>
      </c>
      <c r="C104" s="26" t="s">
        <v>410</v>
      </c>
      <c r="D104" s="83" t="s">
        <v>175</v>
      </c>
      <c r="E104" s="25" t="s">
        <v>142</v>
      </c>
      <c r="F104" s="25">
        <v>1</v>
      </c>
      <c r="G104" s="84">
        <v>44314</v>
      </c>
      <c r="H104" s="84">
        <v>44319</v>
      </c>
      <c r="I104" s="84"/>
      <c r="J104" s="28" t="s">
        <v>600</v>
      </c>
      <c r="K104" s="26" t="s">
        <v>384</v>
      </c>
      <c r="L104" s="29" t="s">
        <v>58</v>
      </c>
      <c r="M104" s="26" t="s">
        <v>26</v>
      </c>
      <c r="N104" s="26"/>
      <c r="O104" s="26" t="s">
        <v>38</v>
      </c>
      <c r="P104" s="28" t="s">
        <v>38</v>
      </c>
      <c r="Q104" s="26" t="s">
        <v>54</v>
      </c>
      <c r="R104" s="30"/>
    </row>
    <row r="105" spans="1:18" ht="30" customHeight="1" x14ac:dyDescent="0.25">
      <c r="A105" s="24" t="s">
        <v>159</v>
      </c>
      <c r="B105" s="25" t="s">
        <v>599</v>
      </c>
      <c r="C105" s="26" t="s">
        <v>410</v>
      </c>
      <c r="D105" s="83" t="s">
        <v>175</v>
      </c>
      <c r="E105" s="25" t="s">
        <v>142</v>
      </c>
      <c r="F105" s="25"/>
      <c r="G105" s="84">
        <v>44314</v>
      </c>
      <c r="H105" s="84">
        <v>44319</v>
      </c>
      <c r="I105" s="84"/>
      <c r="J105" s="28" t="s">
        <v>601</v>
      </c>
      <c r="K105" s="26" t="s">
        <v>388</v>
      </c>
      <c r="L105" s="29" t="s">
        <v>58</v>
      </c>
      <c r="M105" s="26" t="s">
        <v>26</v>
      </c>
      <c r="N105" s="26"/>
      <c r="O105" s="26" t="s">
        <v>38</v>
      </c>
      <c r="P105" s="28" t="s">
        <v>38</v>
      </c>
      <c r="Q105" s="26" t="s">
        <v>54</v>
      </c>
      <c r="R105" s="30"/>
    </row>
    <row r="106" spans="1:18" ht="30" customHeight="1" x14ac:dyDescent="0.25">
      <c r="A106" s="24" t="s">
        <v>159</v>
      </c>
      <c r="B106" s="25" t="s">
        <v>599</v>
      </c>
      <c r="C106" s="26" t="s">
        <v>410</v>
      </c>
      <c r="D106" s="83" t="s">
        <v>175</v>
      </c>
      <c r="E106" s="25" t="s">
        <v>144</v>
      </c>
      <c r="F106" s="25">
        <v>1</v>
      </c>
      <c r="G106" s="84">
        <v>44314</v>
      </c>
      <c r="H106" s="84">
        <v>44319</v>
      </c>
      <c r="I106" s="84"/>
      <c r="J106" s="28" t="s">
        <v>602</v>
      </c>
      <c r="K106" s="26" t="s">
        <v>384</v>
      </c>
      <c r="L106" s="29" t="s">
        <v>58</v>
      </c>
      <c r="M106" s="26" t="s">
        <v>26</v>
      </c>
      <c r="N106" s="26"/>
      <c r="O106" s="26" t="s">
        <v>38</v>
      </c>
      <c r="P106" s="28" t="s">
        <v>38</v>
      </c>
      <c r="Q106" s="26" t="s">
        <v>54</v>
      </c>
      <c r="R106" s="30"/>
    </row>
    <row r="107" spans="1:18" ht="30" customHeight="1" x14ac:dyDescent="0.25">
      <c r="A107" s="24" t="s">
        <v>72</v>
      </c>
      <c r="B107" s="25" t="s">
        <v>612</v>
      </c>
      <c r="C107" s="26" t="s">
        <v>140</v>
      </c>
      <c r="D107" s="83" t="s">
        <v>613</v>
      </c>
      <c r="E107" s="25"/>
      <c r="F107" s="25"/>
      <c r="G107" s="84">
        <v>44316</v>
      </c>
      <c r="H107" s="84">
        <v>44319</v>
      </c>
      <c r="I107" s="84">
        <v>44319</v>
      </c>
      <c r="J107" s="28"/>
      <c r="K107" s="26" t="s">
        <v>384</v>
      </c>
      <c r="L107" s="29" t="s">
        <v>58</v>
      </c>
      <c r="M107" s="26"/>
      <c r="N107" s="26"/>
      <c r="O107" s="26"/>
      <c r="P107" s="28"/>
      <c r="Q107" s="26"/>
      <c r="R107" s="30"/>
    </row>
    <row r="108" spans="1:18" ht="30" customHeight="1" x14ac:dyDescent="0.25">
      <c r="A108" s="24" t="s">
        <v>159</v>
      </c>
      <c r="B108" s="25" t="s">
        <v>615</v>
      </c>
      <c r="C108" s="26" t="s">
        <v>20</v>
      </c>
      <c r="D108" s="83" t="s">
        <v>616</v>
      </c>
      <c r="E108" s="25" t="s">
        <v>82</v>
      </c>
      <c r="F108" s="25">
        <v>1</v>
      </c>
      <c r="G108" s="84">
        <v>44289</v>
      </c>
      <c r="H108" s="84">
        <v>44321</v>
      </c>
      <c r="I108" s="84"/>
      <c r="J108" s="28"/>
      <c r="K108" s="26" t="s">
        <v>384</v>
      </c>
      <c r="L108" s="29" t="s">
        <v>25</v>
      </c>
      <c r="M108" s="26" t="s">
        <v>26</v>
      </c>
      <c r="N108" s="26"/>
      <c r="O108" s="26" t="s">
        <v>38</v>
      </c>
      <c r="P108" s="28" t="s">
        <v>27</v>
      </c>
      <c r="Q108" s="26" t="s">
        <v>54</v>
      </c>
      <c r="R108" s="30" t="s">
        <v>28</v>
      </c>
    </row>
    <row r="109" spans="1:18" ht="30" customHeight="1" x14ac:dyDescent="0.25">
      <c r="A109" s="24" t="s">
        <v>39</v>
      </c>
      <c r="B109" s="25" t="s">
        <v>247</v>
      </c>
      <c r="C109" s="26" t="s">
        <v>410</v>
      </c>
      <c r="D109" s="83" t="s">
        <v>617</v>
      </c>
      <c r="E109" s="25" t="s">
        <v>106</v>
      </c>
      <c r="F109" s="25">
        <v>1</v>
      </c>
      <c r="G109" s="84">
        <v>44320</v>
      </c>
      <c r="H109" s="84">
        <v>44320</v>
      </c>
      <c r="I109" s="84">
        <v>44320</v>
      </c>
      <c r="J109" s="28"/>
      <c r="K109" s="26" t="s">
        <v>384</v>
      </c>
      <c r="L109" s="29" t="s">
        <v>58</v>
      </c>
      <c r="M109" s="88" t="s">
        <v>26</v>
      </c>
      <c r="N109" s="26"/>
      <c r="O109" s="26"/>
      <c r="P109" s="28"/>
      <c r="Q109" s="26"/>
      <c r="R109" s="30"/>
    </row>
    <row r="110" spans="1:18" ht="30" customHeight="1" x14ac:dyDescent="0.25">
      <c r="A110" s="24" t="s">
        <v>30</v>
      </c>
      <c r="B110" s="25">
        <v>233744</v>
      </c>
      <c r="C110" s="26" t="s">
        <v>140</v>
      </c>
      <c r="D110" s="83" t="s">
        <v>618</v>
      </c>
      <c r="E110" s="25" t="s">
        <v>107</v>
      </c>
      <c r="F110" s="25">
        <v>3</v>
      </c>
      <c r="G110" s="84">
        <v>44313</v>
      </c>
      <c r="H110" s="84">
        <v>44321</v>
      </c>
      <c r="I110" s="84">
        <v>44322</v>
      </c>
      <c r="J110" s="28"/>
      <c r="K110" s="26" t="s">
        <v>384</v>
      </c>
      <c r="L110" s="29" t="s">
        <v>58</v>
      </c>
      <c r="M110" s="26" t="s">
        <v>26</v>
      </c>
      <c r="N110" s="26"/>
      <c r="O110" s="26" t="s">
        <v>38</v>
      </c>
      <c r="P110" s="28" t="s">
        <v>38</v>
      </c>
      <c r="Q110" s="26"/>
      <c r="R110" s="30"/>
    </row>
    <row r="111" spans="1:18" ht="30" customHeight="1" x14ac:dyDescent="0.25">
      <c r="A111" s="24"/>
      <c r="B111" s="25"/>
      <c r="C111" s="26"/>
      <c r="D111" s="83"/>
      <c r="E111" s="25"/>
      <c r="F111" s="25"/>
      <c r="G111" s="84"/>
      <c r="H111" s="84"/>
      <c r="I111" s="84"/>
      <c r="J111" s="28"/>
      <c r="K111" s="26"/>
      <c r="L111" s="29"/>
      <c r="M111" s="26"/>
      <c r="N111" s="26"/>
      <c r="O111" s="26"/>
      <c r="P111" s="28"/>
      <c r="Q111" s="26"/>
      <c r="R111" s="30"/>
    </row>
    <row r="112" spans="1:18" ht="30" customHeight="1" x14ac:dyDescent="0.25">
      <c r="A112" s="24"/>
      <c r="B112" s="25"/>
      <c r="C112" s="26"/>
      <c r="D112" s="83"/>
      <c r="E112" s="25"/>
      <c r="F112" s="25"/>
      <c r="G112" s="84"/>
      <c r="H112" s="84"/>
      <c r="I112" s="84"/>
      <c r="J112" s="28"/>
      <c r="K112" s="26"/>
      <c r="L112" s="29"/>
      <c r="M112" s="26"/>
      <c r="N112" s="26"/>
      <c r="O112" s="26"/>
      <c r="P112" s="28"/>
      <c r="Q112" s="26"/>
      <c r="R112" s="30"/>
    </row>
    <row r="113" spans="1:18" ht="30" customHeight="1" x14ac:dyDescent="0.25">
      <c r="A113" s="24"/>
      <c r="B113" s="25"/>
      <c r="C113" s="26"/>
      <c r="D113" s="83"/>
      <c r="E113" s="25"/>
      <c r="F113" s="25"/>
      <c r="G113" s="84"/>
      <c r="H113" s="84"/>
      <c r="I113" s="84"/>
      <c r="J113" s="28"/>
      <c r="K113" s="26"/>
      <c r="L113" s="29"/>
      <c r="M113" s="26"/>
      <c r="N113" s="26"/>
      <c r="O113" s="26"/>
      <c r="P113" s="28"/>
      <c r="Q113" s="26"/>
      <c r="R113" s="30"/>
    </row>
    <row r="114" spans="1:18" ht="30" customHeight="1" x14ac:dyDescent="0.25">
      <c r="A114" s="24"/>
      <c r="B114" s="25"/>
      <c r="C114" s="26"/>
      <c r="D114" s="83"/>
      <c r="E114" s="25"/>
      <c r="F114" s="25"/>
      <c r="G114" s="84"/>
      <c r="H114" s="84"/>
      <c r="I114" s="84"/>
      <c r="J114" s="28"/>
      <c r="K114" s="26"/>
      <c r="L114" s="29"/>
      <c r="M114" s="26"/>
      <c r="N114" s="26"/>
      <c r="O114" s="26"/>
      <c r="P114" s="28"/>
      <c r="Q114" s="26"/>
      <c r="R114" s="30"/>
    </row>
    <row r="115" spans="1:18" ht="30" customHeight="1" x14ac:dyDescent="0.25">
      <c r="A115" s="24"/>
      <c r="B115" s="25"/>
      <c r="C115" s="26"/>
      <c r="D115" s="83"/>
      <c r="E115" s="25"/>
      <c r="F115" s="25"/>
      <c r="G115" s="84"/>
      <c r="H115" s="84"/>
      <c r="I115" s="84"/>
      <c r="J115" s="28"/>
      <c r="K115" s="26"/>
      <c r="L115" s="29"/>
      <c r="M115" s="26"/>
      <c r="N115" s="26"/>
      <c r="O115" s="26"/>
      <c r="P115" s="28"/>
      <c r="Q115" s="26"/>
      <c r="R115" s="30"/>
    </row>
    <row r="116" spans="1:18" ht="30" customHeight="1" x14ac:dyDescent="0.25">
      <c r="A116" s="24"/>
      <c r="B116" s="25"/>
      <c r="C116" s="26"/>
      <c r="D116" s="83"/>
      <c r="E116" s="25"/>
      <c r="F116" s="25"/>
      <c r="G116" s="84"/>
      <c r="H116" s="84"/>
      <c r="I116" s="84"/>
      <c r="J116" s="28"/>
      <c r="K116" s="26"/>
      <c r="L116" s="29"/>
      <c r="M116" s="26"/>
      <c r="N116" s="26"/>
      <c r="O116" s="26"/>
      <c r="P116" s="28"/>
      <c r="Q116" s="26"/>
      <c r="R116" s="30"/>
    </row>
    <row r="117" spans="1:18" ht="30" customHeight="1" x14ac:dyDescent="0.25">
      <c r="A117" s="24"/>
      <c r="B117" s="25"/>
      <c r="C117" s="26"/>
      <c r="D117" s="83"/>
      <c r="E117" s="25"/>
      <c r="F117" s="25"/>
      <c r="G117" s="84"/>
      <c r="H117" s="84"/>
      <c r="I117" s="84"/>
      <c r="J117" s="28"/>
      <c r="K117" s="26"/>
      <c r="L117" s="29"/>
      <c r="M117" s="26"/>
      <c r="N117" s="26"/>
      <c r="O117" s="26"/>
      <c r="P117" s="28"/>
      <c r="Q117" s="26"/>
      <c r="R117" s="30"/>
    </row>
    <row r="118" spans="1:18" ht="30" customHeight="1" x14ac:dyDescent="0.25">
      <c r="A118" s="24"/>
      <c r="B118" s="25"/>
      <c r="C118" s="26"/>
      <c r="D118" s="83"/>
      <c r="E118" s="25"/>
      <c r="F118" s="25"/>
      <c r="G118" s="84"/>
      <c r="H118" s="84"/>
      <c r="I118" s="84"/>
      <c r="J118" s="28"/>
      <c r="K118" s="26"/>
      <c r="L118" s="29"/>
      <c r="M118" s="26"/>
      <c r="N118" s="26"/>
      <c r="O118" s="26"/>
      <c r="P118" s="28"/>
      <c r="Q118" s="26"/>
      <c r="R118" s="30"/>
    </row>
    <row r="119" spans="1:18" ht="30" customHeight="1" x14ac:dyDescent="0.25">
      <c r="A119" s="24"/>
      <c r="B119" s="25"/>
      <c r="C119" s="26"/>
      <c r="D119" s="83"/>
      <c r="E119" s="25"/>
      <c r="F119" s="25"/>
      <c r="G119" s="84"/>
      <c r="H119" s="84"/>
      <c r="I119" s="84"/>
      <c r="J119" s="28"/>
      <c r="K119" s="26"/>
      <c r="L119" s="29"/>
      <c r="M119" s="26"/>
      <c r="N119" s="26"/>
      <c r="O119" s="26"/>
      <c r="P119" s="28"/>
      <c r="Q119" s="26"/>
      <c r="R119" s="30"/>
    </row>
    <row r="120" spans="1:18" ht="30" customHeight="1" x14ac:dyDescent="0.25">
      <c r="A120" s="24"/>
      <c r="B120" s="25"/>
      <c r="C120" s="26"/>
      <c r="D120" s="83"/>
      <c r="E120" s="25"/>
      <c r="F120" s="25"/>
      <c r="G120" s="84"/>
      <c r="H120" s="84"/>
      <c r="I120" s="84"/>
      <c r="J120" s="28"/>
      <c r="K120" s="26"/>
      <c r="L120" s="29"/>
      <c r="M120" s="26"/>
      <c r="N120" s="26"/>
      <c r="O120" s="26"/>
      <c r="P120" s="28"/>
      <c r="Q120" s="26"/>
      <c r="R120" s="30"/>
    </row>
    <row r="121" spans="1:18" ht="30" customHeight="1" x14ac:dyDescent="0.25">
      <c r="A121" s="24"/>
      <c r="B121" s="25"/>
      <c r="C121" s="26"/>
      <c r="D121" s="83"/>
      <c r="E121" s="25"/>
      <c r="F121" s="25"/>
      <c r="G121" s="84"/>
      <c r="H121" s="84"/>
      <c r="I121" s="84"/>
      <c r="J121" s="28"/>
      <c r="K121" s="26"/>
      <c r="L121" s="29"/>
      <c r="M121" s="26"/>
      <c r="N121" s="26"/>
      <c r="O121" s="26"/>
      <c r="P121" s="28"/>
      <c r="Q121" s="26"/>
      <c r="R121" s="30"/>
    </row>
    <row r="122" spans="1:18" ht="30" customHeight="1" x14ac:dyDescent="0.25">
      <c r="A122" s="24"/>
      <c r="B122" s="25"/>
      <c r="C122" s="26"/>
      <c r="D122" s="83"/>
      <c r="E122" s="25"/>
      <c r="F122" s="25"/>
      <c r="G122" s="84"/>
      <c r="H122" s="84"/>
      <c r="I122" s="84"/>
      <c r="J122" s="28"/>
      <c r="K122" s="26"/>
      <c r="L122" s="29"/>
      <c r="M122" s="26"/>
      <c r="N122" s="26"/>
      <c r="O122" s="26"/>
      <c r="P122" s="28"/>
      <c r="Q122" s="26"/>
      <c r="R122" s="30"/>
    </row>
    <row r="123" spans="1:18" ht="30" customHeight="1" x14ac:dyDescent="0.25">
      <c r="A123" s="24"/>
      <c r="B123" s="25"/>
      <c r="C123" s="26"/>
      <c r="D123" s="83"/>
      <c r="E123" s="25"/>
      <c r="F123" s="25"/>
      <c r="G123" s="84"/>
      <c r="H123" s="84"/>
      <c r="I123" s="84"/>
      <c r="J123" s="28"/>
      <c r="K123" s="26"/>
      <c r="L123" s="29"/>
      <c r="M123" s="26"/>
      <c r="N123" s="26"/>
      <c r="O123" s="26"/>
      <c r="P123" s="28"/>
      <c r="Q123" s="26"/>
      <c r="R123" s="30"/>
    </row>
    <row r="124" spans="1:18" x14ac:dyDescent="0.25">
      <c r="A124" s="24"/>
      <c r="B124" s="25"/>
      <c r="C124" s="26"/>
      <c r="D124" s="83"/>
      <c r="E124" s="25"/>
      <c r="F124" s="25"/>
      <c r="G124" s="84"/>
      <c r="H124" s="84"/>
      <c r="I124" s="84"/>
      <c r="J124" s="28"/>
      <c r="K124" s="26"/>
      <c r="L124" s="29"/>
      <c r="M124" s="26"/>
      <c r="N124" s="26"/>
      <c r="O124" s="26"/>
      <c r="P124" s="28"/>
      <c r="Q124" s="26"/>
      <c r="R124" s="30"/>
    </row>
    <row r="125" spans="1:18" x14ac:dyDescent="0.25">
      <c r="A125" s="24"/>
      <c r="B125" s="25"/>
      <c r="C125" s="26"/>
      <c r="D125" s="83"/>
      <c r="E125" s="25"/>
      <c r="F125" s="25"/>
      <c r="G125" s="84"/>
      <c r="H125" s="84"/>
      <c r="I125" s="84"/>
      <c r="J125" s="28"/>
      <c r="K125" s="26"/>
      <c r="L125" s="29"/>
      <c r="M125" s="26"/>
      <c r="N125" s="26"/>
      <c r="O125" s="26"/>
      <c r="P125" s="28"/>
      <c r="Q125" s="26"/>
      <c r="R125" s="30"/>
    </row>
    <row r="126" spans="1:18" x14ac:dyDescent="0.25">
      <c r="A126" s="24"/>
      <c r="B126" s="25"/>
      <c r="C126" s="26"/>
      <c r="D126" s="83"/>
      <c r="E126" s="25"/>
      <c r="F126" s="25"/>
      <c r="G126" s="84"/>
      <c r="H126" s="84"/>
      <c r="I126" s="84"/>
      <c r="J126" s="28"/>
      <c r="K126" s="26"/>
      <c r="L126" s="29"/>
      <c r="M126" s="26"/>
      <c r="N126" s="26"/>
      <c r="O126" s="26"/>
      <c r="P126" s="28"/>
      <c r="Q126" s="26"/>
      <c r="R126" s="30"/>
    </row>
    <row r="127" spans="1:18" x14ac:dyDescent="0.25">
      <c r="A127" s="24"/>
      <c r="B127" s="25"/>
      <c r="C127" s="26"/>
      <c r="D127" s="83"/>
      <c r="E127" s="25"/>
      <c r="F127" s="25"/>
      <c r="G127" s="84"/>
      <c r="H127" s="84"/>
      <c r="I127" s="84"/>
      <c r="J127" s="28"/>
      <c r="K127" s="26"/>
      <c r="L127" s="29"/>
      <c r="M127" s="26"/>
      <c r="N127" s="26"/>
      <c r="O127" s="26"/>
      <c r="P127" s="28"/>
      <c r="Q127" s="26"/>
      <c r="R127" s="30"/>
    </row>
    <row r="128" spans="1:18" x14ac:dyDescent="0.25">
      <c r="A128" s="24"/>
      <c r="B128" s="25"/>
      <c r="C128" s="26"/>
      <c r="D128" s="83"/>
      <c r="E128" s="25"/>
      <c r="F128" s="25"/>
      <c r="G128" s="84"/>
      <c r="H128" s="84"/>
      <c r="I128" s="84"/>
      <c r="J128" s="28"/>
      <c r="K128" s="26"/>
      <c r="L128" s="29"/>
      <c r="M128" s="26"/>
      <c r="N128" s="26"/>
      <c r="O128" s="26"/>
      <c r="P128" s="28"/>
      <c r="Q128" s="26"/>
      <c r="R128" s="30"/>
    </row>
    <row r="129" spans="1:18" x14ac:dyDescent="0.25">
      <c r="A129" s="24"/>
      <c r="B129" s="25"/>
      <c r="C129" s="26"/>
      <c r="D129" s="83"/>
      <c r="E129" s="25"/>
      <c r="F129" s="25"/>
      <c r="G129" s="84"/>
      <c r="H129" s="84"/>
      <c r="I129" s="84"/>
      <c r="J129" s="28"/>
      <c r="K129" s="26"/>
      <c r="L129" s="29"/>
      <c r="M129" s="26"/>
      <c r="N129" s="26"/>
      <c r="O129" s="26"/>
      <c r="P129" s="28"/>
      <c r="Q129" s="26"/>
      <c r="R129" s="30"/>
    </row>
    <row r="130" spans="1:18" x14ac:dyDescent="0.25">
      <c r="A130" s="24"/>
      <c r="B130" s="25"/>
      <c r="C130" s="26"/>
      <c r="D130" s="83"/>
      <c r="E130" s="25"/>
      <c r="F130" s="25"/>
      <c r="G130" s="84"/>
      <c r="H130" s="84"/>
      <c r="I130" s="84"/>
      <c r="J130" s="28"/>
      <c r="K130" s="26"/>
      <c r="L130" s="29"/>
      <c r="M130" s="26"/>
      <c r="N130" s="26"/>
      <c r="O130" s="26"/>
      <c r="P130" s="28"/>
      <c r="Q130" s="26"/>
      <c r="R130" s="30"/>
    </row>
    <row r="131" spans="1:18" x14ac:dyDescent="0.25">
      <c r="A131" s="24"/>
      <c r="B131" s="25"/>
      <c r="C131" s="26"/>
      <c r="D131" s="83"/>
      <c r="E131" s="25"/>
      <c r="F131" s="25"/>
      <c r="G131" s="84"/>
      <c r="H131" s="84"/>
      <c r="I131" s="84"/>
      <c r="J131" s="28"/>
      <c r="K131" s="26"/>
      <c r="L131" s="29"/>
      <c r="M131" s="26"/>
      <c r="N131" s="26"/>
      <c r="O131" s="26"/>
      <c r="P131" s="28"/>
      <c r="Q131" s="26"/>
      <c r="R131" s="30"/>
    </row>
  </sheetData>
  <conditionalFormatting sqref="A96:J96 R96 A103:R104 A94:R95 L96:P96 A85:R92 A2:R82 A98:R101 A107:R110 A112:R131">
    <cfRule type="expression" dxfId="82" priority="86">
      <formula>$K2="CANCELADO"</formula>
    </cfRule>
    <cfRule type="expression" dxfId="81" priority="87">
      <formula>$K2="STAND-BY"</formula>
    </cfRule>
    <cfRule type="expression" dxfId="80" priority="88">
      <formula>$K2="AGUARDANDO APROVAÇÃO"</formula>
    </cfRule>
    <cfRule type="expression" dxfId="79" priority="89">
      <formula>$K2="OK"</formula>
    </cfRule>
    <cfRule type="expression" dxfId="78" priority="90">
      <formula>AND((TODAY()-$H2)&gt;0,$H2&lt;&gt;"",$I2="")=TRUE</formula>
    </cfRule>
  </conditionalFormatting>
  <conditionalFormatting sqref="A92:R92">
    <cfRule type="expression" dxfId="77" priority="81">
      <formula>$K92="CANCELADO"</formula>
    </cfRule>
    <cfRule type="expression" dxfId="76" priority="82">
      <formula>$K92="STAND-BY"</formula>
    </cfRule>
    <cfRule type="expression" dxfId="75" priority="83">
      <formula>$K92="AGUARDANDO APROVAÇÃO"</formula>
    </cfRule>
    <cfRule type="expression" dxfId="74" priority="84">
      <formula>$K92="OK"</formula>
    </cfRule>
    <cfRule type="expression" dxfId="73" priority="85">
      <formula>AND((TODAY()-$H92)&gt;0,$H92&lt;&gt;"",$I92="")=TRUE</formula>
    </cfRule>
  </conditionalFormatting>
  <conditionalFormatting sqref="A93:R93">
    <cfRule type="expression" dxfId="72" priority="76">
      <formula>$K93="CANCELADO"</formula>
    </cfRule>
    <cfRule type="expression" dxfId="71" priority="77">
      <formula>$K93="STAND-BY"</formula>
    </cfRule>
    <cfRule type="expression" dxfId="70" priority="78">
      <formula>$K93="AGUARDANDO APROVAÇÃO"</formula>
    </cfRule>
    <cfRule type="expression" dxfId="69" priority="79">
      <formula>$K93="OK"</formula>
    </cfRule>
    <cfRule type="expression" dxfId="68" priority="80">
      <formula>AND((TODAY()-$H93)&gt;0,$H93&lt;&gt;"",$I93="")=TRUE</formula>
    </cfRule>
  </conditionalFormatting>
  <conditionalFormatting sqref="A93:R93">
    <cfRule type="expression" dxfId="67" priority="71">
      <formula>$K93="CANCELADO"</formula>
    </cfRule>
    <cfRule type="expression" dxfId="66" priority="72">
      <formula>$K93="STAND-BY"</formula>
    </cfRule>
    <cfRule type="expression" dxfId="65" priority="73">
      <formula>$K93="AGUARDANDO APROVAÇÃO"</formula>
    </cfRule>
    <cfRule type="expression" dxfId="64" priority="74">
      <formula>$K93="OK"</formula>
    </cfRule>
    <cfRule type="expression" dxfId="63" priority="75">
      <formula>AND((TODAY()-$H93)&gt;0,$H93&lt;&gt;"",$I93="")=TRUE</formula>
    </cfRule>
  </conditionalFormatting>
  <conditionalFormatting sqref="A97:H97 L97:P97 R97">
    <cfRule type="expression" dxfId="62" priority="66">
      <formula>$K97="CANCELADO"</formula>
    </cfRule>
    <cfRule type="expression" dxfId="61" priority="67">
      <formula>$K97="STAND-BY"</formula>
    </cfRule>
    <cfRule type="expression" dxfId="60" priority="68">
      <formula>$K97="AGUARDANDO APROVAÇÃO"</formula>
    </cfRule>
    <cfRule type="expression" dxfId="59" priority="69">
      <formula>$K97="OK"</formula>
    </cfRule>
    <cfRule type="expression" dxfId="58" priority="70">
      <formula>AND((TODAY()-$H97)&gt;0,$H97&lt;&gt;"",$I97="")=TRUE</formula>
    </cfRule>
  </conditionalFormatting>
  <conditionalFormatting sqref="I97:J97">
    <cfRule type="expression" dxfId="57" priority="61">
      <formula>$K97="CANCELADO"</formula>
    </cfRule>
    <cfRule type="expression" dxfId="56" priority="62">
      <formula>$K97="STAND-BY"</formula>
    </cfRule>
    <cfRule type="expression" dxfId="55" priority="63">
      <formula>$K97="AGUARDANDO APROVAÇÃO"</formula>
    </cfRule>
    <cfRule type="expression" dxfId="54" priority="64">
      <formula>$K97="OK"</formula>
    </cfRule>
    <cfRule type="expression" dxfId="53" priority="65">
      <formula>AND((TODAY()-$H97)&gt;0,$H97&lt;&gt;"",$I97="")=TRUE</formula>
    </cfRule>
  </conditionalFormatting>
  <conditionalFormatting sqref="Q96:Q97">
    <cfRule type="expression" dxfId="52" priority="56">
      <formula>$K96="CANCELADO"</formula>
    </cfRule>
    <cfRule type="expression" dxfId="51" priority="57">
      <formula>$K96="STAND-BY"</formula>
    </cfRule>
    <cfRule type="expression" dxfId="50" priority="58">
      <formula>$K96="AGUARDANDO APROVAÇÃO"</formula>
    </cfRule>
    <cfRule type="expression" dxfId="49" priority="59">
      <formula>$K96="OK"</formula>
    </cfRule>
    <cfRule type="expression" dxfId="48" priority="60">
      <formula>AND((TODAY()-$H96)&gt;0,$H96&lt;&gt;"",$I96="")=TRUE</formula>
    </cfRule>
  </conditionalFormatting>
  <conditionalFormatting sqref="A102:R102">
    <cfRule type="expression" dxfId="47" priority="41">
      <formula>$K102="CANCELADO"</formula>
    </cfRule>
    <cfRule type="expression" dxfId="46" priority="42">
      <formula>$K102="STAND-BY"</formula>
    </cfRule>
    <cfRule type="expression" dxfId="45" priority="43">
      <formula>$K102="AGUARDANDO APROVAÇÃO"</formula>
    </cfRule>
    <cfRule type="expression" dxfId="44" priority="44">
      <formula>$K102="OK"</formula>
    </cfRule>
    <cfRule type="expression" dxfId="43" priority="45">
      <formula>AND((TODAY()-$H102)&gt;0,$H102&lt;&gt;"",$I102="")=TRUE</formula>
    </cfRule>
  </conditionalFormatting>
  <conditionalFormatting sqref="A105:R106">
    <cfRule type="expression" dxfId="42" priority="36">
      <formula>$K105="CANCELADO"</formula>
    </cfRule>
    <cfRule type="expression" dxfId="41" priority="37">
      <formula>$K105="STAND-BY"</formula>
    </cfRule>
    <cfRule type="expression" dxfId="40" priority="38">
      <formula>$K105="AGUARDANDO APROVAÇÃO"</formula>
    </cfRule>
    <cfRule type="expression" dxfId="39" priority="39">
      <formula>$K105="OK"</formula>
    </cfRule>
    <cfRule type="expression" dxfId="38" priority="40">
      <formula>AND((TODAY()-$H105)&gt;0,$H105&lt;&gt;"",$I105="")=TRUE</formula>
    </cfRule>
  </conditionalFormatting>
  <conditionalFormatting sqref="K96:K97">
    <cfRule type="expression" dxfId="37" priority="21">
      <formula>$K96="CANCELADO"</formula>
    </cfRule>
    <cfRule type="expression" dxfId="36" priority="22">
      <formula>$K96="STAND-BY"</formula>
    </cfRule>
    <cfRule type="expression" dxfId="35" priority="23">
      <formula>$K96="AGUARDANDO APROVAÇÃO"</formula>
    </cfRule>
    <cfRule type="expression" dxfId="34" priority="24">
      <formula>$K96="OK"</formula>
    </cfRule>
    <cfRule type="expression" dxfId="33" priority="25">
      <formula>AND((TODAY()-$H96)&gt;0,$H96&lt;&gt;"",$I96="")=TRUE</formula>
    </cfRule>
  </conditionalFormatting>
  <conditionalFormatting sqref="A83:R84">
    <cfRule type="expression" dxfId="32" priority="6">
      <formula>$K83="CANCELADO"</formula>
    </cfRule>
    <cfRule type="expression" dxfId="31" priority="7">
      <formula>$K83="STAND-BY"</formula>
    </cfRule>
    <cfRule type="expression" dxfId="30" priority="8">
      <formula>$K83="AGUARDANDO APROVAÇÃO"</formula>
    </cfRule>
    <cfRule type="expression" dxfId="29" priority="9">
      <formula>$K83="OK"</formula>
    </cfRule>
    <cfRule type="expression" dxfId="28" priority="10">
      <formula>AND((TODAY()-$H83)&gt;0,$H83&lt;&gt;"",$I83="")=TRUE</formula>
    </cfRule>
  </conditionalFormatting>
  <conditionalFormatting sqref="A111:R111">
    <cfRule type="expression" dxfId="27" priority="1">
      <formula>$K111="CANCELADO"</formula>
    </cfRule>
    <cfRule type="expression" dxfId="26" priority="2">
      <formula>$K111="STAND-BY"</formula>
    </cfRule>
    <cfRule type="expression" dxfId="25" priority="3">
      <formula>$K111="AGUARDANDO APROVAÇÃO"</formula>
    </cfRule>
    <cfRule type="expression" dxfId="24" priority="4">
      <formula>$K111="OK"</formula>
    </cfRule>
    <cfRule type="expression" dxfId="23" priority="5">
      <formula>AND((TODAY()-$H111)&gt;0,$H111&lt;&gt;"",$I111="")=TRUE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1BDC2DA-CC8E-4FFF-9771-0D0EB5E62210}">
          <x14:formula1>
            <xm:f>'NÃO MEXER'!$J$2:$J$6</xm:f>
          </x14:formula1>
          <xm:sqref>R2:R131</xm:sqref>
        </x14:dataValidation>
        <x14:dataValidation type="list" allowBlank="1" showInputMessage="1" showErrorMessage="1" xr:uid="{A30B355E-42D5-4166-9870-E308113DFCF8}">
          <x14:formula1>
            <xm:f>'NÃO MEXER'!$I$2:$I$6</xm:f>
          </x14:formula1>
          <xm:sqref>Q2:Q131</xm:sqref>
        </x14:dataValidation>
        <x14:dataValidation type="list" allowBlank="1" showInputMessage="1" showErrorMessage="1" xr:uid="{702307D3-D117-4A7A-BB74-3D6DF94BDC67}">
          <x14:formula1>
            <xm:f>'NÃO MEXER'!$C$2:$C$94</xm:f>
          </x14:formula1>
          <xm:sqref>E2:E131</xm:sqref>
        </x14:dataValidation>
        <x14:dataValidation type="list" allowBlank="1" showInputMessage="1" showErrorMessage="1" xr:uid="{87F19260-1723-458E-AC4B-E1036CDAF935}">
          <x14:formula1>
            <xm:f>'NÃO MEXER'!$A$2:$A$25</xm:f>
          </x14:formula1>
          <xm:sqref>A2:A131</xm:sqref>
        </x14:dataValidation>
        <x14:dataValidation type="list" allowBlank="1" showInputMessage="1" showErrorMessage="1" xr:uid="{71012B51-3C1F-481C-BFC5-9774628F3223}">
          <x14:formula1>
            <xm:f>'NÃO MEXER'!$F$2:$F$6</xm:f>
          </x14:formula1>
          <xm:sqref>L2:L131</xm:sqref>
        </x14:dataValidation>
        <x14:dataValidation type="list" allowBlank="1" showInputMessage="1" showErrorMessage="1" xr:uid="{0725638F-2C90-42C5-92C2-203868541EF1}">
          <x14:formula1>
            <xm:f>'NÃO MEXER'!$G$2:$G$7</xm:f>
          </x14:formula1>
          <xm:sqref>M2:M131</xm:sqref>
        </x14:dataValidation>
        <x14:dataValidation type="list" allowBlank="1" showInputMessage="1" showErrorMessage="1" xr:uid="{64AF604A-CBA4-4329-956D-6C0B281230DD}">
          <x14:formula1>
            <xm:f>'NÃO MEXER'!$H$2:$H$3</xm:f>
          </x14:formula1>
          <xm:sqref>O2:P131</xm:sqref>
        </x14:dataValidation>
        <x14:dataValidation type="list" allowBlank="1" showInputMessage="1" showErrorMessage="1" xr:uid="{DD7AC979-D59E-44B7-937C-B7ECF5F6951B}">
          <x14:formula1>
            <xm:f>'NÃO MEXER'!$B$2:$B$19</xm:f>
          </x14:formula1>
          <xm:sqref>C2:C131</xm:sqref>
        </x14:dataValidation>
        <x14:dataValidation type="list" allowBlank="1" showInputMessage="1" showErrorMessage="1" xr:uid="{FBC39A87-8A80-41F5-A602-6D80D9D607D8}">
          <x14:formula1>
            <xm:f>'NÃO MEXER'!$E$2:$E$6</xm:f>
          </x14:formula1>
          <xm:sqref>K2:K131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2021-05-06T13:32:10Z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2021-05-06T01:05:52Z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70597f70-d47e-49b0-b1fb-b3b5ea8598c4</vt:lpwstr>
  </property>
  <property fmtid="{D5CDD505-2E9C-101B-9397-08002B2CF9AE}" pid="9" name="MSIP_Label_6459b2e0-2ec4-47e6-afc1-6e3f8b684f6a_ContentBits">
    <vt:lpwstr>0</vt:lpwstr>
  </property>
</Properties>
</file>