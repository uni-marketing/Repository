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07185" documentId="8_{7B619CDE-97BE-4975-93B1-DA5389DF031C}" xr6:coauthVersionLast="45" xr6:coauthVersionMax="46" xr10:uidLastSave="{553FB035-E729-4B5C-8183-68732B313D4B}"/>
  <bookViews>
    <workbookView xWindow="-120" yWindow="-120" windowWidth="29040" windowHeight="15840" activeTab="2" xr2:uid="{00000000-000D-0000-FFFF-FFFF00000000}"/>
  </bookViews>
  <sheets>
    <sheet name="CONSOLIDADO" sheetId="11" r:id="rId1"/>
    <sheet name="NÃO MEXER" sheetId="1" r:id="rId2"/>
    <sheet name="ANÁLISE" sheetId="45" r:id="rId3"/>
    <sheet name="ROA" sheetId="48" r:id="rId4"/>
    <sheet name="FAROL" sheetId="43" r:id="rId5"/>
    <sheet name="JAN" sheetId="35" r:id="rId6"/>
    <sheet name="FEV" sheetId="42" r:id="rId7"/>
    <sheet name="MAR" sheetId="44" r:id="rId8"/>
    <sheet name="ABR" sheetId="47" r:id="rId9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45" l="1"/>
  <c r="D10" i="45"/>
  <c r="E10" i="45"/>
  <c r="F10" i="45"/>
  <c r="G10" i="45"/>
  <c r="H10" i="45"/>
  <c r="I10" i="45"/>
  <c r="J10" i="45"/>
  <c r="K10" i="45"/>
  <c r="L10" i="45"/>
  <c r="M10" i="45"/>
  <c r="B10" i="45"/>
  <c r="C9" i="45"/>
  <c r="D9" i="45"/>
  <c r="E9" i="45"/>
  <c r="F9" i="45"/>
  <c r="G9" i="45"/>
  <c r="H9" i="45"/>
  <c r="I9" i="45"/>
  <c r="J9" i="45"/>
  <c r="K9" i="45"/>
  <c r="L9" i="45"/>
  <c r="M9" i="45"/>
  <c r="B9" i="45"/>
  <c r="J11" i="45"/>
  <c r="I11" i="45"/>
  <c r="H11" i="45"/>
  <c r="G11" i="45"/>
  <c r="F11" i="45"/>
  <c r="E11" i="45"/>
  <c r="D11" i="45"/>
  <c r="C11" i="45"/>
  <c r="M11" i="45" l="1"/>
  <c r="L11" i="45"/>
  <c r="K11" i="45"/>
  <c r="B11" i="45"/>
  <c r="S504" i="11" l="1"/>
  <c r="S503" i="11"/>
  <c r="S502" i="11"/>
  <c r="S501" i="11"/>
  <c r="S500" i="11"/>
  <c r="S499" i="11"/>
  <c r="S498" i="11"/>
  <c r="S497" i="11"/>
  <c r="S496" i="11"/>
  <c r="S495" i="11"/>
  <c r="S494" i="11"/>
  <c r="S493" i="11"/>
  <c r="S492" i="11"/>
  <c r="S491" i="11"/>
  <c r="S490" i="11"/>
  <c r="S489" i="11"/>
  <c r="S488" i="11"/>
  <c r="S487" i="11"/>
  <c r="S486" i="11"/>
  <c r="S485" i="11"/>
  <c r="S484" i="11"/>
  <c r="S483" i="11"/>
  <c r="S482" i="11"/>
  <c r="S481" i="11"/>
  <c r="S480" i="11"/>
  <c r="S479" i="11"/>
  <c r="S478" i="11"/>
  <c r="S477" i="11"/>
  <c r="S476" i="11"/>
  <c r="S475" i="11"/>
  <c r="S474" i="11"/>
  <c r="S473" i="11"/>
  <c r="S472" i="11"/>
  <c r="S471" i="11"/>
  <c r="S470" i="11"/>
  <c r="S469" i="11"/>
  <c r="S468" i="11"/>
  <c r="S467" i="11"/>
  <c r="S466" i="11"/>
  <c r="S465" i="11"/>
  <c r="S464" i="11"/>
  <c r="S463" i="11"/>
  <c r="S462" i="11"/>
  <c r="S461" i="11"/>
  <c r="S460" i="11"/>
  <c r="S459" i="11"/>
  <c r="S458" i="11"/>
  <c r="S457" i="11"/>
  <c r="S456" i="11"/>
  <c r="S455" i="11"/>
  <c r="S454" i="11"/>
  <c r="S453" i="11"/>
  <c r="S452" i="11"/>
  <c r="S451" i="11"/>
  <c r="S450" i="11"/>
  <c r="S449" i="11"/>
  <c r="S448" i="11"/>
  <c r="S447" i="11"/>
  <c r="S446" i="11"/>
  <c r="S445" i="11"/>
  <c r="S444" i="11"/>
  <c r="S443" i="11"/>
  <c r="S442" i="11"/>
  <c r="S441" i="11"/>
  <c r="S440" i="11"/>
  <c r="S439" i="11"/>
  <c r="S438" i="11"/>
  <c r="S437" i="11"/>
  <c r="S436" i="11"/>
  <c r="S435" i="11"/>
  <c r="S434" i="11"/>
  <c r="S433" i="11"/>
  <c r="S432" i="11"/>
  <c r="S431" i="11"/>
  <c r="S430" i="11"/>
  <c r="S429" i="11"/>
  <c r="S428" i="11"/>
  <c r="S427" i="11"/>
  <c r="S426" i="11"/>
  <c r="S425" i="11"/>
  <c r="S424" i="11"/>
  <c r="S423" i="11"/>
  <c r="S422" i="11"/>
  <c r="S421" i="11"/>
  <c r="S420" i="11"/>
  <c r="S419" i="11"/>
  <c r="S418" i="11"/>
  <c r="S417" i="11"/>
  <c r="S416" i="11"/>
  <c r="S415" i="11"/>
  <c r="S414" i="11"/>
  <c r="S413" i="11"/>
  <c r="S412" i="11"/>
  <c r="S411" i="11"/>
  <c r="S410" i="11"/>
  <c r="S409" i="11"/>
  <c r="S408" i="11"/>
  <c r="S407" i="11"/>
  <c r="S406" i="11"/>
  <c r="S405" i="11"/>
  <c r="S404" i="11"/>
  <c r="S403" i="11"/>
  <c r="S402" i="11"/>
  <c r="S401" i="11"/>
  <c r="S400" i="11"/>
  <c r="S399" i="11"/>
  <c r="S398" i="11"/>
  <c r="S397" i="11"/>
  <c r="S396" i="11"/>
  <c r="S395" i="11"/>
  <c r="S394" i="11"/>
  <c r="S393" i="11"/>
  <c r="S392" i="11"/>
  <c r="S391" i="11"/>
  <c r="S390" i="11"/>
  <c r="S389" i="11"/>
  <c r="S388" i="11"/>
  <c r="S387" i="11"/>
  <c r="S386" i="11"/>
  <c r="S385" i="11"/>
  <c r="S384" i="11"/>
  <c r="S383" i="11"/>
  <c r="S382" i="11"/>
  <c r="S381" i="11"/>
  <c r="S380" i="11"/>
  <c r="S379" i="11"/>
  <c r="S378" i="11"/>
  <c r="S377" i="11"/>
  <c r="S376" i="11"/>
  <c r="S375" i="11"/>
  <c r="S374" i="11"/>
  <c r="S373" i="11"/>
  <c r="S372" i="11"/>
  <c r="S371" i="11"/>
  <c r="S370" i="11"/>
  <c r="S369" i="11"/>
  <c r="S368" i="11"/>
  <c r="S367" i="11"/>
  <c r="S366" i="11"/>
  <c r="S365" i="1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45" i="11"/>
  <c r="S344" i="11"/>
  <c r="S343" i="11"/>
  <c r="S342" i="11"/>
  <c r="S341" i="11"/>
  <c r="S340" i="11"/>
  <c r="S339" i="11"/>
  <c r="S338" i="11"/>
  <c r="S337" i="11"/>
  <c r="S33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15" i="11"/>
  <c r="S314" i="11"/>
  <c r="S313" i="11"/>
  <c r="S312" i="11"/>
  <c r="S311" i="11"/>
  <c r="S310" i="11"/>
  <c r="S309" i="11"/>
  <c r="S308" i="11"/>
  <c r="S307" i="11"/>
  <c r="S30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85" i="11"/>
  <c r="S284" i="11"/>
  <c r="S283" i="11"/>
  <c r="S282" i="11"/>
  <c r="S281" i="11"/>
  <c r="S280" i="11"/>
  <c r="S279" i="11"/>
  <c r="S278" i="11"/>
  <c r="S277" i="11"/>
  <c r="S276" i="11"/>
  <c r="S275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54" i="11"/>
  <c r="S253" i="11"/>
  <c r="S252" i="11"/>
  <c r="S251" i="11"/>
  <c r="S250" i="11"/>
  <c r="S249" i="11"/>
  <c r="S248" i="11"/>
  <c r="S247" i="11"/>
  <c r="S246" i="11"/>
  <c r="S245" i="11"/>
  <c r="S244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23" i="11"/>
  <c r="S222" i="11"/>
  <c r="S221" i="11"/>
  <c r="S220" i="11"/>
  <c r="S219" i="11"/>
  <c r="S218" i="11"/>
  <c r="S217" i="11"/>
  <c r="S216" i="11"/>
  <c r="S215" i="11"/>
  <c r="S214" i="11"/>
  <c r="S213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92" i="11"/>
  <c r="S191" i="11"/>
  <c r="S190" i="11"/>
  <c r="S189" i="11"/>
  <c r="S188" i="11"/>
  <c r="S187" i="11"/>
  <c r="S186" i="11"/>
  <c r="S185" i="11"/>
  <c r="S184" i="11"/>
  <c r="S18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62" i="11"/>
  <c r="S161" i="11"/>
  <c r="S160" i="11"/>
  <c r="S159" i="11"/>
  <c r="S158" i="11"/>
  <c r="S157" i="11"/>
  <c r="S156" i="11"/>
  <c r="S155" i="11"/>
  <c r="S154" i="11"/>
  <c r="S15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32" i="11"/>
  <c r="S131" i="11"/>
  <c r="S130" i="11"/>
  <c r="S129" i="11"/>
  <c r="S128" i="11"/>
  <c r="S127" i="11"/>
  <c r="S126" i="11"/>
  <c r="S125" i="11"/>
  <c r="S124" i="11"/>
  <c r="S123" i="11"/>
  <c r="S122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C3" i="45"/>
  <c r="D3" i="45"/>
  <c r="E3" i="45"/>
  <c r="F3" i="45"/>
  <c r="G3" i="45"/>
  <c r="H3" i="45"/>
  <c r="I3" i="45"/>
  <c r="J3" i="45"/>
  <c r="K3" i="45"/>
  <c r="L3" i="45"/>
  <c r="M3" i="45"/>
  <c r="C4" i="45"/>
  <c r="D4" i="45"/>
  <c r="E4" i="45"/>
  <c r="F4" i="45"/>
  <c r="G4" i="45"/>
  <c r="H4" i="45"/>
  <c r="I4" i="45"/>
  <c r="I5" i="45" s="1"/>
  <c r="J4" i="45"/>
  <c r="K4" i="45"/>
  <c r="K5" i="45" s="1"/>
  <c r="L4" i="45"/>
  <c r="L5" i="45" s="1"/>
  <c r="M4" i="45"/>
  <c r="M5" i="45" s="1"/>
  <c r="B4" i="45"/>
  <c r="B3" i="45"/>
  <c r="J5" i="45"/>
  <c r="H5" i="45"/>
  <c r="G5" i="45"/>
  <c r="F5" i="45"/>
  <c r="E5" i="45"/>
  <c r="D5" i="45"/>
  <c r="C5" i="45"/>
  <c r="C9" i="48"/>
  <c r="D9" i="48"/>
  <c r="E9" i="48"/>
  <c r="F9" i="48"/>
  <c r="G9" i="48"/>
  <c r="H9" i="48"/>
  <c r="I9" i="48"/>
  <c r="J9" i="48"/>
  <c r="K9" i="48"/>
  <c r="L9" i="48"/>
  <c r="M9" i="48"/>
  <c r="C10" i="48"/>
  <c r="D10" i="48"/>
  <c r="E10" i="48"/>
  <c r="F10" i="48"/>
  <c r="G10" i="48"/>
  <c r="H10" i="48"/>
  <c r="I10" i="48"/>
  <c r="J10" i="48"/>
  <c r="K10" i="48"/>
  <c r="L10" i="48"/>
  <c r="M10" i="48"/>
  <c r="C11" i="48"/>
  <c r="D11" i="48"/>
  <c r="E11" i="48"/>
  <c r="F11" i="48"/>
  <c r="G11" i="48"/>
  <c r="H11" i="48"/>
  <c r="I11" i="48"/>
  <c r="J11" i="48"/>
  <c r="K11" i="48"/>
  <c r="L11" i="48"/>
  <c r="M11" i="48"/>
  <c r="C12" i="48"/>
  <c r="D12" i="48"/>
  <c r="E12" i="48"/>
  <c r="F12" i="48"/>
  <c r="G12" i="48"/>
  <c r="H12" i="48"/>
  <c r="I12" i="48"/>
  <c r="J12" i="48"/>
  <c r="K12" i="48"/>
  <c r="L12" i="48"/>
  <c r="M12" i="48"/>
  <c r="C13" i="48"/>
  <c r="D13" i="48"/>
  <c r="E13" i="48"/>
  <c r="F13" i="48"/>
  <c r="G13" i="48"/>
  <c r="H13" i="48"/>
  <c r="I13" i="48"/>
  <c r="J13" i="48"/>
  <c r="K13" i="48"/>
  <c r="L13" i="48"/>
  <c r="M13" i="48"/>
  <c r="C14" i="48"/>
  <c r="D14" i="48"/>
  <c r="E14" i="48"/>
  <c r="F14" i="48"/>
  <c r="G14" i="48"/>
  <c r="H14" i="48"/>
  <c r="I14" i="48"/>
  <c r="J14" i="48"/>
  <c r="K14" i="48"/>
  <c r="L14" i="48"/>
  <c r="M14" i="48"/>
  <c r="C15" i="48"/>
  <c r="D15" i="48"/>
  <c r="E15" i="48"/>
  <c r="F15" i="48"/>
  <c r="G15" i="48"/>
  <c r="H15" i="48"/>
  <c r="I15" i="48"/>
  <c r="J15" i="48"/>
  <c r="K15" i="48"/>
  <c r="L15" i="48"/>
  <c r="M15" i="48"/>
  <c r="C16" i="48"/>
  <c r="D16" i="48"/>
  <c r="E16" i="48"/>
  <c r="F16" i="48"/>
  <c r="G16" i="48"/>
  <c r="H16" i="48"/>
  <c r="I16" i="48"/>
  <c r="J16" i="48"/>
  <c r="K16" i="48"/>
  <c r="L16" i="48"/>
  <c r="M16" i="48"/>
  <c r="C17" i="48"/>
  <c r="D17" i="48"/>
  <c r="E17" i="48"/>
  <c r="F17" i="48"/>
  <c r="G17" i="48"/>
  <c r="H17" i="48"/>
  <c r="I17" i="48"/>
  <c r="J17" i="48"/>
  <c r="K17" i="48"/>
  <c r="L17" i="48"/>
  <c r="M17" i="48"/>
  <c r="C18" i="48"/>
  <c r="D18" i="48"/>
  <c r="E18" i="48"/>
  <c r="F18" i="48"/>
  <c r="G18" i="48"/>
  <c r="H18" i="48"/>
  <c r="I18" i="48"/>
  <c r="J18" i="48"/>
  <c r="K18" i="48"/>
  <c r="L18" i="48"/>
  <c r="M18" i="48"/>
  <c r="C19" i="48"/>
  <c r="D19" i="48"/>
  <c r="E19" i="48"/>
  <c r="F19" i="48"/>
  <c r="G19" i="48"/>
  <c r="H19" i="48"/>
  <c r="I19" i="48"/>
  <c r="J19" i="48"/>
  <c r="K19" i="48"/>
  <c r="L19" i="48"/>
  <c r="M19" i="48"/>
  <c r="C20" i="48"/>
  <c r="D20" i="48"/>
  <c r="E20" i="48"/>
  <c r="F20" i="48"/>
  <c r="G20" i="48"/>
  <c r="H20" i="48"/>
  <c r="I20" i="48"/>
  <c r="J20" i="48"/>
  <c r="K20" i="48"/>
  <c r="L20" i="48"/>
  <c r="M20" i="48"/>
  <c r="C21" i="48"/>
  <c r="D21" i="48"/>
  <c r="E21" i="48"/>
  <c r="F21" i="48"/>
  <c r="G21" i="48"/>
  <c r="H21" i="48"/>
  <c r="I21" i="48"/>
  <c r="J21" i="48"/>
  <c r="K21" i="48"/>
  <c r="L21" i="48"/>
  <c r="M21" i="48"/>
  <c r="C22" i="48"/>
  <c r="D22" i="48"/>
  <c r="E22" i="48"/>
  <c r="F22" i="48"/>
  <c r="G22" i="48"/>
  <c r="H22" i="48"/>
  <c r="I22" i="48"/>
  <c r="J22" i="48"/>
  <c r="K22" i="48"/>
  <c r="L22" i="48"/>
  <c r="M22" i="48"/>
  <c r="C23" i="48"/>
  <c r="D23" i="48"/>
  <c r="E23" i="48"/>
  <c r="F23" i="48"/>
  <c r="G23" i="48"/>
  <c r="H23" i="48"/>
  <c r="I23" i="48"/>
  <c r="J23" i="48"/>
  <c r="K23" i="48"/>
  <c r="L23" i="48"/>
  <c r="M23" i="48"/>
  <c r="C24" i="48"/>
  <c r="D24" i="48"/>
  <c r="E24" i="48"/>
  <c r="F24" i="48"/>
  <c r="G24" i="48"/>
  <c r="H24" i="48"/>
  <c r="I24" i="48"/>
  <c r="J24" i="48"/>
  <c r="K24" i="48"/>
  <c r="L24" i="48"/>
  <c r="M24" i="48"/>
  <c r="C25" i="48"/>
  <c r="D25" i="48"/>
  <c r="E25" i="48"/>
  <c r="F25" i="48"/>
  <c r="G25" i="48"/>
  <c r="H25" i="48"/>
  <c r="I25" i="48"/>
  <c r="J25" i="48"/>
  <c r="K25" i="48"/>
  <c r="L25" i="48"/>
  <c r="M25" i="48"/>
  <c r="C26" i="48"/>
  <c r="D26" i="48"/>
  <c r="E26" i="48"/>
  <c r="F26" i="48"/>
  <c r="G26" i="48"/>
  <c r="H26" i="48"/>
  <c r="I26" i="48"/>
  <c r="J26" i="48"/>
  <c r="K26" i="48"/>
  <c r="L26" i="48"/>
  <c r="M26" i="48"/>
  <c r="C27" i="48"/>
  <c r="D27" i="48"/>
  <c r="E27" i="48"/>
  <c r="F27" i="48"/>
  <c r="G27" i="48"/>
  <c r="H27" i="48"/>
  <c r="I27" i="48"/>
  <c r="J27" i="48"/>
  <c r="K27" i="48"/>
  <c r="L27" i="48"/>
  <c r="M27" i="48"/>
  <c r="C28" i="48"/>
  <c r="D28" i="48"/>
  <c r="E28" i="48"/>
  <c r="F28" i="48"/>
  <c r="G28" i="48"/>
  <c r="H28" i="48"/>
  <c r="I28" i="48"/>
  <c r="J28" i="48"/>
  <c r="K28" i="48"/>
  <c r="L28" i="48"/>
  <c r="M28" i="48"/>
  <c r="C29" i="48"/>
  <c r="D29" i="48"/>
  <c r="E29" i="48"/>
  <c r="F29" i="48"/>
  <c r="G29" i="48"/>
  <c r="H29" i="48"/>
  <c r="I29" i="48"/>
  <c r="J29" i="48"/>
  <c r="K29" i="48"/>
  <c r="L29" i="48"/>
  <c r="M29" i="48"/>
  <c r="C30" i="48"/>
  <c r="D30" i="48"/>
  <c r="E30" i="48"/>
  <c r="F30" i="48"/>
  <c r="G30" i="48"/>
  <c r="H30" i="48"/>
  <c r="I30" i="48"/>
  <c r="J30" i="48"/>
  <c r="K30" i="48"/>
  <c r="L30" i="48"/>
  <c r="M30" i="48"/>
  <c r="C31" i="48"/>
  <c r="D31" i="48"/>
  <c r="E31" i="48"/>
  <c r="F31" i="48"/>
  <c r="G31" i="48"/>
  <c r="H31" i="48"/>
  <c r="I31" i="48"/>
  <c r="J31" i="48"/>
  <c r="K31" i="48"/>
  <c r="L31" i="48"/>
  <c r="M31" i="48"/>
  <c r="C32" i="48"/>
  <c r="D32" i="48"/>
  <c r="E32" i="48"/>
  <c r="F32" i="48"/>
  <c r="G32" i="48"/>
  <c r="H32" i="48"/>
  <c r="I32" i="48"/>
  <c r="J32" i="48"/>
  <c r="K32" i="48"/>
  <c r="L32" i="48"/>
  <c r="M32" i="48"/>
  <c r="C33" i="48"/>
  <c r="D33" i="48"/>
  <c r="E33" i="48"/>
  <c r="F33" i="48"/>
  <c r="G33" i="48"/>
  <c r="H33" i="48"/>
  <c r="I33" i="48"/>
  <c r="J33" i="48"/>
  <c r="K33" i="48"/>
  <c r="L33" i="48"/>
  <c r="M33" i="48"/>
  <c r="C34" i="48"/>
  <c r="D34" i="48"/>
  <c r="E34" i="48"/>
  <c r="F34" i="48"/>
  <c r="G34" i="48"/>
  <c r="H34" i="48"/>
  <c r="I34" i="48"/>
  <c r="J34" i="48"/>
  <c r="K34" i="48"/>
  <c r="L34" i="48"/>
  <c r="M34" i="48"/>
  <c r="C35" i="48"/>
  <c r="D35" i="48"/>
  <c r="E35" i="48"/>
  <c r="F35" i="48"/>
  <c r="G35" i="48"/>
  <c r="H35" i="48"/>
  <c r="I35" i="48"/>
  <c r="J35" i="48"/>
  <c r="K35" i="48"/>
  <c r="L35" i="48"/>
  <c r="M35" i="48"/>
  <c r="C36" i="48"/>
  <c r="D36" i="48"/>
  <c r="E36" i="48"/>
  <c r="F36" i="48"/>
  <c r="G36" i="48"/>
  <c r="H36" i="48"/>
  <c r="I36" i="48"/>
  <c r="J36" i="48"/>
  <c r="K36" i="48"/>
  <c r="L36" i="48"/>
  <c r="M36" i="48"/>
  <c r="C37" i="48"/>
  <c r="D37" i="48"/>
  <c r="E37" i="48"/>
  <c r="F37" i="48"/>
  <c r="G37" i="48"/>
  <c r="H37" i="48"/>
  <c r="I37" i="48"/>
  <c r="J37" i="48"/>
  <c r="K37" i="48"/>
  <c r="L37" i="48"/>
  <c r="M37" i="48"/>
  <c r="C38" i="48"/>
  <c r="D38" i="48"/>
  <c r="E38" i="48"/>
  <c r="F38" i="48"/>
  <c r="G38" i="48"/>
  <c r="H38" i="48"/>
  <c r="I38" i="48"/>
  <c r="J38" i="48"/>
  <c r="K38" i="48"/>
  <c r="L38" i="48"/>
  <c r="M38" i="48"/>
  <c r="C39" i="48"/>
  <c r="D39" i="48"/>
  <c r="E39" i="48"/>
  <c r="F39" i="48"/>
  <c r="G39" i="48"/>
  <c r="H39" i="48"/>
  <c r="I39" i="48"/>
  <c r="J39" i="48"/>
  <c r="K39" i="48"/>
  <c r="L39" i="48"/>
  <c r="M39" i="48"/>
  <c r="C40" i="48"/>
  <c r="D40" i="48"/>
  <c r="E40" i="48"/>
  <c r="F40" i="48"/>
  <c r="G40" i="48"/>
  <c r="H40" i="48"/>
  <c r="I40" i="48"/>
  <c r="J40" i="48"/>
  <c r="K40" i="48"/>
  <c r="L40" i="48"/>
  <c r="M40" i="48"/>
  <c r="C41" i="48"/>
  <c r="D41" i="48"/>
  <c r="E41" i="48"/>
  <c r="F41" i="48"/>
  <c r="G41" i="48"/>
  <c r="H41" i="48"/>
  <c r="I41" i="48"/>
  <c r="J41" i="48"/>
  <c r="K41" i="48"/>
  <c r="L41" i="48"/>
  <c r="M41" i="48"/>
  <c r="C42" i="48"/>
  <c r="D42" i="48"/>
  <c r="E42" i="48"/>
  <c r="F42" i="48"/>
  <c r="G42" i="48"/>
  <c r="H42" i="48"/>
  <c r="I42" i="48"/>
  <c r="J42" i="48"/>
  <c r="K42" i="48"/>
  <c r="L42" i="48"/>
  <c r="M42" i="48"/>
  <c r="C43" i="48"/>
  <c r="D43" i="48"/>
  <c r="E43" i="48"/>
  <c r="F43" i="48"/>
  <c r="G43" i="48"/>
  <c r="H43" i="48"/>
  <c r="I43" i="48"/>
  <c r="J43" i="48"/>
  <c r="K43" i="48"/>
  <c r="L43" i="48"/>
  <c r="M43" i="48"/>
  <c r="C44" i="48"/>
  <c r="D44" i="48"/>
  <c r="E44" i="48"/>
  <c r="F44" i="48"/>
  <c r="G44" i="48"/>
  <c r="H44" i="48"/>
  <c r="I44" i="48"/>
  <c r="J44" i="48"/>
  <c r="K44" i="48"/>
  <c r="L44" i="48"/>
  <c r="M44" i="48"/>
  <c r="C45" i="48"/>
  <c r="D45" i="48"/>
  <c r="E45" i="48"/>
  <c r="F45" i="48"/>
  <c r="G45" i="48"/>
  <c r="H45" i="48"/>
  <c r="I45" i="48"/>
  <c r="J45" i="48"/>
  <c r="K45" i="48"/>
  <c r="L45" i="48"/>
  <c r="M45" i="48"/>
  <c r="C46" i="48"/>
  <c r="D46" i="48"/>
  <c r="E46" i="48"/>
  <c r="F46" i="48"/>
  <c r="G46" i="48"/>
  <c r="H46" i="48"/>
  <c r="I46" i="48"/>
  <c r="J46" i="48"/>
  <c r="K46" i="48"/>
  <c r="L46" i="48"/>
  <c r="M46" i="48"/>
  <c r="C47" i="48"/>
  <c r="D47" i="48"/>
  <c r="E47" i="48"/>
  <c r="F47" i="48"/>
  <c r="G47" i="48"/>
  <c r="H47" i="48"/>
  <c r="I47" i="48"/>
  <c r="J47" i="48"/>
  <c r="K47" i="48"/>
  <c r="L47" i="48"/>
  <c r="M47" i="48"/>
  <c r="C48" i="48"/>
  <c r="D48" i="48"/>
  <c r="E48" i="48"/>
  <c r="F48" i="48"/>
  <c r="G48" i="48"/>
  <c r="H48" i="48"/>
  <c r="I48" i="48"/>
  <c r="J48" i="48"/>
  <c r="K48" i="48"/>
  <c r="L48" i="48"/>
  <c r="M48" i="48"/>
  <c r="C49" i="48"/>
  <c r="D49" i="48"/>
  <c r="E49" i="48"/>
  <c r="F49" i="48"/>
  <c r="G49" i="48"/>
  <c r="H49" i="48"/>
  <c r="I49" i="48"/>
  <c r="J49" i="48"/>
  <c r="K49" i="48"/>
  <c r="L49" i="48"/>
  <c r="M49" i="48"/>
  <c r="C50" i="48"/>
  <c r="D50" i="48"/>
  <c r="E50" i="48"/>
  <c r="F50" i="48"/>
  <c r="G50" i="48"/>
  <c r="H50" i="48"/>
  <c r="I50" i="48"/>
  <c r="J50" i="48"/>
  <c r="K50" i="48"/>
  <c r="L50" i="48"/>
  <c r="M50" i="48"/>
  <c r="C51" i="48"/>
  <c r="D51" i="48"/>
  <c r="E51" i="48"/>
  <c r="F51" i="48"/>
  <c r="G51" i="48"/>
  <c r="H51" i="48"/>
  <c r="I51" i="48"/>
  <c r="J51" i="48"/>
  <c r="K51" i="48"/>
  <c r="L51" i="48"/>
  <c r="M51" i="48"/>
  <c r="C52" i="48"/>
  <c r="D52" i="48"/>
  <c r="E52" i="48"/>
  <c r="F52" i="48"/>
  <c r="G52" i="48"/>
  <c r="H52" i="48"/>
  <c r="I52" i="48"/>
  <c r="J52" i="48"/>
  <c r="K52" i="48"/>
  <c r="L52" i="48"/>
  <c r="M52" i="48"/>
  <c r="C53" i="48"/>
  <c r="D53" i="48"/>
  <c r="E53" i="48"/>
  <c r="F53" i="48"/>
  <c r="G53" i="48"/>
  <c r="H53" i="48"/>
  <c r="I53" i="48"/>
  <c r="J53" i="48"/>
  <c r="K53" i="48"/>
  <c r="L53" i="48"/>
  <c r="M53" i="48"/>
  <c r="C54" i="48"/>
  <c r="D54" i="48"/>
  <c r="E54" i="48"/>
  <c r="F54" i="48"/>
  <c r="G54" i="48"/>
  <c r="H54" i="48"/>
  <c r="I54" i="48"/>
  <c r="J54" i="48"/>
  <c r="K54" i="48"/>
  <c r="L54" i="48"/>
  <c r="M54" i="48"/>
  <c r="AA54" i="48" s="1"/>
  <c r="C55" i="48"/>
  <c r="D55" i="48"/>
  <c r="E55" i="48"/>
  <c r="F55" i="48"/>
  <c r="T55" i="48" s="1"/>
  <c r="G55" i="48"/>
  <c r="H55" i="48"/>
  <c r="I55" i="48"/>
  <c r="J55" i="48"/>
  <c r="X55" i="48" s="1"/>
  <c r="K55" i="48"/>
  <c r="L55" i="48"/>
  <c r="M55" i="48"/>
  <c r="C56" i="48"/>
  <c r="D56" i="48"/>
  <c r="E56" i="48"/>
  <c r="F56" i="48"/>
  <c r="G56" i="48"/>
  <c r="U56" i="48" s="1"/>
  <c r="H56" i="48"/>
  <c r="I56" i="48"/>
  <c r="J56" i="48"/>
  <c r="K56" i="48"/>
  <c r="Y56" i="48" s="1"/>
  <c r="L56" i="48"/>
  <c r="M56" i="48"/>
  <c r="C57" i="48"/>
  <c r="D57" i="48"/>
  <c r="E57" i="48"/>
  <c r="F57" i="48"/>
  <c r="G57" i="48"/>
  <c r="H57" i="48"/>
  <c r="I57" i="48"/>
  <c r="J57" i="48"/>
  <c r="K57" i="48"/>
  <c r="L57" i="48"/>
  <c r="Z57" i="48" s="1"/>
  <c r="M57" i="48"/>
  <c r="C58" i="48"/>
  <c r="D58" i="48"/>
  <c r="E58" i="48"/>
  <c r="F58" i="48"/>
  <c r="G58" i="48"/>
  <c r="H58" i="48"/>
  <c r="I58" i="48"/>
  <c r="J58" i="48"/>
  <c r="K58" i="48"/>
  <c r="L58" i="48"/>
  <c r="M58" i="48"/>
  <c r="C59" i="48"/>
  <c r="D59" i="48"/>
  <c r="E59" i="48"/>
  <c r="F59" i="48"/>
  <c r="G59" i="48"/>
  <c r="H59" i="48"/>
  <c r="I59" i="48"/>
  <c r="J59" i="48"/>
  <c r="K59" i="48"/>
  <c r="L59" i="48"/>
  <c r="M59" i="48"/>
  <c r="C60" i="48"/>
  <c r="Q60" i="48" s="1"/>
  <c r="D60" i="48"/>
  <c r="E60" i="48"/>
  <c r="F60" i="48"/>
  <c r="G60" i="48"/>
  <c r="U60" i="48" s="1"/>
  <c r="H60" i="48"/>
  <c r="I60" i="48"/>
  <c r="J60" i="48"/>
  <c r="K60" i="48"/>
  <c r="Y60" i="48" s="1"/>
  <c r="L60" i="48"/>
  <c r="M60" i="48"/>
  <c r="C61" i="48"/>
  <c r="D61" i="48"/>
  <c r="R61" i="48" s="1"/>
  <c r="E61" i="48"/>
  <c r="F61" i="48"/>
  <c r="G61" i="48"/>
  <c r="H61" i="48"/>
  <c r="V61" i="48" s="1"/>
  <c r="I61" i="48"/>
  <c r="J61" i="48"/>
  <c r="K61" i="48"/>
  <c r="L61" i="48"/>
  <c r="Z61" i="48" s="1"/>
  <c r="M61" i="48"/>
  <c r="C62" i="48"/>
  <c r="D62" i="48"/>
  <c r="E62" i="48"/>
  <c r="S62" i="48" s="1"/>
  <c r="F62" i="48"/>
  <c r="G62" i="48"/>
  <c r="H62" i="48"/>
  <c r="I62" i="48"/>
  <c r="W62" i="48" s="1"/>
  <c r="J62" i="48"/>
  <c r="K62" i="48"/>
  <c r="L62" i="48"/>
  <c r="M62" i="48"/>
  <c r="AA62" i="48" s="1"/>
  <c r="C63" i="48"/>
  <c r="D63" i="48"/>
  <c r="E63" i="48"/>
  <c r="F63" i="48"/>
  <c r="G63" i="48"/>
  <c r="H63" i="48"/>
  <c r="I63" i="48"/>
  <c r="J63" i="48"/>
  <c r="K63" i="48"/>
  <c r="L63" i="48"/>
  <c r="M63" i="48"/>
  <c r="C64" i="48"/>
  <c r="Q64" i="48" s="1"/>
  <c r="D64" i="48"/>
  <c r="E64" i="48"/>
  <c r="F64" i="48"/>
  <c r="G64" i="48"/>
  <c r="H64" i="48"/>
  <c r="I64" i="48"/>
  <c r="J64" i="48"/>
  <c r="K64" i="48"/>
  <c r="Y64" i="48" s="1"/>
  <c r="L64" i="48"/>
  <c r="M64" i="48"/>
  <c r="C65" i="48"/>
  <c r="D65" i="48"/>
  <c r="E65" i="48"/>
  <c r="F65" i="48"/>
  <c r="G65" i="48"/>
  <c r="H65" i="48"/>
  <c r="I65" i="48"/>
  <c r="J65" i="48"/>
  <c r="K65" i="48"/>
  <c r="L65" i="48"/>
  <c r="Z65" i="48" s="1"/>
  <c r="M65" i="48"/>
  <c r="C66" i="48"/>
  <c r="D66" i="48"/>
  <c r="E66" i="48"/>
  <c r="F66" i="48"/>
  <c r="G66" i="48"/>
  <c r="H66" i="48"/>
  <c r="I66" i="48"/>
  <c r="J66" i="48"/>
  <c r="K66" i="48"/>
  <c r="L66" i="48"/>
  <c r="M66" i="48"/>
  <c r="C67" i="48"/>
  <c r="D67" i="48"/>
  <c r="E67" i="48"/>
  <c r="F67" i="48"/>
  <c r="T67" i="48" s="1"/>
  <c r="G67" i="48"/>
  <c r="H67" i="48"/>
  <c r="I67" i="48"/>
  <c r="J67" i="48"/>
  <c r="X67" i="48" s="1"/>
  <c r="K67" i="48"/>
  <c r="L67" i="48"/>
  <c r="M67" i="48"/>
  <c r="C68" i="48"/>
  <c r="D68" i="48"/>
  <c r="E68" i="48"/>
  <c r="F68" i="48"/>
  <c r="G68" i="48"/>
  <c r="H68" i="48"/>
  <c r="I68" i="48"/>
  <c r="J68" i="48"/>
  <c r="K68" i="48"/>
  <c r="Y68" i="48" s="1"/>
  <c r="L68" i="48"/>
  <c r="Z68" i="48" s="1"/>
  <c r="M68" i="48"/>
  <c r="C69" i="48"/>
  <c r="D69" i="48"/>
  <c r="R69" i="48" s="1"/>
  <c r="E69" i="48"/>
  <c r="F69" i="48"/>
  <c r="G69" i="48"/>
  <c r="H69" i="48"/>
  <c r="V69" i="48" s="1"/>
  <c r="I69" i="48"/>
  <c r="J69" i="48"/>
  <c r="K69" i="48"/>
  <c r="L69" i="48"/>
  <c r="Z69" i="48" s="1"/>
  <c r="M69" i="48"/>
  <c r="C70" i="48"/>
  <c r="D70" i="48"/>
  <c r="E70" i="48"/>
  <c r="S70" i="48" s="1"/>
  <c r="F70" i="48"/>
  <c r="G70" i="48"/>
  <c r="H70" i="48"/>
  <c r="I70" i="48"/>
  <c r="W70" i="48" s="1"/>
  <c r="J70" i="48"/>
  <c r="K70" i="48"/>
  <c r="Y70" i="48" s="1"/>
  <c r="L70" i="48"/>
  <c r="M70" i="48"/>
  <c r="AA70" i="48" s="1"/>
  <c r="C71" i="48"/>
  <c r="Q71" i="48" s="1"/>
  <c r="D71" i="48"/>
  <c r="E71" i="48"/>
  <c r="S71" i="48" s="1"/>
  <c r="F71" i="48"/>
  <c r="T71" i="48" s="1"/>
  <c r="G71" i="48"/>
  <c r="U71" i="48" s="1"/>
  <c r="H71" i="48"/>
  <c r="I71" i="48"/>
  <c r="J71" i="48"/>
  <c r="X71" i="48" s="1"/>
  <c r="K71" i="48"/>
  <c r="Y71" i="48" s="1"/>
  <c r="L71" i="48"/>
  <c r="Z71" i="48" s="1"/>
  <c r="M71" i="48"/>
  <c r="C72" i="48"/>
  <c r="D72" i="48"/>
  <c r="R72" i="48" s="1"/>
  <c r="E72" i="48"/>
  <c r="F72" i="48"/>
  <c r="T72" i="48" s="1"/>
  <c r="G72" i="48"/>
  <c r="U72" i="48" s="1"/>
  <c r="H72" i="48"/>
  <c r="V72" i="48" s="1"/>
  <c r="I72" i="48"/>
  <c r="J72" i="48"/>
  <c r="X72" i="48" s="1"/>
  <c r="K72" i="48"/>
  <c r="Y72" i="48" s="1"/>
  <c r="L72" i="48"/>
  <c r="M72" i="48"/>
  <c r="C73" i="48"/>
  <c r="Q73" i="48" s="1"/>
  <c r="D73" i="48"/>
  <c r="R73" i="48" s="1"/>
  <c r="E73" i="48"/>
  <c r="F73" i="48"/>
  <c r="G73" i="48"/>
  <c r="U73" i="48" s="1"/>
  <c r="H73" i="48"/>
  <c r="V73" i="48" s="1"/>
  <c r="I73" i="48"/>
  <c r="J73" i="48"/>
  <c r="K73" i="48"/>
  <c r="L73" i="48"/>
  <c r="Z73" i="48" s="1"/>
  <c r="M73" i="48"/>
  <c r="AA73" i="48" s="1"/>
  <c r="C74" i="48"/>
  <c r="D74" i="48"/>
  <c r="E74" i="48"/>
  <c r="S74" i="48" s="1"/>
  <c r="F74" i="48"/>
  <c r="T74" i="48" s="1"/>
  <c r="G74" i="48"/>
  <c r="U74" i="48" s="1"/>
  <c r="H74" i="48"/>
  <c r="I74" i="48"/>
  <c r="J74" i="48"/>
  <c r="X74" i="48" s="1"/>
  <c r="K74" i="48"/>
  <c r="L74" i="48"/>
  <c r="Z74" i="48" s="1"/>
  <c r="M74" i="48"/>
  <c r="AA74" i="48" s="1"/>
  <c r="C75" i="48"/>
  <c r="D75" i="48"/>
  <c r="E75" i="48"/>
  <c r="S75" i="48" s="1"/>
  <c r="F75" i="48"/>
  <c r="T75" i="48" s="1"/>
  <c r="G75" i="48"/>
  <c r="U75" i="48" s="1"/>
  <c r="H75" i="48"/>
  <c r="I75" i="48"/>
  <c r="W75" i="48" s="1"/>
  <c r="J75" i="48"/>
  <c r="K75" i="48"/>
  <c r="L75" i="48"/>
  <c r="M75" i="48"/>
  <c r="AA75" i="48" s="1"/>
  <c r="C76" i="48"/>
  <c r="D76" i="48"/>
  <c r="E76" i="48"/>
  <c r="S76" i="48" s="1"/>
  <c r="F76" i="48"/>
  <c r="T76" i="48" s="1"/>
  <c r="G76" i="48"/>
  <c r="U76" i="48" s="1"/>
  <c r="H76" i="48"/>
  <c r="V76" i="48" s="1"/>
  <c r="I76" i="48"/>
  <c r="J76" i="48"/>
  <c r="X76" i="48" s="1"/>
  <c r="K76" i="48"/>
  <c r="Y76" i="48" s="1"/>
  <c r="L76" i="48"/>
  <c r="Z76" i="48" s="1"/>
  <c r="M76" i="48"/>
  <c r="C77" i="48"/>
  <c r="D77" i="48"/>
  <c r="R77" i="48" s="1"/>
  <c r="E77" i="48"/>
  <c r="S77" i="48" s="1"/>
  <c r="F77" i="48"/>
  <c r="T77" i="48" s="1"/>
  <c r="G77" i="48"/>
  <c r="H77" i="48"/>
  <c r="V77" i="48" s="1"/>
  <c r="I77" i="48"/>
  <c r="W77" i="48" s="1"/>
  <c r="J77" i="48"/>
  <c r="K77" i="48"/>
  <c r="Y77" i="48" s="1"/>
  <c r="L77" i="48"/>
  <c r="Z77" i="48" s="1"/>
  <c r="M77" i="48"/>
  <c r="C78" i="48"/>
  <c r="D78" i="48"/>
  <c r="R78" i="48" s="1"/>
  <c r="E78" i="48"/>
  <c r="F78" i="48"/>
  <c r="G78" i="48"/>
  <c r="H78" i="48"/>
  <c r="V78" i="48" s="1"/>
  <c r="I78" i="48"/>
  <c r="W78" i="48" s="1"/>
  <c r="J78" i="48"/>
  <c r="X78" i="48" s="1"/>
  <c r="K78" i="48"/>
  <c r="L78" i="48"/>
  <c r="Z78" i="48" s="1"/>
  <c r="M78" i="48"/>
  <c r="AA78" i="48" s="1"/>
  <c r="C79" i="48"/>
  <c r="Q79" i="48" s="1"/>
  <c r="D79" i="48"/>
  <c r="E79" i="48"/>
  <c r="F79" i="48"/>
  <c r="T79" i="48" s="1"/>
  <c r="G79" i="48"/>
  <c r="H79" i="48"/>
  <c r="I79" i="48"/>
  <c r="W79" i="48" s="1"/>
  <c r="J79" i="48"/>
  <c r="X79" i="48" s="1"/>
  <c r="K79" i="48"/>
  <c r="L79" i="48"/>
  <c r="Z79" i="48" s="1"/>
  <c r="M79" i="48"/>
  <c r="C80" i="48"/>
  <c r="Q80" i="48" s="1"/>
  <c r="D80" i="48"/>
  <c r="E80" i="48"/>
  <c r="F80" i="48"/>
  <c r="G80" i="48"/>
  <c r="U80" i="48" s="1"/>
  <c r="H80" i="48"/>
  <c r="I80" i="48"/>
  <c r="W80" i="48" s="1"/>
  <c r="J80" i="48"/>
  <c r="K80" i="48"/>
  <c r="Y80" i="48" s="1"/>
  <c r="L80" i="48"/>
  <c r="M80" i="48"/>
  <c r="C81" i="48"/>
  <c r="Q81" i="48" s="1"/>
  <c r="D81" i="48"/>
  <c r="R81" i="48" s="1"/>
  <c r="E81" i="48"/>
  <c r="S81" i="48" s="1"/>
  <c r="F81" i="48"/>
  <c r="T81" i="48" s="1"/>
  <c r="G81" i="48"/>
  <c r="H81" i="48"/>
  <c r="I81" i="48"/>
  <c r="J81" i="48"/>
  <c r="K81" i="48"/>
  <c r="Y81" i="48" s="1"/>
  <c r="L81" i="48"/>
  <c r="Z81" i="48" s="1"/>
  <c r="M81" i="48"/>
  <c r="AA81" i="48" s="1"/>
  <c r="C82" i="48"/>
  <c r="D82" i="48"/>
  <c r="R82" i="48" s="1"/>
  <c r="E82" i="48"/>
  <c r="S82" i="48" s="1"/>
  <c r="F82" i="48"/>
  <c r="G82" i="48"/>
  <c r="U82" i="48" s="1"/>
  <c r="H82" i="48"/>
  <c r="I82" i="48"/>
  <c r="W82" i="48" s="1"/>
  <c r="J82" i="48"/>
  <c r="K82" i="48"/>
  <c r="Y82" i="48" s="1"/>
  <c r="L82" i="48"/>
  <c r="M82" i="48"/>
  <c r="AA82" i="48" s="1"/>
  <c r="C83" i="48"/>
  <c r="D83" i="48"/>
  <c r="E83" i="48"/>
  <c r="S83" i="48" s="1"/>
  <c r="F83" i="48"/>
  <c r="T83" i="48" s="1"/>
  <c r="G83" i="48"/>
  <c r="U83" i="48" s="1"/>
  <c r="H83" i="48"/>
  <c r="V83" i="48" s="1"/>
  <c r="I83" i="48"/>
  <c r="W83" i="48" s="1"/>
  <c r="J83" i="48"/>
  <c r="X83" i="48" s="1"/>
  <c r="K83" i="48"/>
  <c r="L83" i="48"/>
  <c r="M83" i="48"/>
  <c r="C84" i="48"/>
  <c r="Q84" i="48" s="1"/>
  <c r="D84" i="48"/>
  <c r="E84" i="48"/>
  <c r="S84" i="48" s="1"/>
  <c r="F84" i="48"/>
  <c r="T84" i="48" s="1"/>
  <c r="G84" i="48"/>
  <c r="U84" i="48" s="1"/>
  <c r="H84" i="48"/>
  <c r="V84" i="48" s="1"/>
  <c r="I84" i="48"/>
  <c r="J84" i="48"/>
  <c r="X84" i="48" s="1"/>
  <c r="K84" i="48"/>
  <c r="Y84" i="48" s="1"/>
  <c r="L84" i="48"/>
  <c r="Z84" i="48" s="1"/>
  <c r="M84" i="48"/>
  <c r="AA84" i="48" s="1"/>
  <c r="C85" i="48"/>
  <c r="Q85" i="48" s="1"/>
  <c r="D85" i="48"/>
  <c r="R85" i="48" s="1"/>
  <c r="E85" i="48"/>
  <c r="F85" i="48"/>
  <c r="G85" i="48"/>
  <c r="U85" i="48" s="1"/>
  <c r="H85" i="48"/>
  <c r="V85" i="48" s="1"/>
  <c r="I85" i="48"/>
  <c r="J85" i="48"/>
  <c r="K85" i="48"/>
  <c r="Y85" i="48" s="1"/>
  <c r="L85" i="48"/>
  <c r="Z85" i="48" s="1"/>
  <c r="M85" i="48"/>
  <c r="AA85" i="48" s="1"/>
  <c r="C86" i="48"/>
  <c r="D86" i="48"/>
  <c r="R86" i="48" s="1"/>
  <c r="E86" i="48"/>
  <c r="S86" i="48" s="1"/>
  <c r="F86" i="48"/>
  <c r="G86" i="48"/>
  <c r="H86" i="48"/>
  <c r="I86" i="48"/>
  <c r="W86" i="48" s="1"/>
  <c r="J86" i="48"/>
  <c r="K86" i="48"/>
  <c r="L86" i="48"/>
  <c r="Z86" i="48" s="1"/>
  <c r="M86" i="48"/>
  <c r="AA86" i="48" s="1"/>
  <c r="C87" i="48"/>
  <c r="D87" i="48"/>
  <c r="E87" i="48"/>
  <c r="S87" i="48" s="1"/>
  <c r="F87" i="48"/>
  <c r="T87" i="48" s="1"/>
  <c r="G87" i="48"/>
  <c r="U87" i="48" s="1"/>
  <c r="H87" i="48"/>
  <c r="I87" i="48"/>
  <c r="W87" i="48" s="1"/>
  <c r="J87" i="48"/>
  <c r="X87" i="48" s="1"/>
  <c r="K87" i="48"/>
  <c r="Y87" i="48" s="1"/>
  <c r="L87" i="48"/>
  <c r="M87" i="48"/>
  <c r="AA87" i="48" s="1"/>
  <c r="C88" i="48"/>
  <c r="Q88" i="48" s="1"/>
  <c r="D88" i="48"/>
  <c r="R88" i="48" s="1"/>
  <c r="E88" i="48"/>
  <c r="F88" i="48"/>
  <c r="T88" i="48" s="1"/>
  <c r="G88" i="48"/>
  <c r="U88" i="48" s="1"/>
  <c r="H88" i="48"/>
  <c r="I88" i="48"/>
  <c r="J88" i="48"/>
  <c r="X88" i="48" s="1"/>
  <c r="K88" i="48"/>
  <c r="Y88" i="48" s="1"/>
  <c r="L88" i="48"/>
  <c r="M88" i="48"/>
  <c r="C89" i="48"/>
  <c r="Q89" i="48" s="1"/>
  <c r="D89" i="48"/>
  <c r="R89" i="48" s="1"/>
  <c r="E89" i="48"/>
  <c r="S89" i="48" s="1"/>
  <c r="F89" i="48"/>
  <c r="G89" i="48"/>
  <c r="H89" i="48"/>
  <c r="V89" i="48" s="1"/>
  <c r="I89" i="48"/>
  <c r="J89" i="48"/>
  <c r="K89" i="48"/>
  <c r="Y89" i="48" s="1"/>
  <c r="L89" i="48"/>
  <c r="M89" i="48"/>
  <c r="AA89" i="48" s="1"/>
  <c r="C90" i="48"/>
  <c r="D90" i="48"/>
  <c r="R90" i="48" s="1"/>
  <c r="E90" i="48"/>
  <c r="S90" i="48" s="1"/>
  <c r="F90" i="48"/>
  <c r="G90" i="48"/>
  <c r="H90" i="48"/>
  <c r="I90" i="48"/>
  <c r="W90" i="48" s="1"/>
  <c r="J90" i="48"/>
  <c r="K90" i="48"/>
  <c r="L90" i="48"/>
  <c r="M90" i="48"/>
  <c r="AA90" i="48" s="1"/>
  <c r="C91" i="48"/>
  <c r="D91" i="48"/>
  <c r="R91" i="48" s="1"/>
  <c r="E91" i="48"/>
  <c r="S91" i="48" s="1"/>
  <c r="F91" i="48"/>
  <c r="T91" i="48" s="1"/>
  <c r="G91" i="48"/>
  <c r="U91" i="48" s="1"/>
  <c r="H91" i="48"/>
  <c r="V91" i="48" s="1"/>
  <c r="I91" i="48"/>
  <c r="W91" i="48" s="1"/>
  <c r="J91" i="48"/>
  <c r="X91" i="48" s="1"/>
  <c r="K91" i="48"/>
  <c r="L91" i="48"/>
  <c r="M91" i="48"/>
  <c r="C92" i="48"/>
  <c r="Q92" i="48" s="1"/>
  <c r="D92" i="48"/>
  <c r="R92" i="48" s="1"/>
  <c r="E92" i="48"/>
  <c r="S92" i="48" s="1"/>
  <c r="F92" i="48"/>
  <c r="G92" i="48"/>
  <c r="U92" i="48" s="1"/>
  <c r="H92" i="48"/>
  <c r="I92" i="48"/>
  <c r="W92" i="48" s="1"/>
  <c r="J92" i="48"/>
  <c r="X92" i="48" s="1"/>
  <c r="K92" i="48"/>
  <c r="Y92" i="48" s="1"/>
  <c r="L92" i="48"/>
  <c r="M92" i="48"/>
  <c r="AA92" i="48" s="1"/>
  <c r="C93" i="48"/>
  <c r="Q93" i="48" s="1"/>
  <c r="D93" i="48"/>
  <c r="R93" i="48" s="1"/>
  <c r="E93" i="48"/>
  <c r="S93" i="48" s="1"/>
  <c r="F93" i="48"/>
  <c r="T93" i="48" s="1"/>
  <c r="G93" i="48"/>
  <c r="U93" i="48" s="1"/>
  <c r="H93" i="48"/>
  <c r="V93" i="48" s="1"/>
  <c r="I93" i="48"/>
  <c r="W93" i="48" s="1"/>
  <c r="J93" i="48"/>
  <c r="K93" i="48"/>
  <c r="Y93" i="48" s="1"/>
  <c r="L93" i="48"/>
  <c r="Z93" i="48" s="1"/>
  <c r="M93" i="48"/>
  <c r="AA93" i="48" s="1"/>
  <c r="C94" i="48"/>
  <c r="Q94" i="48" s="1"/>
  <c r="D94" i="48"/>
  <c r="R94" i="48" s="1"/>
  <c r="E94" i="48"/>
  <c r="S94" i="48" s="1"/>
  <c r="F94" i="48"/>
  <c r="T94" i="48" s="1"/>
  <c r="G94" i="48"/>
  <c r="U94" i="48" s="1"/>
  <c r="H94" i="48"/>
  <c r="I94" i="48"/>
  <c r="W94" i="48" s="1"/>
  <c r="J94" i="48"/>
  <c r="K94" i="48"/>
  <c r="Y94" i="48" s="1"/>
  <c r="L94" i="48"/>
  <c r="Z94" i="48" s="1"/>
  <c r="M94" i="48"/>
  <c r="AA94" i="48" s="1"/>
  <c r="C95" i="48"/>
  <c r="Q95" i="48" s="1"/>
  <c r="D95" i="48"/>
  <c r="R95" i="48" s="1"/>
  <c r="E95" i="48"/>
  <c r="F95" i="48"/>
  <c r="T95" i="48" s="1"/>
  <c r="G95" i="48"/>
  <c r="U95" i="48" s="1"/>
  <c r="H95" i="48"/>
  <c r="I95" i="48"/>
  <c r="W95" i="48" s="1"/>
  <c r="J95" i="48"/>
  <c r="K95" i="48"/>
  <c r="Y95" i="48" s="1"/>
  <c r="L95" i="48"/>
  <c r="M95" i="48"/>
  <c r="AA95" i="48" s="1"/>
  <c r="C96" i="48"/>
  <c r="Q96" i="48" s="1"/>
  <c r="D96" i="48"/>
  <c r="R96" i="48" s="1"/>
  <c r="E96" i="48"/>
  <c r="F96" i="48"/>
  <c r="T96" i="48" s="1"/>
  <c r="G96" i="48"/>
  <c r="U96" i="48" s="1"/>
  <c r="H96" i="48"/>
  <c r="V96" i="48" s="1"/>
  <c r="I96" i="48"/>
  <c r="W96" i="48" s="1"/>
  <c r="J96" i="48"/>
  <c r="X96" i="48" s="1"/>
  <c r="K96" i="48"/>
  <c r="L96" i="48"/>
  <c r="Z96" i="48" s="1"/>
  <c r="M96" i="48"/>
  <c r="C97" i="48"/>
  <c r="Q97" i="48" s="1"/>
  <c r="D97" i="48"/>
  <c r="R97" i="48" s="1"/>
  <c r="E97" i="48"/>
  <c r="F97" i="48"/>
  <c r="T97" i="48" s="1"/>
  <c r="G97" i="48"/>
  <c r="U97" i="48" s="1"/>
  <c r="H97" i="48"/>
  <c r="V97" i="48" s="1"/>
  <c r="I97" i="48"/>
  <c r="J97" i="48"/>
  <c r="X97" i="48" s="1"/>
  <c r="K97" i="48"/>
  <c r="L97" i="48"/>
  <c r="Z97" i="48" s="1"/>
  <c r="M97" i="48"/>
  <c r="C98" i="48"/>
  <c r="D98" i="48"/>
  <c r="R98" i="48" s="1"/>
  <c r="E98" i="48"/>
  <c r="S98" i="48" s="1"/>
  <c r="F98" i="48"/>
  <c r="T98" i="48" s="1"/>
  <c r="G98" i="48"/>
  <c r="U98" i="48" s="1"/>
  <c r="H98" i="48"/>
  <c r="V98" i="48" s="1"/>
  <c r="I98" i="48"/>
  <c r="W98" i="48" s="1"/>
  <c r="J98" i="48"/>
  <c r="X98" i="48" s="1"/>
  <c r="K98" i="48"/>
  <c r="L98" i="48"/>
  <c r="Z98" i="48" s="1"/>
  <c r="M98" i="48"/>
  <c r="AA98" i="48" s="1"/>
  <c r="C99" i="48"/>
  <c r="Q99" i="48" s="1"/>
  <c r="D99" i="48"/>
  <c r="E99" i="48"/>
  <c r="F99" i="48"/>
  <c r="T99" i="48" s="1"/>
  <c r="G99" i="48"/>
  <c r="U99" i="48" s="1"/>
  <c r="H99" i="48"/>
  <c r="V99" i="48" s="1"/>
  <c r="I99" i="48"/>
  <c r="J99" i="48"/>
  <c r="X99" i="48" s="1"/>
  <c r="K99" i="48"/>
  <c r="Y99" i="48" s="1"/>
  <c r="L99" i="48"/>
  <c r="M99" i="48"/>
  <c r="AA99" i="48" s="1"/>
  <c r="B10" i="48"/>
  <c r="B11" i="48"/>
  <c r="B12" i="48"/>
  <c r="B13" i="48"/>
  <c r="P13" i="48" s="1"/>
  <c r="B14" i="48"/>
  <c r="P14" i="48" s="1"/>
  <c r="B15" i="48"/>
  <c r="B16" i="48"/>
  <c r="B17" i="48"/>
  <c r="P17" i="48" s="1"/>
  <c r="B18" i="48"/>
  <c r="P18" i="48" s="1"/>
  <c r="B19" i="48"/>
  <c r="B20" i="48"/>
  <c r="B21" i="48"/>
  <c r="P21" i="48" s="1"/>
  <c r="B22" i="48"/>
  <c r="P22" i="48" s="1"/>
  <c r="B23" i="48"/>
  <c r="B24" i="48"/>
  <c r="B25" i="48"/>
  <c r="P25" i="48" s="1"/>
  <c r="B26" i="48"/>
  <c r="P26" i="48" s="1"/>
  <c r="B27" i="48"/>
  <c r="B28" i="48"/>
  <c r="B29" i="48"/>
  <c r="P29" i="48" s="1"/>
  <c r="B30" i="48"/>
  <c r="P30" i="48" s="1"/>
  <c r="B31" i="48"/>
  <c r="B32" i="48"/>
  <c r="B33" i="48"/>
  <c r="B34" i="48"/>
  <c r="P34" i="48" s="1"/>
  <c r="B35" i="48"/>
  <c r="B36" i="48"/>
  <c r="P36" i="48" s="1"/>
  <c r="B37" i="48"/>
  <c r="P37" i="48" s="1"/>
  <c r="B38" i="48"/>
  <c r="P38" i="48" s="1"/>
  <c r="B39" i="48"/>
  <c r="B40" i="48"/>
  <c r="B41" i="48"/>
  <c r="P41" i="48" s="1"/>
  <c r="B42" i="48"/>
  <c r="P42" i="48" s="1"/>
  <c r="B43" i="48"/>
  <c r="B44" i="48"/>
  <c r="B45" i="48"/>
  <c r="P45" i="48" s="1"/>
  <c r="B46" i="48"/>
  <c r="P46" i="48" s="1"/>
  <c r="B47" i="48"/>
  <c r="B48" i="48"/>
  <c r="P48" i="48" s="1"/>
  <c r="B49" i="48"/>
  <c r="P49" i="48" s="1"/>
  <c r="B50" i="48"/>
  <c r="P50" i="48" s="1"/>
  <c r="B51" i="48"/>
  <c r="B52" i="48"/>
  <c r="B53" i="48"/>
  <c r="B54" i="48"/>
  <c r="P54" i="48" s="1"/>
  <c r="B55" i="48"/>
  <c r="B56" i="48"/>
  <c r="P56" i="48" s="1"/>
  <c r="B57" i="48"/>
  <c r="P57" i="48" s="1"/>
  <c r="B58" i="48"/>
  <c r="P58" i="48" s="1"/>
  <c r="B59" i="48"/>
  <c r="B60" i="48"/>
  <c r="B61" i="48"/>
  <c r="P61" i="48" s="1"/>
  <c r="B62" i="48"/>
  <c r="P62" i="48" s="1"/>
  <c r="B63" i="48"/>
  <c r="B64" i="48"/>
  <c r="B65" i="48"/>
  <c r="P65" i="48" s="1"/>
  <c r="B66" i="48"/>
  <c r="P66" i="48" s="1"/>
  <c r="B67" i="48"/>
  <c r="B68" i="48"/>
  <c r="P68" i="48" s="1"/>
  <c r="B69" i="48"/>
  <c r="P69" i="48" s="1"/>
  <c r="B70" i="48"/>
  <c r="P70" i="48" s="1"/>
  <c r="B71" i="48"/>
  <c r="B72" i="48"/>
  <c r="P72" i="48" s="1"/>
  <c r="B73" i="48"/>
  <c r="P73" i="48" s="1"/>
  <c r="B74" i="48"/>
  <c r="P74" i="48" s="1"/>
  <c r="B75" i="48"/>
  <c r="B76" i="48"/>
  <c r="B77" i="48"/>
  <c r="P77" i="48" s="1"/>
  <c r="B78" i="48"/>
  <c r="P78" i="48" s="1"/>
  <c r="B79" i="48"/>
  <c r="B80" i="48"/>
  <c r="B81" i="48"/>
  <c r="B82" i="48"/>
  <c r="P82" i="48" s="1"/>
  <c r="B83" i="48"/>
  <c r="B84" i="48"/>
  <c r="P84" i="48" s="1"/>
  <c r="B85" i="48"/>
  <c r="B86" i="48"/>
  <c r="P86" i="48" s="1"/>
  <c r="B87" i="48"/>
  <c r="B88" i="48"/>
  <c r="B89" i="48"/>
  <c r="P89" i="48" s="1"/>
  <c r="B90" i="48"/>
  <c r="P90" i="48" s="1"/>
  <c r="B91" i="48"/>
  <c r="B92" i="48"/>
  <c r="B93" i="48"/>
  <c r="P93" i="48" s="1"/>
  <c r="B94" i="48"/>
  <c r="P94" i="48" s="1"/>
  <c r="B95" i="48"/>
  <c r="B96" i="48"/>
  <c r="P96" i="48" s="1"/>
  <c r="B97" i="48"/>
  <c r="P97" i="48" s="1"/>
  <c r="B98" i="48"/>
  <c r="P98" i="48" s="1"/>
  <c r="B99" i="48"/>
  <c r="B9" i="48"/>
  <c r="D116" i="48"/>
  <c r="D115" i="48"/>
  <c r="D114" i="48"/>
  <c r="D113" i="48"/>
  <c r="D112" i="48"/>
  <c r="D117" i="48" s="1"/>
  <c r="D109" i="48"/>
  <c r="C109" i="48"/>
  <c r="B109" i="48"/>
  <c r="D107" i="48"/>
  <c r="N100" i="48"/>
  <c r="Z99" i="48"/>
  <c r="W99" i="48"/>
  <c r="S99" i="48"/>
  <c r="R99" i="48"/>
  <c r="P99" i="48"/>
  <c r="Y98" i="48"/>
  <c r="Q98" i="48"/>
  <c r="AA97" i="48"/>
  <c r="Y97" i="48"/>
  <c r="W97" i="48"/>
  <c r="S97" i="48"/>
  <c r="AA96" i="48"/>
  <c r="Y96" i="48"/>
  <c r="S96" i="48"/>
  <c r="Z95" i="48"/>
  <c r="X95" i="48"/>
  <c r="V95" i="48"/>
  <c r="S95" i="48"/>
  <c r="P95" i="48"/>
  <c r="X94" i="48"/>
  <c r="V94" i="48"/>
  <c r="X93" i="48"/>
  <c r="T92" i="48"/>
  <c r="Z92" i="48"/>
  <c r="V92" i="48"/>
  <c r="P92" i="48"/>
  <c r="AA91" i="48"/>
  <c r="Z91" i="48"/>
  <c r="Y91" i="48"/>
  <c r="Q91" i="48"/>
  <c r="P91" i="48"/>
  <c r="T90" i="48"/>
  <c r="Z90" i="48"/>
  <c r="Y90" i="48"/>
  <c r="X90" i="48"/>
  <c r="V90" i="48"/>
  <c r="U90" i="48"/>
  <c r="Q90" i="48"/>
  <c r="X89" i="48"/>
  <c r="Z89" i="48"/>
  <c r="W89" i="48"/>
  <c r="U89" i="48"/>
  <c r="T89" i="48"/>
  <c r="AA88" i="48"/>
  <c r="Z88" i="48"/>
  <c r="W88" i="48"/>
  <c r="V88" i="48"/>
  <c r="S88" i="48"/>
  <c r="P88" i="48"/>
  <c r="Z87" i="48"/>
  <c r="V87" i="48"/>
  <c r="R87" i="48"/>
  <c r="Q87" i="48"/>
  <c r="P87" i="48"/>
  <c r="T86" i="48"/>
  <c r="Y86" i="48"/>
  <c r="X86" i="48"/>
  <c r="V86" i="48"/>
  <c r="U86" i="48"/>
  <c r="Q86" i="48"/>
  <c r="S85" i="48"/>
  <c r="X85" i="48"/>
  <c r="W85" i="48"/>
  <c r="T85" i="48"/>
  <c r="P85" i="48"/>
  <c r="W84" i="48"/>
  <c r="R84" i="48"/>
  <c r="AA83" i="48"/>
  <c r="Z83" i="48"/>
  <c r="Y83" i="48"/>
  <c r="R83" i="48"/>
  <c r="Q83" i="48"/>
  <c r="P83" i="48"/>
  <c r="T82" i="48"/>
  <c r="Z82" i="48"/>
  <c r="X82" i="48"/>
  <c r="V82" i="48"/>
  <c r="Q82" i="48"/>
  <c r="X81" i="48"/>
  <c r="W81" i="48"/>
  <c r="V81" i="48"/>
  <c r="U81" i="48"/>
  <c r="P81" i="48"/>
  <c r="X80" i="48"/>
  <c r="AA80" i="48"/>
  <c r="Z80" i="48"/>
  <c r="V80" i="48"/>
  <c r="T80" i="48"/>
  <c r="S80" i="48"/>
  <c r="R80" i="48"/>
  <c r="P80" i="48"/>
  <c r="AA79" i="48"/>
  <c r="Y79" i="48"/>
  <c r="U79" i="48"/>
  <c r="S79" i="48"/>
  <c r="V79" i="48"/>
  <c r="R79" i="48"/>
  <c r="P79" i="48"/>
  <c r="Y78" i="48"/>
  <c r="T78" i="48"/>
  <c r="U78" i="48"/>
  <c r="S78" i="48"/>
  <c r="Q78" i="48"/>
  <c r="AA77" i="48"/>
  <c r="U77" i="48"/>
  <c r="X77" i="48"/>
  <c r="Q77" i="48"/>
  <c r="W76" i="48"/>
  <c r="AA76" i="48"/>
  <c r="R76" i="48"/>
  <c r="Q76" i="48"/>
  <c r="P76" i="48"/>
  <c r="Z75" i="48"/>
  <c r="Y75" i="48"/>
  <c r="X75" i="48"/>
  <c r="V75" i="48"/>
  <c r="R75" i="48"/>
  <c r="Q75" i="48"/>
  <c r="P75" i="48"/>
  <c r="Y74" i="48"/>
  <c r="Q74" i="48"/>
  <c r="W74" i="48"/>
  <c r="V74" i="48"/>
  <c r="R74" i="48"/>
  <c r="Y73" i="48"/>
  <c r="X73" i="48"/>
  <c r="W73" i="48"/>
  <c r="T73" i="48"/>
  <c r="S73" i="48"/>
  <c r="AA72" i="48"/>
  <c r="Z72" i="48"/>
  <c r="W72" i="48"/>
  <c r="S72" i="48"/>
  <c r="Q72" i="48"/>
  <c r="AA71" i="48"/>
  <c r="W71" i="48"/>
  <c r="V71" i="48"/>
  <c r="R71" i="48"/>
  <c r="P71" i="48"/>
  <c r="Q70" i="48"/>
  <c r="Z70" i="48"/>
  <c r="X70" i="48"/>
  <c r="V70" i="48"/>
  <c r="U70" i="48"/>
  <c r="T70" i="48"/>
  <c r="R70" i="48"/>
  <c r="Y69" i="48"/>
  <c r="Q69" i="48"/>
  <c r="AA69" i="48"/>
  <c r="X69" i="48"/>
  <c r="W69" i="48"/>
  <c r="U69" i="48"/>
  <c r="T69" i="48"/>
  <c r="S69" i="48"/>
  <c r="AA68" i="48"/>
  <c r="X68" i="48"/>
  <c r="W68" i="48"/>
  <c r="V68" i="48"/>
  <c r="U68" i="48"/>
  <c r="T68" i="48"/>
  <c r="S68" i="48"/>
  <c r="R68" i="48"/>
  <c r="Q68" i="48"/>
  <c r="U67" i="48"/>
  <c r="AA67" i="48"/>
  <c r="Z67" i="48"/>
  <c r="Y67" i="48"/>
  <c r="W67" i="48"/>
  <c r="V67" i="48"/>
  <c r="S67" i="48"/>
  <c r="R67" i="48"/>
  <c r="Q67" i="48"/>
  <c r="P67" i="48"/>
  <c r="Q66" i="48"/>
  <c r="AA66" i="48"/>
  <c r="Z66" i="48"/>
  <c r="Y66" i="48"/>
  <c r="X66" i="48"/>
  <c r="W66" i="48"/>
  <c r="V66" i="48"/>
  <c r="U66" i="48"/>
  <c r="T66" i="48"/>
  <c r="S66" i="48"/>
  <c r="R66" i="48"/>
  <c r="Y65" i="48"/>
  <c r="Q65" i="48"/>
  <c r="AA65" i="48"/>
  <c r="X65" i="48"/>
  <c r="W65" i="48"/>
  <c r="V65" i="48"/>
  <c r="U65" i="48"/>
  <c r="T65" i="48"/>
  <c r="S65" i="48"/>
  <c r="R65" i="48"/>
  <c r="AA64" i="48"/>
  <c r="Z64" i="48"/>
  <c r="X64" i="48"/>
  <c r="W64" i="48"/>
  <c r="V64" i="48"/>
  <c r="U64" i="48"/>
  <c r="T64" i="48"/>
  <c r="S64" i="48"/>
  <c r="R64" i="48"/>
  <c r="P64" i="48"/>
  <c r="AA63" i="48"/>
  <c r="Z63" i="48"/>
  <c r="Y63" i="48"/>
  <c r="X63" i="48"/>
  <c r="W63" i="48"/>
  <c r="V63" i="48"/>
  <c r="U63" i="48"/>
  <c r="T63" i="48"/>
  <c r="S63" i="48"/>
  <c r="R63" i="48"/>
  <c r="Q63" i="48"/>
  <c r="P63" i="48"/>
  <c r="Q62" i="48"/>
  <c r="Z62" i="48"/>
  <c r="Y62" i="48"/>
  <c r="X62" i="48"/>
  <c r="V62" i="48"/>
  <c r="U62" i="48"/>
  <c r="T62" i="48"/>
  <c r="R62" i="48"/>
  <c r="Q61" i="48"/>
  <c r="AA61" i="48"/>
  <c r="Y61" i="48"/>
  <c r="X61" i="48"/>
  <c r="W61" i="48"/>
  <c r="U61" i="48"/>
  <c r="T61" i="48"/>
  <c r="S61" i="48"/>
  <c r="AA60" i="48"/>
  <c r="S60" i="48"/>
  <c r="Z60" i="48"/>
  <c r="X60" i="48"/>
  <c r="W60" i="48"/>
  <c r="V60" i="48"/>
  <c r="T60" i="48"/>
  <c r="R60" i="48"/>
  <c r="P60" i="48"/>
  <c r="Y59" i="48"/>
  <c r="W59" i="48"/>
  <c r="Q59" i="48"/>
  <c r="AA59" i="48"/>
  <c r="Z59" i="48"/>
  <c r="X59" i="48"/>
  <c r="V59" i="48"/>
  <c r="U59" i="48"/>
  <c r="T59" i="48"/>
  <c r="S59" i="48"/>
  <c r="R59" i="48"/>
  <c r="P59" i="48"/>
  <c r="AA58" i="48"/>
  <c r="S58" i="48"/>
  <c r="Z58" i="48"/>
  <c r="Y58" i="48"/>
  <c r="X58" i="48"/>
  <c r="W58" i="48"/>
  <c r="V58" i="48"/>
  <c r="U58" i="48"/>
  <c r="T58" i="48"/>
  <c r="R58" i="48"/>
  <c r="Q58" i="48"/>
  <c r="Y57" i="48"/>
  <c r="W57" i="48"/>
  <c r="Q57" i="48"/>
  <c r="AA57" i="48"/>
  <c r="X57" i="48"/>
  <c r="V57" i="48"/>
  <c r="U57" i="48"/>
  <c r="T57" i="48"/>
  <c r="S57" i="48"/>
  <c r="R57" i="48"/>
  <c r="AA56" i="48"/>
  <c r="S56" i="48"/>
  <c r="Z56" i="48"/>
  <c r="X56" i="48"/>
  <c r="W56" i="48"/>
  <c r="V56" i="48"/>
  <c r="T56" i="48"/>
  <c r="R56" i="48"/>
  <c r="Q56" i="48"/>
  <c r="Y55" i="48"/>
  <c r="Q55" i="48"/>
  <c r="AA55" i="48"/>
  <c r="Z55" i="48"/>
  <c r="W55" i="48"/>
  <c r="V55" i="48"/>
  <c r="U55" i="48"/>
  <c r="S55" i="48"/>
  <c r="R55" i="48"/>
  <c r="P55" i="48"/>
  <c r="S54" i="48"/>
  <c r="Z54" i="48"/>
  <c r="Y54" i="48"/>
  <c r="X54" i="48"/>
  <c r="W54" i="48"/>
  <c r="V54" i="48"/>
  <c r="U54" i="48"/>
  <c r="T54" i="48"/>
  <c r="R54" i="48"/>
  <c r="Q54" i="48"/>
  <c r="Y53" i="48"/>
  <c r="Q53" i="48"/>
  <c r="AA53" i="48"/>
  <c r="Z53" i="48"/>
  <c r="X53" i="48"/>
  <c r="W53" i="48"/>
  <c r="V53" i="48"/>
  <c r="U53" i="48"/>
  <c r="T53" i="48"/>
  <c r="S53" i="48"/>
  <c r="R53" i="48"/>
  <c r="P53" i="48"/>
  <c r="AA52" i="48"/>
  <c r="U52" i="48"/>
  <c r="S52" i="48"/>
  <c r="Q52" i="48"/>
  <c r="Z52" i="48"/>
  <c r="Y52" i="48"/>
  <c r="X52" i="48"/>
  <c r="W52" i="48"/>
  <c r="V52" i="48"/>
  <c r="T52" i="48"/>
  <c r="R52" i="48"/>
  <c r="P52" i="48"/>
  <c r="Z51" i="48"/>
  <c r="V51" i="48"/>
  <c r="U51" i="48"/>
  <c r="R51" i="48"/>
  <c r="Q51" i="48"/>
  <c r="AA51" i="48"/>
  <c r="Y51" i="48"/>
  <c r="X51" i="48"/>
  <c r="W51" i="48"/>
  <c r="T51" i="48"/>
  <c r="S51" i="48"/>
  <c r="P51" i="48"/>
  <c r="AA50" i="48"/>
  <c r="W50" i="48"/>
  <c r="V50" i="48"/>
  <c r="S50" i="48"/>
  <c r="R50" i="48"/>
  <c r="Q50" i="48"/>
  <c r="Z50" i="48"/>
  <c r="Y50" i="48"/>
  <c r="X50" i="48"/>
  <c r="U50" i="48"/>
  <c r="T50" i="48"/>
  <c r="X49" i="48"/>
  <c r="T49" i="48"/>
  <c r="AA49" i="48"/>
  <c r="Z49" i="48"/>
  <c r="Y49" i="48"/>
  <c r="W49" i="48"/>
  <c r="V49" i="48"/>
  <c r="U49" i="48"/>
  <c r="S49" i="48"/>
  <c r="R49" i="48"/>
  <c r="Q49" i="48"/>
  <c r="AA48" i="48"/>
  <c r="Z48" i="48"/>
  <c r="Y48" i="48"/>
  <c r="X48" i="48"/>
  <c r="W48" i="48"/>
  <c r="V48" i="48"/>
  <c r="U48" i="48"/>
  <c r="T48" i="48"/>
  <c r="S48" i="48"/>
  <c r="R48" i="48"/>
  <c r="Q48" i="48"/>
  <c r="AA47" i="48"/>
  <c r="Z47" i="48"/>
  <c r="Y47" i="48"/>
  <c r="X47" i="48"/>
  <c r="W47" i="48"/>
  <c r="V47" i="48"/>
  <c r="U47" i="48"/>
  <c r="T47" i="48"/>
  <c r="S47" i="48"/>
  <c r="R47" i="48"/>
  <c r="Q47" i="48"/>
  <c r="P47" i="48"/>
  <c r="X46" i="48"/>
  <c r="T46" i="48"/>
  <c r="AA46" i="48"/>
  <c r="Z46" i="48"/>
  <c r="Y46" i="48"/>
  <c r="W46" i="48"/>
  <c r="V46" i="48"/>
  <c r="U46" i="48"/>
  <c r="S46" i="48"/>
  <c r="R46" i="48"/>
  <c r="Q46" i="48"/>
  <c r="X45" i="48"/>
  <c r="T45" i="48"/>
  <c r="AA45" i="48"/>
  <c r="Z45" i="48"/>
  <c r="Y45" i="48"/>
  <c r="W45" i="48"/>
  <c r="V45" i="48"/>
  <c r="U45" i="48"/>
  <c r="S45" i="48"/>
  <c r="R45" i="48"/>
  <c r="Q45" i="48"/>
  <c r="AA44" i="48"/>
  <c r="Z44" i="48"/>
  <c r="Y44" i="48"/>
  <c r="X44" i="48"/>
  <c r="W44" i="48"/>
  <c r="V44" i="48"/>
  <c r="U44" i="48"/>
  <c r="T44" i="48"/>
  <c r="S44" i="48"/>
  <c r="R44" i="48"/>
  <c r="Q44" i="48"/>
  <c r="P44" i="48"/>
  <c r="AA43" i="48"/>
  <c r="Z43" i="48"/>
  <c r="Y43" i="48"/>
  <c r="X43" i="48"/>
  <c r="W43" i="48"/>
  <c r="V43" i="48"/>
  <c r="U43" i="48"/>
  <c r="T43" i="48"/>
  <c r="S43" i="48"/>
  <c r="R43" i="48"/>
  <c r="Q43" i="48"/>
  <c r="P43" i="48"/>
  <c r="T42" i="48"/>
  <c r="AA42" i="48"/>
  <c r="Z42" i="48"/>
  <c r="Y42" i="48"/>
  <c r="X42" i="48"/>
  <c r="W42" i="48"/>
  <c r="V42" i="48"/>
  <c r="U42" i="48"/>
  <c r="S42" i="48"/>
  <c r="R42" i="48"/>
  <c r="Q42" i="48"/>
  <c r="U41" i="48"/>
  <c r="AA41" i="48"/>
  <c r="Z41" i="48"/>
  <c r="Y41" i="48"/>
  <c r="X41" i="48"/>
  <c r="W41" i="48"/>
  <c r="V41" i="48"/>
  <c r="T41" i="48"/>
  <c r="S41" i="48"/>
  <c r="R41" i="48"/>
  <c r="Q41" i="48"/>
  <c r="T40" i="48"/>
  <c r="AA40" i="48"/>
  <c r="Z40" i="48"/>
  <c r="Y40" i="48"/>
  <c r="X40" i="48"/>
  <c r="W40" i="48"/>
  <c r="V40" i="48"/>
  <c r="U40" i="48"/>
  <c r="S40" i="48"/>
  <c r="R40" i="48"/>
  <c r="Q40" i="48"/>
  <c r="P40" i="48"/>
  <c r="U39" i="48"/>
  <c r="AA39" i="48"/>
  <c r="Z39" i="48"/>
  <c r="Y39" i="48"/>
  <c r="X39" i="48"/>
  <c r="W39" i="48"/>
  <c r="V39" i="48"/>
  <c r="T39" i="48"/>
  <c r="S39" i="48"/>
  <c r="R39" i="48"/>
  <c r="Q39" i="48"/>
  <c r="P39" i="48"/>
  <c r="T38" i="48"/>
  <c r="AA38" i="48"/>
  <c r="Z38" i="48"/>
  <c r="Y38" i="48"/>
  <c r="X38" i="48"/>
  <c r="W38" i="48"/>
  <c r="V38" i="48"/>
  <c r="U38" i="48"/>
  <c r="S38" i="48"/>
  <c r="R38" i="48"/>
  <c r="Q38" i="48"/>
  <c r="U37" i="48"/>
  <c r="AA37" i="48"/>
  <c r="Z37" i="48"/>
  <c r="Y37" i="48"/>
  <c r="X37" i="48"/>
  <c r="W37" i="48"/>
  <c r="V37" i="48"/>
  <c r="T37" i="48"/>
  <c r="S37" i="48"/>
  <c r="R37" i="48"/>
  <c r="Q37" i="48"/>
  <c r="T36" i="48"/>
  <c r="AA36" i="48"/>
  <c r="Z36" i="48"/>
  <c r="Y36" i="48"/>
  <c r="X36" i="48"/>
  <c r="W36" i="48"/>
  <c r="V36" i="48"/>
  <c r="U36" i="48"/>
  <c r="S36" i="48"/>
  <c r="R36" i="48"/>
  <c r="Q36" i="48"/>
  <c r="U35" i="48"/>
  <c r="AA35" i="48"/>
  <c r="Z35" i="48"/>
  <c r="Y35" i="48"/>
  <c r="X35" i="48"/>
  <c r="W35" i="48"/>
  <c r="V35" i="48"/>
  <c r="T35" i="48"/>
  <c r="S35" i="48"/>
  <c r="R35" i="48"/>
  <c r="Q35" i="48"/>
  <c r="P35" i="48"/>
  <c r="T34" i="48"/>
  <c r="AA34" i="48"/>
  <c r="Z34" i="48"/>
  <c r="Y34" i="48"/>
  <c r="X34" i="48"/>
  <c r="W34" i="48"/>
  <c r="V34" i="48"/>
  <c r="U34" i="48"/>
  <c r="S34" i="48"/>
  <c r="R34" i="48"/>
  <c r="Q34" i="48"/>
  <c r="U33" i="48"/>
  <c r="AA33" i="48"/>
  <c r="Z33" i="48"/>
  <c r="Y33" i="48"/>
  <c r="X33" i="48"/>
  <c r="W33" i="48"/>
  <c r="V33" i="48"/>
  <c r="T33" i="48"/>
  <c r="S33" i="48"/>
  <c r="R33" i="48"/>
  <c r="Q33" i="48"/>
  <c r="P33" i="48"/>
  <c r="T32" i="48"/>
  <c r="AA32" i="48"/>
  <c r="Z32" i="48"/>
  <c r="Y32" i="48"/>
  <c r="X32" i="48"/>
  <c r="W32" i="48"/>
  <c r="V32" i="48"/>
  <c r="U32" i="48"/>
  <c r="S32" i="48"/>
  <c r="R32" i="48"/>
  <c r="Q32" i="48"/>
  <c r="P32" i="48"/>
  <c r="U31" i="48"/>
  <c r="AA31" i="48"/>
  <c r="Z31" i="48"/>
  <c r="Y31" i="48"/>
  <c r="X31" i="48"/>
  <c r="W31" i="48"/>
  <c r="V31" i="48"/>
  <c r="T31" i="48"/>
  <c r="S31" i="48"/>
  <c r="R31" i="48"/>
  <c r="Q31" i="48"/>
  <c r="P31" i="48"/>
  <c r="X30" i="48"/>
  <c r="V30" i="48"/>
  <c r="AA30" i="48"/>
  <c r="Z30" i="48"/>
  <c r="Y30" i="48"/>
  <c r="W30" i="48"/>
  <c r="U30" i="48"/>
  <c r="T30" i="48"/>
  <c r="S30" i="48"/>
  <c r="R30" i="48"/>
  <c r="Q30" i="48"/>
  <c r="Y29" i="48"/>
  <c r="X29" i="48"/>
  <c r="T29" i="48"/>
  <c r="AA29" i="48"/>
  <c r="Z29" i="48"/>
  <c r="W29" i="48"/>
  <c r="V29" i="48"/>
  <c r="U29" i="48"/>
  <c r="S29" i="48"/>
  <c r="R29" i="48"/>
  <c r="Q29" i="48"/>
  <c r="Z28" i="48"/>
  <c r="Y28" i="48"/>
  <c r="U28" i="48"/>
  <c r="T28" i="48"/>
  <c r="AA28" i="48"/>
  <c r="X28" i="48"/>
  <c r="W28" i="48"/>
  <c r="V28" i="48"/>
  <c r="S28" i="48"/>
  <c r="R28" i="48"/>
  <c r="Q28" i="48"/>
  <c r="P28" i="48"/>
  <c r="Z27" i="48"/>
  <c r="V27" i="48"/>
  <c r="U27" i="48"/>
  <c r="AA27" i="48"/>
  <c r="Y27" i="48"/>
  <c r="X27" i="48"/>
  <c r="W27" i="48"/>
  <c r="T27" i="48"/>
  <c r="S27" i="48"/>
  <c r="R27" i="48"/>
  <c r="Q27" i="48"/>
  <c r="P27" i="48"/>
  <c r="X26" i="48"/>
  <c r="V26" i="48"/>
  <c r="AA26" i="48"/>
  <c r="Z26" i="48"/>
  <c r="Y26" i="48"/>
  <c r="W26" i="48"/>
  <c r="U26" i="48"/>
  <c r="T26" i="48"/>
  <c r="S26" i="48"/>
  <c r="R26" i="48"/>
  <c r="Q26" i="48"/>
  <c r="Y25" i="48"/>
  <c r="X25" i="48"/>
  <c r="T25" i="48"/>
  <c r="AA25" i="48"/>
  <c r="Z25" i="48"/>
  <c r="W25" i="48"/>
  <c r="V25" i="48"/>
  <c r="U25" i="48"/>
  <c r="S25" i="48"/>
  <c r="R25" i="48"/>
  <c r="Q25" i="48"/>
  <c r="Z24" i="48"/>
  <c r="Y24" i="48"/>
  <c r="U24" i="48"/>
  <c r="T24" i="48"/>
  <c r="AA24" i="48"/>
  <c r="X24" i="48"/>
  <c r="W24" i="48"/>
  <c r="V24" i="48"/>
  <c r="S24" i="48"/>
  <c r="R24" i="48"/>
  <c r="Q24" i="48"/>
  <c r="P24" i="48"/>
  <c r="AA23" i="48"/>
  <c r="Z23" i="48"/>
  <c r="Y23" i="48"/>
  <c r="X23" i="48"/>
  <c r="W23" i="48"/>
  <c r="V23" i="48"/>
  <c r="U23" i="48"/>
  <c r="T23" i="48"/>
  <c r="S23" i="48"/>
  <c r="R23" i="48"/>
  <c r="Q23" i="48"/>
  <c r="P23" i="48"/>
  <c r="AA22" i="48"/>
  <c r="Z22" i="48"/>
  <c r="Y22" i="48"/>
  <c r="X22" i="48"/>
  <c r="W22" i="48"/>
  <c r="V22" i="48"/>
  <c r="U22" i="48"/>
  <c r="T22" i="48"/>
  <c r="S22" i="48"/>
  <c r="R22" i="48"/>
  <c r="Q22" i="48"/>
  <c r="AA21" i="48"/>
  <c r="Z21" i="48"/>
  <c r="Y21" i="48"/>
  <c r="X21" i="48"/>
  <c r="W21" i="48"/>
  <c r="V21" i="48"/>
  <c r="U21" i="48"/>
  <c r="T21" i="48"/>
  <c r="S21" i="48"/>
  <c r="R21" i="48"/>
  <c r="Q21" i="48"/>
  <c r="AA20" i="48"/>
  <c r="Z20" i="48"/>
  <c r="Y20" i="48"/>
  <c r="X20" i="48"/>
  <c r="W20" i="48"/>
  <c r="V20" i="48"/>
  <c r="U20" i="48"/>
  <c r="T20" i="48"/>
  <c r="S20" i="48"/>
  <c r="R20" i="48"/>
  <c r="Q20" i="48"/>
  <c r="P20" i="48"/>
  <c r="AA19" i="48"/>
  <c r="Z19" i="48"/>
  <c r="Y19" i="48"/>
  <c r="X19" i="48"/>
  <c r="W19" i="48"/>
  <c r="V19" i="48"/>
  <c r="U19" i="48"/>
  <c r="T19" i="48"/>
  <c r="S19" i="48"/>
  <c r="R19" i="48"/>
  <c r="Q19" i="48"/>
  <c r="P19" i="48"/>
  <c r="AA18" i="48"/>
  <c r="Z18" i="48"/>
  <c r="Y18" i="48"/>
  <c r="X18" i="48"/>
  <c r="W18" i="48"/>
  <c r="V18" i="48"/>
  <c r="U18" i="48"/>
  <c r="T18" i="48"/>
  <c r="S18" i="48"/>
  <c r="R18" i="48"/>
  <c r="Q18" i="48"/>
  <c r="AA17" i="48"/>
  <c r="Z17" i="48"/>
  <c r="Y17" i="48"/>
  <c r="X17" i="48"/>
  <c r="W17" i="48"/>
  <c r="V17" i="48"/>
  <c r="U17" i="48"/>
  <c r="T17" i="48"/>
  <c r="S17" i="48"/>
  <c r="R17" i="48"/>
  <c r="Q17" i="48"/>
  <c r="AA16" i="48"/>
  <c r="Z16" i="48"/>
  <c r="Y16" i="48"/>
  <c r="X16" i="48"/>
  <c r="W16" i="48"/>
  <c r="V16" i="48"/>
  <c r="U16" i="48"/>
  <c r="T16" i="48"/>
  <c r="S16" i="48"/>
  <c r="R16" i="48"/>
  <c r="Q16" i="48"/>
  <c r="P16" i="48"/>
  <c r="AA15" i="48"/>
  <c r="Z15" i="48"/>
  <c r="Y15" i="48"/>
  <c r="X15" i="48"/>
  <c r="W15" i="48"/>
  <c r="V15" i="48"/>
  <c r="U15" i="48"/>
  <c r="T15" i="48"/>
  <c r="S15" i="48"/>
  <c r="R15" i="48"/>
  <c r="Q15" i="48"/>
  <c r="P15" i="48"/>
  <c r="AA14" i="48"/>
  <c r="Z14" i="48"/>
  <c r="Y14" i="48"/>
  <c r="X14" i="48"/>
  <c r="W14" i="48"/>
  <c r="V14" i="48"/>
  <c r="U14" i="48"/>
  <c r="T14" i="48"/>
  <c r="S14" i="48"/>
  <c r="R14" i="48"/>
  <c r="Q14" i="48"/>
  <c r="AA13" i="48"/>
  <c r="Z13" i="48"/>
  <c r="Y13" i="48"/>
  <c r="X13" i="48"/>
  <c r="W13" i="48"/>
  <c r="V13" i="48"/>
  <c r="U13" i="48"/>
  <c r="T13" i="48"/>
  <c r="S13" i="48"/>
  <c r="R13" i="48"/>
  <c r="Q13" i="48"/>
  <c r="AA12" i="48"/>
  <c r="Z12" i="48"/>
  <c r="Y12" i="48"/>
  <c r="X12" i="48"/>
  <c r="W12" i="48"/>
  <c r="V12" i="48"/>
  <c r="U12" i="48"/>
  <c r="T12" i="48"/>
  <c r="S12" i="48"/>
  <c r="R12" i="48"/>
  <c r="Q12" i="48"/>
  <c r="P12" i="48"/>
  <c r="AA11" i="48"/>
  <c r="Z11" i="48"/>
  <c r="Y11" i="48"/>
  <c r="X11" i="48"/>
  <c r="W11" i="48"/>
  <c r="V11" i="48"/>
  <c r="U11" i="48"/>
  <c r="T11" i="48"/>
  <c r="S11" i="48"/>
  <c r="R11" i="48"/>
  <c r="Q11" i="48"/>
  <c r="P11" i="48"/>
  <c r="AA10" i="48"/>
  <c r="Z10" i="48"/>
  <c r="Y10" i="48"/>
  <c r="X10" i="48"/>
  <c r="W10" i="48"/>
  <c r="V10" i="48"/>
  <c r="U10" i="48"/>
  <c r="T10" i="48"/>
  <c r="S10" i="48"/>
  <c r="R10" i="48"/>
  <c r="Q10" i="48"/>
  <c r="P10" i="48"/>
  <c r="M100" i="48" l="1"/>
  <c r="E100" i="48"/>
  <c r="B5" i="45"/>
  <c r="I100" i="48"/>
  <c r="S9" i="48"/>
  <c r="S100" i="48" s="1"/>
  <c r="W9" i="48"/>
  <c r="W100" i="48" s="1"/>
  <c r="AA9" i="48"/>
  <c r="AA100" i="48" s="1"/>
  <c r="F100" i="48"/>
  <c r="B100" i="48"/>
  <c r="J100" i="48"/>
  <c r="P9" i="48"/>
  <c r="P100" i="48" s="1"/>
  <c r="T9" i="48"/>
  <c r="T100" i="48" s="1"/>
  <c r="X9" i="48"/>
  <c r="X100" i="48" s="1"/>
  <c r="C100" i="48"/>
  <c r="G100" i="48"/>
  <c r="K100" i="48"/>
  <c r="Q9" i="48"/>
  <c r="Q100" i="48" s="1"/>
  <c r="U9" i="48"/>
  <c r="U100" i="48" s="1"/>
  <c r="Y9" i="48"/>
  <c r="Y100" i="48" s="1"/>
  <c r="D100" i="48"/>
  <c r="H100" i="48"/>
  <c r="L100" i="48"/>
  <c r="R9" i="48"/>
  <c r="R100" i="48" s="1"/>
  <c r="V9" i="48"/>
  <c r="V100" i="48" s="1"/>
  <c r="Z9" i="48"/>
  <c r="Z100" i="48" s="1"/>
  <c r="M106" i="48" l="1"/>
  <c r="M105" i="48"/>
  <c r="K106" i="48"/>
  <c r="K105" i="48"/>
  <c r="P106" i="48"/>
  <c r="P105" i="48"/>
  <c r="G106" i="48"/>
  <c r="G105" i="48"/>
  <c r="R106" i="48"/>
  <c r="R105" i="48"/>
  <c r="I106" i="48"/>
  <c r="I105" i="48"/>
  <c r="L106" i="48"/>
  <c r="L105" i="48"/>
  <c r="N106" i="48"/>
  <c r="N105" i="48"/>
  <c r="Q106" i="48"/>
  <c r="Q105" i="48"/>
  <c r="H106" i="48"/>
  <c r="H105" i="48"/>
  <c r="O106" i="48"/>
  <c r="O105" i="48"/>
  <c r="J106" i="48"/>
  <c r="J105" i="48"/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/>
  <c r="F6" i="43"/>
  <c r="G6" i="43"/>
  <c r="O6" i="43"/>
  <c r="P6" i="43"/>
  <c r="E7" i="43"/>
  <c r="F7" i="43"/>
  <c r="G7" i="43"/>
  <c r="N7" i="43"/>
  <c r="O7" i="43"/>
  <c r="P7" i="43"/>
  <c r="F8" i="43"/>
  <c r="O8" i="43"/>
  <c r="P8" i="43"/>
  <c r="F9" i="43"/>
  <c r="G9" i="43"/>
  <c r="O9" i="43"/>
  <c r="P9" i="43"/>
  <c r="F10" i="43"/>
  <c r="G10" i="43"/>
  <c r="O10" i="43"/>
  <c r="P10" i="43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/>
  <c r="F17" i="43"/>
  <c r="G17" i="43"/>
  <c r="O17" i="43"/>
  <c r="P17" i="43"/>
  <c r="F18" i="43"/>
  <c r="G18" i="43"/>
  <c r="O18" i="43"/>
  <c r="P18" i="43"/>
</calcChain>
</file>

<file path=xl/sharedStrings.xml><?xml version="1.0" encoding="utf-8"?>
<sst xmlns="http://schemas.openxmlformats.org/spreadsheetml/2006/main" count="11142" uniqueCount="614">
  <si>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</si>
  <si>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</si>
  <si>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</si>
  <si>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</si>
  <si>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</si>
  <si>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</si>
  <si>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</si>
  <si>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</si>
  <si>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</si>
  <si>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</si>
  <si>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</si>
  <si>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</si>
  <si>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</si>
  <si>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</si>
  <si>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</si>
  <si>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</si>
  <si>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</si>
  <si>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</si>
  <si>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</si>
  <si>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</si>
  <si>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</si>
  <si>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</si>
  <si>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</si>
  <si>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</si>
  <si>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</si>
  <si>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</si>
  <si>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</si>
  <si>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</si>
  <si>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</si>
  <si>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</si>
  <si>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</si>
  <si>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</si>
  <si>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</si>
  <si>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</si>
  <si>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</si>
  <si>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</si>
  <si>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</si>
  <si>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</si>
  <si>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</si>
  <si>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</si>
  <si>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</si>
  <si>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</si>
  <si>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</si>
  <si>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</si>
  <si>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</si>
  <si>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</si>
  <si>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</si>
  <si>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</si>
  <si>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</si>
  <si>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</si>
  <si>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</si>
  <si>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</si>
  <si>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</si>
  <si>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</si>
  <si>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</si>
  <si>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</si>
  <si>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</si>
  <si>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</si>
  <si>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</si>
  <si>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</si>
  <si>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</si>
  <si>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</si>
  <si>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</si>
  <si>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</si>
  <si>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</si>
  <si>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</si>
  <si>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</si>
  <si>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</si>
  <si>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</si>
  <si>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</si>
  <si>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</si>
  <si>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</si>
  <si>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</si>
  <si>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</si>
  <si>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</si>
  <si>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</si>
  <si>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</si>
  <si>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</si>
  <si>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</si>
  <si>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</si>
  <si>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</si>
  <si>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</si>
  <si>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</si>
  <si>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</si>
  <si>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</si>
  <si>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</si>
  <si>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</si>
  <si>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</si>
  <si>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</si>
  <si>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</si>
  <si>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</si>
  <si>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</si>
  <si>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</si>
  <si>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</si>
  <si>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</si>
  <si>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</si>
  <si>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</si>
  <si>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</si>
  <si>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</si>
  <si>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</si>
  <si>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</si>
  <si>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</si>
  <si>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</si>
  <si>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</si>
  <si>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</si>
  <si>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</si>
  <si>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</si>
  <si>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</si>
  <si>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</si>
  <si>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</si>
  <si>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</si>
  <si>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</si>
  <si>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</si>
  <si>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</si>
  <si>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</si>
  <si>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</si>
  <si>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</si>
  <si>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</si>
  <si>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</si>
  <si>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</si>
  <si>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</si>
  <si>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</si>
  <si>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</si>
  <si>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</si>
  <si>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</si>
  <si>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</si>
  <si>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</si>
  <si>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</si>
  <si>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</si>
  <si>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</si>
  <si>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</si>
  <si>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</si>
  <si>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</si>
  <si>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</si>
  <si>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</si>
  <si>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</si>
  <si>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</si>
  <si>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</si>
  <si>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</si>
  <si>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</si>
  <si>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</si>
  <si>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</si>
  <si>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</si>
  <si>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</si>
  <si>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</si>
  <si>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</si>
  <si>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</si>
  <si>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</si>
  <si>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</si>
  <si>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</si>
  <si>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</si>
  <si>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</si>
  <si>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</si>
  <si>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</si>
  <si>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</si>
  <si>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</si>
  <si>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</si>
  <si>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</si>
  <si>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</si>
  <si>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</si>
  <si>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</si>
  <si>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</si>
  <si>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</si>
  <si>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</si>
  <si>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</si>
  <si>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</si>
  <si>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</si>
  <si>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</si>
  <si>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</si>
  <si>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</si>
  <si>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</si>
  <si>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</si>
  <si>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</si>
  <si>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</si>
  <si>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</si>
  <si>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</si>
  <si>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</si>
  <si>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</si>
  <si>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</si>
  <si>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</si>
  <si>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</si>
  <si>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</si>
  <si>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</si>
  <si>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</si>
  <si>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</si>
  <si>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</si>
  <si>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</si>
  <si>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</si>
  <si>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</si>
  <si>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</si>
  <si>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</si>
  <si>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</si>
  <si>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</si>
  <si>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</si>
  <si>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</si>
  <si>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</si>
  <si>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</si>
  <si>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</si>
  <si>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</si>
  <si>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</si>
  <si>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</si>
  <si>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</si>
  <si>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</si>
  <si>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</si>
  <si>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</si>
  <si>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</si>
  <si>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</si>
  <si>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</si>
  <si>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</si>
  <si>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</si>
  <si>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</si>
  <si>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</si>
  <si>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</si>
  <si>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</si>
  <si>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</si>
  <si>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</si>
  <si>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</si>
  <si>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</si>
  <si>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</si>
  <si>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</si>
  <si>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</si>
  <si>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</si>
  <si>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</si>
  <si>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</si>
  <si>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</si>
  <si>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</si>
  <si>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</si>
  <si>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</si>
  <si>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</si>
  <si>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</si>
  <si>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</si>
  <si>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</si>
  <si>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</si>
  <si>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</si>
  <si>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</si>
  <si>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</si>
  <si>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</si>
  <si>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</si>
  <si>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</si>
  <si>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</si>
  <si>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</si>
  <si>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</si>
  <si>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</si>
  <si>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</si>
  <si>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</si>
  <si>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</si>
  <si>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</si>
  <si>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</si>
  <si>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</si>
  <si>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</si>
  <si>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</si>
  <si>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</si>
  <si>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</si>
  <si>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</si>
  <si>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</si>
  <si>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</si>
  <si>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</si>
  <si>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</si>
  <si>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</si>
  <si>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</si>
  <si>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</si>
  <si>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</si>
  <si>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</si>
  <si>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</si>
  <si>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</si>
  <si>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</si>
  <si>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</si>
  <si>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</si>
  <si>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</si>
  <si>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</si>
  <si>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</si>
  <si>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</si>
  <si>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</si>
  <si>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</si>
  <si>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</si>
  <si>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certificado</t>
  </si>
  <si>
    <t>Máscaras; moleskine; caneta; álcool em gel</t>
  </si>
  <si>
    <t>Credencial</t>
  </si>
  <si>
    <t>Fotos na peça do aniversariante do mês</t>
  </si>
  <si>
    <t>MARÇO - ABRIL</t>
  </si>
  <si>
    <t>ok</t>
  </si>
  <si>
    <t>FEVEREIRO</t>
  </si>
  <si>
    <t>Identidade Visual Grupo de Corrida</t>
  </si>
  <si>
    <t>Boné ,Squeeze, Wind Flag, Mochila Sacola.</t>
  </si>
  <si>
    <t xml:space="preserve">6° Boletim Cultural </t>
  </si>
  <si>
    <t>1 - Muito Ruim</t>
  </si>
  <si>
    <t>Adesivos para paredes</t>
  </si>
  <si>
    <t>Quadro</t>
  </si>
  <si>
    <t>RELATÓRIO DE GESTÃO 2020 - AGO</t>
  </si>
  <si>
    <t>IMPRIMINDO</t>
  </si>
  <si>
    <t>FOTOS INSTITUCIONAIS DOS FUNCIONÁRIOS PARA CRACHÁS</t>
  </si>
  <si>
    <t>Ação Dia Internacional da Mulher - 8 de Março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</si>
  <si>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</si>
  <si>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</si>
  <si>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</si>
  <si>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</si>
  <si>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</si>
  <si>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</si>
  <si>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</si>
  <si>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</si>
  <si>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</si>
  <si>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Roteiro</t>
  </si>
  <si>
    <t>Roteiro finalizado e está no e-mail</t>
  </si>
  <si>
    <t>SOLICITAÇÃO ARTE - PACTO DE ETICA SICOOB</t>
  </si>
  <si>
    <t>RORAIMA_CUIDADOS_PANDEMIA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</si>
  <si>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</si>
  <si>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</si>
  <si>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</si>
  <si>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</si>
  <si>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</si>
  <si>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</si>
  <si>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</si>
  <si>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</si>
  <si>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</si>
  <si>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</si>
  <si>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</si>
  <si>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>Chamado abertopara Michel em 11/03</t>
  </si>
  <si>
    <t>Lâminas para Vídeo</t>
  </si>
  <si>
    <t>Relatório de Gestão 2020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</si>
  <si>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</si>
  <si>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</si>
  <si>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</si>
  <si>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</si>
  <si>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</si>
  <si>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caixa</t>
  </si>
  <si>
    <t>Erro Moob</t>
  </si>
  <si>
    <t>Eventos para Associados</t>
  </si>
  <si>
    <t>Peças informativas NPS</t>
  </si>
  <si>
    <t>Vídeo instruções Sicoob Moob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</si>
  <si>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</si>
  <si>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</si>
  <si>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</si>
  <si>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</si>
  <si>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>Chamado aberto para Gabi. para as ações de endomarketing</t>
  </si>
  <si>
    <t xml:space="preserve">Capas de Relatório de prestação de contas </t>
  </si>
  <si>
    <t>CARTÃO DIGITAL_ALTERAR FUNÇÃO</t>
  </si>
  <si>
    <t>Arte placa de Honra ao Mérito</t>
  </si>
  <si>
    <t>Dia do Amigo - Endomarketing</t>
  </si>
  <si>
    <t>Chamado aberto para Gabi em  18/03</t>
  </si>
  <si>
    <t>Solicitação de arte aberta - Anúncio de vaga.</t>
  </si>
  <si>
    <t>Aguardando peça da Cooperativa Unicidades</t>
  </si>
  <si>
    <t>Montagem_Peça_Divulgação_Projeto_Teams</t>
  </si>
  <si>
    <t>Redação no e-mail</t>
  </si>
  <si>
    <t>Arte do Crachá de Identificação</t>
  </si>
  <si>
    <t>Crachá</t>
  </si>
  <si>
    <t>SIM</t>
  </si>
  <si>
    <t>RORAIMA_AGO2021</t>
  </si>
  <si>
    <t>Arte para o site da Cooperativa</t>
  </si>
  <si>
    <t>Save the date</t>
  </si>
  <si>
    <t>Impresso</t>
  </si>
  <si>
    <t>Arte para Whats app</t>
  </si>
  <si>
    <t>Possível FRAUDE - EMAIL e SMS</t>
  </si>
  <si>
    <t>Manual do Moob - Tutorial para baixar e utilização</t>
  </si>
  <si>
    <t>Arte para adesivo</t>
  </si>
  <si>
    <t>FORMULÁRIO</t>
  </si>
  <si>
    <t>Envio do PPT padrão de vagas</t>
  </si>
  <si>
    <t>Escritas corretas das cooperativas</t>
  </si>
  <si>
    <t>Redação está no e-mail</t>
  </si>
  <si>
    <t>Derivação de Outdoor Institucional</t>
  </si>
  <si>
    <t>SOLICITAÇÃO DE ARTE PARA PRÉ ASSEMBLEIA AGE/AGO</t>
  </si>
  <si>
    <t>3064 - Sicoob Goiânia</t>
  </si>
  <si>
    <t>Passo a Passo Moob</t>
  </si>
  <si>
    <t>Outdoor para Cristalina</t>
  </si>
  <si>
    <t>Campanha do Agasalho</t>
  </si>
  <si>
    <t>Solicitação de imagem</t>
  </si>
  <si>
    <t>Relatório de Gestão 2021</t>
  </si>
  <si>
    <t>Arte de divulgação de apoio em projeto</t>
  </si>
  <si>
    <t>Placa de sinalização - Pertences metálicos</t>
  </si>
  <si>
    <t>SOLICITAÇÃO DE ARTE PARA ASSEMBLEIA GERAL EXTRAORDINARIA E ORDINÁRIA</t>
  </si>
  <si>
    <t>Banner Físico</t>
  </si>
  <si>
    <t>Arte Institucional</t>
  </si>
  <si>
    <t>Nota de Pesar</t>
  </si>
  <si>
    <t>Assembleia virtual</t>
  </si>
  <si>
    <t>Envio de links de treinamento e apresentação para criação de AGO via Moob</t>
  </si>
  <si>
    <t>SOLICITAÇÃO DE AGENDAMENTO DE ESTÚDIO</t>
  </si>
  <si>
    <t>Reserva Estúdio para o Saulo</t>
  </si>
  <si>
    <t>Manual de retaguarda</t>
  </si>
  <si>
    <t>Enviar textos para Michel (Kátia)</t>
  </si>
  <si>
    <t>Stand-By</t>
  </si>
  <si>
    <t>Vídeo da Ambientação da Central</t>
  </si>
  <si>
    <t>Aguardando start Lila</t>
  </si>
  <si>
    <t>Produção de video</t>
  </si>
  <si>
    <t>Vídeo Moob</t>
  </si>
  <si>
    <t>Aguardando Aprovação</t>
  </si>
  <si>
    <t xml:space="preserve">Aguardando aprovação das ações para derivação das peças de Janeiro branco da Central </t>
  </si>
  <si>
    <t>Cancelado</t>
  </si>
  <si>
    <t>Dia do Profissional do MKT</t>
  </si>
  <si>
    <t>Novo</t>
  </si>
  <si>
    <t>Dia do Jornalista</t>
  </si>
  <si>
    <t>Lâminas</t>
  </si>
  <si>
    <t>Telas PC</t>
  </si>
  <si>
    <t>Relatório de atividades</t>
  </si>
  <si>
    <t>Em cotação com o compras 29/03. Entrega para revisão até o dia 12/04.</t>
  </si>
  <si>
    <t>Dia nacional da poesia</t>
  </si>
  <si>
    <t>Cooperativa irá abrir um chamado próximo a data correta 31/10.</t>
  </si>
  <si>
    <t>Quadro de fotos</t>
  </si>
  <si>
    <t>Chamado estava com a Ana Clara</t>
  </si>
  <si>
    <t>CARTAZES OBRIGATÓRIOS - MURAL EXTERNO DA AGENCIA</t>
  </si>
  <si>
    <t>Carômetro - Demanda ativa</t>
  </si>
  <si>
    <t>Aguadando o relatório de atividades</t>
  </si>
  <si>
    <t>Solicito acesso ao DRIVE de Marketing da CONFEDERAÇÃO</t>
  </si>
  <si>
    <t>ANIVERSÁRIO DAS CIDADES </t>
  </si>
  <si>
    <t>Chamado aberto para Michel em 18/03</t>
  </si>
  <si>
    <t>Cooperativa Não aceitou as peças da Central</t>
  </si>
  <si>
    <t>Video - acesso aplicativo unimed goiania</t>
  </si>
  <si>
    <t>Kátia abrir chamado para o Michel</t>
  </si>
  <si>
    <t>Kátia abrir chamado para o Saulo</t>
  </si>
  <si>
    <t>Funções Aplicativo MOOB</t>
  </si>
  <si>
    <t>Aguardando retorno CCS</t>
  </si>
  <si>
    <t>Chamado aberto pra o Saulo em 18/03</t>
  </si>
  <si>
    <t>Jeovana</t>
  </si>
  <si>
    <t xml:space="preserve">ARTE CARTÃO DE VISITA </t>
  </si>
  <si>
    <t>Chamado aberto para Saulo em 11/03</t>
  </si>
  <si>
    <t xml:space="preserve">Peças AGO </t>
  </si>
  <si>
    <t>TV Corporativa</t>
  </si>
  <si>
    <t>Distanciamento</t>
  </si>
  <si>
    <t xml:space="preserve">QR code para acesso ao RG digital </t>
  </si>
  <si>
    <t>MOOB</t>
  </si>
  <si>
    <t>Biblioteca Virtual</t>
  </si>
  <si>
    <t>15x21cm</t>
  </si>
  <si>
    <t>Caixa para press kit: 31x21 cm / MDF com acrílico transparente na tampa da caixa (termômetro).</t>
  </si>
  <si>
    <t>Envelope 8x8 para colocar os 05 saquinhso de chá</t>
  </si>
  <si>
    <t>Apresentação dos componentes que forma o kit</t>
  </si>
  <si>
    <t>Redação para o dia 05/04</t>
  </si>
  <si>
    <t>Criação de identidade visual para evento de entrega do Troféu Colmeia</t>
  </si>
  <si>
    <t>Convite</t>
  </si>
  <si>
    <t>Diagramação - 4ª edição Credi-Rural em revista</t>
  </si>
  <si>
    <t>CAPA</t>
  </si>
  <si>
    <t>Campanha - juntos pelo HC</t>
  </si>
  <si>
    <t>Campanha endomarketing Páscoa</t>
  </si>
  <si>
    <t>DIAGRAMAÇÃO</t>
  </si>
  <si>
    <t>Chamado aberto em 23/03 para o Saulo para o vídeo</t>
  </si>
  <si>
    <t>Chamado aberto em 23/03 para Mônada para o planejamento de postagens</t>
  </si>
  <si>
    <t>Campanha Institucional Divulgação dos Números 2020</t>
  </si>
  <si>
    <t xml:space="preserve">VT de 15 segundos sem áudio </t>
  </si>
  <si>
    <t>Campeonato Goiano 2021</t>
  </si>
  <si>
    <t>Concurso Fotográfico 2021</t>
  </si>
  <si>
    <t>Conceito para a reunião de Pontos Focais.</t>
  </si>
  <si>
    <t>Chamado aberto para o Michel para a Redação da peça conceito</t>
  </si>
  <si>
    <t>Aniversário da cooperativa - 29 anos</t>
  </si>
  <si>
    <t>Chamado aberto para o Michel para a Redação da peça conceito em 30/03</t>
  </si>
  <si>
    <t>Aguardar aprovação do conceito para fazer o vídeo</t>
  </si>
  <si>
    <t>Chamado aberto para o Michel para a Redação em 30/03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</si>
  <si>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</si>
  <si>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</si>
  <si>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</si>
  <si>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</si>
  <si>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</si>
  <si>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</si>
  <si>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</si>
  <si>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</si>
  <si>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Balão</t>
  </si>
  <si>
    <t>3058 - Sicoob Credigoiás</t>
  </si>
  <si>
    <t>João</t>
  </si>
  <si>
    <t>Júlia</t>
  </si>
  <si>
    <t>Bateco</t>
  </si>
  <si>
    <t>Marina</t>
  </si>
  <si>
    <t>Caderno</t>
  </si>
  <si>
    <t>Mônada</t>
  </si>
  <si>
    <t>Camiseta</t>
  </si>
  <si>
    <t>Pedro</t>
  </si>
  <si>
    <t>Caneta</t>
  </si>
  <si>
    <t>5145 - Sicoob Medcred</t>
  </si>
  <si>
    <t>Cartilha</t>
  </si>
  <si>
    <t>Espaço Instagramável</t>
  </si>
  <si>
    <t>Filipeta</t>
  </si>
  <si>
    <t>Guia</t>
  </si>
  <si>
    <t>Lâmina PDF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</si>
  <si>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</si>
  <si>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</si>
  <si>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</si>
  <si>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</si>
  <si>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</si>
  <si>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</si>
  <si>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</si>
  <si>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</si>
  <si>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</si>
  <si>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</si>
  <si>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</si>
  <si>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</si>
  <si>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</si>
  <si>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</si>
  <si>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</si>
  <si>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</si>
  <si>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</si>
  <si>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</si>
  <si>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</si>
  <si>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</si>
  <si>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</si>
  <si>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</si>
  <si>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</si>
  <si>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</si>
  <si>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</si>
  <si>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</si>
  <si>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</si>
  <si>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</si>
  <si>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</si>
  <si>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ROA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</si>
  <si>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</si>
  <si>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</si>
  <si>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</si>
  <si>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</si>
  <si>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</si>
  <si>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</si>
  <si>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</si>
  <si>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</si>
  <si>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</si>
  <si>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</si>
  <si>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</si>
  <si>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</si>
  <si>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</si>
  <si>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Chamado aberto para o Michel em 05/04/2021</t>
  </si>
  <si>
    <t>Entrega da peça conceito em 14/04</t>
  </si>
  <si>
    <t>Enviado para Saulo em 05/04 para ajustes</t>
  </si>
  <si>
    <t>Chamado aberto para o Michel. Prazo de entrega dia 08/04</t>
  </si>
  <si>
    <t>Chamado aberto para o Saulo. Prazo de entrega dia 14/04</t>
  </si>
  <si>
    <t>Divulgação assembleia geral ordinária e extraordinária</t>
  </si>
  <si>
    <t>Derivação outdoors para cidades do Norte Goiano</t>
  </si>
  <si>
    <t xml:space="preserve">Jeo, por favor falar com a Juliana sobre este chamado, pois ela já fez algumas derivações para a cooperativa. </t>
  </si>
  <si>
    <t>Divulgação PGD</t>
  </si>
  <si>
    <t>Campanha Dia das Mães – Endo</t>
  </si>
  <si>
    <t xml:space="preserve">Aguardando as ações que estão sendo criadas pela Gabi. </t>
  </si>
  <si>
    <t>Campanha Dia das Mães 2021</t>
  </si>
  <si>
    <t xml:space="preserve">Enviar para a cooperativa a campanha do CCS para aprovação. </t>
  </si>
  <si>
    <t>ARQUIVO ABERTO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</si>
  <si>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</si>
  <si>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</si>
  <si>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</si>
  <si>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</si>
  <si>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</si>
  <si>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</si>
  <si>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</si>
  <si>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</si>
  <si>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</si>
  <si>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</si>
  <si>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</si>
  <si>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</si>
  <si>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</si>
  <si>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</si>
  <si>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</si>
  <si>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</si>
  <si>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</si>
  <si>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</si>
  <si>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</si>
  <si>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</si>
  <si>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</si>
  <si>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</si>
  <si>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</si>
  <si>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</si>
  <si>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</si>
  <si>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</si>
  <si>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</si>
  <si>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</si>
  <si>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</si>
  <si>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</si>
  <si>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</si>
  <si>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</si>
  <si>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</si>
  <si>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</si>
  <si>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</si>
  <si>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</si>
  <si>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QUANTIDADE DE PEÇAS PRODUZIDAS POR MÊS</t>
  </si>
  <si>
    <t>REFERÊNCIAS PARA CÁLCULO</t>
  </si>
  <si>
    <t>TOTAL EM REAIS DA PRODUÇÃO DO TIME INSTITUCIONAL POR MÊS</t>
  </si>
  <si>
    <t>TIPO DE PEÇA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</si>
  <si>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</si>
  <si>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</si>
  <si>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</si>
  <si>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</si>
  <si>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</si>
  <si>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</si>
  <si>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</si>
  <si>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</si>
  <si>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</si>
  <si>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</si>
  <si>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</si>
  <si>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</si>
  <si>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Valor Cobrado por Agências</t>
  </si>
  <si>
    <t>DESCONTO APLICADO</t>
  </si>
  <si>
    <t>Diagramação (Revista)</t>
  </si>
  <si>
    <t>Diagramação (Relatório de gestão)</t>
  </si>
  <si>
    <t>Inflável</t>
  </si>
  <si>
    <t>Stopper</t>
  </si>
  <si>
    <t>Tenda</t>
  </si>
  <si>
    <t>TOTAL</t>
  </si>
  <si>
    <t>COLABORADOR</t>
  </si>
  <si>
    <t>SALÁRIO</t>
  </si>
  <si>
    <t>ITENS PARA EXERCER FUNÇÃO</t>
  </si>
  <si>
    <t>ROI</t>
  </si>
  <si>
    <t>*SAMUEL TEM +750 SOMADO DEVIDO A UTILIZAÇÃO DO SHUTTERSTOCK VÍDEO (DIVIDIDO MEIO A MEIO COM O SAULO)</t>
  </si>
  <si>
    <t>META</t>
  </si>
  <si>
    <t>VALOR</t>
  </si>
  <si>
    <t>QUANTIDADE</t>
  </si>
  <si>
    <t>VALOR DE TIVOS TOTAIS</t>
  </si>
  <si>
    <t>MESA</t>
  </si>
  <si>
    <t>MONITORES</t>
  </si>
  <si>
    <t>CADEIRAS</t>
  </si>
  <si>
    <t>-</t>
  </si>
  <si>
    <t>DATAS DE REFERÊNCIA</t>
  </si>
  <si>
    <t>LICENÇA</t>
  </si>
  <si>
    <t>kátia</t>
  </si>
  <si>
    <t>Nicolas</t>
  </si>
  <si>
    <t>ATIVOS</t>
  </si>
  <si>
    <t>COMPUTADORES</t>
  </si>
  <si>
    <t>MESA DIGITAL</t>
  </si>
  <si>
    <t>USO DE GÔNDOLA</t>
  </si>
  <si>
    <t>NÃO</t>
  </si>
  <si>
    <t>PERCENTUAL</t>
  </si>
  <si>
    <t>NOVO</t>
  </si>
  <si>
    <t>ENTREGAS PASSIVAS</t>
  </si>
  <si>
    <t>Dia das mães</t>
  </si>
  <si>
    <t>Aguardando a campanha do CCS para aproveitar o conceito</t>
  </si>
  <si>
    <t>ENTREGAS PASSIVAS (STATUS OK X NOVOS)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</si>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</sst>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-&quot;R$&quot;\ * #,##0.00_-;\-&quot;R$&quot;\ * #,##0.0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3" fillId="0" borderId="7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0" borderId="7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6" fillId="11" borderId="0" xfId="0" applyFont="1" applyFill="1" applyAlignment="1">
      <alignment wrapText="1"/>
    </xf>
    <xf numFmtId="0" fontId="0" fillId="0" borderId="11" xfId="0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11" fillId="0" borderId="17" xfId="4" applyFont="1" applyBorder="1" applyAlignment="1">
      <alignment horizontal="left"/>
    </xf>
    <xf numFmtId="14" fontId="5" fillId="0" borderId="17" xfId="6" applyNumberFormat="1" applyBorder="1" applyAlignment="1">
      <alignment horizontal="center"/>
    </xf>
    <xf numFmtId="0" fontId="12" fillId="7" borderId="17" xfId="0" applyFont="1" applyFill="1" applyBorder="1"/>
    <xf numFmtId="0" fontId="3" fillId="0" borderId="17" xfId="0" applyFont="1" applyBorder="1"/>
    <xf numFmtId="0" fontId="0" fillId="0" borderId="17" xfId="0" applyBorder="1"/>
    <xf numFmtId="9" fontId="0" fillId="0" borderId="17" xfId="5" applyFont="1" applyBorder="1"/>
    <xf numFmtId="44" fontId="0" fillId="0" borderId="17" xfId="7" applyFont="1" applyBorder="1"/>
    <xf numFmtId="0" fontId="2" fillId="7" borderId="17" xfId="0" applyFont="1" applyFill="1" applyBorder="1"/>
    <xf numFmtId="0" fontId="19" fillId="7" borderId="17" xfId="0" applyFont="1" applyFill="1" applyBorder="1"/>
    <xf numFmtId="0" fontId="0" fillId="12" borderId="0" xfId="0" applyFill="1"/>
    <xf numFmtId="164" fontId="0" fillId="0" borderId="17" xfId="0" applyNumberFormat="1" applyBorder="1"/>
    <xf numFmtId="0" fontId="2" fillId="7" borderId="19" xfId="0" applyFont="1" applyFill="1" applyBorder="1"/>
    <xf numFmtId="0" fontId="2" fillId="7" borderId="20" xfId="0" applyFont="1" applyFill="1" applyBorder="1"/>
    <xf numFmtId="44" fontId="0" fillId="0" borderId="17" xfId="7" applyFont="1" applyBorder="1" applyAlignment="1">
      <alignment horizontal="center"/>
    </xf>
    <xf numFmtId="0" fontId="0" fillId="0" borderId="17" xfId="0" applyBorder="1" applyAlignment="1">
      <alignment horizontal="center"/>
    </xf>
    <xf numFmtId="164" fontId="0" fillId="0" borderId="0" xfId="0" applyNumberFormat="1"/>
    <xf numFmtId="44" fontId="0" fillId="0" borderId="0" xfId="0" applyNumberFormat="1"/>
    <xf numFmtId="0" fontId="0" fillId="3" borderId="17" xfId="0" applyFill="1" applyBorder="1"/>
    <xf numFmtId="9" fontId="0" fillId="3" borderId="17" xfId="5" applyFont="1" applyFill="1" applyBorder="1"/>
    <xf numFmtId="9" fontId="0" fillId="0" borderId="0" xfId="5" applyFont="1"/>
    <xf numFmtId="0" fontId="2" fillId="6" borderId="0" xfId="0" applyFont="1" applyFill="1" applyBorder="1" applyAlignment="1">
      <alignment horizontal="center" vertical="center" wrapText="1"/>
    </xf>
    <xf numFmtId="0" fontId="19" fillId="6" borderId="0" xfId="0" applyFont="1" applyFill="1" applyAlignment="1">
      <alignment horizontal="center"/>
    </xf>
    <xf numFmtId="0" fontId="21" fillId="6" borderId="17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/>
    </xf>
    <xf numFmtId="0" fontId="20" fillId="0" borderId="17" xfId="0" applyFont="1" applyBorder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12" fillId="7" borderId="18" xfId="0" applyFont="1" applyFill="1" applyBorder="1" applyAlignment="1">
      <alignment horizontal="center"/>
    </xf>
    <xf numFmtId="0" fontId="12" fillId="7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6" fillId="0" borderId="14" xfId="0" applyFont="1" applyBorder="1" applyAlignment="1">
      <alignment horizontal="left" vertical="center" wrapText="1"/>
    </xf>
  </cellXfs>
  <cellStyles count="8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  <cellStyle name="Vírgula" xfId="6" builtinId="3"/>
  </cellStyles>
  <dxfs count="799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798" dataDxfId="796" headerRowBorderDxfId="797" tableBorderDxfId="795" totalsRowBorderDxfId="794">
  <autoFilter ref="A1:R76" xr:uid="{616F6AF9-6EAE-4A73-9A90-ADE7B9B5259E}"/>
  <tableColumns count="18">
    <tableColumn id="1" xr3:uid="{F146CF48-D71A-4EED-80CA-3AA40AF95FD3}" name="Cliente" dataDxfId="793"/>
    <tableColumn id="2" xr3:uid="{852BBA59-8C61-46AA-B1FC-AD57362BD51C}" name="Origem" dataDxfId="792"/>
    <tableColumn id="3" xr3:uid="{0AC20F3E-C46F-48B3-A0A2-BA7FB5CC4FD8}" name="Atribuição" dataDxfId="791"/>
    <tableColumn id="4" xr3:uid="{CEB4E2A3-D390-40A3-A001-CE5C81CD9C77}" name="Nome do Chamado" dataDxfId="790"/>
    <tableColumn id="5" xr3:uid="{E86557CC-0D66-4E7B-8E88-DB9025FBF200}" name="Peça" dataDxfId="789"/>
    <tableColumn id="6" xr3:uid="{B049232B-E2B4-4E5C-86B6-0C56FF4643C5}" name="Quantidade" dataDxfId="788"/>
    <tableColumn id="7" xr3:uid="{995B993C-B9D2-4BD9-BAF5-67E34CDF78D0}" name="Data de Solicitação" dataDxfId="787"/>
    <tableColumn id="8" xr3:uid="{8A00E518-CFE2-40B3-8D28-08F2378717BA}" name="Prazo" dataDxfId="786"/>
    <tableColumn id="9" xr3:uid="{813E9AD4-3CD5-4BA5-90A6-EF7F7A8AC1A9}" name="Data de Conclusão" dataDxfId="785"/>
    <tableColumn id="10" xr3:uid="{D9A5A2C8-E4B4-4885-A4C3-98F9794B60EC}" name="Observações" dataDxfId="784"/>
    <tableColumn id="11" xr3:uid="{F2AD789C-C60A-443B-9A23-D509C6A58154}" name="Status" dataDxfId="783"/>
    <tableColumn id="12" xr3:uid="{7EEF3A3E-03D9-49D8-8DEC-2BB0DD69A30C}" name="Categoria" dataDxfId="782"/>
    <tableColumn id="13" xr3:uid="{6928BA96-ED7A-4B2B-A563-C5A76D428AEF}" name="Serviço" dataDxfId="781"/>
    <tableColumn id="14" xr3:uid="{ABEE7031-7072-497F-9C73-B55CBBF8288C}" name="Alterações" dataDxfId="780"/>
    <tableColumn id="15" xr3:uid="{2DAA5FAC-9B0A-4FA5-9BFA-07E920CBCDD8}" name="Gôndola" dataDxfId="779"/>
    <tableColumn id="16" xr3:uid="{0D15E0C3-0A9E-44E1-B290-3CFB8B046411}" name="Boas Práticas" dataDxfId="778"/>
    <tableColumn id="17" xr3:uid="{A59AF398-671E-462C-A8C0-A6052AC6411E}" name="Briefing" dataDxfId="777"/>
    <tableColumn id="18" xr3:uid="{9D832114-F9E5-45B0-9422-415C97D1B46A}" name="Retorno à Central" dataDxfId="77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775" dataDxfId="773" headerRowBorderDxfId="774" tableBorderDxfId="772" totalsRowBorderDxfId="771">
  <autoFilter ref="A1:R168" xr:uid="{2E4D77A8-4C08-4B13-BF3A-04E375640B47}"/>
  <tableColumns count="18">
    <tableColumn id="1" xr3:uid="{E529FC9D-A4A3-472F-9A39-A1FD6F7CAF72}" name="Cliente" dataDxfId="770"/>
    <tableColumn id="2" xr3:uid="{D19CF4B0-59F7-4DCF-A0EA-0A35D5622A3C}" name="Origem" dataDxfId="769"/>
    <tableColumn id="3" xr3:uid="{4BF6B879-83D2-473B-AC82-958CE99AC2AB}" name="Atribuição" dataDxfId="768"/>
    <tableColumn id="4" xr3:uid="{91CEC4D9-6DF4-44F3-A425-980B7D4E9ACD}" name="Nome do Chamado" dataDxfId="767"/>
    <tableColumn id="5" xr3:uid="{C551859E-D338-414D-8F3A-CE890D1BE3C2}" name="Peça" dataDxfId="766"/>
    <tableColumn id="6" xr3:uid="{0593A3B7-BC9A-4993-8A5C-5D69BE9D577E}" name="Quantidade" dataDxfId="765"/>
    <tableColumn id="7" xr3:uid="{72D11B73-7872-4FBA-AC16-8044ED61E0C6}" name="Data de Solicitação" dataDxfId="764"/>
    <tableColumn id="8" xr3:uid="{29708A1F-D155-453B-B57B-4D9F28B021D9}" name="Prazo" dataDxfId="763"/>
    <tableColumn id="9" xr3:uid="{4FFA0775-36BA-4BC3-9963-0EC103A33337}" name="Data de Conclusão" dataDxfId="762"/>
    <tableColumn id="10" xr3:uid="{4FDCB311-4255-4DE7-B210-97193729FE6C}" name="Observações" dataDxfId="761"/>
    <tableColumn id="11" xr3:uid="{82D683FB-783A-41D1-828D-B5C6BB384765}" name="Status" dataDxfId="760"/>
    <tableColumn id="12" xr3:uid="{25F7ADB0-9160-45E8-8ACF-DF0FB283758C}" name="Categoria" dataDxfId="759"/>
    <tableColumn id="13" xr3:uid="{32D01AEF-FC1F-46A6-970A-10020705193F}" name="Serviço" dataDxfId="758"/>
    <tableColumn id="14" xr3:uid="{8E66B55B-4188-41CE-930E-F6B06DED68BA}" name="Alterações" dataDxfId="757"/>
    <tableColumn id="15" xr3:uid="{8C4BF246-0D63-4AAC-A6BF-90E60057FC95}" name="Gôndola" dataDxfId="756"/>
    <tableColumn id="16" xr3:uid="{F12B6C75-F0E8-4C1D-BCCA-015381DD67BD}" name="Boas Práticas" dataDxfId="755"/>
    <tableColumn id="17" xr3:uid="{9EE7C5DF-6E9F-4A1D-BDB4-B3ADC44EEEC0}" name="Briefing" dataDxfId="754"/>
    <tableColumn id="18" xr3:uid="{2D20CD8C-B38D-4EF6-ACEE-C21B224DF743}" name="Retorno à Central" dataDxfId="75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57" totalsRowShown="0" headerRowDxfId="752" dataDxfId="750" headerRowBorderDxfId="751" tableBorderDxfId="749" totalsRowBorderDxfId="748">
  <autoFilter ref="A1:R157" xr:uid="{3051176B-438F-4271-ACAD-CF30C5DF5CAC}"/>
  <tableColumns count="18">
    <tableColumn id="1" xr3:uid="{C0B018AA-625E-4173-94F1-79C5CF5DFCE5}" name="Cliente" dataDxfId="747"/>
    <tableColumn id="2" xr3:uid="{467AB80A-C739-4D99-AB97-B4B1FA2860A6}" name="Origem" dataDxfId="746"/>
    <tableColumn id="3" xr3:uid="{18F6A625-AF03-42D3-B722-8E6D05E744A0}" name="Atribuição" dataDxfId="745"/>
    <tableColumn id="4" xr3:uid="{20314FFE-CB82-493E-8D10-880F1C51B63E}" name="Nome do Chamado" dataDxfId="744"/>
    <tableColumn id="5" xr3:uid="{96BFCD42-1E0E-4A84-8F0B-8A89C35DCE7E}" name="Peça" dataDxfId="743"/>
    <tableColumn id="6" xr3:uid="{E89B28E1-5307-4547-BDF3-D13C9ED19AFF}" name="Quantidade" dataDxfId="742"/>
    <tableColumn id="7" xr3:uid="{D7A10DAF-2BCC-4932-80BC-C23C5ECD8BE7}" name="Data de Solicitação" dataDxfId="741"/>
    <tableColumn id="8" xr3:uid="{515542AC-BD24-423B-A95D-AEAF6C59B5A2}" name="Prazo" dataDxfId="740"/>
    <tableColumn id="9" xr3:uid="{9B530D3C-A9AC-4BC0-B370-BB142507E6F2}" name="Data de Conclusão" dataDxfId="739"/>
    <tableColumn id="10" xr3:uid="{75EB291C-CC0C-42DF-8305-8F4BDE8292B3}" name="Observações" dataDxfId="738"/>
    <tableColumn id="11" xr3:uid="{2DFE04B7-9CB1-451B-B127-5595870D35C9}" name="Status" dataDxfId="737"/>
    <tableColumn id="12" xr3:uid="{3F2EA5E4-9D12-4B8C-A0BD-1622C27747C2}" name="Categoria" dataDxfId="736"/>
    <tableColumn id="13" xr3:uid="{9CDB402A-F988-48A6-849D-FD1A8B3F5E42}" name="Serviço" dataDxfId="735"/>
    <tableColumn id="14" xr3:uid="{5B03F5D3-29FA-41B4-9B22-A56C629CCA8D}" name="Alterações" dataDxfId="734"/>
    <tableColumn id="15" xr3:uid="{701CDBDE-D064-4293-92E0-171F5B137E5B}" name="Gôndola" dataDxfId="733"/>
    <tableColumn id="16" xr3:uid="{CC3F4C76-9520-4548-A55D-F5A421B38019}" name="Boas Práticas" dataDxfId="732"/>
    <tableColumn id="17" xr3:uid="{A6116C2E-6880-4FE1-A63E-4EA720B7706F}" name="Briefing" dataDxfId="731"/>
    <tableColumn id="18" xr3:uid="{153E624F-C855-4F2F-B874-2CAC71897837}" name="Retorno à Central" dataDxfId="73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FB56C2-A111-45AF-86E3-23B1EEB12211}" name="Tabela132324242" displayName="Tabela132324242" ref="A1:R95" totalsRowShown="0" headerRowDxfId="729" dataDxfId="727" headerRowBorderDxfId="728" tableBorderDxfId="726" totalsRowBorderDxfId="725">
  <autoFilter ref="A1:R95" xr:uid="{81CF2D9D-9194-4B32-A5F6-FE07AABA185D}"/>
  <tableColumns count="18">
    <tableColumn id="1" xr3:uid="{1BE016B1-04EE-4382-AF5F-6C75624730DD}" name="Cliente" dataDxfId="724"/>
    <tableColumn id="2" xr3:uid="{CF6BF5C6-A503-4670-BC4E-D9E83F66019E}" name="Origem" dataDxfId="723"/>
    <tableColumn id="3" xr3:uid="{1E8A07E7-0F1D-490C-8761-A9BA63744912}" name="Atribuição" dataDxfId="722"/>
    <tableColumn id="4" xr3:uid="{A2575925-FCDA-4A6B-A819-1B75A7399343}" name="Nome do Chamado" dataDxfId="721"/>
    <tableColumn id="5" xr3:uid="{6ED3141C-D0CF-43CF-A9F5-AD8A3AE34D83}" name="Peça" dataDxfId="720"/>
    <tableColumn id="6" xr3:uid="{A07E4800-F20B-4A42-960D-B35AC61DF709}" name="Quantidade" dataDxfId="719"/>
    <tableColumn id="7" xr3:uid="{B279D2C3-2C3D-4BD8-AFC9-9D78C0573163}" name="Data de Solicitação" dataDxfId="718"/>
    <tableColumn id="8" xr3:uid="{6320C2E9-5282-4E39-B48E-DDE2A7AB3719}" name="Prazo" dataDxfId="717"/>
    <tableColumn id="9" xr3:uid="{1B9BE6C3-67BE-4B71-8611-6CB2C7936F5D}" name="Data de Conclusão" dataDxfId="716"/>
    <tableColumn id="10" xr3:uid="{B966A272-F798-4BB7-A260-791056774F47}" name="Observações" dataDxfId="715"/>
    <tableColumn id="11" xr3:uid="{CAA9DD95-D738-4488-A4D7-2E2FC082BEDD}" name="Status" dataDxfId="714"/>
    <tableColumn id="12" xr3:uid="{EE7A30A3-0DC8-4795-95A1-40E62ECDE7BB}" name="Categoria" dataDxfId="713"/>
    <tableColumn id="13" xr3:uid="{65F0B77E-3DC9-49CC-9F01-51F32617EBAB}" name="Serviço" dataDxfId="712"/>
    <tableColumn id="14" xr3:uid="{0653B443-31B6-4D00-AB97-A06D9E4A8F76}" name="Alterações" dataDxfId="711"/>
    <tableColumn id="15" xr3:uid="{6287A14F-5371-44CF-81D0-2C820C2A8556}" name="Gôndola" dataDxfId="710"/>
    <tableColumn id="16" xr3:uid="{F62448DF-353B-4DD1-B5F9-2C1C88C58E6D}" name="Boas Práticas" dataDxfId="709"/>
    <tableColumn id="17" xr3:uid="{C5519C04-0C5A-48F2-84E0-30A38C8B1D0C}" name="Briefing" dataDxfId="708"/>
    <tableColumn id="18" xr3:uid="{BA47B644-2B2F-4EA9-B8FE-C966EC61950E}" name="Retorno à Central" dataDxfId="70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504"/>
  <sheetViews>
    <sheetView zoomScale="70" zoomScaleNormal="70" workbookViewId="0">
      <selection activeCell="S1" sqref="S1:S104857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6.5703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9" width="18.85546875" customWidth="1"/>
  </cols>
  <sheetData>
    <row r="1" spans="1:19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4" t="s">
        <v>6</v>
      </c>
      <c r="H1" s="34" t="s">
        <v>7</v>
      </c>
      <c r="I1" s="34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93" t="s">
        <v>609</v>
      </c>
    </row>
    <row r="2" spans="1:19" x14ac:dyDescent="0.25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I2" s="5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  <c r="S2">
        <f>I2-H2</f>
        <v>0</v>
      </c>
    </row>
    <row r="3" spans="1:19" x14ac:dyDescent="0.25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  <c r="S3">
        <f t="shared" ref="S3:S66" si="0">I3-H3</f>
        <v>0</v>
      </c>
    </row>
    <row r="4" spans="1:19" x14ac:dyDescent="0.25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  <c r="S4">
        <f t="shared" si="0"/>
        <v>0</v>
      </c>
    </row>
    <row r="5" spans="1:19" x14ac:dyDescent="0.25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  <c r="S5">
        <f t="shared" si="0"/>
        <v>0</v>
      </c>
    </row>
    <row r="6" spans="1:19" x14ac:dyDescent="0.25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  <c r="S6">
        <f t="shared" si="0"/>
        <v>0</v>
      </c>
    </row>
    <row r="7" spans="1:19" x14ac:dyDescent="0.25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  <c r="S7">
        <f t="shared" si="0"/>
        <v>0</v>
      </c>
    </row>
    <row r="8" spans="1:19" x14ac:dyDescent="0.25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  <c r="S8">
        <f t="shared" si="0"/>
        <v>0</v>
      </c>
    </row>
    <row r="9" spans="1:19" x14ac:dyDescent="0.25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  <c r="S9">
        <f t="shared" si="0"/>
        <v>0</v>
      </c>
    </row>
    <row r="10" spans="1:19" x14ac:dyDescent="0.25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  <c r="S10">
        <f t="shared" si="0"/>
        <v>0</v>
      </c>
    </row>
    <row r="11" spans="1:19" x14ac:dyDescent="0.25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  <c r="S11">
        <f t="shared" si="0"/>
        <v>0</v>
      </c>
    </row>
    <row r="12" spans="1:19" x14ac:dyDescent="0.25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5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  <c r="S12">
        <f t="shared" si="0"/>
        <v>0</v>
      </c>
    </row>
    <row r="13" spans="1:19" x14ac:dyDescent="0.25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  <c r="S13">
        <f t="shared" si="0"/>
        <v>0</v>
      </c>
    </row>
    <row r="14" spans="1:19" x14ac:dyDescent="0.25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  <c r="S14">
        <f t="shared" si="0"/>
        <v>0</v>
      </c>
    </row>
    <row r="15" spans="1:19" x14ac:dyDescent="0.25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5">
        <v>44216</v>
      </c>
      <c r="K15" s="5" t="s">
        <v>23</v>
      </c>
      <c r="S15">
        <f t="shared" si="0"/>
        <v>-1</v>
      </c>
    </row>
    <row r="16" spans="1:19" x14ac:dyDescent="0.25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  <c r="S16">
        <f t="shared" si="0"/>
        <v>0</v>
      </c>
    </row>
    <row r="17" spans="1:19" x14ac:dyDescent="0.25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  <c r="S17">
        <f t="shared" si="0"/>
        <v>0</v>
      </c>
    </row>
    <row r="18" spans="1:19" x14ac:dyDescent="0.25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5">
        <v>44216</v>
      </c>
      <c r="K18" s="5" t="s">
        <v>23</v>
      </c>
      <c r="L18" t="s">
        <v>24</v>
      </c>
      <c r="S18">
        <f t="shared" si="0"/>
        <v>0</v>
      </c>
    </row>
    <row r="19" spans="1:19" x14ac:dyDescent="0.25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  <c r="S19">
        <f t="shared" si="0"/>
        <v>0</v>
      </c>
    </row>
    <row r="20" spans="1:19" x14ac:dyDescent="0.25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  <c r="S20">
        <f t="shared" si="0"/>
        <v>0</v>
      </c>
    </row>
    <row r="21" spans="1:19" x14ac:dyDescent="0.25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  <c r="S21">
        <f t="shared" si="0"/>
        <v>0</v>
      </c>
    </row>
    <row r="22" spans="1:19" x14ac:dyDescent="0.25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  <c r="S22">
        <f t="shared" si="0"/>
        <v>0</v>
      </c>
    </row>
    <row r="23" spans="1:19" x14ac:dyDescent="0.25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  <c r="S23">
        <f t="shared" si="0"/>
        <v>0</v>
      </c>
    </row>
    <row r="24" spans="1:19" x14ac:dyDescent="0.25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  <c r="S24">
        <f t="shared" si="0"/>
        <v>0</v>
      </c>
    </row>
    <row r="25" spans="1:19" x14ac:dyDescent="0.25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5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  <c r="S25">
        <f t="shared" si="0"/>
        <v>0</v>
      </c>
    </row>
    <row r="26" spans="1:19" x14ac:dyDescent="0.25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  <c r="S26">
        <f t="shared" si="0"/>
        <v>0</v>
      </c>
    </row>
    <row r="27" spans="1:19" x14ac:dyDescent="0.25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5">
        <v>44221</v>
      </c>
      <c r="J27" s="5" t="s">
        <v>74</v>
      </c>
      <c r="K27" s="5" t="s">
        <v>23</v>
      </c>
      <c r="S27">
        <f t="shared" si="0"/>
        <v>0</v>
      </c>
    </row>
    <row r="28" spans="1:19" x14ac:dyDescent="0.25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36</v>
      </c>
      <c r="O28" t="s">
        <v>37</v>
      </c>
      <c r="S28">
        <f t="shared" si="0"/>
        <v>0</v>
      </c>
    </row>
    <row r="29" spans="1:19" x14ac:dyDescent="0.25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  <c r="S29">
        <f t="shared" si="0"/>
        <v>0</v>
      </c>
    </row>
    <row r="30" spans="1:19" x14ac:dyDescent="0.25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  <c r="S30">
        <f t="shared" si="0"/>
        <v>0</v>
      </c>
    </row>
    <row r="31" spans="1:19" x14ac:dyDescent="0.25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  <c r="S31">
        <f t="shared" si="0"/>
        <v>0</v>
      </c>
    </row>
    <row r="32" spans="1:19" x14ac:dyDescent="0.25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  <c r="S32">
        <f t="shared" si="0"/>
        <v>0</v>
      </c>
    </row>
    <row r="33" spans="1:19" x14ac:dyDescent="0.25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  <c r="S33">
        <f t="shared" si="0"/>
        <v>0</v>
      </c>
    </row>
    <row r="34" spans="1:19" x14ac:dyDescent="0.25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  <c r="S34">
        <f t="shared" si="0"/>
        <v>0</v>
      </c>
    </row>
    <row r="35" spans="1:19" x14ac:dyDescent="0.25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5">
        <v>44216</v>
      </c>
      <c r="K35" s="5" t="s">
        <v>23</v>
      </c>
      <c r="S35">
        <f t="shared" si="0"/>
        <v>-1</v>
      </c>
    </row>
    <row r="36" spans="1:19" x14ac:dyDescent="0.25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  <c r="S36">
        <f t="shared" si="0"/>
        <v>-1</v>
      </c>
    </row>
    <row r="37" spans="1:19" x14ac:dyDescent="0.25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  <c r="S37">
        <f t="shared" si="0"/>
        <v>-1</v>
      </c>
    </row>
    <row r="38" spans="1:19" x14ac:dyDescent="0.25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  <c r="S38">
        <f t="shared" si="0"/>
        <v>0</v>
      </c>
    </row>
    <row r="39" spans="1:19" x14ac:dyDescent="0.25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5">
        <v>44211</v>
      </c>
      <c r="K39" s="5" t="s">
        <v>23</v>
      </c>
      <c r="L39" t="s">
        <v>24</v>
      </c>
      <c r="S39">
        <f t="shared" si="0"/>
        <v>3</v>
      </c>
    </row>
    <row r="40" spans="1:19" x14ac:dyDescent="0.25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37</v>
      </c>
      <c r="S40">
        <f t="shared" si="0"/>
        <v>-1</v>
      </c>
    </row>
    <row r="41" spans="1:19" x14ac:dyDescent="0.25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5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  <c r="S41">
        <f t="shared" si="0"/>
        <v>0</v>
      </c>
    </row>
    <row r="42" spans="1:19" x14ac:dyDescent="0.25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5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  <c r="S42">
        <f t="shared" si="0"/>
        <v>0</v>
      </c>
    </row>
    <row r="43" spans="1:19" x14ac:dyDescent="0.25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  <c r="S43">
        <f t="shared" si="0"/>
        <v>-5</v>
      </c>
    </row>
    <row r="44" spans="1:19" x14ac:dyDescent="0.25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36</v>
      </c>
      <c r="O44" t="s">
        <v>37</v>
      </c>
      <c r="S44">
        <f t="shared" si="0"/>
        <v>0</v>
      </c>
    </row>
    <row r="45" spans="1:19" x14ac:dyDescent="0.25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37</v>
      </c>
      <c r="S45">
        <f t="shared" si="0"/>
        <v>0</v>
      </c>
    </row>
    <row r="46" spans="1:19" x14ac:dyDescent="0.25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  <c r="S46">
        <f t="shared" si="0"/>
        <v>0</v>
      </c>
    </row>
    <row r="47" spans="1:19" x14ac:dyDescent="0.25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  <c r="S47">
        <f t="shared" si="0"/>
        <v>0</v>
      </c>
    </row>
    <row r="48" spans="1:19" x14ac:dyDescent="0.25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5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  <c r="S48">
        <f t="shared" si="0"/>
        <v>0</v>
      </c>
    </row>
    <row r="49" spans="1:19" x14ac:dyDescent="0.25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5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  <c r="S49">
        <f t="shared" si="0"/>
        <v>0</v>
      </c>
    </row>
    <row r="50" spans="1:19" x14ac:dyDescent="0.25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5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  <c r="S50">
        <f t="shared" si="0"/>
        <v>0</v>
      </c>
    </row>
    <row r="51" spans="1:19" x14ac:dyDescent="0.25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5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  <c r="S51">
        <f t="shared" si="0"/>
        <v>0</v>
      </c>
    </row>
    <row r="52" spans="1:19" x14ac:dyDescent="0.25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5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  <c r="S52">
        <f t="shared" si="0"/>
        <v>0</v>
      </c>
    </row>
    <row r="53" spans="1:19" x14ac:dyDescent="0.25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5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  <c r="S53">
        <f t="shared" si="0"/>
        <v>0</v>
      </c>
    </row>
    <row r="54" spans="1:19" x14ac:dyDescent="0.25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  <c r="S54">
        <f t="shared" si="0"/>
        <v>0</v>
      </c>
    </row>
    <row r="55" spans="1:19" x14ac:dyDescent="0.25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  <c r="S55">
        <f t="shared" si="0"/>
        <v>0</v>
      </c>
    </row>
    <row r="56" spans="1:19" x14ac:dyDescent="0.25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  <c r="S56">
        <f t="shared" si="0"/>
        <v>0</v>
      </c>
    </row>
    <row r="57" spans="1:19" x14ac:dyDescent="0.25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5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  <c r="S57">
        <f t="shared" si="0"/>
        <v>0</v>
      </c>
    </row>
    <row r="58" spans="1:19" x14ac:dyDescent="0.25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  <c r="S58">
        <f t="shared" si="0"/>
        <v>4</v>
      </c>
    </row>
    <row r="59" spans="1:19" x14ac:dyDescent="0.25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5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  <c r="S59">
        <f t="shared" si="0"/>
        <v>4</v>
      </c>
    </row>
    <row r="60" spans="1:19" x14ac:dyDescent="0.25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  <c r="S60">
        <f t="shared" si="0"/>
        <v>4</v>
      </c>
    </row>
    <row r="61" spans="1:19" x14ac:dyDescent="0.25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  <c r="S61">
        <f t="shared" si="0"/>
        <v>4</v>
      </c>
    </row>
    <row r="62" spans="1:19" x14ac:dyDescent="0.25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  <c r="S62">
        <f t="shared" si="0"/>
        <v>4</v>
      </c>
    </row>
    <row r="63" spans="1:19" x14ac:dyDescent="0.25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  <c r="S63">
        <f t="shared" si="0"/>
        <v>4</v>
      </c>
    </row>
    <row r="64" spans="1:19" x14ac:dyDescent="0.25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5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  <c r="S64">
        <f t="shared" si="0"/>
        <v>4</v>
      </c>
    </row>
    <row r="65" spans="1:19" x14ac:dyDescent="0.25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5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  <c r="S65">
        <f t="shared" si="0"/>
        <v>4</v>
      </c>
    </row>
    <row r="66" spans="1:19" x14ac:dyDescent="0.25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5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  <c r="S66">
        <f t="shared" si="0"/>
        <v>4</v>
      </c>
    </row>
    <row r="67" spans="1:19" x14ac:dyDescent="0.25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5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  <c r="S67">
        <f t="shared" ref="S67:S130" si="1">I67-H67</f>
        <v>0</v>
      </c>
    </row>
    <row r="68" spans="1:19" x14ac:dyDescent="0.25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57</v>
      </c>
      <c r="M68" t="s">
        <v>25</v>
      </c>
      <c r="O68" t="s">
        <v>37</v>
      </c>
      <c r="S68">
        <f t="shared" si="1"/>
        <v>0</v>
      </c>
    </row>
    <row r="69" spans="1:19" x14ac:dyDescent="0.25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  <c r="S69">
        <f t="shared" si="1"/>
        <v>0</v>
      </c>
    </row>
    <row r="70" spans="1:19" x14ac:dyDescent="0.25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24</v>
      </c>
      <c r="M70" t="s">
        <v>25</v>
      </c>
      <c r="O70" t="s">
        <v>37</v>
      </c>
      <c r="S70">
        <f t="shared" si="1"/>
        <v>0</v>
      </c>
    </row>
    <row r="71" spans="1:19" x14ac:dyDescent="0.25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24</v>
      </c>
      <c r="M71" t="s">
        <v>25</v>
      </c>
      <c r="O71" t="s">
        <v>37</v>
      </c>
      <c r="S71">
        <f t="shared" si="1"/>
        <v>0</v>
      </c>
    </row>
    <row r="72" spans="1:19" x14ac:dyDescent="0.25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24</v>
      </c>
      <c r="M72" t="s">
        <v>25</v>
      </c>
      <c r="O72" t="s">
        <v>37</v>
      </c>
      <c r="S72">
        <f t="shared" si="1"/>
        <v>0</v>
      </c>
    </row>
    <row r="73" spans="1:19" x14ac:dyDescent="0.25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  <c r="S73">
        <f t="shared" si="1"/>
        <v>0</v>
      </c>
    </row>
    <row r="74" spans="1:19" x14ac:dyDescent="0.25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  <c r="S74">
        <f t="shared" si="1"/>
        <v>0</v>
      </c>
    </row>
    <row r="75" spans="1:19" x14ac:dyDescent="0.25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  <c r="S75">
        <f t="shared" si="1"/>
        <v>0</v>
      </c>
    </row>
    <row r="76" spans="1:19" x14ac:dyDescent="0.25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  <c r="S76">
        <f t="shared" si="1"/>
        <v>0</v>
      </c>
    </row>
    <row r="77" spans="1:19" x14ac:dyDescent="0.25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5">
        <v>44228</v>
      </c>
      <c r="K77" s="5" t="s">
        <v>23</v>
      </c>
      <c r="L77" t="s">
        <v>24</v>
      </c>
      <c r="M77" t="s">
        <v>33</v>
      </c>
      <c r="O77" t="s">
        <v>37</v>
      </c>
      <c r="S77">
        <f t="shared" si="1"/>
        <v>3</v>
      </c>
    </row>
    <row r="78" spans="1:19" x14ac:dyDescent="0.25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5">
        <v>44228</v>
      </c>
      <c r="J78" s="5" t="s">
        <v>134</v>
      </c>
      <c r="K78" s="5" t="s">
        <v>23</v>
      </c>
      <c r="L78" t="s">
        <v>57</v>
      </c>
      <c r="O78" t="s">
        <v>37</v>
      </c>
      <c r="S78">
        <f t="shared" si="1"/>
        <v>0</v>
      </c>
    </row>
    <row r="79" spans="1:19" x14ac:dyDescent="0.25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5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  <c r="S79">
        <f t="shared" si="1"/>
        <v>39</v>
      </c>
    </row>
    <row r="80" spans="1:19" x14ac:dyDescent="0.25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5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  <c r="S80">
        <f t="shared" si="1"/>
        <v>39</v>
      </c>
    </row>
    <row r="81" spans="1:19" x14ac:dyDescent="0.25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5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  <c r="S81">
        <f t="shared" si="1"/>
        <v>39</v>
      </c>
    </row>
    <row r="82" spans="1:19" x14ac:dyDescent="0.25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5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  <c r="S82">
        <f t="shared" si="1"/>
        <v>6</v>
      </c>
    </row>
    <row r="83" spans="1:19" x14ac:dyDescent="0.25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5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  <c r="S83">
        <f t="shared" si="1"/>
        <v>6</v>
      </c>
    </row>
    <row r="84" spans="1:19" x14ac:dyDescent="0.25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5">
        <v>44218</v>
      </c>
      <c r="K84" s="5" t="s">
        <v>23</v>
      </c>
      <c r="S84">
        <f t="shared" si="1"/>
        <v>0</v>
      </c>
    </row>
    <row r="85" spans="1:19" x14ac:dyDescent="0.25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5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  <c r="S85">
        <f t="shared" si="1"/>
        <v>-2</v>
      </c>
    </row>
    <row r="86" spans="1:19" x14ac:dyDescent="0.25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5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  <c r="S86">
        <f t="shared" si="1"/>
        <v>-2</v>
      </c>
    </row>
    <row r="87" spans="1:19" x14ac:dyDescent="0.25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5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  <c r="S87">
        <f t="shared" si="1"/>
        <v>-2</v>
      </c>
    </row>
    <row r="88" spans="1:19" x14ac:dyDescent="0.25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5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  <c r="S88">
        <f t="shared" si="1"/>
        <v>-2</v>
      </c>
    </row>
    <row r="89" spans="1:19" x14ac:dyDescent="0.25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5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  <c r="S89">
        <f t="shared" si="1"/>
        <v>-2</v>
      </c>
    </row>
    <row r="90" spans="1:19" x14ac:dyDescent="0.25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5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  <c r="S90">
        <f t="shared" si="1"/>
        <v>-5</v>
      </c>
    </row>
    <row r="91" spans="1:19" x14ac:dyDescent="0.25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5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  <c r="S91">
        <f t="shared" si="1"/>
        <v>1</v>
      </c>
    </row>
    <row r="92" spans="1:19" x14ac:dyDescent="0.25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5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  <c r="S92">
        <f t="shared" si="1"/>
        <v>0</v>
      </c>
    </row>
    <row r="93" spans="1:19" x14ac:dyDescent="0.25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5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  <c r="S93">
        <f t="shared" si="1"/>
        <v>0</v>
      </c>
    </row>
    <row r="94" spans="1:19" x14ac:dyDescent="0.25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5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  <c r="S94">
        <f t="shared" si="1"/>
        <v>0</v>
      </c>
    </row>
    <row r="95" spans="1:19" x14ac:dyDescent="0.25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5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  <c r="S95">
        <f t="shared" si="1"/>
        <v>0</v>
      </c>
    </row>
    <row r="96" spans="1:19" x14ac:dyDescent="0.25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5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  <c r="S96">
        <f t="shared" si="1"/>
        <v>0</v>
      </c>
    </row>
    <row r="97" spans="1:19" x14ac:dyDescent="0.25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5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  <c r="S97">
        <f t="shared" si="1"/>
        <v>-3</v>
      </c>
    </row>
    <row r="98" spans="1:19" x14ac:dyDescent="0.25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5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  <c r="S98">
        <f t="shared" si="1"/>
        <v>-3</v>
      </c>
    </row>
    <row r="99" spans="1:19" x14ac:dyDescent="0.25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5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  <c r="S99">
        <f t="shared" si="1"/>
        <v>-3</v>
      </c>
    </row>
    <row r="100" spans="1:19" x14ac:dyDescent="0.25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5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  <c r="S100">
        <f t="shared" si="1"/>
        <v>-3</v>
      </c>
    </row>
    <row r="101" spans="1:19" x14ac:dyDescent="0.25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5">
        <v>44221</v>
      </c>
      <c r="J101" s="5" t="s">
        <v>154</v>
      </c>
      <c r="K101" s="5" t="s">
        <v>23</v>
      </c>
      <c r="L101" t="s">
        <v>24</v>
      </c>
      <c r="S101">
        <f t="shared" si="1"/>
        <v>5</v>
      </c>
    </row>
    <row r="102" spans="1:19" x14ac:dyDescent="0.25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5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  <c r="S102">
        <f t="shared" si="1"/>
        <v>21</v>
      </c>
    </row>
    <row r="103" spans="1:19" x14ac:dyDescent="0.25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5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  <c r="S103">
        <f t="shared" si="1"/>
        <v>21</v>
      </c>
    </row>
    <row r="104" spans="1:19" x14ac:dyDescent="0.25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5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  <c r="S104">
        <f t="shared" si="1"/>
        <v>0</v>
      </c>
    </row>
    <row r="105" spans="1:19" x14ac:dyDescent="0.25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5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  <c r="S105">
        <f t="shared" si="1"/>
        <v>11</v>
      </c>
    </row>
    <row r="106" spans="1:19" x14ac:dyDescent="0.25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5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  <c r="S106">
        <f t="shared" si="1"/>
        <v>0</v>
      </c>
    </row>
    <row r="107" spans="1:19" x14ac:dyDescent="0.25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5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  <c r="S107">
        <f t="shared" si="1"/>
        <v>18</v>
      </c>
    </row>
    <row r="108" spans="1:19" x14ac:dyDescent="0.25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5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  <c r="S108">
        <f t="shared" si="1"/>
        <v>18</v>
      </c>
    </row>
    <row r="109" spans="1:19" x14ac:dyDescent="0.25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5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  <c r="S109">
        <f t="shared" si="1"/>
        <v>0</v>
      </c>
    </row>
    <row r="110" spans="1:19" x14ac:dyDescent="0.25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5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  <c r="S110">
        <f t="shared" si="1"/>
        <v>0</v>
      </c>
    </row>
    <row r="111" spans="1:19" x14ac:dyDescent="0.25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5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  <c r="S111">
        <f t="shared" si="1"/>
        <v>0</v>
      </c>
    </row>
    <row r="112" spans="1:19" x14ac:dyDescent="0.25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5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  <c r="S112">
        <f t="shared" si="1"/>
        <v>0</v>
      </c>
    </row>
    <row r="113" spans="1:19" x14ac:dyDescent="0.25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5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  <c r="S113">
        <f t="shared" si="1"/>
        <v>0</v>
      </c>
    </row>
    <row r="114" spans="1:19" x14ac:dyDescent="0.25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5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  <c r="S114">
        <f t="shared" si="1"/>
        <v>0</v>
      </c>
    </row>
    <row r="115" spans="1:19" x14ac:dyDescent="0.25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5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  <c r="S115">
        <f t="shared" si="1"/>
        <v>0</v>
      </c>
    </row>
    <row r="116" spans="1:19" x14ac:dyDescent="0.25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5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  <c r="S116">
        <f t="shared" si="1"/>
        <v>0</v>
      </c>
    </row>
    <row r="117" spans="1:19" x14ac:dyDescent="0.25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5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  <c r="S117">
        <f t="shared" si="1"/>
        <v>0</v>
      </c>
    </row>
    <row r="118" spans="1:19" x14ac:dyDescent="0.25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5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  <c r="S118">
        <f t="shared" si="1"/>
        <v>0</v>
      </c>
    </row>
    <row r="119" spans="1:19" x14ac:dyDescent="0.25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5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  <c r="S119">
        <f t="shared" si="1"/>
        <v>0</v>
      </c>
    </row>
    <row r="120" spans="1:19" x14ac:dyDescent="0.25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5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  <c r="S120">
        <f t="shared" si="1"/>
        <v>0</v>
      </c>
    </row>
    <row r="121" spans="1:19" x14ac:dyDescent="0.25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5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  <c r="S121">
        <f t="shared" si="1"/>
        <v>0</v>
      </c>
    </row>
    <row r="122" spans="1:19" x14ac:dyDescent="0.25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5">
        <v>44232</v>
      </c>
      <c r="J122" s="5" t="s">
        <v>179</v>
      </c>
      <c r="K122" s="5" t="s">
        <v>23</v>
      </c>
      <c r="L122" t="s">
        <v>24</v>
      </c>
      <c r="M122" t="s">
        <v>25</v>
      </c>
      <c r="O122" t="s">
        <v>26</v>
      </c>
      <c r="P122" t="s">
        <v>26</v>
      </c>
      <c r="Q122" t="s">
        <v>27</v>
      </c>
      <c r="R122" t="s">
        <v>27</v>
      </c>
      <c r="S122">
        <f t="shared" si="1"/>
        <v>25</v>
      </c>
    </row>
    <row r="123" spans="1:19" x14ac:dyDescent="0.25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5">
        <v>44232</v>
      </c>
      <c r="J123" s="5" t="s">
        <v>179</v>
      </c>
      <c r="K123" s="5" t="s">
        <v>23</v>
      </c>
      <c r="L123" t="s">
        <v>24</v>
      </c>
      <c r="M123" t="s">
        <v>25</v>
      </c>
      <c r="O123" t="s">
        <v>26</v>
      </c>
      <c r="P123" t="s">
        <v>26</v>
      </c>
      <c r="Q123" t="s">
        <v>27</v>
      </c>
      <c r="R123" t="s">
        <v>27</v>
      </c>
      <c r="S123">
        <f t="shared" si="1"/>
        <v>25</v>
      </c>
    </row>
    <row r="124" spans="1:19" x14ac:dyDescent="0.25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5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  <c r="S124">
        <f t="shared" si="1"/>
        <v>45</v>
      </c>
    </row>
    <row r="125" spans="1:19" x14ac:dyDescent="0.25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5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  <c r="S125">
        <f t="shared" si="1"/>
        <v>45</v>
      </c>
    </row>
    <row r="126" spans="1:19" x14ac:dyDescent="0.25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5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  <c r="S126">
        <f t="shared" si="1"/>
        <v>45</v>
      </c>
    </row>
    <row r="127" spans="1:19" x14ac:dyDescent="0.25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5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  <c r="S127">
        <f t="shared" si="1"/>
        <v>45</v>
      </c>
    </row>
    <row r="128" spans="1:19" x14ac:dyDescent="0.25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5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  <c r="S128">
        <f t="shared" si="1"/>
        <v>45</v>
      </c>
    </row>
    <row r="129" spans="1:19" x14ac:dyDescent="0.25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5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  <c r="S129">
        <f t="shared" si="1"/>
        <v>45</v>
      </c>
    </row>
    <row r="130" spans="1:19" x14ac:dyDescent="0.25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5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  <c r="S130">
        <f t="shared" si="1"/>
        <v>-1</v>
      </c>
    </row>
    <row r="131" spans="1:19" x14ac:dyDescent="0.25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5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  <c r="S131">
        <f t="shared" ref="S131:S194" si="2">I131-H131</f>
        <v>0</v>
      </c>
    </row>
    <row r="132" spans="1:19" x14ac:dyDescent="0.25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5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  <c r="S132">
        <f t="shared" si="2"/>
        <v>0</v>
      </c>
    </row>
    <row r="133" spans="1:19" x14ac:dyDescent="0.25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5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  <c r="S133">
        <f t="shared" si="2"/>
        <v>0</v>
      </c>
    </row>
    <row r="134" spans="1:19" x14ac:dyDescent="0.25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5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  <c r="S134">
        <f t="shared" si="2"/>
        <v>0</v>
      </c>
    </row>
    <row r="135" spans="1:19" x14ac:dyDescent="0.25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5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  <c r="S135">
        <f t="shared" si="2"/>
        <v>0</v>
      </c>
    </row>
    <row r="136" spans="1:19" x14ac:dyDescent="0.25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5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  <c r="S136">
        <f t="shared" si="2"/>
        <v>0</v>
      </c>
    </row>
    <row r="137" spans="1:19" x14ac:dyDescent="0.25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5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  <c r="S137">
        <f t="shared" si="2"/>
        <v>20</v>
      </c>
    </row>
    <row r="138" spans="1:19" x14ac:dyDescent="0.25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5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  <c r="S138">
        <f t="shared" si="2"/>
        <v>20</v>
      </c>
    </row>
    <row r="139" spans="1:19" x14ac:dyDescent="0.25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5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  <c r="S139">
        <f t="shared" si="2"/>
        <v>20</v>
      </c>
    </row>
    <row r="140" spans="1:19" x14ac:dyDescent="0.25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5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  <c r="S140">
        <f t="shared" si="2"/>
        <v>20</v>
      </c>
    </row>
    <row r="141" spans="1:19" x14ac:dyDescent="0.25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5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  <c r="S141">
        <f t="shared" si="2"/>
        <v>20</v>
      </c>
    </row>
    <row r="142" spans="1:19" x14ac:dyDescent="0.25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5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  <c r="S142">
        <f t="shared" si="2"/>
        <v>6</v>
      </c>
    </row>
    <row r="143" spans="1:19" x14ac:dyDescent="0.25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5">
        <v>44231</v>
      </c>
      <c r="J143" s="5" t="s">
        <v>190</v>
      </c>
      <c r="K143" s="5" t="s">
        <v>23</v>
      </c>
      <c r="L143" t="s">
        <v>24</v>
      </c>
      <c r="M143" t="s">
        <v>33</v>
      </c>
      <c r="S143">
        <f t="shared" si="2"/>
        <v>0</v>
      </c>
    </row>
    <row r="144" spans="1:19" x14ac:dyDescent="0.25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5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  <c r="S144">
        <f t="shared" si="2"/>
        <v>0</v>
      </c>
    </row>
    <row r="145" spans="1:19" x14ac:dyDescent="0.25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5">
        <v>44225</v>
      </c>
      <c r="K145" s="5" t="s">
        <v>23</v>
      </c>
      <c r="L145" t="s">
        <v>36</v>
      </c>
      <c r="M145" t="s">
        <v>25</v>
      </c>
      <c r="O145" t="s">
        <v>37</v>
      </c>
      <c r="S145">
        <f t="shared" si="2"/>
        <v>0</v>
      </c>
    </row>
    <row r="146" spans="1:19" x14ac:dyDescent="0.25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5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  <c r="S146">
        <f t="shared" si="2"/>
        <v>0</v>
      </c>
    </row>
    <row r="147" spans="1:19" x14ac:dyDescent="0.25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5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  <c r="S147">
        <f t="shared" si="2"/>
        <v>0</v>
      </c>
    </row>
    <row r="148" spans="1:19" x14ac:dyDescent="0.25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5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  <c r="S148">
        <f t="shared" si="2"/>
        <v>0</v>
      </c>
    </row>
    <row r="149" spans="1:19" x14ac:dyDescent="0.25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5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  <c r="S149">
        <f t="shared" si="2"/>
        <v>0</v>
      </c>
    </row>
    <row r="150" spans="1:19" x14ac:dyDescent="0.25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5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  <c r="S150">
        <f t="shared" si="2"/>
        <v>2</v>
      </c>
    </row>
    <row r="151" spans="1:19" x14ac:dyDescent="0.25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5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  <c r="S151">
        <f t="shared" si="2"/>
        <v>2</v>
      </c>
    </row>
    <row r="152" spans="1:19" x14ac:dyDescent="0.25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5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  <c r="S152">
        <f t="shared" si="2"/>
        <v>4</v>
      </c>
    </row>
    <row r="153" spans="1:19" x14ac:dyDescent="0.25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5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  <c r="S153">
        <f t="shared" si="2"/>
        <v>4</v>
      </c>
    </row>
    <row r="154" spans="1:19" x14ac:dyDescent="0.25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5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  <c r="S154">
        <f t="shared" si="2"/>
        <v>0</v>
      </c>
    </row>
    <row r="155" spans="1:19" x14ac:dyDescent="0.25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5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  <c r="S155">
        <f t="shared" si="2"/>
        <v>0</v>
      </c>
    </row>
    <row r="156" spans="1:19" x14ac:dyDescent="0.25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5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  <c r="S156">
        <f t="shared" si="2"/>
        <v>0</v>
      </c>
    </row>
    <row r="157" spans="1:19" x14ac:dyDescent="0.25">
      <c r="A157" t="s">
        <v>131</v>
      </c>
      <c r="B157">
        <v>213775</v>
      </c>
      <c r="C157" t="s">
        <v>139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5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  <c r="S157">
        <f t="shared" si="2"/>
        <v>0</v>
      </c>
    </row>
    <row r="158" spans="1:19" x14ac:dyDescent="0.25">
      <c r="A158" t="s">
        <v>131</v>
      </c>
      <c r="B158">
        <v>213775</v>
      </c>
      <c r="C158" t="s">
        <v>139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5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  <c r="S158">
        <f t="shared" si="2"/>
        <v>0</v>
      </c>
    </row>
    <row r="159" spans="1:19" x14ac:dyDescent="0.25">
      <c r="A159" t="s">
        <v>131</v>
      </c>
      <c r="B159">
        <v>213775</v>
      </c>
      <c r="C159" t="s">
        <v>139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5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  <c r="S159">
        <f t="shared" si="2"/>
        <v>0</v>
      </c>
    </row>
    <row r="160" spans="1:19" x14ac:dyDescent="0.25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5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  <c r="S160">
        <f t="shared" si="2"/>
        <v>0</v>
      </c>
    </row>
    <row r="161" spans="1:19" x14ac:dyDescent="0.25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5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  <c r="S161">
        <f t="shared" si="2"/>
        <v>0</v>
      </c>
    </row>
    <row r="162" spans="1:19" x14ac:dyDescent="0.25">
      <c r="A162" t="s">
        <v>29</v>
      </c>
      <c r="B162">
        <v>214435</v>
      </c>
      <c r="C162" t="s">
        <v>139</v>
      </c>
      <c r="D162" t="s">
        <v>206</v>
      </c>
      <c r="E162" t="s">
        <v>21</v>
      </c>
      <c r="F162">
        <v>8</v>
      </c>
      <c r="G162" s="5">
        <v>44210</v>
      </c>
      <c r="H162" s="5">
        <v>44230</v>
      </c>
      <c r="I162" s="5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  <c r="S162">
        <f t="shared" si="2"/>
        <v>-1</v>
      </c>
    </row>
    <row r="163" spans="1:19" x14ac:dyDescent="0.25">
      <c r="A163" t="s">
        <v>29</v>
      </c>
      <c r="B163">
        <v>214435</v>
      </c>
      <c r="C163" t="s">
        <v>139</v>
      </c>
      <c r="D163" t="s">
        <v>206</v>
      </c>
      <c r="E163" t="s">
        <v>45</v>
      </c>
      <c r="F163">
        <v>8</v>
      </c>
      <c r="G163" s="5">
        <v>44210</v>
      </c>
      <c r="H163" s="5">
        <v>44230</v>
      </c>
      <c r="I163" s="5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  <c r="S163">
        <f t="shared" si="2"/>
        <v>-1</v>
      </c>
    </row>
    <row r="164" spans="1:19" x14ac:dyDescent="0.25">
      <c r="A164" t="s">
        <v>75</v>
      </c>
      <c r="B164">
        <v>217958</v>
      </c>
      <c r="C164" t="s">
        <v>19</v>
      </c>
      <c r="D164" t="s">
        <v>207</v>
      </c>
      <c r="E164" t="s">
        <v>45</v>
      </c>
      <c r="F164">
        <v>1</v>
      </c>
      <c r="G164" s="5">
        <v>44228</v>
      </c>
      <c r="H164" s="5">
        <v>44235</v>
      </c>
      <c r="I164" s="5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  <c r="S164">
        <f t="shared" si="2"/>
        <v>10</v>
      </c>
    </row>
    <row r="165" spans="1:19" x14ac:dyDescent="0.25">
      <c r="A165" t="s">
        <v>75</v>
      </c>
      <c r="B165">
        <v>217958</v>
      </c>
      <c r="C165" t="s">
        <v>19</v>
      </c>
      <c r="D165" t="s">
        <v>207</v>
      </c>
      <c r="E165" t="s">
        <v>106</v>
      </c>
      <c r="F165">
        <v>1</v>
      </c>
      <c r="G165" s="5">
        <v>44228</v>
      </c>
      <c r="H165" s="5">
        <v>44235</v>
      </c>
      <c r="I165" s="5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  <c r="S165">
        <f t="shared" si="2"/>
        <v>10</v>
      </c>
    </row>
    <row r="166" spans="1:19" x14ac:dyDescent="0.25">
      <c r="A166" t="s">
        <v>75</v>
      </c>
      <c r="B166">
        <v>217958</v>
      </c>
      <c r="C166" t="s">
        <v>19</v>
      </c>
      <c r="D166" t="s">
        <v>207</v>
      </c>
      <c r="E166" t="s">
        <v>152</v>
      </c>
      <c r="F166">
        <v>3</v>
      </c>
      <c r="G166" s="5">
        <v>44228</v>
      </c>
      <c r="H166" s="5">
        <v>44235</v>
      </c>
      <c r="I166" s="5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  <c r="S166">
        <f t="shared" si="2"/>
        <v>10</v>
      </c>
    </row>
    <row r="167" spans="1:19" x14ac:dyDescent="0.25">
      <c r="A167" t="s">
        <v>75</v>
      </c>
      <c r="B167">
        <v>217958</v>
      </c>
      <c r="C167" t="s">
        <v>19</v>
      </c>
      <c r="D167" t="s">
        <v>207</v>
      </c>
      <c r="E167" t="s">
        <v>68</v>
      </c>
      <c r="F167">
        <v>1</v>
      </c>
      <c r="G167" s="5">
        <v>44228</v>
      </c>
      <c r="H167" s="5">
        <v>44235</v>
      </c>
      <c r="I167" s="5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  <c r="S167">
        <f t="shared" si="2"/>
        <v>10</v>
      </c>
    </row>
    <row r="168" spans="1:19" x14ac:dyDescent="0.25">
      <c r="A168" t="s">
        <v>51</v>
      </c>
      <c r="B168">
        <v>194539</v>
      </c>
      <c r="C168" t="s">
        <v>139</v>
      </c>
      <c r="D168" t="s">
        <v>208</v>
      </c>
      <c r="E168" t="s">
        <v>45</v>
      </c>
      <c r="F168">
        <v>1</v>
      </c>
      <c r="G168" s="5">
        <v>44111</v>
      </c>
      <c r="H168" s="5">
        <v>44547</v>
      </c>
      <c r="I168" s="5">
        <v>44547</v>
      </c>
      <c r="J168" s="5" t="s">
        <v>209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  <c r="S168">
        <f t="shared" si="2"/>
        <v>0</v>
      </c>
    </row>
    <row r="169" spans="1:19" x14ac:dyDescent="0.25">
      <c r="A169" t="s">
        <v>51</v>
      </c>
      <c r="B169">
        <v>194539</v>
      </c>
      <c r="C169" t="s">
        <v>139</v>
      </c>
      <c r="D169" t="s">
        <v>208</v>
      </c>
      <c r="E169" t="s">
        <v>21</v>
      </c>
      <c r="F169">
        <v>1</v>
      </c>
      <c r="G169" s="5">
        <v>44111</v>
      </c>
      <c r="H169" s="5">
        <v>44547</v>
      </c>
      <c r="I169" s="5">
        <v>44547</v>
      </c>
      <c r="J169" s="5" t="s">
        <v>209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  <c r="S169">
        <f t="shared" si="2"/>
        <v>0</v>
      </c>
    </row>
    <row r="170" spans="1:19" x14ac:dyDescent="0.25">
      <c r="A170" t="s">
        <v>51</v>
      </c>
      <c r="B170">
        <v>194539</v>
      </c>
      <c r="C170" t="s">
        <v>139</v>
      </c>
      <c r="D170" t="s">
        <v>208</v>
      </c>
      <c r="E170" t="s">
        <v>103</v>
      </c>
      <c r="F170">
        <v>1</v>
      </c>
      <c r="G170" s="5">
        <v>44111</v>
      </c>
      <c r="H170" s="5">
        <v>44547</v>
      </c>
      <c r="I170" s="5">
        <v>44547</v>
      </c>
      <c r="J170" s="5" t="s">
        <v>209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  <c r="S170">
        <f t="shared" si="2"/>
        <v>0</v>
      </c>
    </row>
    <row r="171" spans="1:19" x14ac:dyDescent="0.25">
      <c r="A171" t="s">
        <v>51</v>
      </c>
      <c r="B171">
        <v>194539</v>
      </c>
      <c r="C171" t="s">
        <v>139</v>
      </c>
      <c r="D171" t="s">
        <v>208</v>
      </c>
      <c r="E171" t="s">
        <v>110</v>
      </c>
      <c r="F171">
        <v>1</v>
      </c>
      <c r="G171" s="5">
        <v>44111</v>
      </c>
      <c r="H171" s="5">
        <v>44547</v>
      </c>
      <c r="I171" s="5">
        <v>44547</v>
      </c>
      <c r="J171" s="5" t="s">
        <v>209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  <c r="S171">
        <f t="shared" si="2"/>
        <v>0</v>
      </c>
    </row>
    <row r="172" spans="1:19" x14ac:dyDescent="0.25">
      <c r="A172" t="s">
        <v>38</v>
      </c>
      <c r="B172">
        <v>217854</v>
      </c>
      <c r="C172" t="s">
        <v>19</v>
      </c>
      <c r="D172" t="s">
        <v>210</v>
      </c>
      <c r="E172" t="s">
        <v>123</v>
      </c>
      <c r="F172">
        <v>1</v>
      </c>
      <c r="G172" s="5">
        <v>44225</v>
      </c>
      <c r="H172" s="5">
        <v>44249</v>
      </c>
      <c r="I172" s="5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  <c r="S172">
        <f t="shared" si="2"/>
        <v>0</v>
      </c>
    </row>
    <row r="173" spans="1:19" x14ac:dyDescent="0.25">
      <c r="A173" t="s">
        <v>38</v>
      </c>
      <c r="B173">
        <v>217854</v>
      </c>
      <c r="C173" t="s">
        <v>19</v>
      </c>
      <c r="D173" t="s">
        <v>210</v>
      </c>
      <c r="E173" t="s">
        <v>126</v>
      </c>
      <c r="F173">
        <v>1</v>
      </c>
      <c r="G173" s="5">
        <v>44225</v>
      </c>
      <c r="H173" s="5">
        <v>44249</v>
      </c>
      <c r="I173" s="5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  <c r="S173">
        <f t="shared" si="2"/>
        <v>0</v>
      </c>
    </row>
    <row r="174" spans="1:19" x14ac:dyDescent="0.25">
      <c r="A174" t="s">
        <v>38</v>
      </c>
      <c r="B174">
        <v>217962</v>
      </c>
      <c r="C174" t="s">
        <v>19</v>
      </c>
      <c r="D174" t="s">
        <v>211</v>
      </c>
      <c r="E174" t="s">
        <v>21</v>
      </c>
      <c r="F174">
        <v>1</v>
      </c>
      <c r="G174" s="5">
        <v>44228</v>
      </c>
      <c r="H174" s="5">
        <v>44236</v>
      </c>
      <c r="I174" s="5">
        <v>44236</v>
      </c>
      <c r="K174" s="5" t="s">
        <v>23</v>
      </c>
      <c r="L174" t="s">
        <v>24</v>
      </c>
      <c r="M174" t="s">
        <v>212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  <c r="S174">
        <f t="shared" si="2"/>
        <v>0</v>
      </c>
    </row>
    <row r="175" spans="1:19" x14ac:dyDescent="0.25">
      <c r="A175" t="s">
        <v>38</v>
      </c>
      <c r="B175">
        <v>217962</v>
      </c>
      <c r="C175" t="s">
        <v>19</v>
      </c>
      <c r="D175" t="s">
        <v>211</v>
      </c>
      <c r="E175" t="s">
        <v>45</v>
      </c>
      <c r="F175">
        <v>1</v>
      </c>
      <c r="G175" s="5">
        <v>44228</v>
      </c>
      <c r="H175" s="5">
        <v>44237</v>
      </c>
      <c r="I175" s="5">
        <v>44237</v>
      </c>
      <c r="K175" s="5" t="s">
        <v>23</v>
      </c>
      <c r="L175" t="s">
        <v>44</v>
      </c>
      <c r="M175" t="s">
        <v>212</v>
      </c>
      <c r="O175" t="s">
        <v>26</v>
      </c>
      <c r="P175" t="s">
        <v>37</v>
      </c>
      <c r="Q175" t="s">
        <v>27</v>
      </c>
      <c r="R175" t="s">
        <v>53</v>
      </c>
      <c r="S175">
        <f t="shared" si="2"/>
        <v>0</v>
      </c>
    </row>
    <row r="176" spans="1:19" x14ac:dyDescent="0.25">
      <c r="A176" t="s">
        <v>38</v>
      </c>
      <c r="B176">
        <v>217962</v>
      </c>
      <c r="C176" t="s">
        <v>19</v>
      </c>
      <c r="D176" t="s">
        <v>211</v>
      </c>
      <c r="E176" t="s">
        <v>123</v>
      </c>
      <c r="F176">
        <v>1</v>
      </c>
      <c r="G176" s="5">
        <v>44228</v>
      </c>
      <c r="H176" s="5">
        <v>44237</v>
      </c>
      <c r="I176" s="5">
        <v>44237</v>
      </c>
      <c r="K176" s="5" t="s">
        <v>23</v>
      </c>
      <c r="L176" t="s">
        <v>24</v>
      </c>
      <c r="M176" t="s">
        <v>212</v>
      </c>
      <c r="O176" t="s">
        <v>26</v>
      </c>
      <c r="P176" t="s">
        <v>37</v>
      </c>
      <c r="Q176" t="s">
        <v>27</v>
      </c>
      <c r="R176" t="s">
        <v>53</v>
      </c>
      <c r="S176">
        <f t="shared" si="2"/>
        <v>0</v>
      </c>
    </row>
    <row r="177" spans="1:19" x14ac:dyDescent="0.25">
      <c r="A177" t="s">
        <v>181</v>
      </c>
      <c r="B177">
        <v>218138</v>
      </c>
      <c r="C177" t="s">
        <v>139</v>
      </c>
      <c r="D177" t="s">
        <v>213</v>
      </c>
      <c r="E177" t="s">
        <v>141</v>
      </c>
      <c r="F177">
        <v>2</v>
      </c>
      <c r="G177" s="5">
        <v>44228</v>
      </c>
      <c r="H177" s="5">
        <v>44232</v>
      </c>
      <c r="I177" s="5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  <c r="S177">
        <f t="shared" si="2"/>
        <v>-2</v>
      </c>
    </row>
    <row r="178" spans="1:19" x14ac:dyDescent="0.25">
      <c r="A178" t="s">
        <v>181</v>
      </c>
      <c r="B178">
        <v>218138</v>
      </c>
      <c r="C178" t="s">
        <v>139</v>
      </c>
      <c r="D178" t="s">
        <v>213</v>
      </c>
      <c r="E178" t="s">
        <v>93</v>
      </c>
      <c r="F178">
        <v>5</v>
      </c>
      <c r="G178" s="5">
        <v>44228</v>
      </c>
      <c r="H178" s="5">
        <v>44232</v>
      </c>
      <c r="I178" s="5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  <c r="S178">
        <f t="shared" si="2"/>
        <v>-2</v>
      </c>
    </row>
    <row r="179" spans="1:19" x14ac:dyDescent="0.25">
      <c r="A179" t="s">
        <v>129</v>
      </c>
      <c r="B179">
        <v>218164</v>
      </c>
      <c r="C179" t="s">
        <v>76</v>
      </c>
      <c r="D179" t="s">
        <v>214</v>
      </c>
      <c r="E179" t="s">
        <v>78</v>
      </c>
      <c r="F179">
        <v>1</v>
      </c>
      <c r="G179" s="5">
        <v>44228</v>
      </c>
      <c r="H179" s="5">
        <v>44229</v>
      </c>
      <c r="I179" s="5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  <c r="S179">
        <f t="shared" si="2"/>
        <v>0</v>
      </c>
    </row>
    <row r="180" spans="1:19" x14ac:dyDescent="0.25">
      <c r="A180" t="s">
        <v>75</v>
      </c>
      <c r="B180">
        <v>218168</v>
      </c>
      <c r="C180" t="s">
        <v>139</v>
      </c>
      <c r="D180" t="s">
        <v>215</v>
      </c>
      <c r="E180" t="s">
        <v>21</v>
      </c>
      <c r="F180">
        <v>1</v>
      </c>
      <c r="G180" s="5">
        <v>44228</v>
      </c>
      <c r="H180" s="5">
        <v>44232</v>
      </c>
      <c r="I180" s="5">
        <v>44231</v>
      </c>
      <c r="J180" s="5" t="s">
        <v>216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  <c r="S180">
        <f t="shared" si="2"/>
        <v>-1</v>
      </c>
    </row>
    <row r="181" spans="1:19" x14ac:dyDescent="0.25">
      <c r="A181" t="s">
        <v>75</v>
      </c>
      <c r="B181">
        <v>218168</v>
      </c>
      <c r="C181" t="s">
        <v>139</v>
      </c>
      <c r="D181" t="s">
        <v>215</v>
      </c>
      <c r="E181" t="s">
        <v>45</v>
      </c>
      <c r="F181">
        <v>1</v>
      </c>
      <c r="G181" s="5">
        <v>44228</v>
      </c>
      <c r="H181" s="5">
        <v>44232</v>
      </c>
      <c r="I181" s="5">
        <v>44231</v>
      </c>
      <c r="J181" s="5" t="s">
        <v>216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  <c r="S181">
        <f t="shared" si="2"/>
        <v>-1</v>
      </c>
    </row>
    <row r="182" spans="1:19" x14ac:dyDescent="0.25">
      <c r="A182" t="s">
        <v>75</v>
      </c>
      <c r="B182">
        <v>218168</v>
      </c>
      <c r="C182" t="s">
        <v>139</v>
      </c>
      <c r="D182" t="s">
        <v>215</v>
      </c>
      <c r="E182" t="s">
        <v>106</v>
      </c>
      <c r="F182">
        <v>2</v>
      </c>
      <c r="G182" s="5">
        <v>44228</v>
      </c>
      <c r="H182" s="5">
        <v>44232</v>
      </c>
      <c r="I182" s="5">
        <v>44231</v>
      </c>
      <c r="J182" s="5" t="s">
        <v>216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  <c r="S182">
        <f t="shared" si="2"/>
        <v>-1</v>
      </c>
    </row>
    <row r="183" spans="1:19" x14ac:dyDescent="0.25">
      <c r="A183" t="s">
        <v>86</v>
      </c>
      <c r="B183">
        <v>218298</v>
      </c>
      <c r="C183" t="s">
        <v>139</v>
      </c>
      <c r="D183" t="s">
        <v>217</v>
      </c>
      <c r="E183" t="s">
        <v>218</v>
      </c>
      <c r="F183">
        <v>1</v>
      </c>
      <c r="G183" s="5">
        <v>44229</v>
      </c>
      <c r="I183" s="5">
        <v>44236</v>
      </c>
      <c r="J183" s="5" t="s">
        <v>219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  <c r="S183">
        <f t="shared" si="2"/>
        <v>44236</v>
      </c>
    </row>
    <row r="184" spans="1:19" x14ac:dyDescent="0.25">
      <c r="A184" t="s">
        <v>86</v>
      </c>
      <c r="B184">
        <v>218298</v>
      </c>
      <c r="C184" t="s">
        <v>139</v>
      </c>
      <c r="D184" t="s">
        <v>217</v>
      </c>
      <c r="E184" t="s">
        <v>45</v>
      </c>
      <c r="F184">
        <v>1</v>
      </c>
      <c r="G184" s="5">
        <v>44229</v>
      </c>
      <c r="I184" s="5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  <c r="S184">
        <f t="shared" si="2"/>
        <v>44246</v>
      </c>
    </row>
    <row r="185" spans="1:19" x14ac:dyDescent="0.25">
      <c r="A185" t="s">
        <v>86</v>
      </c>
      <c r="B185">
        <v>218298</v>
      </c>
      <c r="C185" t="s">
        <v>139</v>
      </c>
      <c r="D185" t="s">
        <v>217</v>
      </c>
      <c r="E185" t="s">
        <v>21</v>
      </c>
      <c r="F185">
        <v>1</v>
      </c>
      <c r="G185" s="5">
        <v>44229</v>
      </c>
      <c r="I185" s="5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  <c r="S185">
        <f t="shared" si="2"/>
        <v>44246</v>
      </c>
    </row>
    <row r="186" spans="1:19" x14ac:dyDescent="0.25">
      <c r="A186" t="s">
        <v>86</v>
      </c>
      <c r="B186">
        <v>218298</v>
      </c>
      <c r="C186" t="s">
        <v>139</v>
      </c>
      <c r="D186" t="s">
        <v>217</v>
      </c>
      <c r="E186" t="s">
        <v>101</v>
      </c>
      <c r="F186">
        <v>1</v>
      </c>
      <c r="G186" s="5">
        <v>44249</v>
      </c>
      <c r="I186" s="5">
        <v>44249</v>
      </c>
      <c r="J186" s="5" t="s">
        <v>220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  <c r="S186">
        <f t="shared" si="2"/>
        <v>44249</v>
      </c>
    </row>
    <row r="187" spans="1:19" x14ac:dyDescent="0.25">
      <c r="A187" t="s">
        <v>86</v>
      </c>
      <c r="B187">
        <v>218298</v>
      </c>
      <c r="C187" t="s">
        <v>139</v>
      </c>
      <c r="D187" t="s">
        <v>217</v>
      </c>
      <c r="E187" t="s">
        <v>101</v>
      </c>
      <c r="F187">
        <v>1</v>
      </c>
      <c r="G187" s="5">
        <v>44251</v>
      </c>
      <c r="I187" s="5">
        <v>44251</v>
      </c>
      <c r="J187" s="5" t="s">
        <v>221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  <c r="S187">
        <f t="shared" si="2"/>
        <v>44251</v>
      </c>
    </row>
    <row r="188" spans="1:19" x14ac:dyDescent="0.25">
      <c r="A188" t="s">
        <v>86</v>
      </c>
      <c r="B188">
        <v>218298</v>
      </c>
      <c r="C188" t="s">
        <v>139</v>
      </c>
      <c r="D188" t="s">
        <v>217</v>
      </c>
      <c r="E188" t="s">
        <v>68</v>
      </c>
      <c r="F188">
        <v>1</v>
      </c>
      <c r="G188" s="5">
        <v>44229</v>
      </c>
      <c r="I188" s="5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  <c r="S188">
        <f t="shared" si="2"/>
        <v>44246</v>
      </c>
    </row>
    <row r="189" spans="1:19" x14ac:dyDescent="0.25">
      <c r="A189" t="s">
        <v>131</v>
      </c>
      <c r="B189">
        <v>218244</v>
      </c>
      <c r="C189" t="s">
        <v>139</v>
      </c>
      <c r="D189" t="s">
        <v>222</v>
      </c>
      <c r="E189" t="s">
        <v>105</v>
      </c>
      <c r="F189">
        <v>1</v>
      </c>
      <c r="G189" s="5">
        <v>44229</v>
      </c>
      <c r="H189" s="5">
        <v>44235</v>
      </c>
      <c r="I189" s="5">
        <v>44231</v>
      </c>
      <c r="J189" s="5" t="s">
        <v>223</v>
      </c>
      <c r="K189" s="5" t="s">
        <v>23</v>
      </c>
      <c r="L189" t="s">
        <v>57</v>
      </c>
      <c r="M189" t="s">
        <v>25</v>
      </c>
      <c r="O189" t="s">
        <v>37</v>
      </c>
      <c r="P189" t="s">
        <v>224</v>
      </c>
      <c r="Q189" t="s">
        <v>53</v>
      </c>
      <c r="R189" t="s">
        <v>53</v>
      </c>
      <c r="S189">
        <f t="shared" si="2"/>
        <v>-4</v>
      </c>
    </row>
    <row r="190" spans="1:19" x14ac:dyDescent="0.25">
      <c r="A190" t="s">
        <v>131</v>
      </c>
      <c r="B190">
        <v>218244</v>
      </c>
      <c r="C190" t="s">
        <v>139</v>
      </c>
      <c r="D190" t="s">
        <v>222</v>
      </c>
      <c r="E190" t="s">
        <v>106</v>
      </c>
      <c r="F190">
        <v>1</v>
      </c>
      <c r="G190" s="5">
        <v>44229</v>
      </c>
      <c r="H190" s="5">
        <v>44235</v>
      </c>
      <c r="I190" s="5">
        <v>44231</v>
      </c>
      <c r="J190" s="5" t="s">
        <v>223</v>
      </c>
      <c r="K190" s="5" t="s">
        <v>23</v>
      </c>
      <c r="L190" t="s">
        <v>57</v>
      </c>
      <c r="M190" t="s">
        <v>25</v>
      </c>
      <c r="O190" t="s">
        <v>37</v>
      </c>
      <c r="P190" t="s">
        <v>224</v>
      </c>
      <c r="Q190" t="s">
        <v>53</v>
      </c>
      <c r="R190" t="s">
        <v>53</v>
      </c>
      <c r="S190">
        <f t="shared" si="2"/>
        <v>-4</v>
      </c>
    </row>
    <row r="191" spans="1:19" x14ac:dyDescent="0.25">
      <c r="A191" t="s">
        <v>131</v>
      </c>
      <c r="B191">
        <v>218244</v>
      </c>
      <c r="C191" t="s">
        <v>139</v>
      </c>
      <c r="D191" t="s">
        <v>222</v>
      </c>
      <c r="E191" t="s">
        <v>68</v>
      </c>
      <c r="F191">
        <v>1</v>
      </c>
      <c r="G191" s="5">
        <v>44229</v>
      </c>
      <c r="H191" s="5">
        <v>44235</v>
      </c>
      <c r="I191" s="5">
        <v>44231</v>
      </c>
      <c r="J191" s="5" t="s">
        <v>223</v>
      </c>
      <c r="K191" s="5" t="s">
        <v>23</v>
      </c>
      <c r="L191" t="s">
        <v>57</v>
      </c>
      <c r="M191" t="s">
        <v>25</v>
      </c>
      <c r="O191" t="s">
        <v>37</v>
      </c>
      <c r="P191" t="s">
        <v>224</v>
      </c>
      <c r="Q191" t="s">
        <v>53</v>
      </c>
      <c r="R191" t="s">
        <v>53</v>
      </c>
      <c r="S191">
        <f t="shared" si="2"/>
        <v>-4</v>
      </c>
    </row>
    <row r="192" spans="1:19" x14ac:dyDescent="0.25">
      <c r="A192" t="s">
        <v>38</v>
      </c>
      <c r="B192">
        <v>218560</v>
      </c>
      <c r="C192" t="s">
        <v>139</v>
      </c>
      <c r="D192" t="s">
        <v>225</v>
      </c>
      <c r="E192" t="s">
        <v>226</v>
      </c>
      <c r="F192">
        <v>1</v>
      </c>
      <c r="G192" s="5">
        <v>44229</v>
      </c>
      <c r="I192" s="5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  <c r="S192">
        <f t="shared" si="2"/>
        <v>44235</v>
      </c>
    </row>
    <row r="193" spans="1:19" x14ac:dyDescent="0.25">
      <c r="A193" t="s">
        <v>38</v>
      </c>
      <c r="B193">
        <v>218747</v>
      </c>
      <c r="C193" t="s">
        <v>19</v>
      </c>
      <c r="D193" t="s">
        <v>227</v>
      </c>
      <c r="E193" t="s">
        <v>45</v>
      </c>
      <c r="F193">
        <v>2</v>
      </c>
      <c r="G193" s="5">
        <v>44230</v>
      </c>
      <c r="H193" s="5">
        <v>44230</v>
      </c>
      <c r="I193" s="5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  <c r="S193">
        <f t="shared" si="2"/>
        <v>9</v>
      </c>
    </row>
    <row r="194" spans="1:19" x14ac:dyDescent="0.25">
      <c r="A194" t="s">
        <v>38</v>
      </c>
      <c r="B194">
        <v>218747</v>
      </c>
      <c r="C194" t="s">
        <v>19</v>
      </c>
      <c r="D194" t="s">
        <v>227</v>
      </c>
      <c r="E194" t="s">
        <v>21</v>
      </c>
      <c r="F194">
        <v>2</v>
      </c>
      <c r="G194" s="5">
        <v>44230</v>
      </c>
      <c r="H194" s="5">
        <v>44230</v>
      </c>
      <c r="I194" s="5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  <c r="S194">
        <f t="shared" si="2"/>
        <v>9</v>
      </c>
    </row>
    <row r="195" spans="1:19" x14ac:dyDescent="0.25">
      <c r="A195" t="s">
        <v>38</v>
      </c>
      <c r="B195">
        <v>218654</v>
      </c>
      <c r="C195" t="s">
        <v>19</v>
      </c>
      <c r="D195" t="s">
        <v>228</v>
      </c>
      <c r="E195" t="s">
        <v>21</v>
      </c>
      <c r="F195">
        <v>1</v>
      </c>
      <c r="G195" s="5">
        <v>44230</v>
      </c>
      <c r="H195" s="5">
        <v>44237</v>
      </c>
      <c r="I195" s="5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  <c r="S195">
        <f t="shared" ref="S195:S258" si="3">I195-H195</f>
        <v>1</v>
      </c>
    </row>
    <row r="196" spans="1:19" x14ac:dyDescent="0.25">
      <c r="A196" t="s">
        <v>38</v>
      </c>
      <c r="B196">
        <v>218654</v>
      </c>
      <c r="C196" t="s">
        <v>19</v>
      </c>
      <c r="D196" t="s">
        <v>228</v>
      </c>
      <c r="E196" t="s">
        <v>123</v>
      </c>
      <c r="F196">
        <v>1</v>
      </c>
      <c r="G196" s="5">
        <v>44230</v>
      </c>
      <c r="H196" s="5">
        <v>44237</v>
      </c>
      <c r="I196" s="5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  <c r="S196">
        <f t="shared" si="3"/>
        <v>1</v>
      </c>
    </row>
    <row r="197" spans="1:19" x14ac:dyDescent="0.25">
      <c r="A197" t="s">
        <v>129</v>
      </c>
      <c r="B197">
        <v>218655</v>
      </c>
      <c r="C197" t="s">
        <v>76</v>
      </c>
      <c r="D197" t="s">
        <v>229</v>
      </c>
      <c r="E197" t="s">
        <v>78</v>
      </c>
      <c r="F197">
        <v>1</v>
      </c>
      <c r="G197" s="5">
        <v>44230</v>
      </c>
      <c r="H197" s="5">
        <v>44250</v>
      </c>
      <c r="I197" s="5">
        <v>44250</v>
      </c>
      <c r="K197" s="5" t="s">
        <v>23</v>
      </c>
      <c r="L197" t="s">
        <v>36</v>
      </c>
      <c r="M197" t="s">
        <v>212</v>
      </c>
      <c r="O197" t="s">
        <v>37</v>
      </c>
      <c r="Q197" t="s">
        <v>53</v>
      </c>
      <c r="R197" t="s">
        <v>28</v>
      </c>
      <c r="S197">
        <f t="shared" si="3"/>
        <v>0</v>
      </c>
    </row>
    <row r="198" spans="1:19" x14ac:dyDescent="0.25">
      <c r="A198" t="s">
        <v>48</v>
      </c>
      <c r="B198">
        <v>218585</v>
      </c>
      <c r="C198" t="s">
        <v>139</v>
      </c>
      <c r="D198" t="s">
        <v>230</v>
      </c>
      <c r="E198" t="s">
        <v>68</v>
      </c>
      <c r="F198">
        <v>2</v>
      </c>
      <c r="G198" s="5">
        <v>44257</v>
      </c>
      <c r="H198" s="5">
        <v>44230</v>
      </c>
      <c r="I198" s="5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  <c r="S198">
        <f t="shared" si="3"/>
        <v>0</v>
      </c>
    </row>
    <row r="199" spans="1:19" x14ac:dyDescent="0.25">
      <c r="A199" t="s">
        <v>38</v>
      </c>
      <c r="B199">
        <v>218878</v>
      </c>
      <c r="C199" t="s">
        <v>139</v>
      </c>
      <c r="D199" t="s">
        <v>231</v>
      </c>
      <c r="E199" t="s">
        <v>156</v>
      </c>
      <c r="F199">
        <v>1</v>
      </c>
      <c r="G199" s="5">
        <v>44230</v>
      </c>
      <c r="H199" s="5">
        <v>44232</v>
      </c>
      <c r="I199" s="5">
        <v>44231</v>
      </c>
      <c r="J199" s="5" t="s">
        <v>232</v>
      </c>
      <c r="K199" s="5" t="s">
        <v>23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  <c r="S199">
        <f t="shared" si="3"/>
        <v>-1</v>
      </c>
    </row>
    <row r="200" spans="1:19" x14ac:dyDescent="0.25">
      <c r="A200" t="s">
        <v>71</v>
      </c>
      <c r="B200">
        <v>215614</v>
      </c>
      <c r="C200" t="s">
        <v>139</v>
      </c>
      <c r="D200" t="s">
        <v>233</v>
      </c>
      <c r="E200" t="s">
        <v>133</v>
      </c>
      <c r="F200">
        <v>4</v>
      </c>
      <c r="G200" s="5">
        <v>44216</v>
      </c>
      <c r="H200" s="5">
        <v>44232</v>
      </c>
      <c r="I200" s="5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  <c r="S200">
        <f t="shared" si="3"/>
        <v>0</v>
      </c>
    </row>
    <row r="201" spans="1:19" x14ac:dyDescent="0.25">
      <c r="A201" t="s">
        <v>48</v>
      </c>
      <c r="B201">
        <v>219301</v>
      </c>
      <c r="C201" t="s">
        <v>139</v>
      </c>
      <c r="D201" t="s">
        <v>234</v>
      </c>
      <c r="E201" t="s">
        <v>235</v>
      </c>
      <c r="F201">
        <v>1</v>
      </c>
      <c r="G201" s="5">
        <v>44231</v>
      </c>
      <c r="H201" s="5">
        <v>44232</v>
      </c>
      <c r="I201" s="5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  <c r="S201">
        <f t="shared" si="3"/>
        <v>0</v>
      </c>
    </row>
    <row r="202" spans="1:19" x14ac:dyDescent="0.25">
      <c r="A202" t="s">
        <v>86</v>
      </c>
      <c r="B202">
        <v>219145</v>
      </c>
      <c r="C202" t="s">
        <v>61</v>
      </c>
      <c r="D202" t="s">
        <v>236</v>
      </c>
      <c r="E202" t="s">
        <v>73</v>
      </c>
      <c r="G202" s="5">
        <v>44232</v>
      </c>
      <c r="H202" s="5">
        <v>44238</v>
      </c>
      <c r="I202" s="5">
        <v>44238</v>
      </c>
      <c r="J202" s="5" t="s">
        <v>237</v>
      </c>
      <c r="K202" s="5" t="s">
        <v>23</v>
      </c>
      <c r="L202" t="s">
        <v>24</v>
      </c>
      <c r="M202" t="s">
        <v>73</v>
      </c>
      <c r="S202">
        <f t="shared" si="3"/>
        <v>0</v>
      </c>
    </row>
    <row r="203" spans="1:19" x14ac:dyDescent="0.25">
      <c r="A203" t="s">
        <v>75</v>
      </c>
      <c r="B203">
        <v>219270</v>
      </c>
      <c r="C203" t="s">
        <v>19</v>
      </c>
      <c r="D203" t="s">
        <v>238</v>
      </c>
      <c r="E203" t="s">
        <v>45</v>
      </c>
      <c r="F203">
        <v>1</v>
      </c>
      <c r="G203" s="5">
        <v>44231</v>
      </c>
      <c r="H203" s="5">
        <v>44239</v>
      </c>
      <c r="I203" s="5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  <c r="S203">
        <f t="shared" si="3"/>
        <v>38</v>
      </c>
    </row>
    <row r="204" spans="1:19" x14ac:dyDescent="0.25">
      <c r="A204" t="s">
        <v>75</v>
      </c>
      <c r="B204">
        <v>219270</v>
      </c>
      <c r="C204" t="s">
        <v>19</v>
      </c>
      <c r="D204" t="s">
        <v>238</v>
      </c>
      <c r="E204" t="s">
        <v>101</v>
      </c>
      <c r="F204">
        <v>1</v>
      </c>
      <c r="G204" s="5">
        <v>44231</v>
      </c>
      <c r="H204" s="5">
        <v>44239</v>
      </c>
      <c r="I204" s="5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  <c r="S204">
        <f t="shared" si="3"/>
        <v>38</v>
      </c>
    </row>
    <row r="205" spans="1:19" x14ac:dyDescent="0.25">
      <c r="A205" t="s">
        <v>75</v>
      </c>
      <c r="B205">
        <v>219270</v>
      </c>
      <c r="C205" t="s">
        <v>19</v>
      </c>
      <c r="D205" t="s">
        <v>238</v>
      </c>
      <c r="E205" t="s">
        <v>21</v>
      </c>
      <c r="F205">
        <v>1</v>
      </c>
      <c r="G205" s="5">
        <v>44231</v>
      </c>
      <c r="H205" s="5">
        <v>44239</v>
      </c>
      <c r="I205" s="5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  <c r="S205">
        <f t="shared" si="3"/>
        <v>38</v>
      </c>
    </row>
    <row r="206" spans="1:19" x14ac:dyDescent="0.25">
      <c r="A206" t="s">
        <v>75</v>
      </c>
      <c r="B206">
        <v>219270</v>
      </c>
      <c r="C206" t="s">
        <v>139</v>
      </c>
      <c r="D206" t="s">
        <v>238</v>
      </c>
      <c r="E206" t="s">
        <v>45</v>
      </c>
      <c r="F206">
        <v>16</v>
      </c>
      <c r="G206" s="5">
        <v>44246</v>
      </c>
      <c r="H206" s="5">
        <v>44249</v>
      </c>
      <c r="I206" s="5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  <c r="S206">
        <f t="shared" si="3"/>
        <v>28</v>
      </c>
    </row>
    <row r="207" spans="1:19" x14ac:dyDescent="0.25">
      <c r="A207" t="s">
        <v>38</v>
      </c>
      <c r="B207">
        <v>219580</v>
      </c>
      <c r="C207" t="s">
        <v>139</v>
      </c>
      <c r="D207" t="s">
        <v>239</v>
      </c>
      <c r="E207" t="s">
        <v>83</v>
      </c>
      <c r="F207">
        <v>1</v>
      </c>
      <c r="G207" s="5">
        <v>44232</v>
      </c>
      <c r="H207" s="5">
        <v>44235</v>
      </c>
      <c r="I207" s="5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  <c r="S207">
        <f t="shared" si="3"/>
        <v>0</v>
      </c>
    </row>
    <row r="208" spans="1:19" x14ac:dyDescent="0.25">
      <c r="A208" t="s">
        <v>29</v>
      </c>
      <c r="B208">
        <v>219533</v>
      </c>
      <c r="C208" t="s">
        <v>139</v>
      </c>
      <c r="D208" t="s">
        <v>240</v>
      </c>
      <c r="E208" t="s">
        <v>101</v>
      </c>
      <c r="F208">
        <v>1</v>
      </c>
      <c r="G208" s="5">
        <v>44232</v>
      </c>
      <c r="H208" s="5">
        <v>44236</v>
      </c>
      <c r="I208" s="5">
        <v>44236</v>
      </c>
      <c r="J208" s="5" t="s">
        <v>241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  <c r="S208">
        <f t="shared" si="3"/>
        <v>0</v>
      </c>
    </row>
    <row r="209" spans="1:19" x14ac:dyDescent="0.25">
      <c r="A209" t="s">
        <v>75</v>
      </c>
      <c r="B209">
        <v>220060</v>
      </c>
      <c r="C209" t="s">
        <v>139</v>
      </c>
      <c r="D209" t="s">
        <v>242</v>
      </c>
      <c r="E209" t="s">
        <v>45</v>
      </c>
      <c r="F209">
        <v>1</v>
      </c>
      <c r="G209" s="5">
        <v>44235</v>
      </c>
      <c r="H209" s="5">
        <v>44236</v>
      </c>
      <c r="I209" s="5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  <c r="S209">
        <f t="shared" si="3"/>
        <v>0</v>
      </c>
    </row>
    <row r="210" spans="1:19" x14ac:dyDescent="0.25">
      <c r="A210" t="s">
        <v>75</v>
      </c>
      <c r="B210">
        <v>220060</v>
      </c>
      <c r="C210" t="s">
        <v>139</v>
      </c>
      <c r="D210" t="s">
        <v>242</v>
      </c>
      <c r="E210" t="s">
        <v>68</v>
      </c>
      <c r="F210">
        <v>1</v>
      </c>
      <c r="G210" s="5">
        <v>44235</v>
      </c>
      <c r="H210" s="5">
        <v>44236</v>
      </c>
      <c r="I210" s="5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  <c r="S210">
        <f t="shared" si="3"/>
        <v>0</v>
      </c>
    </row>
    <row r="211" spans="1:19" x14ac:dyDescent="0.25">
      <c r="A211" t="s">
        <v>71</v>
      </c>
      <c r="B211">
        <v>219834</v>
      </c>
      <c r="C211" t="s">
        <v>19</v>
      </c>
      <c r="D211" t="s">
        <v>243</v>
      </c>
      <c r="E211" t="s">
        <v>67</v>
      </c>
      <c r="F211">
        <v>4</v>
      </c>
      <c r="G211" s="5">
        <v>44235</v>
      </c>
      <c r="H211" s="5">
        <v>44246</v>
      </c>
      <c r="I211" s="5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  <c r="S211">
        <f t="shared" si="3"/>
        <v>5</v>
      </c>
    </row>
    <row r="212" spans="1:19" x14ac:dyDescent="0.25">
      <c r="A212" t="s">
        <v>71</v>
      </c>
      <c r="B212">
        <v>219834</v>
      </c>
      <c r="C212" t="s">
        <v>19</v>
      </c>
      <c r="D212" t="s">
        <v>243</v>
      </c>
      <c r="E212" t="s">
        <v>21</v>
      </c>
      <c r="F212">
        <v>1</v>
      </c>
      <c r="G212" s="5">
        <v>44235</v>
      </c>
      <c r="H212" s="5">
        <v>44246</v>
      </c>
      <c r="I212" s="5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  <c r="S212">
        <f t="shared" si="3"/>
        <v>5</v>
      </c>
    </row>
    <row r="213" spans="1:19" x14ac:dyDescent="0.25">
      <c r="A213" t="s">
        <v>71</v>
      </c>
      <c r="B213">
        <v>219834</v>
      </c>
      <c r="C213" t="s">
        <v>19</v>
      </c>
      <c r="D213" t="s">
        <v>243</v>
      </c>
      <c r="E213" t="s">
        <v>152</v>
      </c>
      <c r="F213">
        <v>4</v>
      </c>
      <c r="G213" s="5">
        <v>44235</v>
      </c>
      <c r="H213" s="5">
        <v>44246</v>
      </c>
      <c r="I213" s="5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  <c r="S213">
        <f t="shared" si="3"/>
        <v>5</v>
      </c>
    </row>
    <row r="214" spans="1:19" x14ac:dyDescent="0.25">
      <c r="A214" t="s">
        <v>71</v>
      </c>
      <c r="B214">
        <v>219834</v>
      </c>
      <c r="C214" t="s">
        <v>19</v>
      </c>
      <c r="D214" t="s">
        <v>243</v>
      </c>
      <c r="E214" t="s">
        <v>45</v>
      </c>
      <c r="F214">
        <v>1</v>
      </c>
      <c r="G214" s="5">
        <v>44235</v>
      </c>
      <c r="H214" s="5">
        <v>44246</v>
      </c>
      <c r="I214" s="5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  <c r="S214">
        <f t="shared" si="3"/>
        <v>5</v>
      </c>
    </row>
    <row r="215" spans="1:19" x14ac:dyDescent="0.25">
      <c r="A215" t="s">
        <v>71</v>
      </c>
      <c r="B215">
        <v>219834</v>
      </c>
      <c r="C215" t="s">
        <v>19</v>
      </c>
      <c r="D215" t="s">
        <v>243</v>
      </c>
      <c r="E215" t="s">
        <v>83</v>
      </c>
      <c r="F215">
        <v>4</v>
      </c>
      <c r="G215" s="5">
        <v>44235</v>
      </c>
      <c r="H215" s="5">
        <v>44246</v>
      </c>
      <c r="I215" s="5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  <c r="S215">
        <f t="shared" si="3"/>
        <v>5</v>
      </c>
    </row>
    <row r="216" spans="1:19" x14ac:dyDescent="0.25">
      <c r="A216" t="s">
        <v>75</v>
      </c>
      <c r="B216">
        <v>220270</v>
      </c>
      <c r="C216" t="s">
        <v>139</v>
      </c>
      <c r="D216" t="s">
        <v>244</v>
      </c>
      <c r="E216" t="s">
        <v>21</v>
      </c>
      <c r="F216">
        <v>2</v>
      </c>
      <c r="G216" s="5">
        <v>44236</v>
      </c>
      <c r="H216" s="5">
        <v>44238</v>
      </c>
      <c r="I216" s="5">
        <v>44237</v>
      </c>
      <c r="J216" s="5" t="s">
        <v>245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  <c r="S216">
        <f t="shared" si="3"/>
        <v>-1</v>
      </c>
    </row>
    <row r="217" spans="1:19" x14ac:dyDescent="0.25">
      <c r="A217" t="s">
        <v>38</v>
      </c>
      <c r="B217" t="s">
        <v>246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5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  <c r="S217">
        <f t="shared" si="3"/>
        <v>0</v>
      </c>
    </row>
    <row r="218" spans="1:19" x14ac:dyDescent="0.25">
      <c r="A218" t="s">
        <v>131</v>
      </c>
      <c r="B218">
        <v>220677</v>
      </c>
      <c r="C218" t="s">
        <v>139</v>
      </c>
      <c r="D218" t="s">
        <v>247</v>
      </c>
      <c r="E218" t="s">
        <v>104</v>
      </c>
      <c r="F218">
        <v>1</v>
      </c>
      <c r="G218" s="5">
        <v>44237</v>
      </c>
      <c r="H218" s="5">
        <v>44237</v>
      </c>
      <c r="I218" s="5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  <c r="S218">
        <f t="shared" si="3"/>
        <v>0</v>
      </c>
    </row>
    <row r="219" spans="1:19" x14ac:dyDescent="0.25">
      <c r="A219" t="s">
        <v>38</v>
      </c>
      <c r="B219">
        <v>220471</v>
      </c>
      <c r="C219" t="s">
        <v>139</v>
      </c>
      <c r="D219" t="s">
        <v>248</v>
      </c>
      <c r="E219" t="s">
        <v>21</v>
      </c>
      <c r="F219">
        <v>3</v>
      </c>
      <c r="G219" s="5">
        <v>44237</v>
      </c>
      <c r="H219" s="5">
        <v>44238</v>
      </c>
      <c r="I219" s="5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  <c r="S219">
        <f t="shared" si="3"/>
        <v>0</v>
      </c>
    </row>
    <row r="220" spans="1:19" x14ac:dyDescent="0.25">
      <c r="A220" t="s">
        <v>131</v>
      </c>
      <c r="B220">
        <v>220400</v>
      </c>
      <c r="C220" t="s">
        <v>139</v>
      </c>
      <c r="D220" t="s">
        <v>249</v>
      </c>
      <c r="E220" t="s">
        <v>133</v>
      </c>
      <c r="F220">
        <v>1</v>
      </c>
      <c r="G220" s="5">
        <v>44236</v>
      </c>
      <c r="H220" s="5">
        <v>44238</v>
      </c>
      <c r="I220" s="5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  <c r="S220">
        <f t="shared" si="3"/>
        <v>0</v>
      </c>
    </row>
    <row r="221" spans="1:19" x14ac:dyDescent="0.25">
      <c r="A221" t="s">
        <v>51</v>
      </c>
      <c r="B221">
        <v>220530</v>
      </c>
      <c r="C221" t="s">
        <v>76</v>
      </c>
      <c r="D221" t="s">
        <v>250</v>
      </c>
      <c r="F221">
        <v>1</v>
      </c>
      <c r="G221" s="5">
        <v>44237</v>
      </c>
      <c r="H221" s="5">
        <v>44253</v>
      </c>
      <c r="I221" s="5">
        <v>44253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  <c r="S221">
        <f t="shared" si="3"/>
        <v>0</v>
      </c>
    </row>
    <row r="222" spans="1:19" x14ac:dyDescent="0.25">
      <c r="A222" t="s">
        <v>38</v>
      </c>
      <c r="B222" t="s">
        <v>246</v>
      </c>
      <c r="C222" t="s">
        <v>19</v>
      </c>
      <c r="D222" t="s">
        <v>251</v>
      </c>
      <c r="E222" t="s">
        <v>106</v>
      </c>
      <c r="G222" s="5">
        <v>44237</v>
      </c>
      <c r="H222" s="5">
        <v>44246</v>
      </c>
      <c r="I222" s="5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  <c r="S222">
        <f t="shared" si="3"/>
        <v>0</v>
      </c>
    </row>
    <row r="223" spans="1:19" x14ac:dyDescent="0.25">
      <c r="A223" t="s">
        <v>38</v>
      </c>
      <c r="B223" t="s">
        <v>246</v>
      </c>
      <c r="C223" t="s">
        <v>19</v>
      </c>
      <c r="D223" t="s">
        <v>251</v>
      </c>
      <c r="E223" t="s">
        <v>105</v>
      </c>
      <c r="G223" s="5">
        <v>44237</v>
      </c>
      <c r="H223" s="5">
        <v>44246</v>
      </c>
      <c r="I223" s="5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  <c r="S223">
        <f t="shared" si="3"/>
        <v>0</v>
      </c>
    </row>
    <row r="224" spans="1:19" x14ac:dyDescent="0.25">
      <c r="A224" t="s">
        <v>38</v>
      </c>
      <c r="B224" t="s">
        <v>246</v>
      </c>
      <c r="C224" t="s">
        <v>19</v>
      </c>
      <c r="D224" t="s">
        <v>252</v>
      </c>
      <c r="E224" t="s">
        <v>180</v>
      </c>
      <c r="F224">
        <v>20</v>
      </c>
      <c r="G224" s="5">
        <v>44238</v>
      </c>
      <c r="H224" s="5">
        <v>44238</v>
      </c>
      <c r="I224" s="5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  <c r="S224">
        <f t="shared" si="3"/>
        <v>0</v>
      </c>
    </row>
    <row r="225" spans="1:19" x14ac:dyDescent="0.25">
      <c r="A225" t="s">
        <v>86</v>
      </c>
      <c r="B225">
        <v>220687</v>
      </c>
      <c r="C225" t="s">
        <v>139</v>
      </c>
      <c r="D225" t="s">
        <v>253</v>
      </c>
      <c r="E225" t="s">
        <v>40</v>
      </c>
      <c r="F225">
        <v>1</v>
      </c>
      <c r="G225" s="5">
        <v>44237</v>
      </c>
      <c r="H225" s="5">
        <v>44238</v>
      </c>
      <c r="I225" s="5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  <c r="S225">
        <f t="shared" si="3"/>
        <v>0</v>
      </c>
    </row>
    <row r="226" spans="1:19" x14ac:dyDescent="0.25">
      <c r="A226" t="s">
        <v>71</v>
      </c>
      <c r="B226">
        <v>221109</v>
      </c>
      <c r="C226" t="s">
        <v>139</v>
      </c>
      <c r="D226" t="s">
        <v>254</v>
      </c>
      <c r="E226" t="s">
        <v>68</v>
      </c>
      <c r="F226">
        <v>1</v>
      </c>
      <c r="G226" s="5">
        <v>44239</v>
      </c>
      <c r="H226" s="5">
        <v>44239</v>
      </c>
      <c r="I226" s="5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  <c r="S226">
        <f t="shared" si="3"/>
        <v>0</v>
      </c>
    </row>
    <row r="227" spans="1:19" x14ac:dyDescent="0.25">
      <c r="A227" t="s">
        <v>255</v>
      </c>
      <c r="B227">
        <v>221137</v>
      </c>
      <c r="C227" t="s">
        <v>139</v>
      </c>
      <c r="D227" t="s">
        <v>256</v>
      </c>
      <c r="E227" t="s">
        <v>235</v>
      </c>
      <c r="F227">
        <v>11</v>
      </c>
      <c r="G227" s="5">
        <v>44239</v>
      </c>
      <c r="H227" s="5">
        <v>44239</v>
      </c>
      <c r="I227" s="5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  <c r="S227">
        <f t="shared" si="3"/>
        <v>0</v>
      </c>
    </row>
    <row r="228" spans="1:19" x14ac:dyDescent="0.25">
      <c r="A228" t="s">
        <v>38</v>
      </c>
      <c r="B228" t="s">
        <v>246</v>
      </c>
      <c r="C228" t="s">
        <v>139</v>
      </c>
      <c r="D228" t="s">
        <v>257</v>
      </c>
      <c r="E228" t="s">
        <v>21</v>
      </c>
      <c r="F228">
        <v>1</v>
      </c>
      <c r="G228" s="5">
        <v>44244</v>
      </c>
      <c r="H228" s="5">
        <v>44244</v>
      </c>
      <c r="I228" s="5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  <c r="S228">
        <f t="shared" si="3"/>
        <v>0</v>
      </c>
    </row>
    <row r="229" spans="1:19" x14ac:dyDescent="0.25">
      <c r="A229" t="s">
        <v>158</v>
      </c>
      <c r="B229">
        <v>221219</v>
      </c>
      <c r="C229" t="s">
        <v>139</v>
      </c>
      <c r="D229" t="s">
        <v>258</v>
      </c>
      <c r="E229" t="s">
        <v>146</v>
      </c>
      <c r="F229">
        <v>1</v>
      </c>
      <c r="G229" s="5">
        <v>44239</v>
      </c>
      <c r="H229" s="5">
        <v>44245</v>
      </c>
      <c r="I229" s="5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  <c r="S229">
        <f t="shared" si="3"/>
        <v>-1</v>
      </c>
    </row>
    <row r="230" spans="1:19" x14ac:dyDescent="0.25">
      <c r="A230" t="s">
        <v>38</v>
      </c>
      <c r="B230">
        <v>221305</v>
      </c>
      <c r="C230" t="s">
        <v>139</v>
      </c>
      <c r="D230" t="s">
        <v>259</v>
      </c>
      <c r="E230" t="s">
        <v>106</v>
      </c>
      <c r="F230">
        <v>4</v>
      </c>
      <c r="G230" s="5">
        <v>44239</v>
      </c>
      <c r="H230" s="5">
        <v>44252</v>
      </c>
      <c r="I230" s="5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  <c r="S230">
        <f t="shared" si="3"/>
        <v>-7</v>
      </c>
    </row>
    <row r="231" spans="1:19" x14ac:dyDescent="0.25">
      <c r="A231" t="s">
        <v>38</v>
      </c>
      <c r="B231" t="s">
        <v>246</v>
      </c>
      <c r="C231" t="s">
        <v>139</v>
      </c>
      <c r="D231" t="s">
        <v>260</v>
      </c>
      <c r="E231" t="s">
        <v>45</v>
      </c>
      <c r="F231">
        <v>2</v>
      </c>
      <c r="G231" s="5">
        <v>44245</v>
      </c>
      <c r="H231" s="5">
        <v>44245</v>
      </c>
      <c r="I231" s="5">
        <v>44245</v>
      </c>
      <c r="J231" s="5" t="s">
        <v>261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  <c r="S231">
        <f t="shared" si="3"/>
        <v>0</v>
      </c>
    </row>
    <row r="232" spans="1:19" x14ac:dyDescent="0.25">
      <c r="A232" t="s">
        <v>38</v>
      </c>
      <c r="B232" t="s">
        <v>246</v>
      </c>
      <c r="C232" t="s">
        <v>19</v>
      </c>
      <c r="D232" t="s">
        <v>262</v>
      </c>
      <c r="E232" t="s">
        <v>226</v>
      </c>
      <c r="F232">
        <v>1</v>
      </c>
      <c r="G232" s="5">
        <v>44245</v>
      </c>
      <c r="I232" s="5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  <c r="S232">
        <f t="shared" si="3"/>
        <v>44245</v>
      </c>
    </row>
    <row r="233" spans="1:19" x14ac:dyDescent="0.25">
      <c r="A233" t="s">
        <v>51</v>
      </c>
      <c r="B233">
        <v>222057</v>
      </c>
      <c r="C233" t="s">
        <v>139</v>
      </c>
      <c r="D233" t="s">
        <v>263</v>
      </c>
      <c r="E233" t="s">
        <v>21</v>
      </c>
      <c r="F233">
        <v>1</v>
      </c>
      <c r="G233" s="5">
        <v>44246</v>
      </c>
      <c r="H233" s="5">
        <v>44246</v>
      </c>
      <c r="I233" s="5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  <c r="S233">
        <f t="shared" si="3"/>
        <v>0</v>
      </c>
    </row>
    <row r="234" spans="1:19" x14ac:dyDescent="0.25">
      <c r="A234" t="s">
        <v>38</v>
      </c>
      <c r="B234">
        <v>222064</v>
      </c>
      <c r="C234" t="s">
        <v>19</v>
      </c>
      <c r="D234" t="s">
        <v>264</v>
      </c>
      <c r="E234" t="s">
        <v>21</v>
      </c>
      <c r="F234">
        <v>1</v>
      </c>
      <c r="G234" s="5">
        <v>44246</v>
      </c>
      <c r="H234" s="5">
        <v>44250</v>
      </c>
      <c r="I234" s="5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  <c r="S234">
        <f t="shared" si="3"/>
        <v>0</v>
      </c>
    </row>
    <row r="235" spans="1:19" x14ac:dyDescent="0.25">
      <c r="A235" t="s">
        <v>38</v>
      </c>
      <c r="B235">
        <v>222064</v>
      </c>
      <c r="C235" t="s">
        <v>19</v>
      </c>
      <c r="D235" t="s">
        <v>264</v>
      </c>
      <c r="E235" t="s">
        <v>81</v>
      </c>
      <c r="F235">
        <v>1</v>
      </c>
      <c r="G235" s="5">
        <v>44246</v>
      </c>
      <c r="H235" s="5">
        <v>44250</v>
      </c>
      <c r="I235" s="5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  <c r="S235">
        <f t="shared" si="3"/>
        <v>0</v>
      </c>
    </row>
    <row r="236" spans="1:19" x14ac:dyDescent="0.25">
      <c r="A236" t="s">
        <v>38</v>
      </c>
      <c r="B236">
        <v>222064</v>
      </c>
      <c r="C236" t="s">
        <v>19</v>
      </c>
      <c r="D236" t="s">
        <v>264</v>
      </c>
      <c r="E236" t="s">
        <v>67</v>
      </c>
      <c r="F236">
        <v>5</v>
      </c>
      <c r="G236" s="5">
        <v>44246</v>
      </c>
      <c r="H236" s="5">
        <v>44250</v>
      </c>
      <c r="I236" s="5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  <c r="S236">
        <f t="shared" si="3"/>
        <v>0</v>
      </c>
    </row>
    <row r="237" spans="1:19" x14ac:dyDescent="0.25">
      <c r="A237" t="s">
        <v>158</v>
      </c>
      <c r="B237">
        <v>222194</v>
      </c>
      <c r="C237" t="s">
        <v>139</v>
      </c>
      <c r="D237" t="s">
        <v>265</v>
      </c>
      <c r="E237" t="s">
        <v>40</v>
      </c>
      <c r="F237">
        <v>1</v>
      </c>
      <c r="G237" s="5">
        <v>44246</v>
      </c>
      <c r="H237" s="5">
        <v>44253</v>
      </c>
      <c r="I237" s="5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  <c r="S237">
        <f t="shared" si="3"/>
        <v>0</v>
      </c>
    </row>
    <row r="238" spans="1:19" x14ac:dyDescent="0.25">
      <c r="A238" t="s">
        <v>158</v>
      </c>
      <c r="B238">
        <v>222194</v>
      </c>
      <c r="C238" t="s">
        <v>139</v>
      </c>
      <c r="D238" t="s">
        <v>265</v>
      </c>
      <c r="E238" t="s">
        <v>106</v>
      </c>
      <c r="F238">
        <v>2</v>
      </c>
      <c r="G238" s="5">
        <v>44246</v>
      </c>
      <c r="H238" s="5">
        <v>44253</v>
      </c>
      <c r="I238" s="5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  <c r="S238">
        <f t="shared" si="3"/>
        <v>0</v>
      </c>
    </row>
    <row r="239" spans="1:19" x14ac:dyDescent="0.25">
      <c r="A239" t="s">
        <v>158</v>
      </c>
      <c r="B239">
        <v>222194</v>
      </c>
      <c r="C239" t="s">
        <v>139</v>
      </c>
      <c r="D239" t="s">
        <v>265</v>
      </c>
      <c r="E239" t="s">
        <v>45</v>
      </c>
      <c r="F239">
        <v>1</v>
      </c>
      <c r="G239" s="5">
        <v>44246</v>
      </c>
      <c r="H239" s="5">
        <v>44253</v>
      </c>
      <c r="I239" s="5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  <c r="S239">
        <f t="shared" si="3"/>
        <v>0</v>
      </c>
    </row>
    <row r="240" spans="1:19" x14ac:dyDescent="0.25">
      <c r="A240" t="s">
        <v>158</v>
      </c>
      <c r="B240">
        <v>222194</v>
      </c>
      <c r="C240" t="s">
        <v>139</v>
      </c>
      <c r="D240" t="s">
        <v>265</v>
      </c>
      <c r="E240" t="s">
        <v>82</v>
      </c>
      <c r="F240">
        <v>1</v>
      </c>
      <c r="G240" s="5">
        <v>44246</v>
      </c>
      <c r="H240" s="5">
        <v>44253</v>
      </c>
      <c r="I240" s="5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  <c r="S240">
        <f t="shared" si="3"/>
        <v>0</v>
      </c>
    </row>
    <row r="241" spans="1:19" x14ac:dyDescent="0.25">
      <c r="A241" t="s">
        <v>38</v>
      </c>
      <c r="B241" t="s">
        <v>246</v>
      </c>
      <c r="C241" t="s">
        <v>139</v>
      </c>
      <c r="D241" t="s">
        <v>257</v>
      </c>
      <c r="E241" t="s">
        <v>21</v>
      </c>
      <c r="F241">
        <v>2</v>
      </c>
      <c r="G241" s="5">
        <v>44249</v>
      </c>
      <c r="H241" s="5">
        <v>44251</v>
      </c>
      <c r="I241" s="5">
        <v>44251</v>
      </c>
      <c r="J241" s="5" t="s">
        <v>266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  <c r="S241">
        <f t="shared" si="3"/>
        <v>0</v>
      </c>
    </row>
    <row r="242" spans="1:19" x14ac:dyDescent="0.25">
      <c r="A242" t="s">
        <v>75</v>
      </c>
      <c r="B242">
        <v>222575</v>
      </c>
      <c r="C242" t="s">
        <v>19</v>
      </c>
      <c r="D242" t="s">
        <v>267</v>
      </c>
      <c r="E242" t="s">
        <v>268</v>
      </c>
      <c r="F242">
        <v>2</v>
      </c>
      <c r="G242" s="5">
        <v>44277</v>
      </c>
      <c r="H242" s="5">
        <v>44251</v>
      </c>
      <c r="I242" s="5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  <c r="S242">
        <f t="shared" si="3"/>
        <v>2</v>
      </c>
    </row>
    <row r="243" spans="1:19" x14ac:dyDescent="0.25">
      <c r="A243" t="s">
        <v>48</v>
      </c>
      <c r="B243">
        <v>222682</v>
      </c>
      <c r="C243" t="s">
        <v>139</v>
      </c>
      <c r="D243" t="s">
        <v>269</v>
      </c>
      <c r="E243" t="s">
        <v>21</v>
      </c>
      <c r="F243">
        <v>1</v>
      </c>
      <c r="G243" s="5">
        <v>44249</v>
      </c>
      <c r="H243" s="5">
        <v>44250</v>
      </c>
      <c r="I243" s="5">
        <v>44250</v>
      </c>
      <c r="J243" s="5" t="s">
        <v>270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  <c r="S243">
        <f t="shared" si="3"/>
        <v>0</v>
      </c>
    </row>
    <row r="244" spans="1:19" x14ac:dyDescent="0.25">
      <c r="A244" t="s">
        <v>29</v>
      </c>
      <c r="B244">
        <v>204406</v>
      </c>
      <c r="C244" t="s">
        <v>19</v>
      </c>
      <c r="D244" t="s">
        <v>271</v>
      </c>
      <c r="E244" t="s">
        <v>32</v>
      </c>
      <c r="F244">
        <v>2</v>
      </c>
      <c r="G244" s="5">
        <v>44526</v>
      </c>
      <c r="H244" s="5">
        <v>44221</v>
      </c>
      <c r="I244" s="5">
        <v>44266</v>
      </c>
      <c r="J244" s="5" t="s">
        <v>272</v>
      </c>
      <c r="K244" s="5" t="s">
        <v>23</v>
      </c>
      <c r="L244" t="s">
        <v>24</v>
      </c>
      <c r="M244" t="s">
        <v>33</v>
      </c>
      <c r="N244">
        <v>2</v>
      </c>
      <c r="O244" t="s">
        <v>26</v>
      </c>
      <c r="S244">
        <f t="shared" si="3"/>
        <v>45</v>
      </c>
    </row>
    <row r="245" spans="1:19" x14ac:dyDescent="0.25">
      <c r="A245" t="s">
        <v>29</v>
      </c>
      <c r="B245">
        <v>204405</v>
      </c>
      <c r="C245" t="s">
        <v>19</v>
      </c>
      <c r="D245" t="s">
        <v>273</v>
      </c>
      <c r="E245" t="s">
        <v>32</v>
      </c>
      <c r="F245">
        <v>0</v>
      </c>
      <c r="G245" s="5">
        <v>44168</v>
      </c>
      <c r="H245" s="5">
        <v>44226</v>
      </c>
      <c r="I245" s="5">
        <v>44266</v>
      </c>
      <c r="J245" s="5" t="s">
        <v>274</v>
      </c>
      <c r="K245" s="5" t="s">
        <v>23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  <c r="S245">
        <f t="shared" si="3"/>
        <v>40</v>
      </c>
    </row>
    <row r="246" spans="1:19" x14ac:dyDescent="0.25">
      <c r="A246" t="s">
        <v>38</v>
      </c>
      <c r="B246">
        <v>214857</v>
      </c>
      <c r="C246" t="s">
        <v>19</v>
      </c>
      <c r="D246" t="s">
        <v>153</v>
      </c>
      <c r="E246" t="s">
        <v>21</v>
      </c>
      <c r="F246">
        <v>5</v>
      </c>
      <c r="G246" s="5">
        <v>44214</v>
      </c>
      <c r="H246" s="5">
        <v>44256</v>
      </c>
      <c r="I246" s="5">
        <v>44277</v>
      </c>
      <c r="K246" s="5" t="s">
        <v>23</v>
      </c>
      <c r="L246" t="s">
        <v>24</v>
      </c>
      <c r="M246" t="s">
        <v>25</v>
      </c>
      <c r="N246">
        <v>2</v>
      </c>
      <c r="O246" t="s">
        <v>26</v>
      </c>
      <c r="P246" t="s">
        <v>26</v>
      </c>
      <c r="Q246" t="s">
        <v>53</v>
      </c>
      <c r="R246" t="s">
        <v>53</v>
      </c>
      <c r="S246">
        <f t="shared" si="3"/>
        <v>21</v>
      </c>
    </row>
    <row r="247" spans="1:19" x14ac:dyDescent="0.25">
      <c r="A247" t="s">
        <v>38</v>
      </c>
      <c r="B247">
        <v>214857</v>
      </c>
      <c r="C247" t="s">
        <v>19</v>
      </c>
      <c r="D247" t="s">
        <v>153</v>
      </c>
      <c r="E247" t="s">
        <v>45</v>
      </c>
      <c r="F247">
        <v>5</v>
      </c>
      <c r="G247" s="5">
        <v>44214</v>
      </c>
      <c r="H247" s="5">
        <v>44256</v>
      </c>
      <c r="I247" s="5">
        <v>44277</v>
      </c>
      <c r="K247" s="5" t="s">
        <v>23</v>
      </c>
      <c r="L247" t="s">
        <v>44</v>
      </c>
      <c r="M247" t="s">
        <v>25</v>
      </c>
      <c r="N247">
        <v>2</v>
      </c>
      <c r="O247" t="s">
        <v>26</v>
      </c>
      <c r="P247" t="s">
        <v>26</v>
      </c>
      <c r="Q247" t="s">
        <v>53</v>
      </c>
      <c r="R247" t="s">
        <v>53</v>
      </c>
      <c r="S247">
        <f t="shared" si="3"/>
        <v>21</v>
      </c>
    </row>
    <row r="248" spans="1:19" x14ac:dyDescent="0.25">
      <c r="A248" t="s">
        <v>38</v>
      </c>
      <c r="B248">
        <v>214857</v>
      </c>
      <c r="C248" t="s">
        <v>19</v>
      </c>
      <c r="D248" t="s">
        <v>153</v>
      </c>
      <c r="E248" t="s">
        <v>176</v>
      </c>
      <c r="F248">
        <v>5</v>
      </c>
      <c r="G248" s="5">
        <v>44214</v>
      </c>
      <c r="H248" s="5">
        <v>44256</v>
      </c>
      <c r="I248" s="5">
        <v>44277</v>
      </c>
      <c r="K248" s="5" t="s">
        <v>23</v>
      </c>
      <c r="L248" t="s">
        <v>44</v>
      </c>
      <c r="M248" t="s">
        <v>25</v>
      </c>
      <c r="N248">
        <v>2</v>
      </c>
      <c r="O248" t="s">
        <v>26</v>
      </c>
      <c r="P248" t="s">
        <v>26</v>
      </c>
      <c r="Q248" t="s">
        <v>53</v>
      </c>
      <c r="R248" t="s">
        <v>53</v>
      </c>
      <c r="S248">
        <f t="shared" si="3"/>
        <v>21</v>
      </c>
    </row>
    <row r="249" spans="1:19" x14ac:dyDescent="0.25">
      <c r="A249" t="s">
        <v>38</v>
      </c>
      <c r="B249">
        <v>214857</v>
      </c>
      <c r="C249" t="s">
        <v>19</v>
      </c>
      <c r="D249" t="s">
        <v>153</v>
      </c>
      <c r="E249" t="s">
        <v>126</v>
      </c>
      <c r="F249">
        <v>1</v>
      </c>
      <c r="G249" s="5">
        <v>44214</v>
      </c>
      <c r="H249" s="5">
        <v>44256</v>
      </c>
      <c r="I249" s="5">
        <v>44277</v>
      </c>
      <c r="K249" s="5" t="s">
        <v>23</v>
      </c>
      <c r="L249" t="s">
        <v>44</v>
      </c>
      <c r="M249" t="s">
        <v>25</v>
      </c>
      <c r="N249">
        <v>2</v>
      </c>
      <c r="O249" t="s">
        <v>26</v>
      </c>
      <c r="P249" t="s">
        <v>26</v>
      </c>
      <c r="Q249" t="s">
        <v>53</v>
      </c>
      <c r="R249" t="s">
        <v>53</v>
      </c>
      <c r="S249">
        <f t="shared" si="3"/>
        <v>21</v>
      </c>
    </row>
    <row r="250" spans="1:19" x14ac:dyDescent="0.25">
      <c r="A250" t="s">
        <v>38</v>
      </c>
      <c r="B250">
        <v>214857</v>
      </c>
      <c r="C250" t="s">
        <v>19</v>
      </c>
      <c r="D250" t="s">
        <v>153</v>
      </c>
      <c r="E250" t="s">
        <v>54</v>
      </c>
      <c r="F250">
        <v>1</v>
      </c>
      <c r="G250" s="5">
        <v>44214</v>
      </c>
      <c r="H250" s="5">
        <v>44256</v>
      </c>
      <c r="I250" s="5">
        <v>44277</v>
      </c>
      <c r="K250" s="5" t="s">
        <v>23</v>
      </c>
      <c r="L250" t="s">
        <v>44</v>
      </c>
      <c r="M250" t="s">
        <v>25</v>
      </c>
      <c r="N250">
        <v>2</v>
      </c>
      <c r="O250" t="s">
        <v>26</v>
      </c>
      <c r="P250" t="s">
        <v>26</v>
      </c>
      <c r="Q250" t="s">
        <v>53</v>
      </c>
      <c r="R250" t="s">
        <v>53</v>
      </c>
      <c r="S250">
        <f t="shared" si="3"/>
        <v>21</v>
      </c>
    </row>
    <row r="251" spans="1:19" x14ac:dyDescent="0.25">
      <c r="A251" t="s">
        <v>38</v>
      </c>
      <c r="B251">
        <v>214857</v>
      </c>
      <c r="C251" t="s">
        <v>19</v>
      </c>
      <c r="D251" t="s">
        <v>153</v>
      </c>
      <c r="E251" t="s">
        <v>174</v>
      </c>
      <c r="F251">
        <v>1</v>
      </c>
      <c r="G251" s="5">
        <v>44214</v>
      </c>
      <c r="H251" s="5">
        <v>44256</v>
      </c>
      <c r="I251" s="5">
        <v>44277</v>
      </c>
      <c r="J251" s="5" t="s">
        <v>275</v>
      </c>
      <c r="K251" s="5" t="s">
        <v>23</v>
      </c>
      <c r="L251" t="s">
        <v>44</v>
      </c>
      <c r="M251" t="s">
        <v>25</v>
      </c>
      <c r="N251">
        <v>2</v>
      </c>
      <c r="O251" t="s">
        <v>26</v>
      </c>
      <c r="P251" t="s">
        <v>26</v>
      </c>
      <c r="Q251" t="s">
        <v>53</v>
      </c>
      <c r="R251" t="s">
        <v>53</v>
      </c>
      <c r="S251">
        <f t="shared" si="3"/>
        <v>21</v>
      </c>
    </row>
    <row r="252" spans="1:19" x14ac:dyDescent="0.25">
      <c r="A252" t="s">
        <v>38</v>
      </c>
      <c r="B252">
        <v>214857</v>
      </c>
      <c r="C252" t="s">
        <v>19</v>
      </c>
      <c r="D252" t="s">
        <v>153</v>
      </c>
      <c r="E252" t="s">
        <v>123</v>
      </c>
      <c r="F252">
        <v>1</v>
      </c>
      <c r="G252" s="5">
        <v>44214</v>
      </c>
      <c r="H252" s="5">
        <v>44223</v>
      </c>
      <c r="I252" s="5">
        <v>44223</v>
      </c>
      <c r="K252" s="5" t="s">
        <v>23</v>
      </c>
      <c r="L252" t="s">
        <v>44</v>
      </c>
      <c r="M252" t="s">
        <v>25</v>
      </c>
      <c r="N252">
        <v>1</v>
      </c>
      <c r="O252" t="s">
        <v>26</v>
      </c>
      <c r="P252" t="s">
        <v>26</v>
      </c>
      <c r="Q252" t="s">
        <v>53</v>
      </c>
      <c r="R252" t="s">
        <v>53</v>
      </c>
      <c r="S252">
        <f t="shared" si="3"/>
        <v>0</v>
      </c>
    </row>
    <row r="253" spans="1:19" x14ac:dyDescent="0.25">
      <c r="A253" t="s">
        <v>38</v>
      </c>
      <c r="B253">
        <v>214857</v>
      </c>
      <c r="C253" t="s">
        <v>19</v>
      </c>
      <c r="D253" t="s">
        <v>153</v>
      </c>
      <c r="E253" t="s">
        <v>110</v>
      </c>
      <c r="G253" s="5">
        <v>44214</v>
      </c>
      <c r="H253" s="5">
        <v>44223</v>
      </c>
      <c r="I253" s="5">
        <v>44223</v>
      </c>
      <c r="J253" s="5" t="s">
        <v>276</v>
      </c>
      <c r="K253" s="5" t="s">
        <v>23</v>
      </c>
      <c r="L253" t="s">
        <v>24</v>
      </c>
      <c r="M253" t="s">
        <v>33</v>
      </c>
      <c r="O253" t="s">
        <v>26</v>
      </c>
      <c r="P253" t="s">
        <v>26</v>
      </c>
      <c r="Q253" t="s">
        <v>53</v>
      </c>
      <c r="R253" t="s">
        <v>53</v>
      </c>
      <c r="S253">
        <f t="shared" si="3"/>
        <v>0</v>
      </c>
    </row>
    <row r="254" spans="1:19" x14ac:dyDescent="0.25">
      <c r="A254" t="s">
        <v>38</v>
      </c>
      <c r="B254">
        <v>214857</v>
      </c>
      <c r="C254" t="s">
        <v>19</v>
      </c>
      <c r="D254" t="s">
        <v>153</v>
      </c>
      <c r="E254" t="s">
        <v>277</v>
      </c>
      <c r="G254" s="5">
        <v>44214</v>
      </c>
      <c r="H254" s="5">
        <v>44223</v>
      </c>
      <c r="I254" s="5">
        <v>44277</v>
      </c>
      <c r="K254" s="5" t="s">
        <v>23</v>
      </c>
      <c r="L254" t="s">
        <v>24</v>
      </c>
      <c r="M254" t="s">
        <v>33</v>
      </c>
      <c r="O254" t="s">
        <v>26</v>
      </c>
      <c r="P254" t="s">
        <v>26</v>
      </c>
      <c r="Q254" t="s">
        <v>53</v>
      </c>
      <c r="R254" t="s">
        <v>53</v>
      </c>
      <c r="S254">
        <f t="shared" si="3"/>
        <v>54</v>
      </c>
    </row>
    <row r="255" spans="1:19" x14ac:dyDescent="0.25">
      <c r="A255" t="s">
        <v>38</v>
      </c>
      <c r="B255">
        <v>214857</v>
      </c>
      <c r="C255" t="s">
        <v>19</v>
      </c>
      <c r="D255" t="s">
        <v>153</v>
      </c>
      <c r="E255" t="s">
        <v>126</v>
      </c>
      <c r="G255" s="5">
        <v>44271</v>
      </c>
      <c r="H255" s="5">
        <v>44271</v>
      </c>
      <c r="I255" s="5">
        <v>44277</v>
      </c>
      <c r="J255" s="5" t="s">
        <v>275</v>
      </c>
      <c r="K255" s="5" t="s">
        <v>23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  <c r="S255">
        <f t="shared" si="3"/>
        <v>6</v>
      </c>
    </row>
    <row r="256" spans="1:19" x14ac:dyDescent="0.25">
      <c r="A256" t="s">
        <v>38</v>
      </c>
      <c r="B256">
        <v>214139</v>
      </c>
      <c r="C256" t="s">
        <v>19</v>
      </c>
      <c r="D256" t="s">
        <v>278</v>
      </c>
      <c r="E256" t="s">
        <v>97</v>
      </c>
      <c r="F256">
        <v>31</v>
      </c>
      <c r="G256" s="5">
        <v>44209</v>
      </c>
      <c r="H256" s="5">
        <v>44245</v>
      </c>
      <c r="J256" s="5" t="s">
        <v>279</v>
      </c>
      <c r="K256" s="5" t="s">
        <v>280</v>
      </c>
      <c r="L256" t="s">
        <v>24</v>
      </c>
      <c r="M256" t="s">
        <v>25</v>
      </c>
      <c r="O256" t="s">
        <v>26</v>
      </c>
      <c r="P256" t="s">
        <v>26</v>
      </c>
      <c r="Q256" t="s">
        <v>28</v>
      </c>
      <c r="R256" t="s">
        <v>28</v>
      </c>
      <c r="S256">
        <f t="shared" si="3"/>
        <v>-44245</v>
      </c>
    </row>
    <row r="257" spans="1:19" x14ac:dyDescent="0.25">
      <c r="A257" t="s">
        <v>38</v>
      </c>
      <c r="B257">
        <v>214139</v>
      </c>
      <c r="C257" t="s">
        <v>19</v>
      </c>
      <c r="D257" t="s">
        <v>278</v>
      </c>
      <c r="E257" t="s">
        <v>97</v>
      </c>
      <c r="F257">
        <v>27</v>
      </c>
      <c r="G257" s="5">
        <v>44249</v>
      </c>
      <c r="H257" s="5">
        <v>44251</v>
      </c>
      <c r="J257" s="5" t="s">
        <v>281</v>
      </c>
      <c r="K257" s="5" t="s">
        <v>23</v>
      </c>
      <c r="L257" t="s">
        <v>24</v>
      </c>
      <c r="M257" t="s">
        <v>25</v>
      </c>
      <c r="O257" t="s">
        <v>26</v>
      </c>
      <c r="P257" t="s">
        <v>26</v>
      </c>
      <c r="Q257" t="s">
        <v>28</v>
      </c>
      <c r="R257" t="s">
        <v>28</v>
      </c>
      <c r="S257">
        <f t="shared" si="3"/>
        <v>-44251</v>
      </c>
    </row>
    <row r="258" spans="1:19" x14ac:dyDescent="0.25">
      <c r="A258" t="s">
        <v>29</v>
      </c>
      <c r="B258">
        <v>213697</v>
      </c>
      <c r="C258" t="s">
        <v>19</v>
      </c>
      <c r="D258" t="s">
        <v>282</v>
      </c>
      <c r="E258" t="s">
        <v>110</v>
      </c>
      <c r="F258">
        <v>10</v>
      </c>
      <c r="G258" s="5">
        <v>44207</v>
      </c>
      <c r="H258" s="5">
        <v>44230</v>
      </c>
      <c r="I258" s="5">
        <v>44265</v>
      </c>
      <c r="J258" s="5" t="s">
        <v>283</v>
      </c>
      <c r="K258" s="5" t="s">
        <v>23</v>
      </c>
      <c r="L258" t="s">
        <v>24</v>
      </c>
      <c r="M258" t="s">
        <v>33</v>
      </c>
      <c r="O258" t="s">
        <v>26</v>
      </c>
      <c r="P258" t="s">
        <v>26</v>
      </c>
      <c r="Q258" t="s">
        <v>28</v>
      </c>
      <c r="R258" t="s">
        <v>184</v>
      </c>
      <c r="S258">
        <f t="shared" si="3"/>
        <v>35</v>
      </c>
    </row>
    <row r="259" spans="1:19" x14ac:dyDescent="0.25">
      <c r="A259" t="s">
        <v>29</v>
      </c>
      <c r="B259">
        <v>213697</v>
      </c>
      <c r="C259" t="s">
        <v>19</v>
      </c>
      <c r="D259" t="s">
        <v>282</v>
      </c>
      <c r="E259" t="s">
        <v>114</v>
      </c>
      <c r="F259">
        <v>14</v>
      </c>
      <c r="G259" s="5">
        <v>44207</v>
      </c>
      <c r="H259" s="5">
        <v>44230</v>
      </c>
      <c r="I259" s="5">
        <v>44265</v>
      </c>
      <c r="K259" s="5" t="s">
        <v>23</v>
      </c>
      <c r="L259" t="s">
        <v>24</v>
      </c>
      <c r="M259" t="s">
        <v>33</v>
      </c>
      <c r="O259" t="s">
        <v>26</v>
      </c>
      <c r="P259" t="s">
        <v>26</v>
      </c>
      <c r="Q259" t="s">
        <v>28</v>
      </c>
      <c r="R259" t="s">
        <v>184</v>
      </c>
      <c r="S259">
        <f t="shared" ref="S259:S322" si="4">I259-H259</f>
        <v>35</v>
      </c>
    </row>
    <row r="260" spans="1:19" x14ac:dyDescent="0.25">
      <c r="A260" t="s">
        <v>29</v>
      </c>
      <c r="B260">
        <v>213697</v>
      </c>
      <c r="C260" t="s">
        <v>19</v>
      </c>
      <c r="D260" t="s">
        <v>282</v>
      </c>
      <c r="E260" t="s">
        <v>235</v>
      </c>
      <c r="F260">
        <v>2</v>
      </c>
      <c r="G260" s="5">
        <v>44207</v>
      </c>
      <c r="H260" s="5">
        <v>44230</v>
      </c>
      <c r="I260" s="5">
        <v>44265</v>
      </c>
      <c r="K260" s="5" t="s">
        <v>23</v>
      </c>
      <c r="L260" t="s">
        <v>24</v>
      </c>
      <c r="M260" t="s">
        <v>33</v>
      </c>
      <c r="O260" t="s">
        <v>26</v>
      </c>
      <c r="P260" t="s">
        <v>26</v>
      </c>
      <c r="Q260" t="s">
        <v>28</v>
      </c>
      <c r="R260" t="s">
        <v>184</v>
      </c>
      <c r="S260">
        <f t="shared" si="4"/>
        <v>35</v>
      </c>
    </row>
    <row r="261" spans="1:19" x14ac:dyDescent="0.25">
      <c r="A261" t="s">
        <v>29</v>
      </c>
      <c r="B261">
        <v>213697</v>
      </c>
      <c r="C261" t="s">
        <v>19</v>
      </c>
      <c r="D261" t="s">
        <v>282</v>
      </c>
      <c r="E261" t="s">
        <v>83</v>
      </c>
      <c r="F261">
        <v>1</v>
      </c>
      <c r="G261" s="5">
        <v>44207</v>
      </c>
      <c r="H261" s="5">
        <v>44232</v>
      </c>
      <c r="I261" s="5">
        <v>44265</v>
      </c>
      <c r="K261" s="5" t="s">
        <v>23</v>
      </c>
      <c r="L261" t="s">
        <v>24</v>
      </c>
      <c r="M261" t="s">
        <v>33</v>
      </c>
      <c r="O261" t="s">
        <v>26</v>
      </c>
      <c r="P261" t="s">
        <v>26</v>
      </c>
      <c r="Q261" t="s">
        <v>28</v>
      </c>
      <c r="R261" t="s">
        <v>184</v>
      </c>
      <c r="S261">
        <f t="shared" si="4"/>
        <v>33</v>
      </c>
    </row>
    <row r="262" spans="1:19" x14ac:dyDescent="0.25">
      <c r="A262" t="s">
        <v>29</v>
      </c>
      <c r="B262">
        <v>213697</v>
      </c>
      <c r="C262" t="s">
        <v>19</v>
      </c>
      <c r="D262" t="s">
        <v>282</v>
      </c>
      <c r="E262" t="s">
        <v>78</v>
      </c>
      <c r="F262">
        <v>2</v>
      </c>
      <c r="G262" s="5">
        <v>44207</v>
      </c>
      <c r="H262" s="5">
        <v>44230</v>
      </c>
      <c r="I262" s="5">
        <v>44265</v>
      </c>
      <c r="K262" s="5" t="s">
        <v>23</v>
      </c>
      <c r="L262" t="s">
        <v>24</v>
      </c>
      <c r="M262" t="s">
        <v>33</v>
      </c>
      <c r="O262" t="s">
        <v>26</v>
      </c>
      <c r="P262" t="s">
        <v>26</v>
      </c>
      <c r="Q262" t="s">
        <v>28</v>
      </c>
      <c r="R262" t="s">
        <v>184</v>
      </c>
      <c r="S262">
        <f t="shared" si="4"/>
        <v>35</v>
      </c>
    </row>
    <row r="263" spans="1:19" x14ac:dyDescent="0.25">
      <c r="A263" t="s">
        <v>38</v>
      </c>
      <c r="B263">
        <v>218050</v>
      </c>
      <c r="C263" t="s">
        <v>19</v>
      </c>
      <c r="D263" t="s">
        <v>284</v>
      </c>
      <c r="E263" t="s">
        <v>156</v>
      </c>
      <c r="F263">
        <v>1</v>
      </c>
      <c r="G263" s="5">
        <v>44228</v>
      </c>
      <c r="H263" s="5">
        <v>44246</v>
      </c>
      <c r="I263" s="5">
        <v>44267</v>
      </c>
      <c r="K263" s="5" t="s">
        <v>23</v>
      </c>
      <c r="L263" t="s">
        <v>24</v>
      </c>
      <c r="M263" t="s">
        <v>25</v>
      </c>
      <c r="O263" t="s">
        <v>26</v>
      </c>
      <c r="P263" t="s">
        <v>26</v>
      </c>
      <c r="Q263" t="s">
        <v>285</v>
      </c>
      <c r="R263" t="s">
        <v>285</v>
      </c>
      <c r="S263">
        <f t="shared" si="4"/>
        <v>21</v>
      </c>
    </row>
    <row r="264" spans="1:19" x14ac:dyDescent="0.25">
      <c r="A264" t="s">
        <v>51</v>
      </c>
      <c r="B264">
        <v>212488</v>
      </c>
      <c r="C264" t="s">
        <v>19</v>
      </c>
      <c r="D264" t="s">
        <v>52</v>
      </c>
      <c r="E264" t="s">
        <v>54</v>
      </c>
      <c r="F264">
        <v>6</v>
      </c>
      <c r="G264" s="5">
        <v>44229</v>
      </c>
      <c r="H264" s="5">
        <v>44229</v>
      </c>
      <c r="I264" s="5">
        <v>44267</v>
      </c>
      <c r="K264" s="5" t="s">
        <v>23</v>
      </c>
      <c r="L264" t="s">
        <v>44</v>
      </c>
      <c r="M264" t="s">
        <v>25</v>
      </c>
      <c r="O264" t="s">
        <v>26</v>
      </c>
      <c r="P264" t="s">
        <v>26</v>
      </c>
      <c r="Q264" t="s">
        <v>184</v>
      </c>
      <c r="R264" t="s">
        <v>285</v>
      </c>
      <c r="S264">
        <f t="shared" si="4"/>
        <v>38</v>
      </c>
    </row>
    <row r="265" spans="1:19" x14ac:dyDescent="0.25">
      <c r="A265" t="s">
        <v>71</v>
      </c>
      <c r="B265">
        <v>218831</v>
      </c>
      <c r="C265" t="s">
        <v>19</v>
      </c>
      <c r="D265" t="s">
        <v>286</v>
      </c>
      <c r="E265" t="s">
        <v>93</v>
      </c>
      <c r="F265">
        <v>2</v>
      </c>
      <c r="G265" s="5">
        <v>44230</v>
      </c>
      <c r="H265" s="5">
        <v>44265</v>
      </c>
      <c r="I265" s="5">
        <v>44267</v>
      </c>
      <c r="K265" s="5" t="s">
        <v>23</v>
      </c>
      <c r="L265" t="s">
        <v>57</v>
      </c>
      <c r="M265" t="s">
        <v>25</v>
      </c>
      <c r="O265" t="s">
        <v>37</v>
      </c>
      <c r="P265" t="s">
        <v>37</v>
      </c>
      <c r="Q265" t="s">
        <v>53</v>
      </c>
      <c r="R265" t="s">
        <v>28</v>
      </c>
      <c r="S265">
        <f t="shared" si="4"/>
        <v>2</v>
      </c>
    </row>
    <row r="266" spans="1:19" x14ac:dyDescent="0.25">
      <c r="A266" t="s">
        <v>71</v>
      </c>
      <c r="B266">
        <v>218831</v>
      </c>
      <c r="C266" t="s">
        <v>19</v>
      </c>
      <c r="D266" t="s">
        <v>286</v>
      </c>
      <c r="E266" t="s">
        <v>287</v>
      </c>
      <c r="F266">
        <v>2</v>
      </c>
      <c r="G266" s="5">
        <v>44230</v>
      </c>
      <c r="H266" s="5">
        <v>44265</v>
      </c>
      <c r="I266" s="5">
        <v>44267</v>
      </c>
      <c r="K266" s="5" t="s">
        <v>23</v>
      </c>
      <c r="L266" t="s">
        <v>57</v>
      </c>
      <c r="M266" t="s">
        <v>25</v>
      </c>
      <c r="O266" t="s">
        <v>26</v>
      </c>
      <c r="P266" t="s">
        <v>37</v>
      </c>
      <c r="Q266" t="s">
        <v>53</v>
      </c>
      <c r="R266" t="s">
        <v>28</v>
      </c>
      <c r="S266">
        <f t="shared" si="4"/>
        <v>2</v>
      </c>
    </row>
    <row r="267" spans="1:19" x14ac:dyDescent="0.25">
      <c r="A267" t="s">
        <v>71</v>
      </c>
      <c r="B267">
        <v>218831</v>
      </c>
      <c r="C267" t="s">
        <v>19</v>
      </c>
      <c r="D267" t="s">
        <v>286</v>
      </c>
      <c r="E267" t="s">
        <v>114</v>
      </c>
      <c r="F267">
        <v>15</v>
      </c>
      <c r="G267" s="5">
        <v>44230</v>
      </c>
      <c r="H267" s="5">
        <v>44265</v>
      </c>
      <c r="I267" s="5">
        <v>44267</v>
      </c>
      <c r="K267" s="5" t="s">
        <v>23</v>
      </c>
      <c r="L267" t="s">
        <v>24</v>
      </c>
      <c r="M267" t="s">
        <v>25</v>
      </c>
      <c r="O267" t="s">
        <v>26</v>
      </c>
      <c r="P267" t="s">
        <v>26</v>
      </c>
      <c r="Q267" t="s">
        <v>53</v>
      </c>
      <c r="R267" t="s">
        <v>28</v>
      </c>
      <c r="S267">
        <f t="shared" si="4"/>
        <v>2</v>
      </c>
    </row>
    <row r="268" spans="1:19" x14ac:dyDescent="0.25">
      <c r="A268" t="s">
        <v>71</v>
      </c>
      <c r="B268">
        <v>218831</v>
      </c>
      <c r="C268" t="s">
        <v>19</v>
      </c>
      <c r="D268" t="s">
        <v>286</v>
      </c>
      <c r="E268" t="s">
        <v>78</v>
      </c>
      <c r="F268">
        <v>1</v>
      </c>
      <c r="G268" s="5">
        <v>44230</v>
      </c>
      <c r="H268" s="5">
        <v>44265</v>
      </c>
      <c r="I268" s="5">
        <v>44267</v>
      </c>
      <c r="K268" s="5" t="s">
        <v>23</v>
      </c>
      <c r="L268" t="s">
        <v>24</v>
      </c>
      <c r="M268" t="s">
        <v>25</v>
      </c>
      <c r="O268" t="s">
        <v>26</v>
      </c>
      <c r="P268" t="s">
        <v>26</v>
      </c>
      <c r="Q268" t="s">
        <v>53</v>
      </c>
      <c r="R268" t="s">
        <v>28</v>
      </c>
      <c r="S268">
        <f t="shared" si="4"/>
        <v>2</v>
      </c>
    </row>
    <row r="269" spans="1:19" x14ac:dyDescent="0.25">
      <c r="A269" t="s">
        <v>158</v>
      </c>
      <c r="B269">
        <v>219310</v>
      </c>
      <c r="C269" t="s">
        <v>139</v>
      </c>
      <c r="D269" t="s">
        <v>288</v>
      </c>
      <c r="E269" t="s">
        <v>226</v>
      </c>
      <c r="F269">
        <v>1</v>
      </c>
      <c r="G269" s="5">
        <v>44231</v>
      </c>
      <c r="H269" s="5">
        <v>44257</v>
      </c>
      <c r="I269" s="5">
        <v>44257</v>
      </c>
      <c r="J269" s="5" t="s">
        <v>289</v>
      </c>
      <c r="K269" s="5" t="s">
        <v>23</v>
      </c>
      <c r="L269" t="s">
        <v>57</v>
      </c>
      <c r="M269" t="s">
        <v>25</v>
      </c>
      <c r="N269">
        <v>1</v>
      </c>
      <c r="O269" t="s">
        <v>37</v>
      </c>
      <c r="P269" t="s">
        <v>37</v>
      </c>
      <c r="Q269" t="s">
        <v>53</v>
      </c>
      <c r="R269" t="s">
        <v>53</v>
      </c>
      <c r="S269">
        <f t="shared" si="4"/>
        <v>0</v>
      </c>
    </row>
    <row r="270" spans="1:19" x14ac:dyDescent="0.25">
      <c r="A270" t="s">
        <v>38</v>
      </c>
      <c r="B270">
        <v>220651</v>
      </c>
      <c r="C270" t="s">
        <v>19</v>
      </c>
      <c r="D270" t="s">
        <v>251</v>
      </c>
      <c r="E270" t="s">
        <v>78</v>
      </c>
      <c r="F270">
        <v>1</v>
      </c>
      <c r="G270" s="5">
        <v>44237</v>
      </c>
      <c r="H270" s="5">
        <v>44238</v>
      </c>
      <c r="K270" s="5" t="s">
        <v>23</v>
      </c>
      <c r="L270" t="s">
        <v>36</v>
      </c>
      <c r="M270" t="s">
        <v>33</v>
      </c>
      <c r="O270" t="s">
        <v>37</v>
      </c>
      <c r="P270" t="s">
        <v>37</v>
      </c>
      <c r="Q270" t="s">
        <v>27</v>
      </c>
      <c r="R270" t="s">
        <v>53</v>
      </c>
      <c r="S270">
        <f t="shared" si="4"/>
        <v>-44238</v>
      </c>
    </row>
    <row r="271" spans="1:19" x14ac:dyDescent="0.25">
      <c r="A271" t="s">
        <v>38</v>
      </c>
      <c r="B271">
        <v>220651</v>
      </c>
      <c r="C271" t="s">
        <v>19</v>
      </c>
      <c r="D271" t="s">
        <v>251</v>
      </c>
      <c r="E271" t="s">
        <v>21</v>
      </c>
      <c r="F271">
        <v>1</v>
      </c>
      <c r="G271" s="5">
        <v>44237</v>
      </c>
      <c r="H271" s="5">
        <v>44246</v>
      </c>
      <c r="K271" s="5" t="s">
        <v>23</v>
      </c>
      <c r="L271" t="s">
        <v>24</v>
      </c>
      <c r="M271" t="s">
        <v>33</v>
      </c>
      <c r="N271">
        <v>1</v>
      </c>
      <c r="O271" t="s">
        <v>37</v>
      </c>
      <c r="P271" t="s">
        <v>37</v>
      </c>
      <c r="Q271" t="s">
        <v>27</v>
      </c>
      <c r="R271" t="s">
        <v>53</v>
      </c>
      <c r="S271">
        <f t="shared" si="4"/>
        <v>-44246</v>
      </c>
    </row>
    <row r="272" spans="1:19" x14ac:dyDescent="0.25">
      <c r="A272" t="s">
        <v>38</v>
      </c>
      <c r="B272">
        <v>220651</v>
      </c>
      <c r="C272" t="s">
        <v>19</v>
      </c>
      <c r="D272" t="s">
        <v>251</v>
      </c>
      <c r="E272" t="s">
        <v>45</v>
      </c>
      <c r="F272">
        <v>2</v>
      </c>
      <c r="G272" s="5">
        <v>44237</v>
      </c>
      <c r="H272" s="5">
        <v>44246</v>
      </c>
      <c r="K272" s="5" t="s">
        <v>23</v>
      </c>
      <c r="L272" t="s">
        <v>24</v>
      </c>
      <c r="M272" t="s">
        <v>33</v>
      </c>
      <c r="N272">
        <v>1</v>
      </c>
      <c r="O272" t="s">
        <v>37</v>
      </c>
      <c r="P272" t="s">
        <v>37</v>
      </c>
      <c r="Q272" t="s">
        <v>27</v>
      </c>
      <c r="R272" t="s">
        <v>53</v>
      </c>
      <c r="S272">
        <f t="shared" si="4"/>
        <v>-44246</v>
      </c>
    </row>
    <row r="273" spans="1:19" x14ac:dyDescent="0.25">
      <c r="A273" t="s">
        <v>38</v>
      </c>
      <c r="B273">
        <v>220651</v>
      </c>
      <c r="C273" t="s">
        <v>19</v>
      </c>
      <c r="D273" t="s">
        <v>251</v>
      </c>
      <c r="E273" t="s">
        <v>176</v>
      </c>
      <c r="F273">
        <v>1</v>
      </c>
      <c r="G273" s="5">
        <v>44237</v>
      </c>
      <c r="H273" s="5">
        <v>44246</v>
      </c>
      <c r="K273" s="5" t="s">
        <v>23</v>
      </c>
      <c r="L273" t="s">
        <v>24</v>
      </c>
      <c r="M273" t="s">
        <v>33</v>
      </c>
      <c r="O273" t="s">
        <v>37</v>
      </c>
      <c r="P273" t="s">
        <v>37</v>
      </c>
      <c r="Q273" t="s">
        <v>27</v>
      </c>
      <c r="R273" t="s">
        <v>53</v>
      </c>
      <c r="S273">
        <f t="shared" si="4"/>
        <v>-44246</v>
      </c>
    </row>
    <row r="274" spans="1:19" x14ac:dyDescent="0.25">
      <c r="A274" t="s">
        <v>38</v>
      </c>
      <c r="B274">
        <v>220651</v>
      </c>
      <c r="C274" t="s">
        <v>19</v>
      </c>
      <c r="D274" t="s">
        <v>251</v>
      </c>
      <c r="E274" t="s">
        <v>92</v>
      </c>
      <c r="F274">
        <v>1</v>
      </c>
      <c r="G274" s="5">
        <v>44237</v>
      </c>
      <c r="H274" s="5">
        <v>44246</v>
      </c>
      <c r="K274" s="5" t="s">
        <v>23</v>
      </c>
      <c r="L274" t="s">
        <v>24</v>
      </c>
      <c r="M274" t="s">
        <v>33</v>
      </c>
      <c r="N274">
        <v>1</v>
      </c>
      <c r="O274" t="s">
        <v>37</v>
      </c>
      <c r="P274" t="s">
        <v>37</v>
      </c>
      <c r="Q274" t="s">
        <v>27</v>
      </c>
      <c r="R274" t="s">
        <v>53</v>
      </c>
      <c r="S274">
        <f t="shared" si="4"/>
        <v>-44246</v>
      </c>
    </row>
    <row r="275" spans="1:19" x14ac:dyDescent="0.25">
      <c r="A275" t="s">
        <v>34</v>
      </c>
      <c r="B275">
        <v>207087</v>
      </c>
      <c r="C275" t="s">
        <v>19</v>
      </c>
      <c r="D275" t="s">
        <v>290</v>
      </c>
      <c r="E275" t="s">
        <v>97</v>
      </c>
      <c r="F275">
        <v>134</v>
      </c>
      <c r="G275" s="5">
        <v>44245</v>
      </c>
      <c r="H275" s="5">
        <v>44266</v>
      </c>
      <c r="I275" s="5">
        <v>44277</v>
      </c>
      <c r="K275" s="5" t="s">
        <v>23</v>
      </c>
      <c r="L275" t="s">
        <v>24</v>
      </c>
      <c r="M275" t="s">
        <v>25</v>
      </c>
      <c r="O275" t="s">
        <v>37</v>
      </c>
      <c r="P275" t="s">
        <v>26</v>
      </c>
      <c r="Q275" t="s">
        <v>53</v>
      </c>
      <c r="R275" t="s">
        <v>53</v>
      </c>
      <c r="S275">
        <f t="shared" si="4"/>
        <v>11</v>
      </c>
    </row>
    <row r="276" spans="1:19" x14ac:dyDescent="0.25">
      <c r="A276" t="s">
        <v>71</v>
      </c>
      <c r="B276">
        <v>221731</v>
      </c>
      <c r="C276" t="s">
        <v>19</v>
      </c>
      <c r="D276" t="s">
        <v>291</v>
      </c>
      <c r="E276" t="s">
        <v>78</v>
      </c>
      <c r="G276" s="5">
        <v>44245</v>
      </c>
      <c r="H276" s="5">
        <v>44245</v>
      </c>
      <c r="I276" s="5">
        <v>44245</v>
      </c>
      <c r="K276" s="5" t="s">
        <v>23</v>
      </c>
      <c r="L276" t="s">
        <v>57</v>
      </c>
      <c r="M276" t="s">
        <v>25</v>
      </c>
      <c r="O276" t="s">
        <v>37</v>
      </c>
      <c r="P276" t="s">
        <v>37</v>
      </c>
      <c r="Q276" t="s">
        <v>28</v>
      </c>
      <c r="R276" t="s">
        <v>28</v>
      </c>
      <c r="S276">
        <f t="shared" si="4"/>
        <v>0</v>
      </c>
    </row>
    <row r="277" spans="1:19" x14ac:dyDescent="0.25">
      <c r="A277" t="s">
        <v>71</v>
      </c>
      <c r="B277">
        <v>221731</v>
      </c>
      <c r="C277" t="s">
        <v>19</v>
      </c>
      <c r="D277" t="s">
        <v>291</v>
      </c>
      <c r="E277" t="s">
        <v>92</v>
      </c>
      <c r="F277">
        <v>8</v>
      </c>
      <c r="G277" s="5">
        <v>44245</v>
      </c>
      <c r="H277" s="5">
        <v>44259</v>
      </c>
      <c r="I277" s="5">
        <v>44259</v>
      </c>
      <c r="K277" s="5" t="s">
        <v>23</v>
      </c>
      <c r="L277" t="s">
        <v>57</v>
      </c>
      <c r="M277" t="s">
        <v>25</v>
      </c>
      <c r="O277" t="s">
        <v>37</v>
      </c>
      <c r="P277" t="s">
        <v>37</v>
      </c>
      <c r="Q277" t="s">
        <v>28</v>
      </c>
      <c r="R277" t="s">
        <v>28</v>
      </c>
      <c r="S277">
        <f t="shared" si="4"/>
        <v>0</v>
      </c>
    </row>
    <row r="278" spans="1:19" x14ac:dyDescent="0.25">
      <c r="A278" t="s">
        <v>71</v>
      </c>
      <c r="B278">
        <v>221731</v>
      </c>
      <c r="C278" t="s">
        <v>19</v>
      </c>
      <c r="D278" t="s">
        <v>291</v>
      </c>
      <c r="E278" t="s">
        <v>114</v>
      </c>
      <c r="F278">
        <v>1</v>
      </c>
      <c r="G278" s="5">
        <v>44245</v>
      </c>
      <c r="H278" s="5">
        <v>44259</v>
      </c>
      <c r="I278" s="5">
        <v>44259</v>
      </c>
      <c r="K278" s="5" t="s">
        <v>23</v>
      </c>
      <c r="L278" t="s">
        <v>57</v>
      </c>
      <c r="M278" t="s">
        <v>25</v>
      </c>
      <c r="O278" t="s">
        <v>37</v>
      </c>
      <c r="P278" t="s">
        <v>37</v>
      </c>
      <c r="Q278" t="s">
        <v>28</v>
      </c>
      <c r="R278" t="s">
        <v>28</v>
      </c>
      <c r="S278">
        <f t="shared" si="4"/>
        <v>0</v>
      </c>
    </row>
    <row r="279" spans="1:19" x14ac:dyDescent="0.25">
      <c r="A279" t="s">
        <v>38</v>
      </c>
      <c r="B279">
        <v>222353</v>
      </c>
      <c r="C279" t="s">
        <v>19</v>
      </c>
      <c r="D279" t="s">
        <v>292</v>
      </c>
      <c r="E279" t="s">
        <v>178</v>
      </c>
      <c r="F279">
        <v>4</v>
      </c>
      <c r="G279" s="5">
        <v>44246</v>
      </c>
      <c r="H279" s="5">
        <v>44250</v>
      </c>
      <c r="I279" s="5">
        <v>44279</v>
      </c>
      <c r="K279" s="5" t="s">
        <v>23</v>
      </c>
      <c r="L279" t="s">
        <v>24</v>
      </c>
      <c r="M279" t="s">
        <v>25</v>
      </c>
      <c r="O279" t="s">
        <v>26</v>
      </c>
      <c r="P279" t="s">
        <v>26</v>
      </c>
      <c r="Q279" t="s">
        <v>53</v>
      </c>
      <c r="R279" t="s">
        <v>184</v>
      </c>
      <c r="S279">
        <f t="shared" si="4"/>
        <v>29</v>
      </c>
    </row>
    <row r="280" spans="1:19" x14ac:dyDescent="0.25">
      <c r="A280" t="s">
        <v>75</v>
      </c>
      <c r="B280">
        <v>222560</v>
      </c>
      <c r="C280" t="s">
        <v>19</v>
      </c>
      <c r="D280" t="s">
        <v>293</v>
      </c>
      <c r="E280" t="s">
        <v>21</v>
      </c>
      <c r="F280">
        <v>1</v>
      </c>
      <c r="G280" s="5">
        <v>44249</v>
      </c>
      <c r="H280" s="5">
        <v>44258</v>
      </c>
      <c r="I280" s="5">
        <v>44258</v>
      </c>
      <c r="K280" s="5" t="s">
        <v>23</v>
      </c>
      <c r="L280" t="s">
        <v>24</v>
      </c>
      <c r="M280" t="s">
        <v>25</v>
      </c>
      <c r="N280">
        <v>2</v>
      </c>
      <c r="O280" t="s">
        <v>26</v>
      </c>
      <c r="P280" t="s">
        <v>26</v>
      </c>
      <c r="Q280" t="s">
        <v>285</v>
      </c>
      <c r="R280" t="s">
        <v>53</v>
      </c>
      <c r="S280">
        <f t="shared" si="4"/>
        <v>0</v>
      </c>
    </row>
    <row r="281" spans="1:19" x14ac:dyDescent="0.25">
      <c r="A281" t="s">
        <v>75</v>
      </c>
      <c r="B281">
        <v>222560</v>
      </c>
      <c r="C281" t="s">
        <v>19</v>
      </c>
      <c r="D281" t="s">
        <v>293</v>
      </c>
      <c r="E281" t="s">
        <v>103</v>
      </c>
      <c r="F281">
        <v>2</v>
      </c>
      <c r="G281" s="5">
        <v>44249</v>
      </c>
      <c r="H281" s="5">
        <v>44258</v>
      </c>
      <c r="I281" s="5">
        <v>44258</v>
      </c>
      <c r="J281" s="5" t="s">
        <v>294</v>
      </c>
      <c r="K281" s="5" t="s">
        <v>23</v>
      </c>
      <c r="L281" t="s">
        <v>44</v>
      </c>
      <c r="M281" t="s">
        <v>25</v>
      </c>
      <c r="N281">
        <v>2</v>
      </c>
      <c r="O281" t="s">
        <v>26</v>
      </c>
      <c r="P281" t="s">
        <v>26</v>
      </c>
      <c r="Q281" t="s">
        <v>285</v>
      </c>
      <c r="R281" t="s">
        <v>53</v>
      </c>
      <c r="S281">
        <f t="shared" si="4"/>
        <v>0</v>
      </c>
    </row>
    <row r="282" spans="1:19" x14ac:dyDescent="0.25">
      <c r="A282" t="s">
        <v>75</v>
      </c>
      <c r="B282">
        <v>222560</v>
      </c>
      <c r="C282" t="s">
        <v>19</v>
      </c>
      <c r="D282" t="s">
        <v>293</v>
      </c>
      <c r="E282" t="s">
        <v>45</v>
      </c>
      <c r="F282">
        <v>1</v>
      </c>
      <c r="G282" s="5">
        <v>44249</v>
      </c>
      <c r="H282" s="5">
        <v>44258</v>
      </c>
      <c r="I282" s="5">
        <v>44258</v>
      </c>
      <c r="K282" s="5" t="s">
        <v>23</v>
      </c>
      <c r="L282" t="s">
        <v>44</v>
      </c>
      <c r="M282" t="s">
        <v>25</v>
      </c>
      <c r="N282">
        <v>2</v>
      </c>
      <c r="O282" t="s">
        <v>26</v>
      </c>
      <c r="P282" t="s">
        <v>26</v>
      </c>
      <c r="Q282" t="s">
        <v>285</v>
      </c>
      <c r="R282" t="s">
        <v>53</v>
      </c>
      <c r="S282">
        <f t="shared" si="4"/>
        <v>0</v>
      </c>
    </row>
    <row r="283" spans="1:19" x14ac:dyDescent="0.25">
      <c r="A283" t="s">
        <v>75</v>
      </c>
      <c r="B283">
        <v>222560</v>
      </c>
      <c r="C283" t="s">
        <v>19</v>
      </c>
      <c r="D283" t="s">
        <v>293</v>
      </c>
      <c r="E283" t="s">
        <v>106</v>
      </c>
      <c r="F283">
        <v>1</v>
      </c>
      <c r="G283" s="5">
        <v>44249</v>
      </c>
      <c r="H283" s="5">
        <v>44258</v>
      </c>
      <c r="I283" s="5">
        <v>44258</v>
      </c>
      <c r="K283" s="5" t="s">
        <v>23</v>
      </c>
      <c r="L283" t="s">
        <v>44</v>
      </c>
      <c r="M283" t="s">
        <v>25</v>
      </c>
      <c r="O283" t="s">
        <v>26</v>
      </c>
      <c r="P283" t="s">
        <v>26</v>
      </c>
      <c r="Q283" t="s">
        <v>285</v>
      </c>
      <c r="R283" t="s">
        <v>53</v>
      </c>
      <c r="S283">
        <f t="shared" si="4"/>
        <v>0</v>
      </c>
    </row>
    <row r="284" spans="1:19" x14ac:dyDescent="0.25">
      <c r="A284" t="s">
        <v>75</v>
      </c>
      <c r="B284">
        <v>222560</v>
      </c>
      <c r="C284" t="s">
        <v>19</v>
      </c>
      <c r="D284" t="s">
        <v>293</v>
      </c>
      <c r="E284" t="s">
        <v>105</v>
      </c>
      <c r="F284">
        <v>1</v>
      </c>
      <c r="G284" s="5">
        <v>44249</v>
      </c>
      <c r="H284" s="5">
        <v>44258</v>
      </c>
      <c r="I284" s="5">
        <v>44258</v>
      </c>
      <c r="K284" s="5" t="s">
        <v>23</v>
      </c>
      <c r="L284" t="s">
        <v>44</v>
      </c>
      <c r="M284" t="s">
        <v>25</v>
      </c>
      <c r="O284" t="s">
        <v>26</v>
      </c>
      <c r="P284" t="s">
        <v>26</v>
      </c>
      <c r="Q284" t="s">
        <v>285</v>
      </c>
      <c r="R284" t="s">
        <v>53</v>
      </c>
      <c r="S284">
        <f t="shared" si="4"/>
        <v>0</v>
      </c>
    </row>
    <row r="285" spans="1:19" x14ac:dyDescent="0.25">
      <c r="A285" t="s">
        <v>75</v>
      </c>
      <c r="B285">
        <v>222560</v>
      </c>
      <c r="C285" t="s">
        <v>19</v>
      </c>
      <c r="D285" t="s">
        <v>293</v>
      </c>
      <c r="E285" t="s">
        <v>176</v>
      </c>
      <c r="F285">
        <v>1</v>
      </c>
      <c r="G285" s="5">
        <v>44249</v>
      </c>
      <c r="H285" s="5">
        <v>44258</v>
      </c>
      <c r="I285" s="5">
        <v>44258</v>
      </c>
      <c r="K285" s="5" t="s">
        <v>23</v>
      </c>
      <c r="L285" t="s">
        <v>44</v>
      </c>
      <c r="M285" t="s">
        <v>25</v>
      </c>
      <c r="N285">
        <v>2</v>
      </c>
      <c r="O285" t="s">
        <v>26</v>
      </c>
      <c r="P285" t="s">
        <v>26</v>
      </c>
      <c r="Q285" t="s">
        <v>285</v>
      </c>
      <c r="R285" t="s">
        <v>53</v>
      </c>
      <c r="S285">
        <f t="shared" si="4"/>
        <v>0</v>
      </c>
    </row>
    <row r="286" spans="1:19" x14ac:dyDescent="0.25">
      <c r="A286" t="s">
        <v>75</v>
      </c>
      <c r="B286">
        <v>222560</v>
      </c>
      <c r="C286" t="s">
        <v>19</v>
      </c>
      <c r="D286" t="s">
        <v>293</v>
      </c>
      <c r="E286" t="s">
        <v>68</v>
      </c>
      <c r="F286">
        <v>2</v>
      </c>
      <c r="G286" s="5">
        <v>44249</v>
      </c>
      <c r="H286" s="5">
        <v>44258</v>
      </c>
      <c r="I286" s="5">
        <v>44258</v>
      </c>
      <c r="J286" s="5" t="s">
        <v>295</v>
      </c>
      <c r="K286" s="5" t="s">
        <v>23</v>
      </c>
      <c r="L286" t="s">
        <v>44</v>
      </c>
      <c r="M286" t="s">
        <v>25</v>
      </c>
      <c r="O286" t="s">
        <v>26</v>
      </c>
      <c r="P286" t="s">
        <v>26</v>
      </c>
      <c r="Q286" t="s">
        <v>285</v>
      </c>
      <c r="R286" t="s">
        <v>53</v>
      </c>
      <c r="S286">
        <f t="shared" si="4"/>
        <v>0</v>
      </c>
    </row>
    <row r="287" spans="1:19" x14ac:dyDescent="0.25">
      <c r="A287" t="s">
        <v>131</v>
      </c>
      <c r="B287">
        <v>223344</v>
      </c>
      <c r="C287" t="s">
        <v>19</v>
      </c>
      <c r="D287" t="s">
        <v>296</v>
      </c>
      <c r="E287" t="s">
        <v>81</v>
      </c>
      <c r="F287">
        <v>1</v>
      </c>
      <c r="G287" s="5">
        <v>44251</v>
      </c>
      <c r="H287" s="5">
        <v>44259</v>
      </c>
      <c r="I287" s="5">
        <v>44259</v>
      </c>
      <c r="K287" s="5" t="s">
        <v>23</v>
      </c>
      <c r="L287" t="s">
        <v>57</v>
      </c>
      <c r="M287" t="s">
        <v>25</v>
      </c>
      <c r="O287" t="s">
        <v>26</v>
      </c>
      <c r="P287" t="s">
        <v>26</v>
      </c>
      <c r="Q287" t="s">
        <v>28</v>
      </c>
      <c r="R287" t="s">
        <v>28</v>
      </c>
      <c r="S287">
        <f t="shared" si="4"/>
        <v>0</v>
      </c>
    </row>
    <row r="288" spans="1:19" x14ac:dyDescent="0.25">
      <c r="A288" t="s">
        <v>131</v>
      </c>
      <c r="B288">
        <v>223344</v>
      </c>
      <c r="C288" t="s">
        <v>19</v>
      </c>
      <c r="D288" t="s">
        <v>296</v>
      </c>
      <c r="E288" t="s">
        <v>105</v>
      </c>
      <c r="F288">
        <v>1</v>
      </c>
      <c r="G288" s="5">
        <v>44251</v>
      </c>
      <c r="H288" s="5">
        <v>44259</v>
      </c>
      <c r="I288" s="5">
        <v>44259</v>
      </c>
      <c r="K288" s="5" t="s">
        <v>23</v>
      </c>
      <c r="L288" t="s">
        <v>57</v>
      </c>
      <c r="M288" t="s">
        <v>25</v>
      </c>
      <c r="O288" t="s">
        <v>26</v>
      </c>
      <c r="P288" t="s">
        <v>26</v>
      </c>
      <c r="Q288" t="s">
        <v>28</v>
      </c>
      <c r="R288" t="s">
        <v>28</v>
      </c>
      <c r="S288">
        <f t="shared" si="4"/>
        <v>0</v>
      </c>
    </row>
    <row r="289" spans="1:19" x14ac:dyDescent="0.25">
      <c r="A289" t="s">
        <v>131</v>
      </c>
      <c r="B289">
        <v>223344</v>
      </c>
      <c r="C289" t="s">
        <v>19</v>
      </c>
      <c r="D289" t="s">
        <v>296</v>
      </c>
      <c r="E289" t="s">
        <v>152</v>
      </c>
      <c r="F289">
        <v>3</v>
      </c>
      <c r="G289" s="5">
        <v>44251</v>
      </c>
      <c r="H289" s="5">
        <v>44259</v>
      </c>
      <c r="I289" s="5">
        <v>44259</v>
      </c>
      <c r="K289" s="5" t="s">
        <v>23</v>
      </c>
      <c r="L289" t="s">
        <v>57</v>
      </c>
      <c r="M289" t="s">
        <v>25</v>
      </c>
      <c r="O289" t="s">
        <v>26</v>
      </c>
      <c r="P289" t="s">
        <v>26</v>
      </c>
      <c r="Q289" t="s">
        <v>28</v>
      </c>
      <c r="R289" t="s">
        <v>28</v>
      </c>
      <c r="S289">
        <f t="shared" si="4"/>
        <v>0</v>
      </c>
    </row>
    <row r="290" spans="1:19" x14ac:dyDescent="0.25">
      <c r="A290" t="s">
        <v>131</v>
      </c>
      <c r="B290">
        <v>223344</v>
      </c>
      <c r="C290" t="s">
        <v>19</v>
      </c>
      <c r="D290" t="s">
        <v>296</v>
      </c>
      <c r="E290" t="s">
        <v>21</v>
      </c>
      <c r="F290">
        <v>1</v>
      </c>
      <c r="G290" s="5">
        <v>44251</v>
      </c>
      <c r="H290" s="5">
        <v>44259</v>
      </c>
      <c r="I290" s="5">
        <v>44259</v>
      </c>
      <c r="K290" s="5" t="s">
        <v>23</v>
      </c>
      <c r="L290" t="s">
        <v>57</v>
      </c>
      <c r="M290" t="s">
        <v>25</v>
      </c>
      <c r="O290" t="s">
        <v>26</v>
      </c>
      <c r="P290" t="s">
        <v>26</v>
      </c>
      <c r="Q290" t="s">
        <v>28</v>
      </c>
      <c r="R290" t="s">
        <v>28</v>
      </c>
      <c r="S290">
        <f t="shared" si="4"/>
        <v>0</v>
      </c>
    </row>
    <row r="291" spans="1:19" x14ac:dyDescent="0.25">
      <c r="A291" t="s">
        <v>48</v>
      </c>
      <c r="B291">
        <v>223491</v>
      </c>
      <c r="C291" t="s">
        <v>19</v>
      </c>
      <c r="D291" t="s">
        <v>297</v>
      </c>
      <c r="E291" t="s">
        <v>174</v>
      </c>
      <c r="F291">
        <v>1</v>
      </c>
      <c r="G291" s="5">
        <v>44252</v>
      </c>
      <c r="H291" s="5">
        <v>44253</v>
      </c>
      <c r="I291" s="5">
        <v>44258</v>
      </c>
      <c r="K291" s="5" t="s">
        <v>23</v>
      </c>
      <c r="L291" t="s">
        <v>57</v>
      </c>
      <c r="M291" t="s">
        <v>25</v>
      </c>
      <c r="O291" t="s">
        <v>37</v>
      </c>
      <c r="P291" t="s">
        <v>37</v>
      </c>
      <c r="Q291" t="s">
        <v>53</v>
      </c>
      <c r="R291" t="s">
        <v>28</v>
      </c>
      <c r="S291">
        <f t="shared" si="4"/>
        <v>5</v>
      </c>
    </row>
    <row r="292" spans="1:19" x14ac:dyDescent="0.25">
      <c r="A292" t="s">
        <v>59</v>
      </c>
      <c r="B292" t="s">
        <v>246</v>
      </c>
      <c r="C292" t="s">
        <v>19</v>
      </c>
      <c r="D292" t="s">
        <v>298</v>
      </c>
      <c r="E292" t="s">
        <v>45</v>
      </c>
      <c r="F292">
        <v>1</v>
      </c>
      <c r="G292" s="5">
        <v>44252</v>
      </c>
      <c r="H292" s="5">
        <v>44256</v>
      </c>
      <c r="I292" s="5">
        <v>44256</v>
      </c>
      <c r="K292" s="5" t="s">
        <v>23</v>
      </c>
      <c r="L292" t="s">
        <v>57</v>
      </c>
      <c r="M292" t="s">
        <v>25</v>
      </c>
      <c r="O292" t="s">
        <v>37</v>
      </c>
      <c r="S292">
        <f t="shared" si="4"/>
        <v>0</v>
      </c>
    </row>
    <row r="293" spans="1:19" x14ac:dyDescent="0.25">
      <c r="A293" t="s">
        <v>59</v>
      </c>
      <c r="B293" t="s">
        <v>246</v>
      </c>
      <c r="C293" t="s">
        <v>19</v>
      </c>
      <c r="D293" t="s">
        <v>298</v>
      </c>
      <c r="E293" t="s">
        <v>21</v>
      </c>
      <c r="F293">
        <v>1</v>
      </c>
      <c r="G293" s="5">
        <v>44252</v>
      </c>
      <c r="H293" s="5">
        <v>44256</v>
      </c>
      <c r="I293" s="5">
        <v>44256</v>
      </c>
      <c r="K293" s="5" t="s">
        <v>23</v>
      </c>
      <c r="L293" t="s">
        <v>57</v>
      </c>
      <c r="M293" t="s">
        <v>25</v>
      </c>
      <c r="O293" t="s">
        <v>37</v>
      </c>
      <c r="S293">
        <f t="shared" si="4"/>
        <v>0</v>
      </c>
    </row>
    <row r="294" spans="1:19" x14ac:dyDescent="0.25">
      <c r="A294" t="s">
        <v>59</v>
      </c>
      <c r="B294" t="s">
        <v>246</v>
      </c>
      <c r="C294" t="s">
        <v>19</v>
      </c>
      <c r="D294" t="s">
        <v>298</v>
      </c>
      <c r="E294" t="s">
        <v>176</v>
      </c>
      <c r="F294">
        <v>1</v>
      </c>
      <c r="G294" s="5">
        <v>44252</v>
      </c>
      <c r="H294" s="5">
        <v>44256</v>
      </c>
      <c r="I294" s="5">
        <v>44256</v>
      </c>
      <c r="K294" s="5" t="s">
        <v>23</v>
      </c>
      <c r="L294" t="s">
        <v>57</v>
      </c>
      <c r="M294" t="s">
        <v>25</v>
      </c>
      <c r="O294" t="s">
        <v>37</v>
      </c>
      <c r="S294">
        <f t="shared" si="4"/>
        <v>0</v>
      </c>
    </row>
    <row r="295" spans="1:19" x14ac:dyDescent="0.25">
      <c r="A295" t="s">
        <v>299</v>
      </c>
      <c r="B295">
        <v>225556</v>
      </c>
      <c r="C295" t="s">
        <v>76</v>
      </c>
      <c r="D295" t="s">
        <v>300</v>
      </c>
      <c r="E295" t="s">
        <v>301</v>
      </c>
      <c r="G295" s="5">
        <v>44253</v>
      </c>
      <c r="H295" s="5">
        <v>44284</v>
      </c>
      <c r="J295" s="5" t="s">
        <v>302</v>
      </c>
      <c r="K295" s="5" t="s">
        <v>23</v>
      </c>
      <c r="L295" t="s">
        <v>24</v>
      </c>
      <c r="M295" t="s">
        <v>82</v>
      </c>
      <c r="O295" t="s">
        <v>26</v>
      </c>
      <c r="S295">
        <f t="shared" si="4"/>
        <v>-44284</v>
      </c>
    </row>
    <row r="296" spans="1:19" x14ac:dyDescent="0.25">
      <c r="A296" t="s">
        <v>75</v>
      </c>
      <c r="B296">
        <v>224224</v>
      </c>
      <c r="C296" t="s">
        <v>19</v>
      </c>
      <c r="D296" t="s">
        <v>303</v>
      </c>
      <c r="E296" t="s">
        <v>68</v>
      </c>
      <c r="F296">
        <v>1</v>
      </c>
      <c r="G296" s="5">
        <v>44256</v>
      </c>
      <c r="H296" s="5">
        <v>44264</v>
      </c>
      <c r="I296" s="5">
        <v>44265</v>
      </c>
      <c r="K296" s="5" t="s">
        <v>23</v>
      </c>
      <c r="L296" t="s">
        <v>57</v>
      </c>
      <c r="M296" t="s">
        <v>25</v>
      </c>
      <c r="O296" t="s">
        <v>37</v>
      </c>
      <c r="P296" t="s">
        <v>26</v>
      </c>
      <c r="Q296" t="s">
        <v>53</v>
      </c>
      <c r="R296" t="s">
        <v>28</v>
      </c>
      <c r="S296">
        <f t="shared" si="4"/>
        <v>1</v>
      </c>
    </row>
    <row r="297" spans="1:19" x14ac:dyDescent="0.25">
      <c r="A297" t="s">
        <v>131</v>
      </c>
      <c r="B297">
        <v>224240</v>
      </c>
      <c r="C297" t="s">
        <v>19</v>
      </c>
      <c r="D297" t="s">
        <v>304</v>
      </c>
      <c r="E297" t="s">
        <v>104</v>
      </c>
      <c r="F297">
        <v>1</v>
      </c>
      <c r="G297" s="5">
        <v>44256</v>
      </c>
      <c r="H297" s="5">
        <v>44259</v>
      </c>
      <c r="I297" s="5">
        <v>44260</v>
      </c>
      <c r="K297" s="5" t="s">
        <v>23</v>
      </c>
      <c r="L297" t="s">
        <v>57</v>
      </c>
      <c r="M297" t="s">
        <v>25</v>
      </c>
      <c r="O297" t="s">
        <v>26</v>
      </c>
      <c r="P297" t="s">
        <v>37</v>
      </c>
      <c r="Q297" t="s">
        <v>28</v>
      </c>
      <c r="R297" t="s">
        <v>28</v>
      </c>
      <c r="S297">
        <f t="shared" si="4"/>
        <v>1</v>
      </c>
    </row>
    <row r="298" spans="1:19" x14ac:dyDescent="0.25">
      <c r="A298" t="s">
        <v>131</v>
      </c>
      <c r="B298">
        <v>224240</v>
      </c>
      <c r="C298" t="s">
        <v>19</v>
      </c>
      <c r="D298" t="s">
        <v>304</v>
      </c>
      <c r="E298" t="s">
        <v>105</v>
      </c>
      <c r="F298">
        <v>1</v>
      </c>
      <c r="G298" s="5">
        <v>44256</v>
      </c>
      <c r="H298" s="5">
        <v>44259</v>
      </c>
      <c r="I298" s="5">
        <v>44260</v>
      </c>
      <c r="K298" s="5" t="s">
        <v>23</v>
      </c>
      <c r="L298" t="s">
        <v>57</v>
      </c>
      <c r="M298" t="s">
        <v>25</v>
      </c>
      <c r="O298" t="s">
        <v>26</v>
      </c>
      <c r="P298" t="s">
        <v>37</v>
      </c>
      <c r="Q298" t="s">
        <v>28</v>
      </c>
      <c r="R298" t="s">
        <v>28</v>
      </c>
      <c r="S298">
        <f t="shared" si="4"/>
        <v>1</v>
      </c>
    </row>
    <row r="299" spans="1:19" x14ac:dyDescent="0.25">
      <c r="A299" t="s">
        <v>131</v>
      </c>
      <c r="B299">
        <v>224240</v>
      </c>
      <c r="C299" t="s">
        <v>19</v>
      </c>
      <c r="D299" t="s">
        <v>304</v>
      </c>
      <c r="E299" t="s">
        <v>114</v>
      </c>
      <c r="F299">
        <v>1</v>
      </c>
      <c r="G299" s="5">
        <v>44256</v>
      </c>
      <c r="H299" s="5">
        <v>44259</v>
      </c>
      <c r="I299" s="5">
        <v>44260</v>
      </c>
      <c r="K299" s="5" t="s">
        <v>23</v>
      </c>
      <c r="L299" t="s">
        <v>57</v>
      </c>
      <c r="M299" t="s">
        <v>25</v>
      </c>
      <c r="O299" t="s">
        <v>26</v>
      </c>
      <c r="P299" t="s">
        <v>37</v>
      </c>
      <c r="Q299" t="s">
        <v>28</v>
      </c>
      <c r="R299" t="s">
        <v>28</v>
      </c>
      <c r="S299">
        <f t="shared" si="4"/>
        <v>1</v>
      </c>
    </row>
    <row r="300" spans="1:19" x14ac:dyDescent="0.25">
      <c r="A300" t="s">
        <v>48</v>
      </c>
      <c r="B300">
        <v>224044</v>
      </c>
      <c r="C300" t="s">
        <v>19</v>
      </c>
      <c r="D300" t="s">
        <v>305</v>
      </c>
      <c r="E300" t="s">
        <v>115</v>
      </c>
      <c r="F300">
        <v>1</v>
      </c>
      <c r="G300" s="5">
        <v>44253</v>
      </c>
      <c r="H300" s="5">
        <v>44257</v>
      </c>
      <c r="I300" s="5">
        <v>44266</v>
      </c>
      <c r="K300" s="5" t="s">
        <v>23</v>
      </c>
      <c r="L300" t="s">
        <v>57</v>
      </c>
      <c r="M300" t="s">
        <v>25</v>
      </c>
      <c r="O300" t="s">
        <v>37</v>
      </c>
      <c r="P300" t="s">
        <v>37</v>
      </c>
      <c r="Q300" t="s">
        <v>27</v>
      </c>
      <c r="R300" t="s">
        <v>285</v>
      </c>
      <c r="S300">
        <f t="shared" si="4"/>
        <v>9</v>
      </c>
    </row>
    <row r="301" spans="1:19" x14ac:dyDescent="0.25">
      <c r="A301" t="s">
        <v>158</v>
      </c>
      <c r="B301">
        <v>223728</v>
      </c>
      <c r="C301" t="s">
        <v>19</v>
      </c>
      <c r="D301" t="s">
        <v>306</v>
      </c>
      <c r="E301" t="s">
        <v>40</v>
      </c>
      <c r="F301">
        <v>3</v>
      </c>
      <c r="G301" s="5">
        <v>44256</v>
      </c>
      <c r="H301" s="5">
        <v>44256</v>
      </c>
      <c r="I301" s="5">
        <v>44256</v>
      </c>
      <c r="J301" s="5" t="s">
        <v>307</v>
      </c>
      <c r="K301" s="5" t="s">
        <v>23</v>
      </c>
      <c r="L301" t="s">
        <v>44</v>
      </c>
      <c r="M301" t="s">
        <v>25</v>
      </c>
      <c r="O301" t="s">
        <v>37</v>
      </c>
      <c r="P301" t="s">
        <v>26</v>
      </c>
      <c r="Q301" t="s">
        <v>184</v>
      </c>
      <c r="R301" t="s">
        <v>53</v>
      </c>
      <c r="S301">
        <f t="shared" si="4"/>
        <v>0</v>
      </c>
    </row>
    <row r="302" spans="1:19" x14ac:dyDescent="0.25">
      <c r="A302" t="s">
        <v>158</v>
      </c>
      <c r="B302">
        <v>223728</v>
      </c>
      <c r="C302" t="s">
        <v>19</v>
      </c>
      <c r="D302" t="s">
        <v>306</v>
      </c>
      <c r="E302" t="s">
        <v>180</v>
      </c>
      <c r="F302">
        <v>1</v>
      </c>
      <c r="G302" s="5">
        <v>44256</v>
      </c>
      <c r="H302" s="5">
        <v>44257</v>
      </c>
      <c r="I302" s="5">
        <v>44257</v>
      </c>
      <c r="J302" s="5" t="s">
        <v>308</v>
      </c>
      <c r="K302" s="5" t="s">
        <v>23</v>
      </c>
      <c r="L302" t="s">
        <v>44</v>
      </c>
      <c r="M302" t="s">
        <v>25</v>
      </c>
      <c r="O302" t="s">
        <v>37</v>
      </c>
      <c r="P302" t="s">
        <v>26</v>
      </c>
      <c r="Q302" t="s">
        <v>184</v>
      </c>
      <c r="R302" t="s">
        <v>53</v>
      </c>
      <c r="S302">
        <f t="shared" si="4"/>
        <v>0</v>
      </c>
    </row>
    <row r="303" spans="1:19" x14ac:dyDescent="0.25">
      <c r="A303" t="s">
        <v>158</v>
      </c>
      <c r="B303">
        <v>223728</v>
      </c>
      <c r="C303" t="s">
        <v>19</v>
      </c>
      <c r="D303" t="s">
        <v>306</v>
      </c>
      <c r="E303" t="s">
        <v>178</v>
      </c>
      <c r="F303">
        <v>1</v>
      </c>
      <c r="G303" s="5">
        <v>44256</v>
      </c>
      <c r="H303" s="5">
        <v>44257</v>
      </c>
      <c r="I303" s="5">
        <v>44257</v>
      </c>
      <c r="J303" s="5" t="s">
        <v>308</v>
      </c>
      <c r="K303" s="5" t="s">
        <v>23</v>
      </c>
      <c r="L303" t="s">
        <v>44</v>
      </c>
      <c r="M303" t="s">
        <v>25</v>
      </c>
      <c r="O303" t="s">
        <v>37</v>
      </c>
      <c r="P303" t="s">
        <v>26</v>
      </c>
      <c r="Q303" t="s">
        <v>184</v>
      </c>
      <c r="R303" t="s">
        <v>53</v>
      </c>
      <c r="S303">
        <f t="shared" si="4"/>
        <v>0</v>
      </c>
    </row>
    <row r="304" spans="1:19" x14ac:dyDescent="0.25">
      <c r="A304" t="s">
        <v>162</v>
      </c>
      <c r="B304">
        <v>224347</v>
      </c>
      <c r="C304" t="s">
        <v>19</v>
      </c>
      <c r="D304" t="s">
        <v>309</v>
      </c>
      <c r="E304" t="s">
        <v>21</v>
      </c>
      <c r="F304">
        <v>1</v>
      </c>
      <c r="G304" s="5">
        <v>44256</v>
      </c>
      <c r="H304" s="5">
        <v>44258</v>
      </c>
      <c r="I304" s="5">
        <v>44274</v>
      </c>
      <c r="K304" s="5" t="s">
        <v>23</v>
      </c>
      <c r="L304" t="s">
        <v>57</v>
      </c>
      <c r="M304" t="s">
        <v>25</v>
      </c>
      <c r="O304" t="s">
        <v>37</v>
      </c>
      <c r="P304" t="s">
        <v>26</v>
      </c>
      <c r="Q304" t="s">
        <v>53</v>
      </c>
      <c r="R304" t="s">
        <v>53</v>
      </c>
      <c r="S304">
        <f t="shared" si="4"/>
        <v>16</v>
      </c>
    </row>
    <row r="305" spans="1:19" x14ac:dyDescent="0.25">
      <c r="A305" t="s">
        <v>162</v>
      </c>
      <c r="B305">
        <v>224347</v>
      </c>
      <c r="C305" t="s">
        <v>19</v>
      </c>
      <c r="D305" t="s">
        <v>309</v>
      </c>
      <c r="E305" t="s">
        <v>68</v>
      </c>
      <c r="F305">
        <v>1</v>
      </c>
      <c r="G305" s="5">
        <v>44256</v>
      </c>
      <c r="H305" s="5">
        <v>44258</v>
      </c>
      <c r="I305" s="5">
        <v>44274</v>
      </c>
      <c r="J305" s="5" t="s">
        <v>223</v>
      </c>
      <c r="K305" s="5" t="s">
        <v>23</v>
      </c>
      <c r="L305" t="s">
        <v>57</v>
      </c>
      <c r="M305" t="s">
        <v>25</v>
      </c>
      <c r="O305" t="s">
        <v>37</v>
      </c>
      <c r="P305" t="s">
        <v>26</v>
      </c>
      <c r="Q305" t="s">
        <v>53</v>
      </c>
      <c r="R305" t="s">
        <v>53</v>
      </c>
      <c r="S305">
        <f t="shared" si="4"/>
        <v>16</v>
      </c>
    </row>
    <row r="306" spans="1:19" x14ac:dyDescent="0.25">
      <c r="A306" t="s">
        <v>162</v>
      </c>
      <c r="B306">
        <v>224347</v>
      </c>
      <c r="C306" t="s">
        <v>19</v>
      </c>
      <c r="D306" t="s">
        <v>309</v>
      </c>
      <c r="E306" t="s">
        <v>45</v>
      </c>
      <c r="F306">
        <v>1</v>
      </c>
      <c r="G306" s="5">
        <v>44256</v>
      </c>
      <c r="H306" s="5">
        <v>44258</v>
      </c>
      <c r="I306" s="5">
        <v>44274</v>
      </c>
      <c r="K306" s="5" t="s">
        <v>23</v>
      </c>
      <c r="L306" t="s">
        <v>57</v>
      </c>
      <c r="M306" t="s">
        <v>25</v>
      </c>
      <c r="O306" t="s">
        <v>37</v>
      </c>
      <c r="P306" t="s">
        <v>26</v>
      </c>
      <c r="Q306" t="s">
        <v>53</v>
      </c>
      <c r="R306" t="s">
        <v>53</v>
      </c>
      <c r="S306">
        <f t="shared" si="4"/>
        <v>16</v>
      </c>
    </row>
    <row r="307" spans="1:19" x14ac:dyDescent="0.25">
      <c r="A307" t="s">
        <v>162</v>
      </c>
      <c r="B307">
        <v>224347</v>
      </c>
      <c r="C307" t="s">
        <v>19</v>
      </c>
      <c r="D307" t="s">
        <v>309</v>
      </c>
      <c r="E307" t="s">
        <v>176</v>
      </c>
      <c r="F307">
        <v>1</v>
      </c>
      <c r="G307" s="5">
        <v>44256</v>
      </c>
      <c r="H307" s="5">
        <v>44258</v>
      </c>
      <c r="I307" s="5">
        <v>44274</v>
      </c>
      <c r="K307" s="5" t="s">
        <v>23</v>
      </c>
      <c r="L307" t="s">
        <v>57</v>
      </c>
      <c r="M307" t="s">
        <v>25</v>
      </c>
      <c r="O307" t="s">
        <v>37</v>
      </c>
      <c r="P307" t="s">
        <v>26</v>
      </c>
      <c r="Q307" t="s">
        <v>53</v>
      </c>
      <c r="R307" t="s">
        <v>53</v>
      </c>
      <c r="S307">
        <f t="shared" si="4"/>
        <v>16</v>
      </c>
    </row>
    <row r="308" spans="1:19" x14ac:dyDescent="0.25">
      <c r="A308" t="s">
        <v>131</v>
      </c>
      <c r="B308">
        <v>224540</v>
      </c>
      <c r="C308" t="s">
        <v>19</v>
      </c>
      <c r="D308" t="s">
        <v>310</v>
      </c>
      <c r="E308" t="s">
        <v>110</v>
      </c>
      <c r="F308">
        <v>1</v>
      </c>
      <c r="G308" s="5">
        <v>44257</v>
      </c>
      <c r="H308" s="5">
        <v>44258</v>
      </c>
      <c r="I308" s="5">
        <v>44258</v>
      </c>
      <c r="J308" s="5" t="s">
        <v>311</v>
      </c>
      <c r="K308" s="5" t="s">
        <v>23</v>
      </c>
      <c r="L308" t="s">
        <v>57</v>
      </c>
      <c r="M308" t="s">
        <v>25</v>
      </c>
      <c r="O308" t="s">
        <v>37</v>
      </c>
      <c r="P308" t="s">
        <v>37</v>
      </c>
      <c r="Q308" t="s">
        <v>28</v>
      </c>
      <c r="R308" t="s">
        <v>28</v>
      </c>
      <c r="S308">
        <f t="shared" si="4"/>
        <v>0</v>
      </c>
    </row>
    <row r="309" spans="1:19" x14ac:dyDescent="0.25">
      <c r="A309" t="s">
        <v>131</v>
      </c>
      <c r="B309">
        <v>224540</v>
      </c>
      <c r="C309" t="s">
        <v>19</v>
      </c>
      <c r="D309" t="s">
        <v>310</v>
      </c>
      <c r="E309" t="s">
        <v>114</v>
      </c>
      <c r="F309">
        <v>1</v>
      </c>
      <c r="G309" s="5">
        <v>44257</v>
      </c>
      <c r="H309" s="5">
        <v>44258</v>
      </c>
      <c r="I309" s="5">
        <v>44258</v>
      </c>
      <c r="J309" s="5" t="s">
        <v>311</v>
      </c>
      <c r="K309" s="5" t="s">
        <v>23</v>
      </c>
      <c r="L309" t="s">
        <v>57</v>
      </c>
      <c r="M309" t="s">
        <v>25</v>
      </c>
      <c r="O309" t="s">
        <v>37</v>
      </c>
      <c r="P309" t="s">
        <v>37</v>
      </c>
      <c r="Q309" t="s">
        <v>28</v>
      </c>
      <c r="R309" t="s">
        <v>28</v>
      </c>
      <c r="S309">
        <f t="shared" si="4"/>
        <v>0</v>
      </c>
    </row>
    <row r="310" spans="1:19" x14ac:dyDescent="0.25">
      <c r="A310" t="s">
        <v>191</v>
      </c>
      <c r="B310">
        <v>224644</v>
      </c>
      <c r="C310" t="s">
        <v>19</v>
      </c>
      <c r="D310" t="s">
        <v>312</v>
      </c>
      <c r="E310" t="s">
        <v>83</v>
      </c>
      <c r="G310" s="5">
        <v>44257</v>
      </c>
      <c r="H310" s="5">
        <v>44258</v>
      </c>
      <c r="I310" s="5">
        <v>44258</v>
      </c>
      <c r="J310" s="5" t="s">
        <v>313</v>
      </c>
      <c r="K310" s="5" t="s">
        <v>23</v>
      </c>
      <c r="L310" t="s">
        <v>36</v>
      </c>
      <c r="M310" t="s">
        <v>25</v>
      </c>
      <c r="O310" t="s">
        <v>37</v>
      </c>
      <c r="P310" t="s">
        <v>26</v>
      </c>
      <c r="Q310" t="s">
        <v>28</v>
      </c>
      <c r="R310" t="s">
        <v>28</v>
      </c>
      <c r="S310">
        <f t="shared" si="4"/>
        <v>0</v>
      </c>
    </row>
    <row r="311" spans="1:19" x14ac:dyDescent="0.25">
      <c r="A311" t="s">
        <v>129</v>
      </c>
      <c r="B311">
        <v>224688</v>
      </c>
      <c r="C311" t="s">
        <v>76</v>
      </c>
      <c r="D311" t="s">
        <v>314</v>
      </c>
      <c r="E311" t="s">
        <v>83</v>
      </c>
      <c r="F311">
        <v>1</v>
      </c>
      <c r="G311" s="5">
        <v>44257</v>
      </c>
      <c r="H311" s="5">
        <v>44258</v>
      </c>
      <c r="K311" s="5" t="s">
        <v>23</v>
      </c>
      <c r="L311" t="s">
        <v>36</v>
      </c>
      <c r="M311" t="s">
        <v>25</v>
      </c>
      <c r="O311" t="s">
        <v>37</v>
      </c>
      <c r="S311">
        <f t="shared" si="4"/>
        <v>-44258</v>
      </c>
    </row>
    <row r="312" spans="1:19" x14ac:dyDescent="0.25">
      <c r="A312" t="s">
        <v>34</v>
      </c>
      <c r="B312">
        <v>224701</v>
      </c>
      <c r="C312" t="s">
        <v>76</v>
      </c>
      <c r="D312" t="s">
        <v>315</v>
      </c>
      <c r="E312" t="s">
        <v>301</v>
      </c>
      <c r="G312" s="5">
        <v>44257</v>
      </c>
      <c r="H312" s="5">
        <v>44287</v>
      </c>
      <c r="J312" s="5" t="s">
        <v>316</v>
      </c>
      <c r="K312" s="5" t="s">
        <v>23</v>
      </c>
      <c r="L312" t="s">
        <v>24</v>
      </c>
      <c r="M312" t="s">
        <v>73</v>
      </c>
      <c r="O312" t="s">
        <v>26</v>
      </c>
      <c r="S312">
        <f t="shared" si="4"/>
        <v>-44287</v>
      </c>
    </row>
    <row r="313" spans="1:19" x14ac:dyDescent="0.25">
      <c r="A313" t="s">
        <v>86</v>
      </c>
      <c r="B313">
        <v>219145</v>
      </c>
      <c r="C313" t="s">
        <v>19</v>
      </c>
      <c r="D313" t="s">
        <v>236</v>
      </c>
      <c r="E313" t="s">
        <v>82</v>
      </c>
      <c r="G313" s="5">
        <v>44232</v>
      </c>
      <c r="H313" s="5">
        <v>44259</v>
      </c>
      <c r="I313" s="5">
        <v>44259</v>
      </c>
      <c r="J313" s="5" t="s">
        <v>317</v>
      </c>
      <c r="K313" s="5" t="s">
        <v>23</v>
      </c>
      <c r="L313" t="s">
        <v>24</v>
      </c>
      <c r="M313" t="s">
        <v>25</v>
      </c>
      <c r="O313" t="s">
        <v>26</v>
      </c>
      <c r="P313" t="s">
        <v>26</v>
      </c>
      <c r="Q313" t="s">
        <v>53</v>
      </c>
      <c r="R313" t="s">
        <v>53</v>
      </c>
      <c r="S313">
        <f t="shared" si="4"/>
        <v>0</v>
      </c>
    </row>
    <row r="314" spans="1:19" x14ac:dyDescent="0.25">
      <c r="A314" t="s">
        <v>71</v>
      </c>
      <c r="B314">
        <v>222964</v>
      </c>
      <c r="C314" t="s">
        <v>139</v>
      </c>
      <c r="D314" t="s">
        <v>318</v>
      </c>
      <c r="E314" t="s">
        <v>226</v>
      </c>
      <c r="F314">
        <v>1</v>
      </c>
      <c r="G314" s="5">
        <v>44250</v>
      </c>
      <c r="H314" s="5">
        <v>44258</v>
      </c>
      <c r="I314" s="5">
        <v>44256</v>
      </c>
      <c r="K314" s="5" t="s">
        <v>23</v>
      </c>
      <c r="L314" t="s">
        <v>57</v>
      </c>
      <c r="M314" t="s">
        <v>25</v>
      </c>
      <c r="N314">
        <v>1</v>
      </c>
      <c r="O314" t="s">
        <v>37</v>
      </c>
      <c r="P314" t="s">
        <v>37</v>
      </c>
      <c r="Q314" t="s">
        <v>53</v>
      </c>
      <c r="R314" t="s">
        <v>53</v>
      </c>
      <c r="S314">
        <f t="shared" si="4"/>
        <v>-2</v>
      </c>
    </row>
    <row r="315" spans="1:19" x14ac:dyDescent="0.25">
      <c r="A315" t="s">
        <v>191</v>
      </c>
      <c r="B315" t="s">
        <v>246</v>
      </c>
      <c r="C315" t="s">
        <v>139</v>
      </c>
      <c r="D315" t="s">
        <v>318</v>
      </c>
      <c r="E315" t="s">
        <v>226</v>
      </c>
      <c r="F315">
        <v>1</v>
      </c>
      <c r="G315" s="5">
        <v>44257</v>
      </c>
      <c r="H315" s="5">
        <v>44260</v>
      </c>
      <c r="I315" s="5">
        <v>44264</v>
      </c>
      <c r="K315" s="5" t="s">
        <v>23</v>
      </c>
      <c r="L315" t="s">
        <v>57</v>
      </c>
      <c r="M315" t="s">
        <v>25</v>
      </c>
      <c r="N315">
        <v>1</v>
      </c>
      <c r="O315" t="s">
        <v>37</v>
      </c>
      <c r="P315" t="s">
        <v>37</v>
      </c>
      <c r="Q315" t="s">
        <v>53</v>
      </c>
      <c r="R315" t="s">
        <v>53</v>
      </c>
      <c r="S315">
        <f t="shared" si="4"/>
        <v>4</v>
      </c>
    </row>
    <row r="316" spans="1:19" x14ac:dyDescent="0.25">
      <c r="A316" t="s">
        <v>29</v>
      </c>
      <c r="B316" t="s">
        <v>246</v>
      </c>
      <c r="C316" t="s">
        <v>139</v>
      </c>
      <c r="D316" t="s">
        <v>318</v>
      </c>
      <c r="E316" t="s">
        <v>226</v>
      </c>
      <c r="F316">
        <v>1</v>
      </c>
      <c r="G316" s="5">
        <v>44257</v>
      </c>
      <c r="H316" s="5">
        <v>44263</v>
      </c>
      <c r="I316" s="5">
        <v>44265</v>
      </c>
      <c r="J316" s="5" t="s">
        <v>289</v>
      </c>
      <c r="K316" s="5" t="s">
        <v>23</v>
      </c>
      <c r="L316" t="s">
        <v>57</v>
      </c>
      <c r="M316" t="s">
        <v>25</v>
      </c>
      <c r="N316">
        <v>2</v>
      </c>
      <c r="O316" t="s">
        <v>37</v>
      </c>
      <c r="P316" t="s">
        <v>37</v>
      </c>
      <c r="Q316" t="s">
        <v>53</v>
      </c>
      <c r="R316" t="s">
        <v>53</v>
      </c>
      <c r="S316">
        <f t="shared" si="4"/>
        <v>2</v>
      </c>
    </row>
    <row r="317" spans="1:19" x14ac:dyDescent="0.25">
      <c r="A317" t="s">
        <v>131</v>
      </c>
      <c r="B317">
        <v>224937</v>
      </c>
      <c r="C317" t="s">
        <v>139</v>
      </c>
      <c r="D317" t="s">
        <v>319</v>
      </c>
      <c r="E317" t="s">
        <v>133</v>
      </c>
      <c r="F317">
        <v>3</v>
      </c>
      <c r="G317" s="5">
        <v>44258</v>
      </c>
      <c r="H317" s="5">
        <v>44263</v>
      </c>
      <c r="I317" s="5">
        <v>44258</v>
      </c>
      <c r="K317" s="5" t="s">
        <v>23</v>
      </c>
      <c r="L317" t="s">
        <v>57</v>
      </c>
      <c r="M317" t="s">
        <v>25</v>
      </c>
      <c r="O317" t="s">
        <v>37</v>
      </c>
      <c r="P317" t="s">
        <v>37</v>
      </c>
      <c r="Q317" t="s">
        <v>28</v>
      </c>
      <c r="R317" t="s">
        <v>28</v>
      </c>
      <c r="S317">
        <f t="shared" si="4"/>
        <v>-5</v>
      </c>
    </row>
    <row r="318" spans="1:19" x14ac:dyDescent="0.25">
      <c r="A318" t="s">
        <v>51</v>
      </c>
      <c r="B318">
        <v>224946</v>
      </c>
      <c r="C318" t="s">
        <v>19</v>
      </c>
      <c r="D318" t="s">
        <v>320</v>
      </c>
      <c r="E318" t="s">
        <v>198</v>
      </c>
      <c r="G318" s="5">
        <v>44258</v>
      </c>
      <c r="H318" s="5">
        <v>44258</v>
      </c>
      <c r="I318" s="5">
        <v>44258</v>
      </c>
      <c r="J318" s="5" t="s">
        <v>321</v>
      </c>
      <c r="K318" s="5" t="s">
        <v>23</v>
      </c>
      <c r="L318" t="s">
        <v>36</v>
      </c>
      <c r="M318" t="s">
        <v>25</v>
      </c>
      <c r="O318" t="s">
        <v>37</v>
      </c>
      <c r="P318" t="s">
        <v>26</v>
      </c>
      <c r="Q318" t="s">
        <v>53</v>
      </c>
      <c r="R318" t="s">
        <v>28</v>
      </c>
      <c r="S318">
        <f t="shared" si="4"/>
        <v>0</v>
      </c>
    </row>
    <row r="319" spans="1:19" x14ac:dyDescent="0.25">
      <c r="A319" t="s">
        <v>38</v>
      </c>
      <c r="B319" t="s">
        <v>246</v>
      </c>
      <c r="C319" t="s">
        <v>139</v>
      </c>
      <c r="D319" t="s">
        <v>322</v>
      </c>
      <c r="E319" t="s">
        <v>21</v>
      </c>
      <c r="F319">
        <v>2</v>
      </c>
      <c r="G319" s="5">
        <v>44258</v>
      </c>
      <c r="H319" s="5">
        <v>44258</v>
      </c>
      <c r="I319" s="5">
        <v>44258</v>
      </c>
      <c r="K319" s="5" t="s">
        <v>23</v>
      </c>
      <c r="M319" t="s">
        <v>25</v>
      </c>
      <c r="O319" t="s">
        <v>37</v>
      </c>
      <c r="P319" t="s">
        <v>37</v>
      </c>
      <c r="Q319" t="s">
        <v>53</v>
      </c>
      <c r="S319">
        <f t="shared" si="4"/>
        <v>0</v>
      </c>
    </row>
    <row r="320" spans="1:19" x14ac:dyDescent="0.25">
      <c r="A320" t="s">
        <v>38</v>
      </c>
      <c r="B320" t="s">
        <v>246</v>
      </c>
      <c r="C320" t="s">
        <v>19</v>
      </c>
      <c r="D320" t="s">
        <v>323</v>
      </c>
      <c r="E320" t="s">
        <v>32</v>
      </c>
      <c r="F320">
        <v>3</v>
      </c>
      <c r="G320" s="5">
        <v>44263</v>
      </c>
      <c r="H320" s="5">
        <v>44264</v>
      </c>
      <c r="I320" s="5">
        <v>44265</v>
      </c>
      <c r="K320" s="5" t="s">
        <v>23</v>
      </c>
      <c r="L320" t="s">
        <v>24</v>
      </c>
      <c r="M320" t="s">
        <v>25</v>
      </c>
      <c r="O320" t="s">
        <v>37</v>
      </c>
      <c r="P320" t="s">
        <v>26</v>
      </c>
      <c r="S320">
        <f t="shared" si="4"/>
        <v>1</v>
      </c>
    </row>
    <row r="321" spans="1:19" x14ac:dyDescent="0.25">
      <c r="A321" t="s">
        <v>38</v>
      </c>
      <c r="B321" t="s">
        <v>246</v>
      </c>
      <c r="C321" t="s">
        <v>19</v>
      </c>
      <c r="D321" t="s">
        <v>323</v>
      </c>
      <c r="E321" t="s">
        <v>21</v>
      </c>
      <c r="F321">
        <v>3</v>
      </c>
      <c r="G321" s="5">
        <v>44263</v>
      </c>
      <c r="H321" s="5">
        <v>44264</v>
      </c>
      <c r="I321" s="5">
        <v>44265</v>
      </c>
      <c r="K321" s="5" t="s">
        <v>23</v>
      </c>
      <c r="L321" t="s">
        <v>24</v>
      </c>
      <c r="M321" t="s">
        <v>25</v>
      </c>
      <c r="N321">
        <v>4</v>
      </c>
      <c r="O321" t="s">
        <v>37</v>
      </c>
      <c r="P321" t="s">
        <v>26</v>
      </c>
      <c r="S321">
        <f t="shared" si="4"/>
        <v>1</v>
      </c>
    </row>
    <row r="322" spans="1:19" x14ac:dyDescent="0.25">
      <c r="A322" t="s">
        <v>38</v>
      </c>
      <c r="B322" t="s">
        <v>246</v>
      </c>
      <c r="C322" t="s">
        <v>19</v>
      </c>
      <c r="D322" t="s">
        <v>323</v>
      </c>
      <c r="E322" t="s">
        <v>78</v>
      </c>
      <c r="F322">
        <v>1</v>
      </c>
      <c r="G322" s="5">
        <v>44263</v>
      </c>
      <c r="H322" s="5">
        <v>44264</v>
      </c>
      <c r="I322" s="5">
        <v>44265</v>
      </c>
      <c r="K322" s="5" t="s">
        <v>23</v>
      </c>
      <c r="L322" t="s">
        <v>24</v>
      </c>
      <c r="M322" t="s">
        <v>25</v>
      </c>
      <c r="O322" t="s">
        <v>37</v>
      </c>
      <c r="P322" t="s">
        <v>26</v>
      </c>
      <c r="S322">
        <f t="shared" si="4"/>
        <v>1</v>
      </c>
    </row>
    <row r="323" spans="1:19" x14ac:dyDescent="0.25">
      <c r="A323" t="s">
        <v>38</v>
      </c>
      <c r="B323" t="s">
        <v>246</v>
      </c>
      <c r="C323" t="s">
        <v>19</v>
      </c>
      <c r="D323" t="s">
        <v>323</v>
      </c>
      <c r="E323" t="s">
        <v>126</v>
      </c>
      <c r="F323">
        <v>1</v>
      </c>
      <c r="G323" s="5">
        <v>44263</v>
      </c>
      <c r="H323" s="5">
        <v>44264</v>
      </c>
      <c r="I323" s="5">
        <v>44265</v>
      </c>
      <c r="K323" s="5" t="s">
        <v>23</v>
      </c>
      <c r="L323" t="s">
        <v>24</v>
      </c>
      <c r="M323" t="s">
        <v>25</v>
      </c>
      <c r="O323" t="s">
        <v>37</v>
      </c>
      <c r="P323" t="s">
        <v>26</v>
      </c>
      <c r="S323">
        <f t="shared" ref="S323:S386" si="5">I323-H323</f>
        <v>1</v>
      </c>
    </row>
    <row r="324" spans="1:19" x14ac:dyDescent="0.25">
      <c r="A324" t="s">
        <v>38</v>
      </c>
      <c r="B324" t="s">
        <v>246</v>
      </c>
      <c r="C324" t="s">
        <v>19</v>
      </c>
      <c r="D324" t="s">
        <v>323</v>
      </c>
      <c r="E324" t="s">
        <v>114</v>
      </c>
      <c r="F324">
        <v>10</v>
      </c>
      <c r="G324" s="5">
        <v>44263</v>
      </c>
      <c r="H324" s="5">
        <v>44264</v>
      </c>
      <c r="I324" s="5">
        <v>44265</v>
      </c>
      <c r="K324" s="5" t="s">
        <v>23</v>
      </c>
      <c r="L324" t="s">
        <v>24</v>
      </c>
      <c r="M324" t="s">
        <v>25</v>
      </c>
      <c r="O324" t="s">
        <v>37</v>
      </c>
      <c r="P324" t="s">
        <v>26</v>
      </c>
      <c r="S324">
        <f t="shared" si="5"/>
        <v>1</v>
      </c>
    </row>
    <row r="325" spans="1:19" x14ac:dyDescent="0.25">
      <c r="A325" t="s">
        <v>38</v>
      </c>
      <c r="B325" t="s">
        <v>246</v>
      </c>
      <c r="C325" t="s">
        <v>19</v>
      </c>
      <c r="D325" t="s">
        <v>323</v>
      </c>
      <c r="E325" t="s">
        <v>110</v>
      </c>
      <c r="F325">
        <v>4</v>
      </c>
      <c r="G325" s="5">
        <v>44263</v>
      </c>
      <c r="H325" s="5">
        <v>44264</v>
      </c>
      <c r="I325" s="5">
        <v>44265</v>
      </c>
      <c r="J325" s="5" t="s">
        <v>324</v>
      </c>
      <c r="K325" s="5" t="s">
        <v>23</v>
      </c>
      <c r="L325" t="s">
        <v>24</v>
      </c>
      <c r="M325" t="s">
        <v>25</v>
      </c>
      <c r="O325" t="s">
        <v>37</v>
      </c>
      <c r="P325" t="s">
        <v>26</v>
      </c>
      <c r="S325">
        <f t="shared" si="5"/>
        <v>1</v>
      </c>
    </row>
    <row r="326" spans="1:19" x14ac:dyDescent="0.25">
      <c r="A326" t="s">
        <v>38</v>
      </c>
      <c r="B326" t="s">
        <v>246</v>
      </c>
      <c r="C326" t="s">
        <v>19</v>
      </c>
      <c r="D326" t="s">
        <v>323</v>
      </c>
      <c r="E326" t="s">
        <v>109</v>
      </c>
      <c r="F326">
        <v>2</v>
      </c>
      <c r="G326" s="5">
        <v>44263</v>
      </c>
      <c r="H326" s="5">
        <v>44264</v>
      </c>
      <c r="I326" s="5">
        <v>44265</v>
      </c>
      <c r="K326" s="5" t="s">
        <v>23</v>
      </c>
      <c r="L326" t="s">
        <v>24</v>
      </c>
      <c r="M326" t="s">
        <v>25</v>
      </c>
      <c r="O326" t="s">
        <v>37</v>
      </c>
      <c r="P326" t="s">
        <v>26</v>
      </c>
      <c r="S326">
        <f t="shared" si="5"/>
        <v>1</v>
      </c>
    </row>
    <row r="327" spans="1:19" x14ac:dyDescent="0.25">
      <c r="A327" t="s">
        <v>158</v>
      </c>
      <c r="B327">
        <v>225813</v>
      </c>
      <c r="C327" t="s">
        <v>76</v>
      </c>
      <c r="D327" t="s">
        <v>325</v>
      </c>
      <c r="E327" t="s">
        <v>78</v>
      </c>
      <c r="G327" s="5">
        <v>44263</v>
      </c>
      <c r="H327" s="5">
        <v>44263</v>
      </c>
      <c r="I327" s="5">
        <v>44263</v>
      </c>
      <c r="K327" s="5" t="s">
        <v>23</v>
      </c>
      <c r="L327" t="s">
        <v>36</v>
      </c>
      <c r="M327" t="s">
        <v>326</v>
      </c>
      <c r="O327" t="s">
        <v>37</v>
      </c>
      <c r="Q327" t="s">
        <v>53</v>
      </c>
      <c r="R327" t="s">
        <v>53</v>
      </c>
      <c r="S327">
        <f t="shared" si="5"/>
        <v>0</v>
      </c>
    </row>
    <row r="328" spans="1:19" x14ac:dyDescent="0.25">
      <c r="A328" t="s">
        <v>29</v>
      </c>
      <c r="B328">
        <v>225021</v>
      </c>
      <c r="C328" t="s">
        <v>19</v>
      </c>
      <c r="D328" t="s">
        <v>327</v>
      </c>
      <c r="E328" t="s">
        <v>45</v>
      </c>
      <c r="F328">
        <v>1</v>
      </c>
      <c r="G328" s="5">
        <v>44258</v>
      </c>
      <c r="H328" s="5">
        <v>44260</v>
      </c>
      <c r="I328" s="5">
        <v>44260</v>
      </c>
      <c r="K328" s="5" t="s">
        <v>23</v>
      </c>
      <c r="L328" t="s">
        <v>57</v>
      </c>
      <c r="M328" t="s">
        <v>25</v>
      </c>
      <c r="O328" t="s">
        <v>37</v>
      </c>
      <c r="P328" t="s">
        <v>37</v>
      </c>
      <c r="Q328" t="s">
        <v>27</v>
      </c>
      <c r="R328" t="s">
        <v>53</v>
      </c>
      <c r="S328">
        <f t="shared" si="5"/>
        <v>0</v>
      </c>
    </row>
    <row r="329" spans="1:19" x14ac:dyDescent="0.25">
      <c r="A329" t="s">
        <v>29</v>
      </c>
      <c r="B329">
        <v>225021</v>
      </c>
      <c r="C329" t="s">
        <v>19</v>
      </c>
      <c r="D329" t="s">
        <v>327</v>
      </c>
      <c r="E329" t="s">
        <v>21</v>
      </c>
      <c r="F329">
        <v>1</v>
      </c>
      <c r="G329" s="5">
        <v>44258</v>
      </c>
      <c r="H329" s="5">
        <v>44260</v>
      </c>
      <c r="I329" s="5">
        <v>44260</v>
      </c>
      <c r="K329" s="5" t="s">
        <v>23</v>
      </c>
      <c r="L329" t="s">
        <v>57</v>
      </c>
      <c r="M329" t="s">
        <v>25</v>
      </c>
      <c r="O329" t="s">
        <v>37</v>
      </c>
      <c r="P329" t="s">
        <v>37</v>
      </c>
      <c r="Q329" t="s">
        <v>27</v>
      </c>
      <c r="R329" t="s">
        <v>53</v>
      </c>
      <c r="S329">
        <f t="shared" si="5"/>
        <v>0</v>
      </c>
    </row>
    <row r="330" spans="1:19" x14ac:dyDescent="0.25">
      <c r="A330" t="s">
        <v>29</v>
      </c>
      <c r="B330">
        <v>225021</v>
      </c>
      <c r="C330" t="s">
        <v>19</v>
      </c>
      <c r="D330" t="s">
        <v>327</v>
      </c>
      <c r="E330" t="s">
        <v>176</v>
      </c>
      <c r="F330">
        <v>1</v>
      </c>
      <c r="G330" s="5">
        <v>44258</v>
      </c>
      <c r="H330" s="5">
        <v>44260</v>
      </c>
      <c r="I330" s="5">
        <v>44260</v>
      </c>
      <c r="K330" s="5" t="s">
        <v>23</v>
      </c>
      <c r="L330" t="s">
        <v>24</v>
      </c>
      <c r="M330" t="s">
        <v>25</v>
      </c>
      <c r="O330" t="s">
        <v>37</v>
      </c>
      <c r="P330" t="s">
        <v>37</v>
      </c>
      <c r="Q330" t="s">
        <v>27</v>
      </c>
      <c r="R330" t="s">
        <v>53</v>
      </c>
      <c r="S330">
        <f t="shared" si="5"/>
        <v>0</v>
      </c>
    </row>
    <row r="331" spans="1:19" x14ac:dyDescent="0.25">
      <c r="A331" t="s">
        <v>29</v>
      </c>
      <c r="B331">
        <v>225021</v>
      </c>
      <c r="C331" t="s">
        <v>19</v>
      </c>
      <c r="D331" t="s">
        <v>327</v>
      </c>
      <c r="E331" t="s">
        <v>83</v>
      </c>
      <c r="F331">
        <v>1</v>
      </c>
      <c r="G331" s="5">
        <v>44258</v>
      </c>
      <c r="H331" s="5">
        <v>44260</v>
      </c>
      <c r="I331" s="5">
        <v>44260</v>
      </c>
      <c r="K331" s="5" t="s">
        <v>23</v>
      </c>
      <c r="L331" t="s">
        <v>36</v>
      </c>
      <c r="M331" t="s">
        <v>25</v>
      </c>
      <c r="O331" t="s">
        <v>37</v>
      </c>
      <c r="P331" t="s">
        <v>37</v>
      </c>
      <c r="Q331" t="s">
        <v>27</v>
      </c>
      <c r="R331" t="s">
        <v>53</v>
      </c>
      <c r="S331">
        <f t="shared" si="5"/>
        <v>0</v>
      </c>
    </row>
    <row r="332" spans="1:19" x14ac:dyDescent="0.25">
      <c r="A332" t="s">
        <v>29</v>
      </c>
      <c r="B332">
        <v>225140</v>
      </c>
      <c r="C332" t="s">
        <v>76</v>
      </c>
      <c r="D332" t="s">
        <v>328</v>
      </c>
      <c r="E332" t="s">
        <v>82</v>
      </c>
      <c r="F332">
        <v>1</v>
      </c>
      <c r="G332" s="5">
        <v>44259</v>
      </c>
      <c r="H332" s="5">
        <v>44259</v>
      </c>
      <c r="K332" s="5" t="s">
        <v>23</v>
      </c>
      <c r="L332" t="s">
        <v>36</v>
      </c>
      <c r="M332" t="s">
        <v>82</v>
      </c>
      <c r="O332" t="s">
        <v>37</v>
      </c>
      <c r="Q332" t="s">
        <v>53</v>
      </c>
      <c r="S332">
        <f t="shared" si="5"/>
        <v>-44259</v>
      </c>
    </row>
    <row r="333" spans="1:19" x14ac:dyDescent="0.25">
      <c r="A333" t="s">
        <v>38</v>
      </c>
      <c r="B333">
        <v>225803</v>
      </c>
      <c r="C333" t="s">
        <v>19</v>
      </c>
      <c r="D333" t="s">
        <v>329</v>
      </c>
      <c r="E333" t="s">
        <v>45</v>
      </c>
      <c r="F333">
        <v>1</v>
      </c>
      <c r="G333" s="5">
        <v>44263</v>
      </c>
      <c r="H333" s="5">
        <v>44263</v>
      </c>
      <c r="I333" s="5">
        <v>44263</v>
      </c>
      <c r="K333" s="5" t="s">
        <v>23</v>
      </c>
      <c r="L333" t="s">
        <v>57</v>
      </c>
      <c r="M333" t="s">
        <v>25</v>
      </c>
      <c r="O333" t="s">
        <v>37</v>
      </c>
      <c r="P333" t="s">
        <v>37</v>
      </c>
      <c r="Q333" t="s">
        <v>28</v>
      </c>
      <c r="R333" t="s">
        <v>28</v>
      </c>
      <c r="S333">
        <f t="shared" si="5"/>
        <v>0</v>
      </c>
    </row>
    <row r="334" spans="1:19" x14ac:dyDescent="0.25">
      <c r="A334" t="s">
        <v>162</v>
      </c>
      <c r="B334">
        <v>225556</v>
      </c>
      <c r="C334" t="s">
        <v>139</v>
      </c>
      <c r="D334" t="s">
        <v>330</v>
      </c>
      <c r="E334" t="s">
        <v>235</v>
      </c>
      <c r="F334">
        <v>2</v>
      </c>
      <c r="G334" s="5">
        <v>44260</v>
      </c>
      <c r="I334" s="5">
        <v>44264</v>
      </c>
      <c r="K334" s="5" t="s">
        <v>23</v>
      </c>
      <c r="L334" t="s">
        <v>36</v>
      </c>
      <c r="M334" t="s">
        <v>25</v>
      </c>
      <c r="O334" t="s">
        <v>37</v>
      </c>
      <c r="P334" t="s">
        <v>37</v>
      </c>
      <c r="Q334" t="s">
        <v>53</v>
      </c>
      <c r="R334" t="s">
        <v>53</v>
      </c>
      <c r="S334">
        <f t="shared" si="5"/>
        <v>44264</v>
      </c>
    </row>
    <row r="335" spans="1:19" x14ac:dyDescent="0.25">
      <c r="A335" t="s">
        <v>71</v>
      </c>
      <c r="B335">
        <v>225809</v>
      </c>
      <c r="C335" t="s">
        <v>19</v>
      </c>
      <c r="D335" t="s">
        <v>331</v>
      </c>
      <c r="E335" t="s">
        <v>45</v>
      </c>
      <c r="F335">
        <v>1</v>
      </c>
      <c r="G335" s="5">
        <v>44263</v>
      </c>
      <c r="H335" s="5">
        <v>44267</v>
      </c>
      <c r="I335" s="5">
        <v>44267</v>
      </c>
      <c r="K335" s="5" t="s">
        <v>23</v>
      </c>
      <c r="L335" t="s">
        <v>57</v>
      </c>
      <c r="M335" t="s">
        <v>25</v>
      </c>
      <c r="O335" t="s">
        <v>37</v>
      </c>
      <c r="P335" t="s">
        <v>37</v>
      </c>
      <c r="Q335" t="s">
        <v>53</v>
      </c>
      <c r="R335" t="s">
        <v>28</v>
      </c>
      <c r="S335">
        <f t="shared" si="5"/>
        <v>0</v>
      </c>
    </row>
    <row r="336" spans="1:19" x14ac:dyDescent="0.25">
      <c r="A336" t="s">
        <v>71</v>
      </c>
      <c r="B336">
        <v>225809</v>
      </c>
      <c r="C336" t="s">
        <v>19</v>
      </c>
      <c r="D336" t="s">
        <v>331</v>
      </c>
      <c r="E336" t="s">
        <v>68</v>
      </c>
      <c r="F336">
        <v>2</v>
      </c>
      <c r="G336" s="5">
        <v>44263</v>
      </c>
      <c r="H336" s="5">
        <v>44267</v>
      </c>
      <c r="I336" s="5">
        <v>44267</v>
      </c>
      <c r="K336" s="5" t="s">
        <v>23</v>
      </c>
      <c r="L336" t="s">
        <v>57</v>
      </c>
      <c r="M336" t="s">
        <v>25</v>
      </c>
      <c r="O336" t="s">
        <v>37</v>
      </c>
      <c r="P336" t="s">
        <v>37</v>
      </c>
      <c r="Q336" t="s">
        <v>53</v>
      </c>
      <c r="R336" t="s">
        <v>28</v>
      </c>
      <c r="S336">
        <f t="shared" si="5"/>
        <v>0</v>
      </c>
    </row>
    <row r="337" spans="1:19" x14ac:dyDescent="0.25">
      <c r="A337" t="s">
        <v>71</v>
      </c>
      <c r="B337">
        <v>225809</v>
      </c>
      <c r="C337" t="s">
        <v>19</v>
      </c>
      <c r="D337" t="s">
        <v>331</v>
      </c>
      <c r="E337" t="s">
        <v>81</v>
      </c>
      <c r="F337">
        <v>1</v>
      </c>
      <c r="G337" s="5">
        <v>44263</v>
      </c>
      <c r="H337" s="5">
        <v>44267</v>
      </c>
      <c r="I337" s="5">
        <v>44267</v>
      </c>
      <c r="K337" s="5" t="s">
        <v>23</v>
      </c>
      <c r="L337" t="s">
        <v>57</v>
      </c>
      <c r="M337" t="s">
        <v>25</v>
      </c>
      <c r="O337" t="s">
        <v>37</v>
      </c>
      <c r="P337" t="s">
        <v>37</v>
      </c>
      <c r="Q337" t="s">
        <v>53</v>
      </c>
      <c r="R337" t="s">
        <v>28</v>
      </c>
      <c r="S337">
        <f t="shared" si="5"/>
        <v>0</v>
      </c>
    </row>
    <row r="338" spans="1:19" x14ac:dyDescent="0.25">
      <c r="A338" t="s">
        <v>71</v>
      </c>
      <c r="B338">
        <v>225809</v>
      </c>
      <c r="C338" t="s">
        <v>19</v>
      </c>
      <c r="D338" t="s">
        <v>331</v>
      </c>
      <c r="E338" t="s">
        <v>67</v>
      </c>
      <c r="F338">
        <v>6</v>
      </c>
      <c r="G338" s="5">
        <v>44263</v>
      </c>
      <c r="H338" s="5">
        <v>44267</v>
      </c>
      <c r="I338" s="5">
        <v>44267</v>
      </c>
      <c r="K338" s="5" t="s">
        <v>23</v>
      </c>
      <c r="L338" t="s">
        <v>57</v>
      </c>
      <c r="M338" t="s">
        <v>25</v>
      </c>
      <c r="O338" t="s">
        <v>37</v>
      </c>
      <c r="P338" t="s">
        <v>37</v>
      </c>
      <c r="Q338" t="s">
        <v>53</v>
      </c>
      <c r="R338" t="s">
        <v>28</v>
      </c>
      <c r="S338">
        <f t="shared" si="5"/>
        <v>0</v>
      </c>
    </row>
    <row r="339" spans="1:19" x14ac:dyDescent="0.25">
      <c r="A339" t="s">
        <v>71</v>
      </c>
      <c r="B339">
        <v>225809</v>
      </c>
      <c r="C339" t="s">
        <v>19</v>
      </c>
      <c r="D339" t="s">
        <v>331</v>
      </c>
      <c r="E339" t="s">
        <v>152</v>
      </c>
      <c r="F339">
        <v>2</v>
      </c>
      <c r="G339" s="5">
        <v>44263</v>
      </c>
      <c r="H339" s="5">
        <v>44267</v>
      </c>
      <c r="I339" s="5">
        <v>44267</v>
      </c>
      <c r="K339" s="5" t="s">
        <v>23</v>
      </c>
      <c r="L339" t="s">
        <v>57</v>
      </c>
      <c r="M339" t="s">
        <v>25</v>
      </c>
      <c r="O339" t="s">
        <v>37</v>
      </c>
      <c r="P339" t="s">
        <v>37</v>
      </c>
      <c r="Q339" t="s">
        <v>53</v>
      </c>
      <c r="R339" t="s">
        <v>28</v>
      </c>
      <c r="S339">
        <f t="shared" si="5"/>
        <v>0</v>
      </c>
    </row>
    <row r="340" spans="1:19" x14ac:dyDescent="0.25">
      <c r="A340" t="s">
        <v>71</v>
      </c>
      <c r="B340">
        <v>225809</v>
      </c>
      <c r="C340" t="s">
        <v>19</v>
      </c>
      <c r="D340" t="s">
        <v>331</v>
      </c>
      <c r="E340" t="s">
        <v>176</v>
      </c>
      <c r="F340">
        <v>1</v>
      </c>
      <c r="G340" s="5">
        <v>44263</v>
      </c>
      <c r="H340" s="5">
        <v>44267</v>
      </c>
      <c r="I340" s="5">
        <v>44267</v>
      </c>
      <c r="K340" s="5" t="s">
        <v>23</v>
      </c>
      <c r="L340" t="s">
        <v>57</v>
      </c>
      <c r="M340" t="s">
        <v>25</v>
      </c>
      <c r="O340" t="s">
        <v>37</v>
      </c>
      <c r="P340" t="s">
        <v>37</v>
      </c>
      <c r="Q340" t="s">
        <v>53</v>
      </c>
      <c r="R340" t="s">
        <v>28</v>
      </c>
      <c r="S340">
        <f t="shared" si="5"/>
        <v>0</v>
      </c>
    </row>
    <row r="341" spans="1:19" x14ac:dyDescent="0.25">
      <c r="A341" t="s">
        <v>38</v>
      </c>
      <c r="B341">
        <v>226199</v>
      </c>
      <c r="C341" t="s">
        <v>76</v>
      </c>
      <c r="D341" t="s">
        <v>332</v>
      </c>
      <c r="E341" t="s">
        <v>78</v>
      </c>
      <c r="G341" s="5">
        <v>44264</v>
      </c>
      <c r="H341" s="5">
        <v>44273</v>
      </c>
      <c r="I341" s="5">
        <v>44273</v>
      </c>
      <c r="J341" s="5" t="s">
        <v>333</v>
      </c>
      <c r="K341" s="5" t="s">
        <v>23</v>
      </c>
      <c r="L341" t="s">
        <v>36</v>
      </c>
      <c r="M341" t="s">
        <v>33</v>
      </c>
      <c r="O341" t="s">
        <v>26</v>
      </c>
      <c r="S341">
        <f t="shared" si="5"/>
        <v>0</v>
      </c>
    </row>
    <row r="342" spans="1:19" x14ac:dyDescent="0.25">
      <c r="A342" t="s">
        <v>38</v>
      </c>
      <c r="B342">
        <v>226199</v>
      </c>
      <c r="C342" t="s">
        <v>139</v>
      </c>
      <c r="D342" t="s">
        <v>332</v>
      </c>
      <c r="E342" t="s">
        <v>45</v>
      </c>
      <c r="F342">
        <v>1</v>
      </c>
      <c r="G342" s="5">
        <v>44264</v>
      </c>
      <c r="H342" s="5">
        <v>44274</v>
      </c>
      <c r="I342" s="5">
        <v>44274</v>
      </c>
      <c r="K342" s="5" t="s">
        <v>23</v>
      </c>
      <c r="L342" t="s">
        <v>57</v>
      </c>
      <c r="M342" t="s">
        <v>25</v>
      </c>
      <c r="O342" t="s">
        <v>37</v>
      </c>
      <c r="P342" t="s">
        <v>37</v>
      </c>
      <c r="Q342" t="s">
        <v>28</v>
      </c>
      <c r="R342" t="s">
        <v>28</v>
      </c>
      <c r="S342">
        <f t="shared" si="5"/>
        <v>0</v>
      </c>
    </row>
    <row r="343" spans="1:19" x14ac:dyDescent="0.25">
      <c r="A343" t="s">
        <v>38</v>
      </c>
      <c r="B343">
        <v>226199</v>
      </c>
      <c r="C343" t="s">
        <v>139</v>
      </c>
      <c r="D343" t="s">
        <v>332</v>
      </c>
      <c r="E343" t="s">
        <v>21</v>
      </c>
      <c r="F343">
        <v>1</v>
      </c>
      <c r="G343" s="5">
        <v>44264</v>
      </c>
      <c r="H343" s="5">
        <v>44274</v>
      </c>
      <c r="I343" s="5">
        <v>44274</v>
      </c>
      <c r="K343" s="5" t="s">
        <v>23</v>
      </c>
      <c r="L343" t="s">
        <v>57</v>
      </c>
      <c r="M343" t="s">
        <v>25</v>
      </c>
      <c r="O343" t="s">
        <v>37</v>
      </c>
      <c r="P343" t="s">
        <v>37</v>
      </c>
      <c r="Q343" t="s">
        <v>28</v>
      </c>
      <c r="R343" t="s">
        <v>28</v>
      </c>
      <c r="S343">
        <f t="shared" si="5"/>
        <v>0</v>
      </c>
    </row>
    <row r="344" spans="1:19" x14ac:dyDescent="0.25">
      <c r="A344" t="s">
        <v>38</v>
      </c>
      <c r="B344">
        <v>226199</v>
      </c>
      <c r="C344" t="s">
        <v>19</v>
      </c>
      <c r="D344" t="s">
        <v>332</v>
      </c>
      <c r="E344" t="s">
        <v>45</v>
      </c>
      <c r="F344">
        <v>2</v>
      </c>
      <c r="G344" s="5">
        <v>44264</v>
      </c>
      <c r="H344" s="5">
        <v>44278</v>
      </c>
      <c r="I344" s="5">
        <v>44278</v>
      </c>
      <c r="K344" s="5" t="s">
        <v>23</v>
      </c>
      <c r="L344" t="s">
        <v>57</v>
      </c>
      <c r="M344" t="s">
        <v>25</v>
      </c>
      <c r="O344" t="s">
        <v>37</v>
      </c>
      <c r="P344" t="s">
        <v>37</v>
      </c>
      <c r="Q344" t="s">
        <v>28</v>
      </c>
      <c r="R344" t="s">
        <v>28</v>
      </c>
      <c r="S344">
        <f t="shared" si="5"/>
        <v>0</v>
      </c>
    </row>
    <row r="345" spans="1:19" x14ac:dyDescent="0.25">
      <c r="A345" t="s">
        <v>38</v>
      </c>
      <c r="B345">
        <v>226199</v>
      </c>
      <c r="C345" t="s">
        <v>19</v>
      </c>
      <c r="D345" t="s">
        <v>332</v>
      </c>
      <c r="E345" t="s">
        <v>21</v>
      </c>
      <c r="F345">
        <v>2</v>
      </c>
      <c r="G345" s="5">
        <v>44264</v>
      </c>
      <c r="H345" s="5">
        <v>44278</v>
      </c>
      <c r="I345" s="5">
        <v>44278</v>
      </c>
      <c r="K345" s="5" t="s">
        <v>23</v>
      </c>
      <c r="L345" t="s">
        <v>57</v>
      </c>
      <c r="M345" t="s">
        <v>25</v>
      </c>
      <c r="O345" t="s">
        <v>37</v>
      </c>
      <c r="P345" t="s">
        <v>37</v>
      </c>
      <c r="Q345" t="s">
        <v>28</v>
      </c>
      <c r="R345" t="s">
        <v>28</v>
      </c>
      <c r="S345">
        <f t="shared" si="5"/>
        <v>0</v>
      </c>
    </row>
    <row r="346" spans="1:19" x14ac:dyDescent="0.25">
      <c r="A346" t="s">
        <v>38</v>
      </c>
      <c r="B346">
        <v>226199</v>
      </c>
      <c r="C346" t="s">
        <v>19</v>
      </c>
      <c r="D346" t="s">
        <v>332</v>
      </c>
      <c r="E346" t="s">
        <v>176</v>
      </c>
      <c r="F346">
        <v>3</v>
      </c>
      <c r="G346" s="5">
        <v>44264</v>
      </c>
      <c r="H346" s="5">
        <v>44278</v>
      </c>
      <c r="I346" s="5">
        <v>44278</v>
      </c>
      <c r="K346" s="5" t="s">
        <v>23</v>
      </c>
      <c r="L346" t="s">
        <v>57</v>
      </c>
      <c r="M346" t="s">
        <v>25</v>
      </c>
      <c r="O346" t="s">
        <v>37</v>
      </c>
      <c r="P346" t="s">
        <v>37</v>
      </c>
      <c r="Q346" t="s">
        <v>28</v>
      </c>
      <c r="R346" t="s">
        <v>28</v>
      </c>
      <c r="S346">
        <f t="shared" si="5"/>
        <v>0</v>
      </c>
    </row>
    <row r="347" spans="1:19" x14ac:dyDescent="0.25">
      <c r="A347" t="s">
        <v>38</v>
      </c>
      <c r="B347">
        <v>226199</v>
      </c>
      <c r="C347" t="s">
        <v>19</v>
      </c>
      <c r="D347" t="s">
        <v>332</v>
      </c>
      <c r="E347" t="s">
        <v>92</v>
      </c>
      <c r="F347">
        <v>2</v>
      </c>
      <c r="G347" s="5">
        <v>44264</v>
      </c>
      <c r="H347" s="5">
        <v>44278</v>
      </c>
      <c r="I347" s="5">
        <v>44278</v>
      </c>
      <c r="K347" s="5" t="s">
        <v>23</v>
      </c>
      <c r="L347" t="s">
        <v>44</v>
      </c>
      <c r="M347" t="s">
        <v>25</v>
      </c>
      <c r="O347" t="s">
        <v>37</v>
      </c>
      <c r="P347" t="s">
        <v>37</v>
      </c>
      <c r="Q347" t="s">
        <v>28</v>
      </c>
      <c r="R347" t="s">
        <v>28</v>
      </c>
      <c r="S347">
        <f t="shared" si="5"/>
        <v>0</v>
      </c>
    </row>
    <row r="348" spans="1:19" x14ac:dyDescent="0.25">
      <c r="A348" t="s">
        <v>38</v>
      </c>
      <c r="B348">
        <v>226199</v>
      </c>
      <c r="C348" t="s">
        <v>19</v>
      </c>
      <c r="D348" t="s">
        <v>332</v>
      </c>
      <c r="E348" t="s">
        <v>93</v>
      </c>
      <c r="F348">
        <v>3</v>
      </c>
      <c r="G348" s="5">
        <v>44264</v>
      </c>
      <c r="H348" s="5">
        <v>44278</v>
      </c>
      <c r="I348" s="5">
        <v>44278</v>
      </c>
      <c r="K348" s="5" t="s">
        <v>23</v>
      </c>
      <c r="L348" t="s">
        <v>44</v>
      </c>
      <c r="M348" t="s">
        <v>25</v>
      </c>
      <c r="O348" t="s">
        <v>37</v>
      </c>
      <c r="P348" t="s">
        <v>37</v>
      </c>
      <c r="Q348" t="s">
        <v>28</v>
      </c>
      <c r="R348" t="s">
        <v>28</v>
      </c>
      <c r="S348">
        <f t="shared" si="5"/>
        <v>0</v>
      </c>
    </row>
    <row r="349" spans="1:19" x14ac:dyDescent="0.25">
      <c r="A349" t="s">
        <v>38</v>
      </c>
      <c r="B349" t="s">
        <v>246</v>
      </c>
      <c r="C349" t="s">
        <v>139</v>
      </c>
      <c r="D349" t="s">
        <v>322</v>
      </c>
      <c r="E349" t="s">
        <v>21</v>
      </c>
      <c r="F349">
        <v>2</v>
      </c>
      <c r="G349" s="5">
        <v>44265</v>
      </c>
      <c r="H349" s="5">
        <v>44265</v>
      </c>
      <c r="I349" s="5">
        <v>44265</v>
      </c>
      <c r="K349" s="5" t="s">
        <v>23</v>
      </c>
      <c r="M349" t="s">
        <v>25</v>
      </c>
      <c r="O349" t="s">
        <v>37</v>
      </c>
      <c r="P349" t="s">
        <v>37</v>
      </c>
      <c r="Q349" t="s">
        <v>53</v>
      </c>
      <c r="S349">
        <f t="shared" si="5"/>
        <v>0</v>
      </c>
    </row>
    <row r="350" spans="1:19" x14ac:dyDescent="0.25">
      <c r="A350" t="s">
        <v>38</v>
      </c>
      <c r="B350">
        <v>226571</v>
      </c>
      <c r="C350" t="s">
        <v>19</v>
      </c>
      <c r="D350" t="s">
        <v>334</v>
      </c>
      <c r="E350" t="s">
        <v>180</v>
      </c>
      <c r="F350">
        <v>9</v>
      </c>
      <c r="G350" s="5">
        <v>44265</v>
      </c>
      <c r="H350" s="5">
        <v>44271</v>
      </c>
      <c r="I350" s="5">
        <v>44277</v>
      </c>
      <c r="K350" s="5" t="s">
        <v>23</v>
      </c>
      <c r="L350" t="s">
        <v>57</v>
      </c>
      <c r="M350" t="s">
        <v>25</v>
      </c>
      <c r="O350" t="s">
        <v>37</v>
      </c>
      <c r="P350" t="s">
        <v>26</v>
      </c>
      <c r="Q350" t="s">
        <v>28</v>
      </c>
      <c r="R350" t="s">
        <v>28</v>
      </c>
      <c r="S350">
        <f t="shared" si="5"/>
        <v>6</v>
      </c>
    </row>
    <row r="351" spans="1:19" x14ac:dyDescent="0.25">
      <c r="A351" t="s">
        <v>38</v>
      </c>
      <c r="B351">
        <v>226571</v>
      </c>
      <c r="C351" t="s">
        <v>19</v>
      </c>
      <c r="D351" t="s">
        <v>334</v>
      </c>
      <c r="E351" t="s">
        <v>180</v>
      </c>
      <c r="F351">
        <v>2</v>
      </c>
      <c r="G351" s="5">
        <v>44277</v>
      </c>
      <c r="H351" s="5">
        <v>44277</v>
      </c>
      <c r="I351" s="5">
        <v>44278</v>
      </c>
      <c r="K351" s="5" t="s">
        <v>23</v>
      </c>
      <c r="L351" t="s">
        <v>57</v>
      </c>
      <c r="M351" t="s">
        <v>25</v>
      </c>
      <c r="N351">
        <v>1</v>
      </c>
      <c r="O351" t="s">
        <v>37</v>
      </c>
      <c r="P351" t="s">
        <v>26</v>
      </c>
      <c r="Q351" t="s">
        <v>28</v>
      </c>
      <c r="R351" t="s">
        <v>28</v>
      </c>
      <c r="S351">
        <f t="shared" si="5"/>
        <v>1</v>
      </c>
    </row>
    <row r="352" spans="1:19" x14ac:dyDescent="0.25">
      <c r="A352" t="s">
        <v>38</v>
      </c>
      <c r="B352">
        <v>226571</v>
      </c>
      <c r="C352" t="s">
        <v>19</v>
      </c>
      <c r="D352" t="s">
        <v>334</v>
      </c>
      <c r="E352" t="s">
        <v>114</v>
      </c>
      <c r="F352">
        <v>3</v>
      </c>
      <c r="G352" s="5">
        <v>44277</v>
      </c>
      <c r="H352" s="5">
        <v>44277</v>
      </c>
      <c r="I352" s="5">
        <v>44278</v>
      </c>
      <c r="K352" s="5" t="s">
        <v>23</v>
      </c>
      <c r="L352" t="s">
        <v>24</v>
      </c>
      <c r="M352" t="s">
        <v>25</v>
      </c>
      <c r="O352" t="s">
        <v>37</v>
      </c>
      <c r="P352" t="s">
        <v>26</v>
      </c>
      <c r="Q352" t="s">
        <v>28</v>
      </c>
      <c r="R352" t="s">
        <v>28</v>
      </c>
      <c r="S352">
        <f t="shared" si="5"/>
        <v>1</v>
      </c>
    </row>
    <row r="353" spans="1:19" x14ac:dyDescent="0.25">
      <c r="A353" t="s">
        <v>38</v>
      </c>
      <c r="B353">
        <v>226571</v>
      </c>
      <c r="C353" t="s">
        <v>19</v>
      </c>
      <c r="D353" t="s">
        <v>334</v>
      </c>
      <c r="E353" t="s">
        <v>126</v>
      </c>
      <c r="F353">
        <v>1</v>
      </c>
      <c r="G353" s="5">
        <v>44278</v>
      </c>
      <c r="H353" s="5">
        <v>44278</v>
      </c>
      <c r="I353" s="5">
        <v>44278</v>
      </c>
      <c r="K353" s="5" t="s">
        <v>23</v>
      </c>
      <c r="L353" t="s">
        <v>24</v>
      </c>
      <c r="M353" t="s">
        <v>25</v>
      </c>
      <c r="O353" t="s">
        <v>37</v>
      </c>
      <c r="P353" t="s">
        <v>26</v>
      </c>
      <c r="Q353" t="s">
        <v>28</v>
      </c>
      <c r="R353" t="s">
        <v>28</v>
      </c>
      <c r="S353">
        <f t="shared" si="5"/>
        <v>0</v>
      </c>
    </row>
    <row r="354" spans="1:19" x14ac:dyDescent="0.25">
      <c r="A354" t="s">
        <v>131</v>
      </c>
      <c r="B354">
        <v>227058</v>
      </c>
      <c r="C354" t="s">
        <v>139</v>
      </c>
      <c r="D354" t="s">
        <v>335</v>
      </c>
      <c r="E354" t="s">
        <v>133</v>
      </c>
      <c r="F354">
        <v>1</v>
      </c>
      <c r="G354" s="5">
        <v>44267</v>
      </c>
      <c r="H354" s="5">
        <v>44271</v>
      </c>
      <c r="I354" s="5">
        <v>44271</v>
      </c>
      <c r="K354" s="5" t="s">
        <v>23</v>
      </c>
      <c r="L354" t="s">
        <v>57</v>
      </c>
      <c r="M354" t="s">
        <v>25</v>
      </c>
      <c r="O354" t="s">
        <v>37</v>
      </c>
      <c r="P354" t="s">
        <v>37</v>
      </c>
      <c r="Q354" t="s">
        <v>53</v>
      </c>
      <c r="R354" t="s">
        <v>53</v>
      </c>
      <c r="S354">
        <f t="shared" si="5"/>
        <v>0</v>
      </c>
    </row>
    <row r="355" spans="1:19" x14ac:dyDescent="0.25">
      <c r="A355" t="s">
        <v>75</v>
      </c>
      <c r="B355">
        <v>227531</v>
      </c>
      <c r="C355" t="s">
        <v>19</v>
      </c>
      <c r="D355" t="s">
        <v>336</v>
      </c>
      <c r="E355" t="s">
        <v>104</v>
      </c>
      <c r="F355">
        <v>2</v>
      </c>
      <c r="G355" s="5">
        <v>44270</v>
      </c>
      <c r="H355" s="5">
        <v>44270</v>
      </c>
      <c r="I355" s="5">
        <v>44270</v>
      </c>
      <c r="K355" s="5" t="s">
        <v>23</v>
      </c>
      <c r="L355" t="s">
        <v>24</v>
      </c>
      <c r="M355" t="s">
        <v>25</v>
      </c>
      <c r="O355" t="s">
        <v>26</v>
      </c>
      <c r="P355" t="s">
        <v>26</v>
      </c>
      <c r="Q355" t="s">
        <v>53</v>
      </c>
      <c r="R355" t="s">
        <v>53</v>
      </c>
      <c r="S355">
        <f t="shared" si="5"/>
        <v>0</v>
      </c>
    </row>
    <row r="356" spans="1:19" x14ac:dyDescent="0.25">
      <c r="A356" t="s">
        <v>75</v>
      </c>
      <c r="B356">
        <v>227531</v>
      </c>
      <c r="C356" t="s">
        <v>19</v>
      </c>
      <c r="D356" t="s">
        <v>336</v>
      </c>
      <c r="E356" t="s">
        <v>83</v>
      </c>
      <c r="F356">
        <v>2</v>
      </c>
      <c r="G356" s="5">
        <v>44270</v>
      </c>
      <c r="H356" s="5">
        <v>44270</v>
      </c>
      <c r="I356" s="5">
        <v>44270</v>
      </c>
      <c r="K356" s="5" t="s">
        <v>23</v>
      </c>
      <c r="L356" t="s">
        <v>24</v>
      </c>
      <c r="M356" t="s">
        <v>25</v>
      </c>
      <c r="O356" t="s">
        <v>26</v>
      </c>
      <c r="P356" t="s">
        <v>26</v>
      </c>
      <c r="Q356" t="s">
        <v>53</v>
      </c>
      <c r="R356" t="s">
        <v>53</v>
      </c>
      <c r="S356">
        <f t="shared" si="5"/>
        <v>0</v>
      </c>
    </row>
    <row r="357" spans="1:19" x14ac:dyDescent="0.25">
      <c r="A357" t="s">
        <v>29</v>
      </c>
      <c r="B357">
        <v>227189</v>
      </c>
      <c r="C357" t="s">
        <v>76</v>
      </c>
      <c r="D357" t="s">
        <v>337</v>
      </c>
      <c r="G357" s="5">
        <v>44267</v>
      </c>
      <c r="H357" s="5">
        <v>44281</v>
      </c>
      <c r="I357" s="5">
        <v>44281</v>
      </c>
      <c r="J357" s="5" t="s">
        <v>338</v>
      </c>
      <c r="K357" s="5" t="s">
        <v>23</v>
      </c>
      <c r="L357" t="s">
        <v>24</v>
      </c>
      <c r="M357" t="s">
        <v>33</v>
      </c>
      <c r="O357" t="s">
        <v>26</v>
      </c>
      <c r="S357">
        <f t="shared" si="5"/>
        <v>0</v>
      </c>
    </row>
    <row r="358" spans="1:19" x14ac:dyDescent="0.25">
      <c r="A358" t="s">
        <v>29</v>
      </c>
      <c r="B358">
        <v>227235</v>
      </c>
      <c r="C358" t="s">
        <v>76</v>
      </c>
      <c r="D358" t="s">
        <v>339</v>
      </c>
      <c r="E358" t="s">
        <v>150</v>
      </c>
      <c r="G358" s="5">
        <v>44270</v>
      </c>
      <c r="H358" s="5">
        <v>44271</v>
      </c>
      <c r="I358" s="5">
        <v>44271</v>
      </c>
      <c r="J358" s="5" t="s">
        <v>340</v>
      </c>
      <c r="K358" s="5" t="s">
        <v>23</v>
      </c>
      <c r="L358" t="s">
        <v>36</v>
      </c>
      <c r="M358" t="s">
        <v>25</v>
      </c>
      <c r="O358" t="s">
        <v>26</v>
      </c>
      <c r="S358">
        <f t="shared" si="5"/>
        <v>0</v>
      </c>
    </row>
    <row r="359" spans="1:19" x14ac:dyDescent="0.25">
      <c r="A359" t="s">
        <v>38</v>
      </c>
      <c r="B359">
        <v>227231</v>
      </c>
      <c r="C359" t="s">
        <v>76</v>
      </c>
      <c r="D359" t="s">
        <v>341</v>
      </c>
      <c r="E359" t="s">
        <v>73</v>
      </c>
      <c r="G359" s="5">
        <v>44267</v>
      </c>
      <c r="H359" s="5">
        <v>44281</v>
      </c>
      <c r="I359" s="5">
        <v>44280</v>
      </c>
      <c r="J359" s="5" t="s">
        <v>342</v>
      </c>
      <c r="K359" s="5" t="s">
        <v>23</v>
      </c>
      <c r="L359" t="s">
        <v>24</v>
      </c>
      <c r="M359" t="s">
        <v>25</v>
      </c>
      <c r="O359" t="s">
        <v>26</v>
      </c>
      <c r="S359">
        <f t="shared" si="5"/>
        <v>-1</v>
      </c>
    </row>
    <row r="360" spans="1:19" x14ac:dyDescent="0.25">
      <c r="A360" t="s">
        <v>71</v>
      </c>
      <c r="B360">
        <v>227477</v>
      </c>
      <c r="C360" t="s">
        <v>139</v>
      </c>
      <c r="D360" t="s">
        <v>343</v>
      </c>
      <c r="E360" t="s">
        <v>344</v>
      </c>
      <c r="F360">
        <v>1</v>
      </c>
      <c r="G360" s="5">
        <v>44270</v>
      </c>
      <c r="H360" s="5">
        <v>44271</v>
      </c>
      <c r="I360" s="5">
        <v>44271</v>
      </c>
      <c r="K360" s="5" t="s">
        <v>23</v>
      </c>
      <c r="L360" t="s">
        <v>36</v>
      </c>
      <c r="M360" t="s">
        <v>25</v>
      </c>
      <c r="O360" t="s">
        <v>37</v>
      </c>
      <c r="P360" t="s">
        <v>345</v>
      </c>
      <c r="Q360" t="s">
        <v>53</v>
      </c>
      <c r="R360" t="s">
        <v>53</v>
      </c>
      <c r="S360">
        <f t="shared" si="5"/>
        <v>0</v>
      </c>
    </row>
    <row r="361" spans="1:19" x14ac:dyDescent="0.25">
      <c r="A361" t="s">
        <v>131</v>
      </c>
      <c r="B361">
        <v>227806</v>
      </c>
      <c r="C361" t="s">
        <v>139</v>
      </c>
      <c r="D361" t="s">
        <v>346</v>
      </c>
      <c r="E361" t="s">
        <v>40</v>
      </c>
      <c r="F361">
        <v>3</v>
      </c>
      <c r="G361" s="5">
        <v>44271</v>
      </c>
      <c r="H361" s="5">
        <v>44274</v>
      </c>
      <c r="I361" s="5">
        <v>44273</v>
      </c>
      <c r="J361" s="5" t="s">
        <v>347</v>
      </c>
      <c r="K361" s="5" t="s">
        <v>23</v>
      </c>
      <c r="L361" t="s">
        <v>57</v>
      </c>
      <c r="M361" t="s">
        <v>25</v>
      </c>
      <c r="N361">
        <v>2</v>
      </c>
      <c r="O361" t="s">
        <v>37</v>
      </c>
      <c r="P361" t="s">
        <v>37</v>
      </c>
      <c r="Q361" t="s">
        <v>53</v>
      </c>
      <c r="R361" t="s">
        <v>53</v>
      </c>
      <c r="S361">
        <f t="shared" si="5"/>
        <v>-1</v>
      </c>
    </row>
    <row r="362" spans="1:19" x14ac:dyDescent="0.25">
      <c r="A362" t="s">
        <v>131</v>
      </c>
      <c r="B362">
        <v>227806</v>
      </c>
      <c r="C362" t="s">
        <v>139</v>
      </c>
      <c r="D362" t="s">
        <v>346</v>
      </c>
      <c r="E362" t="s">
        <v>105</v>
      </c>
      <c r="F362">
        <v>1</v>
      </c>
      <c r="G362" s="5">
        <v>44271</v>
      </c>
      <c r="H362" s="5">
        <v>44274</v>
      </c>
      <c r="I362" s="5">
        <v>44273</v>
      </c>
      <c r="J362" s="5" t="s">
        <v>348</v>
      </c>
      <c r="K362" s="5" t="s">
        <v>23</v>
      </c>
      <c r="L362" t="s">
        <v>57</v>
      </c>
      <c r="M362" t="s">
        <v>25</v>
      </c>
      <c r="N362">
        <v>1</v>
      </c>
      <c r="O362" t="s">
        <v>37</v>
      </c>
      <c r="P362" t="s">
        <v>37</v>
      </c>
      <c r="Q362" t="s">
        <v>53</v>
      </c>
      <c r="R362" t="s">
        <v>53</v>
      </c>
      <c r="S362">
        <f t="shared" si="5"/>
        <v>-1</v>
      </c>
    </row>
    <row r="363" spans="1:19" x14ac:dyDescent="0.25">
      <c r="A363" t="s">
        <v>131</v>
      </c>
      <c r="B363">
        <v>227806</v>
      </c>
      <c r="C363" t="s">
        <v>139</v>
      </c>
      <c r="D363" t="s">
        <v>346</v>
      </c>
      <c r="E363" t="s">
        <v>101</v>
      </c>
      <c r="F363">
        <v>1</v>
      </c>
      <c r="G363" s="5">
        <v>44271</v>
      </c>
      <c r="H363" s="5">
        <v>44274</v>
      </c>
      <c r="I363" s="5">
        <v>44273</v>
      </c>
      <c r="J363" s="5" t="s">
        <v>349</v>
      </c>
      <c r="K363" s="5" t="s">
        <v>23</v>
      </c>
      <c r="L363" t="s">
        <v>57</v>
      </c>
      <c r="M363" t="s">
        <v>25</v>
      </c>
      <c r="N363">
        <v>2</v>
      </c>
      <c r="O363" t="s">
        <v>37</v>
      </c>
      <c r="P363" t="s">
        <v>37</v>
      </c>
      <c r="Q363" t="s">
        <v>53</v>
      </c>
      <c r="R363" t="s">
        <v>53</v>
      </c>
      <c r="S363">
        <f t="shared" si="5"/>
        <v>-1</v>
      </c>
    </row>
    <row r="364" spans="1:19" x14ac:dyDescent="0.25">
      <c r="A364" t="s">
        <v>131</v>
      </c>
      <c r="B364">
        <v>227806</v>
      </c>
      <c r="C364" t="s">
        <v>139</v>
      </c>
      <c r="D364" t="s">
        <v>346</v>
      </c>
      <c r="E364" t="s">
        <v>109</v>
      </c>
      <c r="F364">
        <v>1</v>
      </c>
      <c r="G364" s="5">
        <v>44274</v>
      </c>
      <c r="H364" s="5">
        <v>44274</v>
      </c>
      <c r="I364" s="5">
        <v>44273</v>
      </c>
      <c r="K364" s="5" t="s">
        <v>23</v>
      </c>
      <c r="L364" t="s">
        <v>57</v>
      </c>
      <c r="M364" t="s">
        <v>25</v>
      </c>
      <c r="O364" t="s">
        <v>37</v>
      </c>
      <c r="P364" t="s">
        <v>37</v>
      </c>
      <c r="Q364" t="s">
        <v>53</v>
      </c>
      <c r="R364" t="s">
        <v>53</v>
      </c>
      <c r="S364">
        <f t="shared" si="5"/>
        <v>-1</v>
      </c>
    </row>
    <row r="365" spans="1:19" x14ac:dyDescent="0.25">
      <c r="A365" t="s">
        <v>131</v>
      </c>
      <c r="B365">
        <v>227806</v>
      </c>
      <c r="C365" t="s">
        <v>139</v>
      </c>
      <c r="D365" t="s">
        <v>346</v>
      </c>
      <c r="E365" t="s">
        <v>66</v>
      </c>
      <c r="F365">
        <v>1</v>
      </c>
      <c r="G365" s="5">
        <v>44271</v>
      </c>
      <c r="H365" s="5">
        <v>44274</v>
      </c>
      <c r="I365" s="5">
        <v>44273</v>
      </c>
      <c r="J365" s="5" t="s">
        <v>350</v>
      </c>
      <c r="K365" s="5" t="s">
        <v>23</v>
      </c>
      <c r="L365" t="s">
        <v>57</v>
      </c>
      <c r="M365" t="s">
        <v>25</v>
      </c>
      <c r="N365">
        <v>2</v>
      </c>
      <c r="O365" t="s">
        <v>37</v>
      </c>
      <c r="P365" t="s">
        <v>37</v>
      </c>
      <c r="Q365" t="s">
        <v>53</v>
      </c>
      <c r="R365" t="s">
        <v>53</v>
      </c>
      <c r="S365">
        <f t="shared" si="5"/>
        <v>-1</v>
      </c>
    </row>
    <row r="366" spans="1:19" x14ac:dyDescent="0.25">
      <c r="A366" t="s">
        <v>131</v>
      </c>
      <c r="B366">
        <v>227806</v>
      </c>
      <c r="C366" t="s">
        <v>139</v>
      </c>
      <c r="D366" t="s">
        <v>346</v>
      </c>
      <c r="E366" t="s">
        <v>82</v>
      </c>
      <c r="F366">
        <v>1</v>
      </c>
      <c r="G366" s="5">
        <v>44271</v>
      </c>
      <c r="H366" s="5">
        <v>44274</v>
      </c>
      <c r="I366" s="5">
        <v>44273</v>
      </c>
      <c r="J366" s="5" t="s">
        <v>347</v>
      </c>
      <c r="K366" s="5" t="s">
        <v>23</v>
      </c>
      <c r="L366" t="s">
        <v>36</v>
      </c>
      <c r="M366" t="s">
        <v>25</v>
      </c>
      <c r="O366" t="s">
        <v>37</v>
      </c>
      <c r="P366" t="s">
        <v>37</v>
      </c>
      <c r="Q366" t="s">
        <v>53</v>
      </c>
      <c r="R366" t="s">
        <v>53</v>
      </c>
      <c r="S366">
        <f t="shared" si="5"/>
        <v>-1</v>
      </c>
    </row>
    <row r="367" spans="1:19" x14ac:dyDescent="0.25">
      <c r="A367" t="s">
        <v>129</v>
      </c>
      <c r="B367">
        <v>227914</v>
      </c>
      <c r="C367" t="s">
        <v>76</v>
      </c>
      <c r="D367" t="s">
        <v>351</v>
      </c>
      <c r="E367" t="s">
        <v>70</v>
      </c>
      <c r="G367" s="5">
        <v>44271</v>
      </c>
      <c r="H367" s="5">
        <v>44271</v>
      </c>
      <c r="I367" s="5">
        <v>44271</v>
      </c>
      <c r="K367" s="5" t="s">
        <v>23</v>
      </c>
      <c r="L367" t="s">
        <v>36</v>
      </c>
      <c r="M367" t="s">
        <v>25</v>
      </c>
      <c r="O367" t="s">
        <v>37</v>
      </c>
      <c r="Q367" t="s">
        <v>53</v>
      </c>
      <c r="R367" t="s">
        <v>53</v>
      </c>
      <c r="S367">
        <f t="shared" si="5"/>
        <v>0</v>
      </c>
    </row>
    <row r="368" spans="1:19" x14ac:dyDescent="0.25">
      <c r="A368" t="s">
        <v>129</v>
      </c>
      <c r="B368">
        <v>227914</v>
      </c>
      <c r="C368" t="s">
        <v>76</v>
      </c>
      <c r="D368" t="s">
        <v>351</v>
      </c>
      <c r="E368" t="s">
        <v>21</v>
      </c>
      <c r="G368" s="5">
        <v>44271</v>
      </c>
      <c r="H368" s="5">
        <v>44271</v>
      </c>
      <c r="I368" s="5">
        <v>44271</v>
      </c>
      <c r="K368" s="5" t="s">
        <v>23</v>
      </c>
      <c r="L368" t="s">
        <v>36</v>
      </c>
      <c r="M368" t="s">
        <v>25</v>
      </c>
      <c r="O368" t="s">
        <v>37</v>
      </c>
      <c r="Q368" t="s">
        <v>53</v>
      </c>
      <c r="R368" t="s">
        <v>53</v>
      </c>
      <c r="S368">
        <f t="shared" si="5"/>
        <v>0</v>
      </c>
    </row>
    <row r="369" spans="1:19" x14ac:dyDescent="0.25">
      <c r="A369" t="s">
        <v>129</v>
      </c>
      <c r="B369">
        <v>227792</v>
      </c>
      <c r="C369" t="s">
        <v>76</v>
      </c>
      <c r="D369" t="s">
        <v>352</v>
      </c>
      <c r="E369" t="s">
        <v>82</v>
      </c>
      <c r="G369" s="5">
        <v>44271</v>
      </c>
      <c r="H369" s="5">
        <v>44271</v>
      </c>
      <c r="I369" s="5">
        <v>44271</v>
      </c>
      <c r="K369" s="5" t="s">
        <v>23</v>
      </c>
      <c r="L369" t="s">
        <v>36</v>
      </c>
      <c r="M369" t="s">
        <v>82</v>
      </c>
      <c r="O369" t="s">
        <v>37</v>
      </c>
      <c r="Q369" t="s">
        <v>53</v>
      </c>
      <c r="R369" t="s">
        <v>53</v>
      </c>
      <c r="S369">
        <f t="shared" si="5"/>
        <v>0</v>
      </c>
    </row>
    <row r="370" spans="1:19" x14ac:dyDescent="0.25">
      <c r="A370" t="s">
        <v>181</v>
      </c>
      <c r="B370">
        <v>225825</v>
      </c>
      <c r="C370" t="s">
        <v>139</v>
      </c>
      <c r="D370" t="s">
        <v>353</v>
      </c>
      <c r="E370" t="s">
        <v>93</v>
      </c>
      <c r="F370">
        <v>1</v>
      </c>
      <c r="G370" s="5">
        <v>44263</v>
      </c>
      <c r="H370" s="5">
        <v>44272</v>
      </c>
      <c r="I370" s="5">
        <v>44272</v>
      </c>
      <c r="K370" s="5" t="s">
        <v>23</v>
      </c>
      <c r="L370" t="s">
        <v>57</v>
      </c>
      <c r="M370" t="s">
        <v>25</v>
      </c>
      <c r="N370">
        <v>1</v>
      </c>
      <c r="O370" t="s">
        <v>37</v>
      </c>
      <c r="P370" t="s">
        <v>37</v>
      </c>
      <c r="Q370" t="s">
        <v>53</v>
      </c>
      <c r="R370" t="s">
        <v>27</v>
      </c>
      <c r="S370">
        <f t="shared" si="5"/>
        <v>0</v>
      </c>
    </row>
    <row r="371" spans="1:19" x14ac:dyDescent="0.25">
      <c r="A371" t="s">
        <v>38</v>
      </c>
      <c r="B371" t="s">
        <v>246</v>
      </c>
      <c r="C371" t="s">
        <v>139</v>
      </c>
      <c r="D371" t="s">
        <v>322</v>
      </c>
      <c r="E371" t="s">
        <v>21</v>
      </c>
      <c r="F371">
        <v>2</v>
      </c>
      <c r="G371" s="5">
        <v>44272</v>
      </c>
      <c r="H371" s="5">
        <v>44272</v>
      </c>
      <c r="I371" s="5">
        <v>44272</v>
      </c>
      <c r="K371" s="5" t="s">
        <v>23</v>
      </c>
      <c r="M371" t="s">
        <v>25</v>
      </c>
      <c r="O371" t="s">
        <v>37</v>
      </c>
      <c r="P371" t="s">
        <v>37</v>
      </c>
      <c r="Q371" t="s">
        <v>53</v>
      </c>
      <c r="S371">
        <f t="shared" si="5"/>
        <v>0</v>
      </c>
    </row>
    <row r="372" spans="1:19" x14ac:dyDescent="0.25">
      <c r="A372" t="s">
        <v>158</v>
      </c>
      <c r="B372">
        <v>228171</v>
      </c>
      <c r="C372" t="s">
        <v>139</v>
      </c>
      <c r="D372" t="s">
        <v>354</v>
      </c>
      <c r="E372" t="s">
        <v>78</v>
      </c>
      <c r="F372">
        <v>1</v>
      </c>
      <c r="G372" s="5">
        <v>44272</v>
      </c>
      <c r="I372" s="5">
        <v>44273</v>
      </c>
      <c r="J372" s="5" t="s">
        <v>355</v>
      </c>
      <c r="K372" s="5" t="s">
        <v>23</v>
      </c>
      <c r="L372" t="s">
        <v>36</v>
      </c>
      <c r="M372" t="s">
        <v>25</v>
      </c>
      <c r="O372" t="s">
        <v>37</v>
      </c>
      <c r="P372" t="s">
        <v>37</v>
      </c>
      <c r="Q372" t="s">
        <v>53</v>
      </c>
      <c r="R372" t="s">
        <v>53</v>
      </c>
      <c r="S372">
        <f t="shared" si="5"/>
        <v>44273</v>
      </c>
    </row>
    <row r="373" spans="1:19" x14ac:dyDescent="0.25">
      <c r="A373" t="s">
        <v>38</v>
      </c>
      <c r="B373" t="s">
        <v>246</v>
      </c>
      <c r="C373" t="s">
        <v>76</v>
      </c>
      <c r="D373" t="s">
        <v>356</v>
      </c>
      <c r="E373" t="s">
        <v>73</v>
      </c>
      <c r="G373" s="5">
        <v>44273</v>
      </c>
      <c r="H373" s="5">
        <v>44286</v>
      </c>
      <c r="I373" s="5">
        <v>44278</v>
      </c>
      <c r="J373" s="5" t="s">
        <v>357</v>
      </c>
      <c r="K373" s="5" t="s">
        <v>23</v>
      </c>
      <c r="S373">
        <f t="shared" si="5"/>
        <v>-8</v>
      </c>
    </row>
    <row r="374" spans="1:19" x14ac:dyDescent="0.25">
      <c r="A374" t="s">
        <v>29</v>
      </c>
      <c r="B374">
        <v>228481</v>
      </c>
      <c r="C374" t="s">
        <v>139</v>
      </c>
      <c r="D374" t="s">
        <v>358</v>
      </c>
      <c r="E374" t="s">
        <v>47</v>
      </c>
      <c r="F374">
        <v>1</v>
      </c>
      <c r="G374" s="5">
        <v>44273</v>
      </c>
      <c r="H374" s="5">
        <v>44277</v>
      </c>
      <c r="I374" s="5">
        <v>44277</v>
      </c>
      <c r="K374" s="5" t="s">
        <v>23</v>
      </c>
      <c r="L374" t="s">
        <v>44</v>
      </c>
      <c r="M374" t="s">
        <v>25</v>
      </c>
      <c r="O374" t="s">
        <v>37</v>
      </c>
      <c r="P374" t="s">
        <v>37</v>
      </c>
      <c r="Q374" t="s">
        <v>53</v>
      </c>
      <c r="R374" t="s">
        <v>53</v>
      </c>
      <c r="S374">
        <f t="shared" si="5"/>
        <v>0</v>
      </c>
    </row>
    <row r="375" spans="1:19" x14ac:dyDescent="0.25">
      <c r="A375" t="s">
        <v>75</v>
      </c>
      <c r="B375">
        <v>228555</v>
      </c>
      <c r="C375" t="s">
        <v>139</v>
      </c>
      <c r="D375" t="s">
        <v>359</v>
      </c>
      <c r="E375" t="s">
        <v>66</v>
      </c>
      <c r="F375">
        <v>1</v>
      </c>
      <c r="G375" s="5">
        <v>44273</v>
      </c>
      <c r="H375" s="5">
        <v>44278</v>
      </c>
      <c r="I375" s="5">
        <v>44277</v>
      </c>
      <c r="K375" s="5" t="s">
        <v>23</v>
      </c>
      <c r="L375" t="s">
        <v>57</v>
      </c>
      <c r="M375" t="s">
        <v>25</v>
      </c>
      <c r="N375">
        <v>1</v>
      </c>
      <c r="O375" t="s">
        <v>37</v>
      </c>
      <c r="P375" t="s">
        <v>37</v>
      </c>
      <c r="Q375" t="s">
        <v>53</v>
      </c>
      <c r="R375" t="s">
        <v>53</v>
      </c>
      <c r="S375">
        <f t="shared" si="5"/>
        <v>-1</v>
      </c>
    </row>
    <row r="376" spans="1:19" x14ac:dyDescent="0.25">
      <c r="A376" t="s">
        <v>75</v>
      </c>
      <c r="B376">
        <v>228555</v>
      </c>
      <c r="C376" t="s">
        <v>139</v>
      </c>
      <c r="D376" t="s">
        <v>359</v>
      </c>
      <c r="E376" t="s">
        <v>106</v>
      </c>
      <c r="F376">
        <v>1</v>
      </c>
      <c r="G376" s="5">
        <v>44273</v>
      </c>
      <c r="H376" s="5">
        <v>44278</v>
      </c>
      <c r="I376" s="5">
        <v>44277</v>
      </c>
      <c r="K376" s="5" t="s">
        <v>23</v>
      </c>
      <c r="L376" t="s">
        <v>57</v>
      </c>
      <c r="M376" t="s">
        <v>25</v>
      </c>
      <c r="N376">
        <v>1</v>
      </c>
      <c r="O376" t="s">
        <v>37</v>
      </c>
      <c r="P376" t="s">
        <v>37</v>
      </c>
      <c r="Q376" t="s">
        <v>53</v>
      </c>
      <c r="R376" t="s">
        <v>53</v>
      </c>
      <c r="S376">
        <f t="shared" si="5"/>
        <v>-1</v>
      </c>
    </row>
    <row r="377" spans="1:19" x14ac:dyDescent="0.25">
      <c r="A377" t="s">
        <v>75</v>
      </c>
      <c r="B377">
        <v>228555</v>
      </c>
      <c r="C377" t="s">
        <v>139</v>
      </c>
      <c r="D377" t="s">
        <v>359</v>
      </c>
      <c r="E377" t="s">
        <v>45</v>
      </c>
      <c r="F377">
        <v>1</v>
      </c>
      <c r="G377" s="5">
        <v>44273</v>
      </c>
      <c r="H377" s="5">
        <v>44278</v>
      </c>
      <c r="I377" s="5">
        <v>44277</v>
      </c>
      <c r="K377" s="5" t="s">
        <v>23</v>
      </c>
      <c r="L377" t="s">
        <v>57</v>
      </c>
      <c r="M377" t="s">
        <v>25</v>
      </c>
      <c r="N377">
        <v>1</v>
      </c>
      <c r="O377" t="s">
        <v>37</v>
      </c>
      <c r="P377" t="s">
        <v>37</v>
      </c>
      <c r="Q377" t="s">
        <v>53</v>
      </c>
      <c r="R377" t="s">
        <v>53</v>
      </c>
      <c r="S377">
        <f t="shared" si="5"/>
        <v>-1</v>
      </c>
    </row>
    <row r="378" spans="1:19" x14ac:dyDescent="0.25">
      <c r="A378" t="s">
        <v>75</v>
      </c>
      <c r="B378">
        <v>228555</v>
      </c>
      <c r="C378" t="s">
        <v>139</v>
      </c>
      <c r="D378" t="s">
        <v>359</v>
      </c>
      <c r="E378" t="s">
        <v>40</v>
      </c>
      <c r="F378">
        <v>3</v>
      </c>
      <c r="G378" s="5">
        <v>44273</v>
      </c>
      <c r="H378" s="5">
        <v>44278</v>
      </c>
      <c r="I378" s="5">
        <v>44277</v>
      </c>
      <c r="K378" s="5" t="s">
        <v>23</v>
      </c>
      <c r="L378" t="s">
        <v>57</v>
      </c>
      <c r="M378" t="s">
        <v>25</v>
      </c>
      <c r="N378">
        <v>1</v>
      </c>
      <c r="O378" t="s">
        <v>37</v>
      </c>
      <c r="P378" t="s">
        <v>37</v>
      </c>
      <c r="Q378" t="s">
        <v>53</v>
      </c>
      <c r="R378" t="s">
        <v>53</v>
      </c>
      <c r="S378">
        <f t="shared" si="5"/>
        <v>-1</v>
      </c>
    </row>
    <row r="379" spans="1:19" x14ac:dyDescent="0.25">
      <c r="A379" t="s">
        <v>360</v>
      </c>
      <c r="B379">
        <v>227997</v>
      </c>
      <c r="C379" t="s">
        <v>139</v>
      </c>
      <c r="D379" t="s">
        <v>361</v>
      </c>
      <c r="E379" t="s">
        <v>67</v>
      </c>
      <c r="F379">
        <v>3</v>
      </c>
      <c r="G379" s="5">
        <v>44272</v>
      </c>
      <c r="I379" s="5">
        <v>44274</v>
      </c>
      <c r="K379" s="5" t="s">
        <v>23</v>
      </c>
      <c r="L379" t="s">
        <v>57</v>
      </c>
      <c r="M379" t="s">
        <v>25</v>
      </c>
      <c r="O379" t="s">
        <v>37</v>
      </c>
      <c r="P379" t="s">
        <v>37</v>
      </c>
      <c r="Q379" t="s">
        <v>27</v>
      </c>
      <c r="R379" t="s">
        <v>53</v>
      </c>
      <c r="S379">
        <f t="shared" si="5"/>
        <v>44274</v>
      </c>
    </row>
    <row r="380" spans="1:19" x14ac:dyDescent="0.25">
      <c r="A380" t="s">
        <v>360</v>
      </c>
      <c r="B380">
        <v>227997</v>
      </c>
      <c r="C380" t="s">
        <v>139</v>
      </c>
      <c r="D380" t="s">
        <v>361</v>
      </c>
      <c r="E380" t="s">
        <v>152</v>
      </c>
      <c r="F380">
        <v>3</v>
      </c>
      <c r="G380" s="5">
        <v>44272</v>
      </c>
      <c r="I380" s="5">
        <v>44274</v>
      </c>
      <c r="K380" s="5" t="s">
        <v>23</v>
      </c>
      <c r="L380" t="s">
        <v>57</v>
      </c>
      <c r="M380" t="s">
        <v>25</v>
      </c>
      <c r="O380" t="s">
        <v>37</v>
      </c>
      <c r="P380" t="s">
        <v>37</v>
      </c>
      <c r="Q380" t="s">
        <v>27</v>
      </c>
      <c r="R380" t="s">
        <v>53</v>
      </c>
      <c r="S380">
        <f t="shared" si="5"/>
        <v>44274</v>
      </c>
    </row>
    <row r="381" spans="1:19" x14ac:dyDescent="0.25">
      <c r="A381" t="s">
        <v>29</v>
      </c>
      <c r="B381">
        <v>228629</v>
      </c>
      <c r="C381" t="s">
        <v>139</v>
      </c>
      <c r="D381" t="s">
        <v>362</v>
      </c>
      <c r="E381" t="s">
        <v>47</v>
      </c>
      <c r="F381">
        <v>1</v>
      </c>
      <c r="G381" s="5">
        <v>44274</v>
      </c>
      <c r="H381" s="5">
        <v>44278</v>
      </c>
      <c r="I381" s="5">
        <v>44278</v>
      </c>
      <c r="K381" s="5" t="s">
        <v>23</v>
      </c>
      <c r="L381" t="s">
        <v>57</v>
      </c>
      <c r="M381" t="s">
        <v>25</v>
      </c>
      <c r="O381" t="s">
        <v>37</v>
      </c>
      <c r="P381" t="s">
        <v>37</v>
      </c>
      <c r="Q381" t="s">
        <v>53</v>
      </c>
      <c r="R381" t="s">
        <v>53</v>
      </c>
      <c r="S381">
        <f t="shared" si="5"/>
        <v>0</v>
      </c>
    </row>
    <row r="382" spans="1:19" x14ac:dyDescent="0.25">
      <c r="A382" t="s">
        <v>29</v>
      </c>
      <c r="B382">
        <v>228690</v>
      </c>
      <c r="C382" t="s">
        <v>19</v>
      </c>
      <c r="D382" t="s">
        <v>363</v>
      </c>
      <c r="E382" t="s">
        <v>78</v>
      </c>
      <c r="G382" s="5">
        <v>44274</v>
      </c>
      <c r="H382" s="5">
        <v>44277</v>
      </c>
      <c r="I382" s="5">
        <v>44279</v>
      </c>
      <c r="K382" s="5" t="s">
        <v>23</v>
      </c>
      <c r="L382" t="s">
        <v>36</v>
      </c>
      <c r="M382" t="s">
        <v>33</v>
      </c>
      <c r="O382" t="s">
        <v>37</v>
      </c>
      <c r="P382" t="s">
        <v>26</v>
      </c>
      <c r="Q382" t="s">
        <v>27</v>
      </c>
      <c r="R382" t="s">
        <v>53</v>
      </c>
      <c r="S382">
        <f t="shared" si="5"/>
        <v>2</v>
      </c>
    </row>
    <row r="383" spans="1:19" x14ac:dyDescent="0.25">
      <c r="A383" t="s">
        <v>29</v>
      </c>
      <c r="B383">
        <v>229153</v>
      </c>
      <c r="C383" t="s">
        <v>19</v>
      </c>
      <c r="D383" t="s">
        <v>364</v>
      </c>
      <c r="E383" t="s">
        <v>97</v>
      </c>
      <c r="F383">
        <v>1</v>
      </c>
      <c r="G383" s="5">
        <v>44278</v>
      </c>
      <c r="H383" s="5">
        <v>44278</v>
      </c>
      <c r="I383" s="5">
        <v>44278</v>
      </c>
      <c r="K383" s="5" t="s">
        <v>23</v>
      </c>
      <c r="L383" t="s">
        <v>36</v>
      </c>
      <c r="M383" t="s">
        <v>25</v>
      </c>
      <c r="O383" t="s">
        <v>26</v>
      </c>
      <c r="P383" t="s">
        <v>26</v>
      </c>
      <c r="Q383" t="s">
        <v>28</v>
      </c>
      <c r="R383" t="s">
        <v>28</v>
      </c>
      <c r="S383">
        <f t="shared" si="5"/>
        <v>0</v>
      </c>
    </row>
    <row r="384" spans="1:19" x14ac:dyDescent="0.25">
      <c r="A384" t="s">
        <v>162</v>
      </c>
      <c r="B384" t="s">
        <v>246</v>
      </c>
      <c r="C384" t="s">
        <v>139</v>
      </c>
      <c r="D384" t="s">
        <v>365</v>
      </c>
      <c r="E384" t="s">
        <v>226</v>
      </c>
      <c r="F384">
        <v>1</v>
      </c>
      <c r="G384" s="5">
        <v>44263</v>
      </c>
      <c r="H384" s="5">
        <v>44274</v>
      </c>
      <c r="I384" s="5">
        <v>44274</v>
      </c>
      <c r="K384" s="5" t="s">
        <v>23</v>
      </c>
      <c r="L384" t="s">
        <v>57</v>
      </c>
      <c r="O384" t="s">
        <v>37</v>
      </c>
      <c r="P384" t="s">
        <v>37</v>
      </c>
      <c r="Q384" t="s">
        <v>53</v>
      </c>
      <c r="R384" t="s">
        <v>53</v>
      </c>
      <c r="S384">
        <f t="shared" si="5"/>
        <v>0</v>
      </c>
    </row>
    <row r="385" spans="1:19" x14ac:dyDescent="0.25">
      <c r="A385" t="s">
        <v>255</v>
      </c>
      <c r="B385" t="s">
        <v>246</v>
      </c>
      <c r="C385" t="s">
        <v>139</v>
      </c>
      <c r="D385" t="s">
        <v>365</v>
      </c>
      <c r="E385" t="s">
        <v>226</v>
      </c>
      <c r="F385">
        <v>1</v>
      </c>
      <c r="G385" s="5">
        <v>44263</v>
      </c>
      <c r="H385" s="5">
        <v>44271</v>
      </c>
      <c r="I385" s="5">
        <v>44273</v>
      </c>
      <c r="K385" s="5" t="s">
        <v>23</v>
      </c>
      <c r="L385" t="s">
        <v>57</v>
      </c>
      <c r="N385">
        <v>1</v>
      </c>
      <c r="O385" t="s">
        <v>37</v>
      </c>
      <c r="P385" t="s">
        <v>37</v>
      </c>
      <c r="Q385" t="s">
        <v>53</v>
      </c>
      <c r="R385" t="s">
        <v>53</v>
      </c>
      <c r="S385">
        <f t="shared" si="5"/>
        <v>2</v>
      </c>
    </row>
    <row r="386" spans="1:19" x14ac:dyDescent="0.25">
      <c r="A386" t="s">
        <v>129</v>
      </c>
      <c r="B386" t="s">
        <v>246</v>
      </c>
      <c r="C386" t="s">
        <v>139</v>
      </c>
      <c r="D386" t="s">
        <v>365</v>
      </c>
      <c r="E386" t="s">
        <v>226</v>
      </c>
      <c r="F386">
        <v>1</v>
      </c>
      <c r="G386" s="5">
        <v>44263</v>
      </c>
      <c r="H386" s="5">
        <v>44272</v>
      </c>
      <c r="I386" s="5">
        <v>44277</v>
      </c>
      <c r="K386" s="5" t="s">
        <v>23</v>
      </c>
      <c r="L386" t="s">
        <v>57</v>
      </c>
      <c r="N386">
        <v>1</v>
      </c>
      <c r="O386" t="s">
        <v>37</v>
      </c>
      <c r="P386" t="s">
        <v>37</v>
      </c>
      <c r="Q386" t="s">
        <v>53</v>
      </c>
      <c r="R386" t="s">
        <v>27</v>
      </c>
      <c r="S386">
        <f t="shared" si="5"/>
        <v>5</v>
      </c>
    </row>
    <row r="387" spans="1:19" x14ac:dyDescent="0.25">
      <c r="A387" t="s">
        <v>86</v>
      </c>
      <c r="B387" t="s">
        <v>246</v>
      </c>
      <c r="C387" t="s">
        <v>139</v>
      </c>
      <c r="D387" t="s">
        <v>365</v>
      </c>
      <c r="E387" t="s">
        <v>226</v>
      </c>
      <c r="F387">
        <v>1</v>
      </c>
      <c r="G387" s="5">
        <v>44270</v>
      </c>
      <c r="H387" s="5">
        <v>44278</v>
      </c>
      <c r="I387" s="5">
        <v>44278</v>
      </c>
      <c r="K387" s="5" t="s">
        <v>23</v>
      </c>
      <c r="L387" t="s">
        <v>57</v>
      </c>
      <c r="N387">
        <v>1</v>
      </c>
      <c r="O387" t="s">
        <v>37</v>
      </c>
      <c r="P387" t="s">
        <v>37</v>
      </c>
      <c r="Q387" t="s">
        <v>53</v>
      </c>
      <c r="R387" t="s">
        <v>53</v>
      </c>
      <c r="S387">
        <f t="shared" ref="S387:S450" si="6">I387-H387</f>
        <v>0</v>
      </c>
    </row>
    <row r="388" spans="1:19" x14ac:dyDescent="0.25">
      <c r="A388" t="s">
        <v>71</v>
      </c>
      <c r="B388">
        <v>225891</v>
      </c>
      <c r="C388" t="s">
        <v>76</v>
      </c>
      <c r="D388" t="s">
        <v>366</v>
      </c>
      <c r="E388" t="s">
        <v>58</v>
      </c>
      <c r="G388" s="5">
        <v>44263</v>
      </c>
      <c r="H388" s="5">
        <v>44284</v>
      </c>
      <c r="I388" s="5">
        <v>44284</v>
      </c>
      <c r="J388" s="5" t="s">
        <v>342</v>
      </c>
      <c r="K388" s="5" t="s">
        <v>23</v>
      </c>
      <c r="O388" t="s">
        <v>26</v>
      </c>
      <c r="S388">
        <f t="shared" si="6"/>
        <v>0</v>
      </c>
    </row>
    <row r="389" spans="1:19" x14ac:dyDescent="0.25">
      <c r="A389" t="s">
        <v>29</v>
      </c>
      <c r="B389">
        <v>229225</v>
      </c>
      <c r="C389" t="s">
        <v>19</v>
      </c>
      <c r="D389" t="s">
        <v>367</v>
      </c>
      <c r="E389" t="s">
        <v>104</v>
      </c>
      <c r="F389">
        <v>3</v>
      </c>
      <c r="G389" s="5">
        <v>44278</v>
      </c>
      <c r="H389" s="5">
        <v>44279</v>
      </c>
      <c r="I389" s="5">
        <v>44279</v>
      </c>
      <c r="K389" s="5" t="s">
        <v>23</v>
      </c>
      <c r="L389" t="s">
        <v>57</v>
      </c>
      <c r="M389" t="s">
        <v>25</v>
      </c>
      <c r="O389" t="s">
        <v>37</v>
      </c>
      <c r="P389" t="s">
        <v>26</v>
      </c>
      <c r="Q389" t="s">
        <v>28</v>
      </c>
      <c r="R389" t="s">
        <v>28</v>
      </c>
      <c r="S389">
        <f t="shared" si="6"/>
        <v>0</v>
      </c>
    </row>
    <row r="390" spans="1:19" x14ac:dyDescent="0.25">
      <c r="A390" t="s">
        <v>75</v>
      </c>
      <c r="B390">
        <v>229365</v>
      </c>
      <c r="C390" t="s">
        <v>139</v>
      </c>
      <c r="D390" t="s">
        <v>368</v>
      </c>
      <c r="E390" t="s">
        <v>101</v>
      </c>
      <c r="F390">
        <v>1</v>
      </c>
      <c r="G390" s="5">
        <v>44278</v>
      </c>
      <c r="H390" s="5">
        <v>44281</v>
      </c>
      <c r="I390" s="5">
        <v>44280</v>
      </c>
      <c r="J390" s="5" t="s">
        <v>369</v>
      </c>
      <c r="K390" s="5" t="s">
        <v>23</v>
      </c>
      <c r="L390" t="s">
        <v>57</v>
      </c>
      <c r="M390" t="s">
        <v>25</v>
      </c>
      <c r="O390" t="s">
        <v>37</v>
      </c>
      <c r="P390" t="s">
        <v>37</v>
      </c>
      <c r="Q390" t="s">
        <v>53</v>
      </c>
      <c r="R390" t="s">
        <v>53</v>
      </c>
      <c r="S390">
        <f t="shared" si="6"/>
        <v>-1</v>
      </c>
    </row>
    <row r="391" spans="1:19" x14ac:dyDescent="0.25">
      <c r="A391" t="s">
        <v>75</v>
      </c>
      <c r="B391">
        <v>229365</v>
      </c>
      <c r="C391" t="s">
        <v>139</v>
      </c>
      <c r="D391" t="s">
        <v>368</v>
      </c>
      <c r="E391" t="s">
        <v>106</v>
      </c>
      <c r="F391">
        <v>1</v>
      </c>
      <c r="G391" s="5">
        <v>44278</v>
      </c>
      <c r="H391" s="5">
        <v>44281</v>
      </c>
      <c r="I391" s="5">
        <v>44280</v>
      </c>
      <c r="K391" s="5" t="s">
        <v>23</v>
      </c>
      <c r="L391" t="s">
        <v>57</v>
      </c>
      <c r="M391" t="s">
        <v>25</v>
      </c>
      <c r="O391" t="s">
        <v>37</v>
      </c>
      <c r="P391" t="s">
        <v>37</v>
      </c>
      <c r="Q391" t="s">
        <v>53</v>
      </c>
      <c r="R391" t="s">
        <v>53</v>
      </c>
      <c r="S391">
        <f t="shared" si="6"/>
        <v>-1</v>
      </c>
    </row>
    <row r="392" spans="1:19" x14ac:dyDescent="0.25">
      <c r="A392" t="s">
        <v>75</v>
      </c>
      <c r="B392">
        <v>229365</v>
      </c>
      <c r="C392" t="s">
        <v>139</v>
      </c>
      <c r="D392" t="s">
        <v>368</v>
      </c>
      <c r="E392" t="s">
        <v>45</v>
      </c>
      <c r="F392">
        <v>1</v>
      </c>
      <c r="G392" s="5">
        <v>44278</v>
      </c>
      <c r="H392" s="5">
        <v>44281</v>
      </c>
      <c r="I392" s="5">
        <v>44280</v>
      </c>
      <c r="K392" s="5" t="s">
        <v>23</v>
      </c>
      <c r="L392" t="s">
        <v>57</v>
      </c>
      <c r="M392" t="s">
        <v>25</v>
      </c>
      <c r="O392" t="s">
        <v>37</v>
      </c>
      <c r="P392" t="s">
        <v>37</v>
      </c>
      <c r="Q392" t="s">
        <v>53</v>
      </c>
      <c r="R392" t="s">
        <v>53</v>
      </c>
      <c r="S392">
        <f t="shared" si="6"/>
        <v>-1</v>
      </c>
    </row>
    <row r="393" spans="1:19" x14ac:dyDescent="0.25">
      <c r="A393" t="s">
        <v>181</v>
      </c>
      <c r="B393">
        <v>230054</v>
      </c>
      <c r="C393" t="s">
        <v>139</v>
      </c>
      <c r="D393" t="s">
        <v>370</v>
      </c>
      <c r="E393" t="s">
        <v>150</v>
      </c>
      <c r="F393">
        <v>1</v>
      </c>
      <c r="G393" s="5">
        <v>44280</v>
      </c>
      <c r="H393" s="5">
        <v>44281</v>
      </c>
      <c r="I393" s="5">
        <v>44281</v>
      </c>
      <c r="K393" s="5" t="s">
        <v>23</v>
      </c>
      <c r="L393" t="s">
        <v>24</v>
      </c>
      <c r="M393" t="s">
        <v>25</v>
      </c>
      <c r="O393" t="s">
        <v>26</v>
      </c>
      <c r="P393" t="s">
        <v>26</v>
      </c>
      <c r="Q393" t="s">
        <v>53</v>
      </c>
      <c r="R393" t="s">
        <v>53</v>
      </c>
      <c r="S393">
        <f t="shared" si="6"/>
        <v>0</v>
      </c>
    </row>
    <row r="394" spans="1:19" x14ac:dyDescent="0.25">
      <c r="A394" t="s">
        <v>75</v>
      </c>
      <c r="B394">
        <v>229366</v>
      </c>
      <c r="C394" t="s">
        <v>139</v>
      </c>
      <c r="D394" t="s">
        <v>371</v>
      </c>
      <c r="E394" t="s">
        <v>21</v>
      </c>
      <c r="F394">
        <v>1</v>
      </c>
      <c r="G394" s="5">
        <v>44278</v>
      </c>
      <c r="I394" s="5">
        <v>44281</v>
      </c>
      <c r="K394" s="5" t="s">
        <v>23</v>
      </c>
      <c r="L394" t="s">
        <v>57</v>
      </c>
      <c r="N394">
        <v>2</v>
      </c>
      <c r="O394" t="s">
        <v>37</v>
      </c>
      <c r="P394" t="s">
        <v>37</v>
      </c>
      <c r="Q394" t="s">
        <v>27</v>
      </c>
      <c r="R394" t="s">
        <v>53</v>
      </c>
      <c r="S394">
        <f t="shared" si="6"/>
        <v>44281</v>
      </c>
    </row>
    <row r="395" spans="1:19" x14ac:dyDescent="0.25">
      <c r="A395" t="s">
        <v>299</v>
      </c>
      <c r="B395">
        <v>230598</v>
      </c>
      <c r="C395" t="s">
        <v>76</v>
      </c>
      <c r="D395" t="s">
        <v>372</v>
      </c>
      <c r="E395" t="s">
        <v>78</v>
      </c>
      <c r="F395">
        <v>3</v>
      </c>
      <c r="G395" s="5">
        <v>44284</v>
      </c>
      <c r="H395" s="5">
        <v>44284</v>
      </c>
      <c r="I395" s="5">
        <v>44284</v>
      </c>
      <c r="J395" s="5" t="s">
        <v>373</v>
      </c>
      <c r="K395" s="5" t="s">
        <v>23</v>
      </c>
      <c r="L395" t="s">
        <v>36</v>
      </c>
      <c r="M395" t="s">
        <v>33</v>
      </c>
      <c r="O395" t="s">
        <v>37</v>
      </c>
      <c r="S395">
        <f t="shared" si="6"/>
        <v>0</v>
      </c>
    </row>
    <row r="396" spans="1:19" x14ac:dyDescent="0.25">
      <c r="A396" t="s">
        <v>38</v>
      </c>
      <c r="B396" t="s">
        <v>246</v>
      </c>
      <c r="C396" t="s">
        <v>139</v>
      </c>
      <c r="D396" t="s">
        <v>322</v>
      </c>
      <c r="E396" t="s">
        <v>21</v>
      </c>
      <c r="F396">
        <v>1</v>
      </c>
      <c r="G396" s="5">
        <v>44286</v>
      </c>
      <c r="H396" s="5">
        <v>44286</v>
      </c>
      <c r="I396" s="5">
        <v>44286</v>
      </c>
      <c r="K396" s="5" t="s">
        <v>23</v>
      </c>
      <c r="M396" t="s">
        <v>25</v>
      </c>
      <c r="O396" t="s">
        <v>37</v>
      </c>
      <c r="P396" t="s">
        <v>37</v>
      </c>
      <c r="Q396" t="s">
        <v>53</v>
      </c>
      <c r="S396">
        <f t="shared" si="6"/>
        <v>0</v>
      </c>
    </row>
    <row r="397" spans="1:19" x14ac:dyDescent="0.25">
      <c r="A397" t="s">
        <v>51</v>
      </c>
      <c r="B397">
        <v>231144</v>
      </c>
      <c r="C397" t="s">
        <v>76</v>
      </c>
      <c r="D397" t="s">
        <v>374</v>
      </c>
      <c r="E397" t="s">
        <v>82</v>
      </c>
      <c r="J397" s="5" t="s">
        <v>375</v>
      </c>
      <c r="K397" s="5" t="s">
        <v>23</v>
      </c>
      <c r="L397" t="s">
        <v>36</v>
      </c>
      <c r="S397">
        <f t="shared" si="6"/>
        <v>0</v>
      </c>
    </row>
    <row r="398" spans="1:19" x14ac:dyDescent="0.25">
      <c r="A398" t="s">
        <v>360</v>
      </c>
      <c r="B398" t="s">
        <v>246</v>
      </c>
      <c r="C398" t="s">
        <v>139</v>
      </c>
      <c r="D398" t="s">
        <v>365</v>
      </c>
      <c r="E398" t="s">
        <v>226</v>
      </c>
      <c r="F398">
        <v>1</v>
      </c>
      <c r="G398" s="5">
        <v>44272</v>
      </c>
      <c r="H398" s="5">
        <v>44280</v>
      </c>
      <c r="I398" s="5">
        <v>44281</v>
      </c>
      <c r="K398" s="5" t="s">
        <v>23</v>
      </c>
      <c r="M398" t="s">
        <v>25</v>
      </c>
      <c r="O398" t="s">
        <v>37</v>
      </c>
      <c r="P398" t="s">
        <v>37</v>
      </c>
      <c r="Q398" t="s">
        <v>53</v>
      </c>
      <c r="R398" t="s">
        <v>53</v>
      </c>
      <c r="S398">
        <f t="shared" si="6"/>
        <v>1</v>
      </c>
    </row>
    <row r="399" spans="1:19" x14ac:dyDescent="0.25">
      <c r="A399" t="s">
        <v>131</v>
      </c>
      <c r="B399" t="s">
        <v>246</v>
      </c>
      <c r="C399" t="s">
        <v>139</v>
      </c>
      <c r="D399" t="s">
        <v>365</v>
      </c>
      <c r="E399" t="s">
        <v>226</v>
      </c>
      <c r="F399">
        <v>1</v>
      </c>
      <c r="G399" s="5">
        <v>44277</v>
      </c>
      <c r="H399" s="5">
        <v>44285</v>
      </c>
      <c r="I399" s="5">
        <v>44284</v>
      </c>
      <c r="K399" s="5" t="s">
        <v>23</v>
      </c>
      <c r="M399" t="s">
        <v>25</v>
      </c>
      <c r="O399" t="s">
        <v>37</v>
      </c>
      <c r="P399" t="s">
        <v>37</v>
      </c>
      <c r="Q399" t="s">
        <v>53</v>
      </c>
      <c r="R399" t="s">
        <v>53</v>
      </c>
      <c r="S399">
        <f t="shared" si="6"/>
        <v>-1</v>
      </c>
    </row>
    <row r="400" spans="1:19" x14ac:dyDescent="0.25">
      <c r="A400" t="s">
        <v>38</v>
      </c>
      <c r="B400">
        <v>187291</v>
      </c>
      <c r="C400" t="s">
        <v>19</v>
      </c>
      <c r="D400" t="s">
        <v>376</v>
      </c>
      <c r="E400" t="s">
        <v>32</v>
      </c>
      <c r="G400" s="5">
        <v>44168</v>
      </c>
      <c r="H400" s="5">
        <v>44225</v>
      </c>
      <c r="J400" s="5" t="s">
        <v>377</v>
      </c>
      <c r="K400" s="5" t="s">
        <v>378</v>
      </c>
      <c r="L400" t="s">
        <v>24</v>
      </c>
      <c r="M400" t="s">
        <v>33</v>
      </c>
      <c r="O400" t="s">
        <v>26</v>
      </c>
      <c r="S400">
        <f t="shared" si="6"/>
        <v>-44225</v>
      </c>
    </row>
    <row r="401" spans="1:19" x14ac:dyDescent="0.25">
      <c r="A401" t="s">
        <v>38</v>
      </c>
      <c r="B401" t="s">
        <v>60</v>
      </c>
      <c r="C401" t="s">
        <v>19</v>
      </c>
      <c r="D401" t="s">
        <v>379</v>
      </c>
      <c r="E401" t="s">
        <v>82</v>
      </c>
      <c r="G401" s="5">
        <v>44145</v>
      </c>
      <c r="J401" s="5" t="s">
        <v>380</v>
      </c>
      <c r="K401" s="5" t="s">
        <v>378</v>
      </c>
      <c r="L401" t="s">
        <v>24</v>
      </c>
      <c r="M401" t="s">
        <v>82</v>
      </c>
      <c r="S401">
        <f t="shared" si="6"/>
        <v>0</v>
      </c>
    </row>
    <row r="402" spans="1:19" x14ac:dyDescent="0.25">
      <c r="A402" t="s">
        <v>38</v>
      </c>
      <c r="B402">
        <v>214176</v>
      </c>
      <c r="C402" t="s">
        <v>76</v>
      </c>
      <c r="D402" t="s">
        <v>381</v>
      </c>
      <c r="E402" t="s">
        <v>82</v>
      </c>
      <c r="G402" s="5">
        <v>44209</v>
      </c>
      <c r="J402" s="5" t="s">
        <v>382</v>
      </c>
      <c r="K402" s="5" t="s">
        <v>383</v>
      </c>
      <c r="L402" t="s">
        <v>36</v>
      </c>
      <c r="M402" t="s">
        <v>82</v>
      </c>
      <c r="O402" t="s">
        <v>37</v>
      </c>
      <c r="Q402" t="s">
        <v>53</v>
      </c>
      <c r="R402" t="s">
        <v>184</v>
      </c>
      <c r="S402">
        <f t="shared" si="6"/>
        <v>0</v>
      </c>
    </row>
    <row r="403" spans="1:19" x14ac:dyDescent="0.25">
      <c r="A403" t="s">
        <v>162</v>
      </c>
      <c r="B403">
        <v>214878</v>
      </c>
      <c r="C403" t="s">
        <v>19</v>
      </c>
      <c r="D403" t="s">
        <v>163</v>
      </c>
      <c r="E403" t="s">
        <v>42</v>
      </c>
      <c r="F403">
        <v>1</v>
      </c>
      <c r="G403" s="5">
        <v>44211</v>
      </c>
      <c r="J403" s="5" t="s">
        <v>384</v>
      </c>
      <c r="K403" s="5" t="s">
        <v>385</v>
      </c>
      <c r="L403" t="s">
        <v>24</v>
      </c>
      <c r="M403" t="s">
        <v>33</v>
      </c>
      <c r="O403" t="s">
        <v>26</v>
      </c>
      <c r="S403">
        <f t="shared" si="6"/>
        <v>0</v>
      </c>
    </row>
    <row r="404" spans="1:19" x14ac:dyDescent="0.25">
      <c r="A404" t="s">
        <v>38</v>
      </c>
      <c r="B404">
        <v>214031</v>
      </c>
      <c r="C404" t="s">
        <v>19</v>
      </c>
      <c r="D404" t="s">
        <v>166</v>
      </c>
      <c r="E404" t="s">
        <v>21</v>
      </c>
      <c r="F404">
        <v>1</v>
      </c>
      <c r="G404" s="5">
        <v>44208</v>
      </c>
      <c r="H404" s="5">
        <v>44324</v>
      </c>
      <c r="J404" s="5" t="s">
        <v>386</v>
      </c>
      <c r="K404" s="5" t="s">
        <v>387</v>
      </c>
      <c r="L404" t="s">
        <v>24</v>
      </c>
      <c r="M404" t="s">
        <v>25</v>
      </c>
      <c r="O404" t="s">
        <v>26</v>
      </c>
      <c r="S404">
        <f t="shared" si="6"/>
        <v>-44324</v>
      </c>
    </row>
    <row r="405" spans="1:19" x14ac:dyDescent="0.25">
      <c r="A405" t="s">
        <v>38</v>
      </c>
      <c r="B405">
        <v>214031</v>
      </c>
      <c r="C405" t="s">
        <v>19</v>
      </c>
      <c r="D405" t="s">
        <v>166</v>
      </c>
      <c r="E405" t="s">
        <v>21</v>
      </c>
      <c r="F405">
        <v>1</v>
      </c>
      <c r="G405" s="5">
        <v>44258</v>
      </c>
      <c r="H405" s="5">
        <v>44285</v>
      </c>
      <c r="J405" s="5" t="s">
        <v>388</v>
      </c>
      <c r="K405" s="5" t="s">
        <v>383</v>
      </c>
      <c r="L405" t="s">
        <v>24</v>
      </c>
      <c r="M405" t="s">
        <v>25</v>
      </c>
      <c r="O405" t="s">
        <v>26</v>
      </c>
      <c r="P405" t="s">
        <v>26</v>
      </c>
      <c r="Q405" t="s">
        <v>27</v>
      </c>
      <c r="S405">
        <f t="shared" si="6"/>
        <v>-44285</v>
      </c>
    </row>
    <row r="406" spans="1:19" x14ac:dyDescent="0.25">
      <c r="A406" t="s">
        <v>38</v>
      </c>
      <c r="B406">
        <v>214031</v>
      </c>
      <c r="C406" t="s">
        <v>19</v>
      </c>
      <c r="D406" t="s">
        <v>166</v>
      </c>
      <c r="E406" t="s">
        <v>45</v>
      </c>
      <c r="F406">
        <v>1</v>
      </c>
      <c r="G406" s="5">
        <v>44258</v>
      </c>
      <c r="H406" s="5">
        <v>44285</v>
      </c>
      <c r="J406" s="5" t="s">
        <v>388</v>
      </c>
      <c r="K406" s="5" t="s">
        <v>383</v>
      </c>
      <c r="L406" t="s">
        <v>44</v>
      </c>
      <c r="M406" t="s">
        <v>25</v>
      </c>
      <c r="O406" t="s">
        <v>26</v>
      </c>
      <c r="P406" t="s">
        <v>26</v>
      </c>
      <c r="Q406" t="s">
        <v>27</v>
      </c>
      <c r="S406">
        <f t="shared" si="6"/>
        <v>-44285</v>
      </c>
    </row>
    <row r="407" spans="1:19" x14ac:dyDescent="0.25">
      <c r="A407" t="s">
        <v>38</v>
      </c>
      <c r="B407">
        <v>214031</v>
      </c>
      <c r="C407" t="s">
        <v>19</v>
      </c>
      <c r="D407" t="s">
        <v>166</v>
      </c>
      <c r="E407" t="s">
        <v>176</v>
      </c>
      <c r="F407">
        <v>1</v>
      </c>
      <c r="G407" s="5">
        <v>44258</v>
      </c>
      <c r="H407" s="5">
        <v>44285</v>
      </c>
      <c r="J407" s="5" t="s">
        <v>388</v>
      </c>
      <c r="K407" s="5" t="s">
        <v>383</v>
      </c>
      <c r="L407" t="s">
        <v>24</v>
      </c>
      <c r="M407" t="s">
        <v>25</v>
      </c>
      <c r="O407" t="s">
        <v>26</v>
      </c>
      <c r="P407" t="s">
        <v>26</v>
      </c>
      <c r="Q407" t="s">
        <v>27</v>
      </c>
      <c r="S407">
        <f t="shared" si="6"/>
        <v>-44285</v>
      </c>
    </row>
    <row r="408" spans="1:19" x14ac:dyDescent="0.25">
      <c r="A408" t="s">
        <v>38</v>
      </c>
      <c r="B408">
        <v>215280</v>
      </c>
      <c r="C408" t="s">
        <v>19</v>
      </c>
      <c r="D408" t="s">
        <v>175</v>
      </c>
      <c r="E408" t="s">
        <v>82</v>
      </c>
      <c r="F408">
        <v>28</v>
      </c>
      <c r="G408" s="5">
        <v>44215</v>
      </c>
      <c r="H408" s="5">
        <v>44265</v>
      </c>
      <c r="J408" s="5" t="s">
        <v>389</v>
      </c>
      <c r="K408" s="5" t="s">
        <v>383</v>
      </c>
      <c r="L408" t="s">
        <v>24</v>
      </c>
      <c r="M408" t="s">
        <v>82</v>
      </c>
      <c r="O408" t="s">
        <v>26</v>
      </c>
      <c r="P408" t="s">
        <v>26</v>
      </c>
      <c r="S408">
        <f t="shared" si="6"/>
        <v>-44265</v>
      </c>
    </row>
    <row r="409" spans="1:19" x14ac:dyDescent="0.25">
      <c r="A409" t="s">
        <v>38</v>
      </c>
      <c r="B409">
        <v>215280</v>
      </c>
      <c r="C409" t="s">
        <v>19</v>
      </c>
      <c r="D409" t="s">
        <v>175</v>
      </c>
      <c r="E409" t="s">
        <v>114</v>
      </c>
      <c r="F409">
        <v>22</v>
      </c>
      <c r="G409" s="5">
        <v>44215</v>
      </c>
      <c r="H409" s="5">
        <v>44265</v>
      </c>
      <c r="J409" s="5" t="s">
        <v>390</v>
      </c>
      <c r="K409" s="5" t="s">
        <v>383</v>
      </c>
      <c r="L409" t="s">
        <v>24</v>
      </c>
      <c r="M409" t="s">
        <v>82</v>
      </c>
      <c r="O409" t="s">
        <v>26</v>
      </c>
      <c r="P409" t="s">
        <v>26</v>
      </c>
      <c r="S409">
        <f t="shared" si="6"/>
        <v>-44265</v>
      </c>
    </row>
    <row r="410" spans="1:19" x14ac:dyDescent="0.25">
      <c r="A410" t="s">
        <v>38</v>
      </c>
      <c r="B410">
        <v>215280</v>
      </c>
      <c r="C410" t="s">
        <v>19</v>
      </c>
      <c r="D410" t="s">
        <v>175</v>
      </c>
      <c r="E410" t="s">
        <v>21</v>
      </c>
      <c r="F410">
        <v>2</v>
      </c>
      <c r="G410" s="5">
        <v>44215</v>
      </c>
      <c r="H410" s="5">
        <v>44230</v>
      </c>
      <c r="K410" s="5" t="s">
        <v>383</v>
      </c>
      <c r="L410" t="s">
        <v>57</v>
      </c>
      <c r="M410" t="s">
        <v>25</v>
      </c>
      <c r="O410" t="s">
        <v>26</v>
      </c>
      <c r="P410" t="s">
        <v>26</v>
      </c>
      <c r="Q410" t="s">
        <v>27</v>
      </c>
      <c r="R410" t="s">
        <v>28</v>
      </c>
      <c r="S410">
        <f t="shared" si="6"/>
        <v>-44230</v>
      </c>
    </row>
    <row r="411" spans="1:19" x14ac:dyDescent="0.25">
      <c r="A411" t="s">
        <v>38</v>
      </c>
      <c r="B411">
        <v>215280</v>
      </c>
      <c r="C411" t="s">
        <v>19</v>
      </c>
      <c r="D411" t="s">
        <v>175</v>
      </c>
      <c r="E411" t="s">
        <v>45</v>
      </c>
      <c r="F411">
        <v>2</v>
      </c>
      <c r="G411" s="5">
        <v>44215</v>
      </c>
      <c r="H411" s="5">
        <v>44230</v>
      </c>
      <c r="K411" s="5" t="s">
        <v>383</v>
      </c>
      <c r="L411" t="s">
        <v>57</v>
      </c>
      <c r="M411" t="s">
        <v>25</v>
      </c>
      <c r="O411" t="s">
        <v>26</v>
      </c>
      <c r="P411" t="s">
        <v>26</v>
      </c>
      <c r="Q411" t="s">
        <v>27</v>
      </c>
      <c r="R411" t="s">
        <v>28</v>
      </c>
      <c r="S411">
        <f t="shared" si="6"/>
        <v>-44230</v>
      </c>
    </row>
    <row r="412" spans="1:19" x14ac:dyDescent="0.25">
      <c r="A412" t="s">
        <v>38</v>
      </c>
      <c r="B412">
        <v>215280</v>
      </c>
      <c r="C412" t="s">
        <v>19</v>
      </c>
      <c r="D412" t="s">
        <v>175</v>
      </c>
      <c r="E412" t="s">
        <v>176</v>
      </c>
      <c r="F412">
        <v>2</v>
      </c>
      <c r="G412" s="5">
        <v>44215</v>
      </c>
      <c r="H412" s="5">
        <v>44230</v>
      </c>
      <c r="K412" s="5" t="s">
        <v>383</v>
      </c>
      <c r="L412" t="s">
        <v>57</v>
      </c>
      <c r="M412" t="s">
        <v>25</v>
      </c>
      <c r="O412" t="s">
        <v>26</v>
      </c>
      <c r="P412" t="s">
        <v>26</v>
      </c>
      <c r="Q412" t="s">
        <v>27</v>
      </c>
      <c r="R412" t="s">
        <v>28</v>
      </c>
      <c r="S412">
        <f t="shared" si="6"/>
        <v>-44230</v>
      </c>
    </row>
    <row r="413" spans="1:19" x14ac:dyDescent="0.25">
      <c r="A413" t="s">
        <v>38</v>
      </c>
      <c r="B413">
        <v>198680</v>
      </c>
      <c r="C413" t="s">
        <v>19</v>
      </c>
      <c r="D413" t="s">
        <v>391</v>
      </c>
      <c r="E413" t="s">
        <v>226</v>
      </c>
      <c r="G413" s="5">
        <v>44132</v>
      </c>
      <c r="H413" s="5">
        <v>44298</v>
      </c>
      <c r="J413" s="5" t="s">
        <v>392</v>
      </c>
      <c r="K413" s="5" t="s">
        <v>387</v>
      </c>
      <c r="L413" t="s">
        <v>24</v>
      </c>
      <c r="M413" t="s">
        <v>33</v>
      </c>
      <c r="O413" t="s">
        <v>26</v>
      </c>
      <c r="S413">
        <f t="shared" si="6"/>
        <v>-44298</v>
      </c>
    </row>
    <row r="414" spans="1:19" x14ac:dyDescent="0.25">
      <c r="A414" t="s">
        <v>38</v>
      </c>
      <c r="B414" t="s">
        <v>60</v>
      </c>
      <c r="C414" t="s">
        <v>19</v>
      </c>
      <c r="D414" t="s">
        <v>199</v>
      </c>
      <c r="E414" t="s">
        <v>115</v>
      </c>
      <c r="F414">
        <v>2</v>
      </c>
      <c r="G414" s="5">
        <v>44225</v>
      </c>
      <c r="H414" s="5">
        <v>44260</v>
      </c>
      <c r="K414" s="5" t="s">
        <v>383</v>
      </c>
      <c r="L414" t="s">
        <v>24</v>
      </c>
      <c r="M414" t="s">
        <v>25</v>
      </c>
      <c r="O414" t="s">
        <v>26</v>
      </c>
      <c r="P414" t="s">
        <v>26</v>
      </c>
      <c r="S414">
        <f t="shared" si="6"/>
        <v>-44260</v>
      </c>
    </row>
    <row r="415" spans="1:19" x14ac:dyDescent="0.25">
      <c r="A415" t="s">
        <v>34</v>
      </c>
      <c r="B415">
        <v>217447</v>
      </c>
      <c r="C415" t="s">
        <v>19</v>
      </c>
      <c r="D415" t="s">
        <v>393</v>
      </c>
      <c r="E415" t="s">
        <v>45</v>
      </c>
      <c r="F415">
        <v>1</v>
      </c>
      <c r="G415" s="5">
        <v>44225</v>
      </c>
      <c r="H415" s="5">
        <v>44237</v>
      </c>
      <c r="I415" s="5">
        <v>44237</v>
      </c>
      <c r="J415" s="5" t="s">
        <v>394</v>
      </c>
      <c r="K415" s="5" t="s">
        <v>385</v>
      </c>
      <c r="L415" t="s">
        <v>24</v>
      </c>
      <c r="M415" t="s">
        <v>25</v>
      </c>
      <c r="O415" t="s">
        <v>26</v>
      </c>
      <c r="S415">
        <f t="shared" si="6"/>
        <v>0</v>
      </c>
    </row>
    <row r="416" spans="1:19" x14ac:dyDescent="0.25">
      <c r="A416" t="s">
        <v>34</v>
      </c>
      <c r="B416">
        <v>217447</v>
      </c>
      <c r="C416" t="s">
        <v>19</v>
      </c>
      <c r="D416" t="s">
        <v>393</v>
      </c>
      <c r="E416" t="s">
        <v>21</v>
      </c>
      <c r="F416">
        <v>1</v>
      </c>
      <c r="G416" s="5">
        <v>44225</v>
      </c>
      <c r="H416" s="5">
        <v>44237</v>
      </c>
      <c r="I416" s="5">
        <v>44237</v>
      </c>
      <c r="J416" s="5" t="s">
        <v>394</v>
      </c>
      <c r="K416" s="5" t="s">
        <v>385</v>
      </c>
      <c r="L416" t="s">
        <v>24</v>
      </c>
      <c r="M416" t="s">
        <v>25</v>
      </c>
      <c r="O416" t="s">
        <v>26</v>
      </c>
      <c r="S416">
        <f t="shared" si="6"/>
        <v>0</v>
      </c>
    </row>
    <row r="417" spans="1:19" x14ac:dyDescent="0.25">
      <c r="A417" t="s">
        <v>38</v>
      </c>
      <c r="B417">
        <v>202587</v>
      </c>
      <c r="C417" t="s">
        <v>139</v>
      </c>
      <c r="D417" t="s">
        <v>395</v>
      </c>
      <c r="E417" t="s">
        <v>287</v>
      </c>
      <c r="G417" s="5">
        <v>44518</v>
      </c>
      <c r="H417" s="5">
        <v>44211</v>
      </c>
      <c r="J417" s="5" t="s">
        <v>396</v>
      </c>
      <c r="K417" s="5" t="s">
        <v>383</v>
      </c>
      <c r="L417" t="s">
        <v>57</v>
      </c>
      <c r="M417" t="s">
        <v>25</v>
      </c>
      <c r="O417" t="s">
        <v>37</v>
      </c>
      <c r="S417">
        <f t="shared" si="6"/>
        <v>-44211</v>
      </c>
    </row>
    <row r="418" spans="1:19" x14ac:dyDescent="0.25">
      <c r="A418" t="s">
        <v>158</v>
      </c>
      <c r="B418">
        <v>210194</v>
      </c>
      <c r="C418" t="s">
        <v>76</v>
      </c>
      <c r="D418" t="s">
        <v>397</v>
      </c>
      <c r="E418" t="s">
        <v>68</v>
      </c>
      <c r="G418" s="5">
        <v>44187</v>
      </c>
      <c r="H418" s="5">
        <v>44229</v>
      </c>
      <c r="K418" s="5" t="s">
        <v>383</v>
      </c>
      <c r="S418">
        <f t="shared" si="6"/>
        <v>-44229</v>
      </c>
    </row>
    <row r="419" spans="1:19" x14ac:dyDescent="0.25">
      <c r="A419" t="s">
        <v>38</v>
      </c>
      <c r="B419">
        <v>199736</v>
      </c>
      <c r="C419" t="s">
        <v>19</v>
      </c>
      <c r="D419" t="s">
        <v>398</v>
      </c>
      <c r="E419" t="s">
        <v>156</v>
      </c>
      <c r="G419" s="5">
        <v>44139</v>
      </c>
      <c r="H419" s="5">
        <v>44253</v>
      </c>
      <c r="I419" s="5">
        <v>44253</v>
      </c>
      <c r="J419" s="5" t="s">
        <v>399</v>
      </c>
      <c r="K419" s="5" t="s">
        <v>385</v>
      </c>
      <c r="S419">
        <f t="shared" si="6"/>
        <v>0</v>
      </c>
    </row>
    <row r="420" spans="1:19" x14ac:dyDescent="0.25">
      <c r="A420" t="s">
        <v>129</v>
      </c>
      <c r="B420">
        <v>219469</v>
      </c>
      <c r="C420" t="s">
        <v>76</v>
      </c>
      <c r="D420" t="s">
        <v>400</v>
      </c>
      <c r="G420" s="5">
        <v>44235</v>
      </c>
      <c r="H420" s="5">
        <v>44251</v>
      </c>
      <c r="K420" s="5" t="s">
        <v>387</v>
      </c>
      <c r="L420" t="s">
        <v>36</v>
      </c>
      <c r="S420">
        <f t="shared" si="6"/>
        <v>-44251</v>
      </c>
    </row>
    <row r="421" spans="1:19" x14ac:dyDescent="0.25">
      <c r="A421" t="s">
        <v>95</v>
      </c>
      <c r="B421">
        <v>209414</v>
      </c>
      <c r="C421" t="s">
        <v>76</v>
      </c>
      <c r="D421" t="s">
        <v>401</v>
      </c>
      <c r="E421" t="s">
        <v>73</v>
      </c>
      <c r="G421" s="5">
        <v>44201</v>
      </c>
      <c r="H421" s="5">
        <v>44293</v>
      </c>
      <c r="J421" s="5" t="s">
        <v>402</v>
      </c>
      <c r="K421" s="5" t="s">
        <v>387</v>
      </c>
      <c r="L421" t="s">
        <v>57</v>
      </c>
      <c r="M421" t="s">
        <v>25</v>
      </c>
      <c r="O421" t="s">
        <v>37</v>
      </c>
      <c r="S421">
        <f t="shared" si="6"/>
        <v>-44293</v>
      </c>
    </row>
    <row r="422" spans="1:19" x14ac:dyDescent="0.25">
      <c r="A422" t="s">
        <v>95</v>
      </c>
      <c r="B422">
        <v>209414</v>
      </c>
      <c r="C422" t="s">
        <v>19</v>
      </c>
      <c r="D422" t="s">
        <v>401</v>
      </c>
      <c r="E422" t="s">
        <v>106</v>
      </c>
      <c r="F422">
        <v>16</v>
      </c>
      <c r="G422" s="5">
        <v>44201</v>
      </c>
      <c r="H422" s="5">
        <v>44302</v>
      </c>
      <c r="K422" s="5" t="s">
        <v>387</v>
      </c>
      <c r="L422" t="s">
        <v>57</v>
      </c>
      <c r="M422" t="s">
        <v>25</v>
      </c>
      <c r="O422" t="s">
        <v>37</v>
      </c>
      <c r="S422">
        <f t="shared" si="6"/>
        <v>-44302</v>
      </c>
    </row>
    <row r="423" spans="1:19" x14ac:dyDescent="0.25">
      <c r="A423" t="s">
        <v>95</v>
      </c>
      <c r="B423">
        <v>209414</v>
      </c>
      <c r="C423" t="s">
        <v>139</v>
      </c>
      <c r="D423" t="s">
        <v>401</v>
      </c>
      <c r="E423" t="s">
        <v>106</v>
      </c>
      <c r="F423">
        <v>2</v>
      </c>
      <c r="G423" s="5">
        <v>44201</v>
      </c>
      <c r="H423" s="5">
        <v>44302</v>
      </c>
      <c r="J423" s="5" t="s">
        <v>403</v>
      </c>
      <c r="K423" s="5" t="s">
        <v>385</v>
      </c>
      <c r="L423" t="s">
        <v>57</v>
      </c>
      <c r="M423" t="s">
        <v>25</v>
      </c>
      <c r="O423" t="s">
        <v>37</v>
      </c>
      <c r="S423">
        <f t="shared" si="6"/>
        <v>-44302</v>
      </c>
    </row>
    <row r="424" spans="1:19" x14ac:dyDescent="0.25">
      <c r="A424" t="s">
        <v>38</v>
      </c>
      <c r="B424">
        <v>221340</v>
      </c>
      <c r="C424" t="s">
        <v>19</v>
      </c>
      <c r="D424" t="s">
        <v>404</v>
      </c>
      <c r="E424" t="s">
        <v>85</v>
      </c>
      <c r="F424">
        <v>1</v>
      </c>
      <c r="G424" s="5">
        <v>44239</v>
      </c>
      <c r="K424" s="5" t="s">
        <v>387</v>
      </c>
      <c r="L424" t="s">
        <v>24</v>
      </c>
      <c r="S424">
        <f t="shared" si="6"/>
        <v>0</v>
      </c>
    </row>
    <row r="425" spans="1:19" x14ac:dyDescent="0.25">
      <c r="A425" t="s">
        <v>38</v>
      </c>
      <c r="B425">
        <v>221340</v>
      </c>
      <c r="C425" t="s">
        <v>61</v>
      </c>
      <c r="D425" t="s">
        <v>404</v>
      </c>
      <c r="E425" t="s">
        <v>301</v>
      </c>
      <c r="G425" s="5">
        <v>44239</v>
      </c>
      <c r="J425" s="5" t="s">
        <v>405</v>
      </c>
      <c r="K425" s="5" t="s">
        <v>387</v>
      </c>
      <c r="L425" t="s">
        <v>24</v>
      </c>
      <c r="S425">
        <f t="shared" si="6"/>
        <v>0</v>
      </c>
    </row>
    <row r="426" spans="1:19" x14ac:dyDescent="0.25">
      <c r="A426" t="s">
        <v>38</v>
      </c>
      <c r="B426">
        <v>221340</v>
      </c>
      <c r="C426" t="s">
        <v>137</v>
      </c>
      <c r="D426" t="s">
        <v>404</v>
      </c>
      <c r="E426" t="s">
        <v>82</v>
      </c>
      <c r="G426" s="5">
        <v>44239</v>
      </c>
      <c r="J426" s="5" t="s">
        <v>406</v>
      </c>
      <c r="K426" s="5" t="s">
        <v>387</v>
      </c>
      <c r="L426" t="s">
        <v>24</v>
      </c>
      <c r="S426">
        <f t="shared" si="6"/>
        <v>0</v>
      </c>
    </row>
    <row r="427" spans="1:19" x14ac:dyDescent="0.25">
      <c r="A427" t="s">
        <v>51</v>
      </c>
      <c r="B427">
        <v>221950</v>
      </c>
      <c r="C427" t="s">
        <v>76</v>
      </c>
      <c r="D427" t="s">
        <v>407</v>
      </c>
      <c r="G427" s="5">
        <v>44245</v>
      </c>
      <c r="J427" s="5" t="s">
        <v>408</v>
      </c>
      <c r="K427" s="5" t="s">
        <v>387</v>
      </c>
      <c r="S427">
        <f t="shared" si="6"/>
        <v>0</v>
      </c>
    </row>
    <row r="428" spans="1:19" x14ac:dyDescent="0.25">
      <c r="A428" t="s">
        <v>299</v>
      </c>
      <c r="B428">
        <v>224036</v>
      </c>
      <c r="C428" t="s">
        <v>76</v>
      </c>
      <c r="D428" t="s">
        <v>300</v>
      </c>
      <c r="E428" t="s">
        <v>82</v>
      </c>
      <c r="G428" s="5">
        <v>44253</v>
      </c>
      <c r="H428" s="5">
        <v>44295</v>
      </c>
      <c r="J428" s="5" t="s">
        <v>409</v>
      </c>
      <c r="K428" s="5" t="s">
        <v>387</v>
      </c>
      <c r="L428" t="s">
        <v>24</v>
      </c>
      <c r="M428" t="s">
        <v>82</v>
      </c>
      <c r="O428" t="s">
        <v>26</v>
      </c>
      <c r="S428">
        <f t="shared" si="6"/>
        <v>-44295</v>
      </c>
    </row>
    <row r="429" spans="1:19" x14ac:dyDescent="0.25">
      <c r="A429" t="s">
        <v>299</v>
      </c>
      <c r="B429">
        <v>224036</v>
      </c>
      <c r="C429" t="s">
        <v>410</v>
      </c>
      <c r="D429" t="s">
        <v>300</v>
      </c>
      <c r="E429" t="s">
        <v>85</v>
      </c>
      <c r="G429" s="5">
        <v>44253</v>
      </c>
      <c r="H429" s="5">
        <v>44295</v>
      </c>
      <c r="K429" s="5" t="s">
        <v>387</v>
      </c>
      <c r="L429" t="s">
        <v>24</v>
      </c>
      <c r="M429" t="s">
        <v>82</v>
      </c>
      <c r="O429" t="s">
        <v>26</v>
      </c>
      <c r="S429">
        <f t="shared" si="6"/>
        <v>-44295</v>
      </c>
    </row>
    <row r="430" spans="1:19" x14ac:dyDescent="0.25">
      <c r="A430" t="s">
        <v>158</v>
      </c>
      <c r="B430">
        <v>224281</v>
      </c>
      <c r="C430" t="s">
        <v>139</v>
      </c>
      <c r="D430" t="s">
        <v>411</v>
      </c>
      <c r="E430" t="s">
        <v>133</v>
      </c>
      <c r="G430" s="5">
        <v>44256</v>
      </c>
      <c r="H430" s="5">
        <v>44257</v>
      </c>
      <c r="I430" s="5">
        <v>44257</v>
      </c>
      <c r="K430" s="5" t="s">
        <v>383</v>
      </c>
      <c r="L430" t="s">
        <v>57</v>
      </c>
      <c r="M430" t="s">
        <v>25</v>
      </c>
      <c r="O430" t="s">
        <v>37</v>
      </c>
      <c r="P430" t="s">
        <v>37</v>
      </c>
      <c r="Q430" t="s">
        <v>53</v>
      </c>
      <c r="S430">
        <f t="shared" si="6"/>
        <v>0</v>
      </c>
    </row>
    <row r="431" spans="1:19" x14ac:dyDescent="0.25">
      <c r="A431" t="s">
        <v>34</v>
      </c>
      <c r="B431">
        <v>224701</v>
      </c>
      <c r="C431" t="s">
        <v>19</v>
      </c>
      <c r="D431" t="s">
        <v>315</v>
      </c>
      <c r="E431" t="s">
        <v>82</v>
      </c>
      <c r="F431">
        <v>15</v>
      </c>
      <c r="G431" s="5">
        <v>44257</v>
      </c>
      <c r="H431" s="5">
        <v>44285</v>
      </c>
      <c r="J431" s="5" t="s">
        <v>317</v>
      </c>
      <c r="K431" s="5" t="s">
        <v>383</v>
      </c>
      <c r="L431" t="s">
        <v>24</v>
      </c>
      <c r="M431" t="s">
        <v>25</v>
      </c>
      <c r="O431" t="s">
        <v>26</v>
      </c>
      <c r="P431" t="s">
        <v>26</v>
      </c>
      <c r="Q431" t="s">
        <v>53</v>
      </c>
      <c r="S431">
        <f t="shared" si="6"/>
        <v>-44285</v>
      </c>
    </row>
    <row r="432" spans="1:19" x14ac:dyDescent="0.25">
      <c r="A432" t="s">
        <v>34</v>
      </c>
      <c r="B432">
        <v>224701</v>
      </c>
      <c r="C432" t="s">
        <v>76</v>
      </c>
      <c r="D432" t="s">
        <v>315</v>
      </c>
      <c r="E432" t="s">
        <v>82</v>
      </c>
      <c r="G432" s="5">
        <v>44257</v>
      </c>
      <c r="H432" s="5">
        <v>44287</v>
      </c>
      <c r="J432" s="5" t="s">
        <v>412</v>
      </c>
      <c r="K432" s="5" t="s">
        <v>387</v>
      </c>
      <c r="L432" t="s">
        <v>24</v>
      </c>
      <c r="M432" t="s">
        <v>82</v>
      </c>
      <c r="O432" t="s">
        <v>26</v>
      </c>
      <c r="S432">
        <f t="shared" si="6"/>
        <v>-44287</v>
      </c>
    </row>
    <row r="433" spans="1:19" x14ac:dyDescent="0.25">
      <c r="A433" t="s">
        <v>34</v>
      </c>
      <c r="B433">
        <v>224687</v>
      </c>
      <c r="C433" t="s">
        <v>19</v>
      </c>
      <c r="D433" t="s">
        <v>413</v>
      </c>
      <c r="E433" t="s">
        <v>21</v>
      </c>
      <c r="F433">
        <v>3</v>
      </c>
      <c r="G433" s="5">
        <v>44257</v>
      </c>
      <c r="H433" s="5">
        <v>44270</v>
      </c>
      <c r="K433" s="5" t="s">
        <v>383</v>
      </c>
      <c r="L433" t="s">
        <v>57</v>
      </c>
      <c r="M433" t="s">
        <v>25</v>
      </c>
      <c r="O433" t="s">
        <v>37</v>
      </c>
      <c r="P433" t="s">
        <v>26</v>
      </c>
      <c r="Q433" t="s">
        <v>28</v>
      </c>
      <c r="S433">
        <f t="shared" si="6"/>
        <v>-44270</v>
      </c>
    </row>
    <row r="434" spans="1:19" x14ac:dyDescent="0.25">
      <c r="A434" t="s">
        <v>34</v>
      </c>
      <c r="B434">
        <v>224687</v>
      </c>
      <c r="C434" t="s">
        <v>139</v>
      </c>
      <c r="D434" t="s">
        <v>413</v>
      </c>
      <c r="E434" t="s">
        <v>45</v>
      </c>
      <c r="F434">
        <v>3</v>
      </c>
      <c r="G434" s="5">
        <v>44257</v>
      </c>
      <c r="H434" s="5">
        <v>44270</v>
      </c>
      <c r="K434" s="5" t="s">
        <v>383</v>
      </c>
      <c r="L434" t="s">
        <v>57</v>
      </c>
      <c r="M434" t="s">
        <v>25</v>
      </c>
      <c r="O434" t="s">
        <v>37</v>
      </c>
      <c r="P434" t="s">
        <v>26</v>
      </c>
      <c r="Q434" t="s">
        <v>28</v>
      </c>
      <c r="S434">
        <f t="shared" si="6"/>
        <v>-44270</v>
      </c>
    </row>
    <row r="435" spans="1:19" x14ac:dyDescent="0.25">
      <c r="A435" t="s">
        <v>34</v>
      </c>
      <c r="B435">
        <v>224687</v>
      </c>
      <c r="C435" t="s">
        <v>139</v>
      </c>
      <c r="D435" t="s">
        <v>413</v>
      </c>
      <c r="E435" t="s">
        <v>105</v>
      </c>
      <c r="F435">
        <v>3</v>
      </c>
      <c r="G435" s="5">
        <v>44257</v>
      </c>
      <c r="H435" s="5">
        <v>44270</v>
      </c>
      <c r="K435" s="5" t="s">
        <v>383</v>
      </c>
      <c r="L435" t="s">
        <v>57</v>
      </c>
      <c r="M435" t="s">
        <v>25</v>
      </c>
      <c r="O435" t="s">
        <v>37</v>
      </c>
      <c r="P435" t="s">
        <v>26</v>
      </c>
      <c r="Q435" t="s">
        <v>28</v>
      </c>
      <c r="S435">
        <f t="shared" si="6"/>
        <v>-44270</v>
      </c>
    </row>
    <row r="436" spans="1:19" x14ac:dyDescent="0.25">
      <c r="A436" t="s">
        <v>34</v>
      </c>
      <c r="B436">
        <v>224687</v>
      </c>
      <c r="C436" t="s">
        <v>139</v>
      </c>
      <c r="D436" t="s">
        <v>413</v>
      </c>
      <c r="E436" t="s">
        <v>106</v>
      </c>
      <c r="F436">
        <v>3</v>
      </c>
      <c r="G436" s="5">
        <v>44257</v>
      </c>
      <c r="H436" s="5">
        <v>44270</v>
      </c>
      <c r="K436" s="5" t="s">
        <v>383</v>
      </c>
      <c r="L436" t="s">
        <v>57</v>
      </c>
      <c r="M436" t="s">
        <v>25</v>
      </c>
      <c r="O436" t="s">
        <v>37</v>
      </c>
      <c r="P436" t="s">
        <v>26</v>
      </c>
      <c r="Q436" t="s">
        <v>28</v>
      </c>
      <c r="S436">
        <f t="shared" si="6"/>
        <v>-44270</v>
      </c>
    </row>
    <row r="437" spans="1:19" x14ac:dyDescent="0.25">
      <c r="A437" t="s">
        <v>34</v>
      </c>
      <c r="B437">
        <v>224687</v>
      </c>
      <c r="C437" t="s">
        <v>139</v>
      </c>
      <c r="D437" t="s">
        <v>413</v>
      </c>
      <c r="E437" t="s">
        <v>101</v>
      </c>
      <c r="F437">
        <v>1</v>
      </c>
      <c r="G437" s="5">
        <v>44257</v>
      </c>
      <c r="H437" s="5">
        <v>44270</v>
      </c>
      <c r="J437" s="5" t="s">
        <v>349</v>
      </c>
      <c r="K437" s="5" t="s">
        <v>383</v>
      </c>
      <c r="L437" t="s">
        <v>57</v>
      </c>
      <c r="M437" t="s">
        <v>25</v>
      </c>
      <c r="O437" t="s">
        <v>37</v>
      </c>
      <c r="P437" t="s">
        <v>26</v>
      </c>
      <c r="Q437" t="s">
        <v>28</v>
      </c>
      <c r="S437">
        <f t="shared" si="6"/>
        <v>-44270</v>
      </c>
    </row>
    <row r="438" spans="1:19" x14ac:dyDescent="0.25">
      <c r="A438" t="s">
        <v>34</v>
      </c>
      <c r="B438">
        <v>224687</v>
      </c>
      <c r="C438" t="s">
        <v>19</v>
      </c>
      <c r="D438" t="s">
        <v>413</v>
      </c>
      <c r="E438" t="s">
        <v>82</v>
      </c>
      <c r="F438">
        <v>1</v>
      </c>
      <c r="G438" s="5">
        <v>44257</v>
      </c>
      <c r="H438" s="5">
        <v>44270</v>
      </c>
      <c r="J438" s="5" t="s">
        <v>414</v>
      </c>
      <c r="K438" s="5" t="s">
        <v>383</v>
      </c>
      <c r="L438" t="s">
        <v>44</v>
      </c>
      <c r="M438" t="s">
        <v>25</v>
      </c>
      <c r="O438" t="s">
        <v>26</v>
      </c>
      <c r="P438" t="s">
        <v>26</v>
      </c>
      <c r="Q438" t="s">
        <v>28</v>
      </c>
      <c r="S438">
        <f t="shared" si="6"/>
        <v>-44270</v>
      </c>
    </row>
    <row r="439" spans="1:19" x14ac:dyDescent="0.25">
      <c r="A439" t="s">
        <v>34</v>
      </c>
      <c r="B439">
        <v>224687</v>
      </c>
      <c r="C439" t="s">
        <v>139</v>
      </c>
      <c r="D439" t="s">
        <v>413</v>
      </c>
      <c r="E439" t="s">
        <v>92</v>
      </c>
      <c r="F439">
        <v>1</v>
      </c>
      <c r="G439" s="5">
        <v>44257</v>
      </c>
      <c r="H439" s="5">
        <v>44270</v>
      </c>
      <c r="K439" s="5" t="s">
        <v>383</v>
      </c>
      <c r="L439" t="s">
        <v>57</v>
      </c>
      <c r="M439" t="s">
        <v>25</v>
      </c>
      <c r="O439" t="s">
        <v>26</v>
      </c>
      <c r="P439" t="s">
        <v>26</v>
      </c>
      <c r="Q439" t="s">
        <v>28</v>
      </c>
      <c r="S439">
        <f t="shared" si="6"/>
        <v>-44270</v>
      </c>
    </row>
    <row r="440" spans="1:19" x14ac:dyDescent="0.25">
      <c r="A440" t="s">
        <v>34</v>
      </c>
      <c r="B440">
        <v>224687</v>
      </c>
      <c r="C440" t="s">
        <v>19</v>
      </c>
      <c r="D440" t="s">
        <v>413</v>
      </c>
      <c r="E440" t="s">
        <v>104</v>
      </c>
      <c r="F440">
        <v>1</v>
      </c>
      <c r="G440" s="5">
        <v>44257</v>
      </c>
      <c r="H440" s="5">
        <v>44270</v>
      </c>
      <c r="J440" s="5" t="s">
        <v>415</v>
      </c>
      <c r="K440" s="5" t="s">
        <v>383</v>
      </c>
      <c r="L440" t="s">
        <v>44</v>
      </c>
      <c r="M440" t="s">
        <v>25</v>
      </c>
      <c r="O440" t="s">
        <v>26</v>
      </c>
      <c r="P440" t="s">
        <v>26</v>
      </c>
      <c r="Q440" t="s">
        <v>28</v>
      </c>
      <c r="S440">
        <f t="shared" si="6"/>
        <v>-44270</v>
      </c>
    </row>
    <row r="441" spans="1:19" x14ac:dyDescent="0.25">
      <c r="A441" t="s">
        <v>34</v>
      </c>
      <c r="B441">
        <v>224687</v>
      </c>
      <c r="C441" t="s">
        <v>19</v>
      </c>
      <c r="D441" t="s">
        <v>413</v>
      </c>
      <c r="E441" t="s">
        <v>68</v>
      </c>
      <c r="F441">
        <v>2</v>
      </c>
      <c r="G441" s="5">
        <v>44257</v>
      </c>
      <c r="H441" s="5">
        <v>44270</v>
      </c>
      <c r="J441" s="5" t="s">
        <v>416</v>
      </c>
      <c r="K441" s="5" t="s">
        <v>383</v>
      </c>
      <c r="L441" t="s">
        <v>57</v>
      </c>
      <c r="M441" t="s">
        <v>25</v>
      </c>
      <c r="O441" t="s">
        <v>26</v>
      </c>
      <c r="P441" t="s">
        <v>26</v>
      </c>
      <c r="Q441" t="s">
        <v>28</v>
      </c>
      <c r="S441">
        <f t="shared" si="6"/>
        <v>-44270</v>
      </c>
    </row>
    <row r="442" spans="1:19" x14ac:dyDescent="0.25">
      <c r="A442" t="s">
        <v>34</v>
      </c>
      <c r="B442">
        <v>224687</v>
      </c>
      <c r="C442" t="s">
        <v>19</v>
      </c>
      <c r="D442" t="s">
        <v>413</v>
      </c>
      <c r="E442" t="s">
        <v>83</v>
      </c>
      <c r="G442" s="5">
        <v>44257</v>
      </c>
      <c r="H442" s="5">
        <v>44270</v>
      </c>
      <c r="K442" s="5" t="s">
        <v>383</v>
      </c>
      <c r="L442" t="s">
        <v>36</v>
      </c>
      <c r="M442" t="s">
        <v>25</v>
      </c>
      <c r="O442" t="s">
        <v>26</v>
      </c>
      <c r="P442" t="s">
        <v>26</v>
      </c>
      <c r="Q442" t="s">
        <v>28</v>
      </c>
      <c r="S442">
        <f t="shared" si="6"/>
        <v>-44270</v>
      </c>
    </row>
    <row r="443" spans="1:19" x14ac:dyDescent="0.25">
      <c r="A443" t="s">
        <v>34</v>
      </c>
      <c r="B443">
        <v>224687</v>
      </c>
      <c r="C443" t="s">
        <v>19</v>
      </c>
      <c r="D443" t="s">
        <v>413</v>
      </c>
      <c r="E443" t="s">
        <v>21</v>
      </c>
      <c r="G443" s="5">
        <v>44278</v>
      </c>
      <c r="H443" s="5">
        <v>44278</v>
      </c>
      <c r="J443" s="5" t="s">
        <v>417</v>
      </c>
      <c r="K443" s="5" t="s">
        <v>383</v>
      </c>
      <c r="L443" t="s">
        <v>57</v>
      </c>
      <c r="M443" t="s">
        <v>25</v>
      </c>
      <c r="O443" t="s">
        <v>37</v>
      </c>
      <c r="P443" t="s">
        <v>26</v>
      </c>
      <c r="Q443" t="s">
        <v>28</v>
      </c>
      <c r="S443">
        <f t="shared" si="6"/>
        <v>-44278</v>
      </c>
    </row>
    <row r="444" spans="1:19" x14ac:dyDescent="0.25">
      <c r="A444" t="s">
        <v>34</v>
      </c>
      <c r="B444">
        <v>224687</v>
      </c>
      <c r="C444" t="s">
        <v>410</v>
      </c>
      <c r="D444" t="s">
        <v>413</v>
      </c>
      <c r="E444" t="s">
        <v>106</v>
      </c>
      <c r="F444">
        <v>2</v>
      </c>
      <c r="G444" s="5">
        <v>44278</v>
      </c>
      <c r="H444" s="5">
        <v>44281</v>
      </c>
      <c r="J444" s="5" t="s">
        <v>417</v>
      </c>
      <c r="K444" s="5" t="s">
        <v>383</v>
      </c>
      <c r="L444" t="s">
        <v>57</v>
      </c>
      <c r="M444" t="s">
        <v>25</v>
      </c>
      <c r="O444" t="s">
        <v>37</v>
      </c>
      <c r="P444" t="s">
        <v>26</v>
      </c>
      <c r="Q444" t="s">
        <v>28</v>
      </c>
      <c r="S444">
        <f t="shared" si="6"/>
        <v>-44281</v>
      </c>
    </row>
    <row r="445" spans="1:19" x14ac:dyDescent="0.25">
      <c r="A445" t="s">
        <v>34</v>
      </c>
      <c r="B445">
        <v>224687</v>
      </c>
      <c r="C445" t="s">
        <v>410</v>
      </c>
      <c r="D445" t="s">
        <v>413</v>
      </c>
      <c r="E445" t="s">
        <v>81</v>
      </c>
      <c r="F445">
        <v>1</v>
      </c>
      <c r="G445" s="5">
        <v>44278</v>
      </c>
      <c r="H445" s="5">
        <v>44281</v>
      </c>
      <c r="J445" s="5" t="s">
        <v>417</v>
      </c>
      <c r="K445" s="5" t="s">
        <v>383</v>
      </c>
      <c r="L445" t="s">
        <v>57</v>
      </c>
      <c r="M445" t="s">
        <v>25</v>
      </c>
      <c r="O445" t="s">
        <v>37</v>
      </c>
      <c r="P445" t="s">
        <v>26</v>
      </c>
      <c r="Q445" t="s">
        <v>28</v>
      </c>
      <c r="S445">
        <f t="shared" si="6"/>
        <v>-44281</v>
      </c>
    </row>
    <row r="446" spans="1:19" x14ac:dyDescent="0.25">
      <c r="A446" t="s">
        <v>34</v>
      </c>
      <c r="B446">
        <v>224687</v>
      </c>
      <c r="C446" t="s">
        <v>410</v>
      </c>
      <c r="D446" t="s">
        <v>413</v>
      </c>
      <c r="E446" t="s">
        <v>105</v>
      </c>
      <c r="F446">
        <v>1</v>
      </c>
      <c r="G446" s="5">
        <v>44278</v>
      </c>
      <c r="H446" s="5">
        <v>44281</v>
      </c>
      <c r="J446" s="5" t="s">
        <v>417</v>
      </c>
      <c r="K446" s="5" t="s">
        <v>383</v>
      </c>
      <c r="L446" t="s">
        <v>57</v>
      </c>
      <c r="M446" t="s">
        <v>25</v>
      </c>
      <c r="O446" t="s">
        <v>37</v>
      </c>
      <c r="P446" t="s">
        <v>26</v>
      </c>
      <c r="Q446" t="s">
        <v>28</v>
      </c>
      <c r="S446">
        <f t="shared" si="6"/>
        <v>-44281</v>
      </c>
    </row>
    <row r="447" spans="1:19" x14ac:dyDescent="0.25">
      <c r="A447" t="s">
        <v>38</v>
      </c>
      <c r="B447">
        <v>202584</v>
      </c>
      <c r="C447" t="s">
        <v>19</v>
      </c>
      <c r="D447" t="s">
        <v>418</v>
      </c>
      <c r="E447" t="s">
        <v>42</v>
      </c>
      <c r="G447" s="5">
        <v>44230</v>
      </c>
      <c r="K447" s="5" t="s">
        <v>385</v>
      </c>
      <c r="L447" t="s">
        <v>24</v>
      </c>
      <c r="M447" t="s">
        <v>33</v>
      </c>
      <c r="S447">
        <f t="shared" si="6"/>
        <v>0</v>
      </c>
    </row>
    <row r="448" spans="1:19" x14ac:dyDescent="0.25">
      <c r="A448" t="s">
        <v>38</v>
      </c>
      <c r="B448" t="s">
        <v>246</v>
      </c>
      <c r="C448" t="s">
        <v>19</v>
      </c>
      <c r="D448" t="s">
        <v>323</v>
      </c>
      <c r="E448" t="s">
        <v>200</v>
      </c>
      <c r="F448">
        <v>1</v>
      </c>
      <c r="G448" s="5">
        <v>44263</v>
      </c>
      <c r="H448" s="5">
        <v>44264</v>
      </c>
      <c r="I448" s="5">
        <v>44277</v>
      </c>
      <c r="K448" s="5" t="s">
        <v>383</v>
      </c>
      <c r="L448" t="s">
        <v>24</v>
      </c>
      <c r="M448" t="s">
        <v>25</v>
      </c>
      <c r="O448" t="s">
        <v>37</v>
      </c>
      <c r="P448" t="s">
        <v>26</v>
      </c>
      <c r="S448">
        <f t="shared" si="6"/>
        <v>13</v>
      </c>
    </row>
    <row r="449" spans="1:19" x14ac:dyDescent="0.25">
      <c r="A449" t="s">
        <v>38</v>
      </c>
      <c r="B449" t="s">
        <v>246</v>
      </c>
      <c r="C449" t="s">
        <v>19</v>
      </c>
      <c r="D449" t="s">
        <v>323</v>
      </c>
      <c r="E449" t="s">
        <v>115</v>
      </c>
      <c r="F449">
        <v>1</v>
      </c>
      <c r="G449" s="5">
        <v>44263</v>
      </c>
      <c r="H449" s="5">
        <v>44264</v>
      </c>
      <c r="I449" s="5">
        <v>44277</v>
      </c>
      <c r="J449" s="5" t="s">
        <v>419</v>
      </c>
      <c r="K449" s="5" t="s">
        <v>383</v>
      </c>
      <c r="L449" t="s">
        <v>24</v>
      </c>
      <c r="M449" t="s">
        <v>25</v>
      </c>
      <c r="O449" t="s">
        <v>37</v>
      </c>
      <c r="P449" t="s">
        <v>26</v>
      </c>
      <c r="S449">
        <f t="shared" si="6"/>
        <v>13</v>
      </c>
    </row>
    <row r="450" spans="1:19" x14ac:dyDescent="0.25">
      <c r="A450" t="s">
        <v>38</v>
      </c>
      <c r="B450" t="s">
        <v>246</v>
      </c>
      <c r="C450" t="s">
        <v>19</v>
      </c>
      <c r="D450" t="s">
        <v>323</v>
      </c>
      <c r="E450" t="s">
        <v>93</v>
      </c>
      <c r="F450">
        <v>3</v>
      </c>
      <c r="G450" s="5">
        <v>44263</v>
      </c>
      <c r="H450" s="5">
        <v>44264</v>
      </c>
      <c r="I450" s="5">
        <v>44277</v>
      </c>
      <c r="J450" s="5" t="s">
        <v>420</v>
      </c>
      <c r="K450" s="5" t="s">
        <v>383</v>
      </c>
      <c r="L450" t="s">
        <v>24</v>
      </c>
      <c r="M450" t="s">
        <v>25</v>
      </c>
      <c r="O450" t="s">
        <v>37</v>
      </c>
      <c r="P450" t="s">
        <v>37</v>
      </c>
      <c r="S450">
        <f t="shared" si="6"/>
        <v>13</v>
      </c>
    </row>
    <row r="451" spans="1:19" x14ac:dyDescent="0.25">
      <c r="A451" t="s">
        <v>38</v>
      </c>
      <c r="B451" t="s">
        <v>246</v>
      </c>
      <c r="C451" t="s">
        <v>19</v>
      </c>
      <c r="D451" t="s">
        <v>323</v>
      </c>
      <c r="E451" t="s">
        <v>141</v>
      </c>
      <c r="F451">
        <v>3</v>
      </c>
      <c r="G451" s="5">
        <v>44263</v>
      </c>
      <c r="H451" s="5">
        <v>44264</v>
      </c>
      <c r="I451" s="5">
        <v>44277</v>
      </c>
      <c r="J451" s="5" t="s">
        <v>421</v>
      </c>
      <c r="K451" s="5" t="s">
        <v>383</v>
      </c>
      <c r="L451" t="s">
        <v>24</v>
      </c>
      <c r="M451" t="s">
        <v>25</v>
      </c>
      <c r="O451" t="s">
        <v>37</v>
      </c>
      <c r="P451" t="s">
        <v>37</v>
      </c>
      <c r="S451">
        <f t="shared" ref="S451:S504" si="7">I451-H451</f>
        <v>13</v>
      </c>
    </row>
    <row r="452" spans="1:19" x14ac:dyDescent="0.25">
      <c r="A452" t="s">
        <v>38</v>
      </c>
      <c r="B452" t="s">
        <v>246</v>
      </c>
      <c r="C452" t="s">
        <v>19</v>
      </c>
      <c r="D452" t="s">
        <v>323</v>
      </c>
      <c r="E452" t="s">
        <v>114</v>
      </c>
      <c r="F452">
        <v>2</v>
      </c>
      <c r="G452" s="5">
        <v>44263</v>
      </c>
      <c r="H452" s="5">
        <v>44264</v>
      </c>
      <c r="I452" s="5">
        <v>44277</v>
      </c>
      <c r="K452" s="5" t="s">
        <v>383</v>
      </c>
      <c r="L452" t="s">
        <v>24</v>
      </c>
      <c r="M452" t="s">
        <v>25</v>
      </c>
      <c r="O452" t="s">
        <v>37</v>
      </c>
      <c r="P452" t="s">
        <v>37</v>
      </c>
      <c r="S452">
        <f t="shared" si="7"/>
        <v>13</v>
      </c>
    </row>
    <row r="453" spans="1:19" x14ac:dyDescent="0.25">
      <c r="A453" t="s">
        <v>38</v>
      </c>
      <c r="B453" t="s">
        <v>246</v>
      </c>
      <c r="C453" t="s">
        <v>19</v>
      </c>
      <c r="D453" t="s">
        <v>323</v>
      </c>
      <c r="E453" t="s">
        <v>78</v>
      </c>
      <c r="F453">
        <v>1</v>
      </c>
      <c r="G453" s="5">
        <v>44263</v>
      </c>
      <c r="H453" s="5">
        <v>44264</v>
      </c>
      <c r="I453" s="5">
        <v>44277</v>
      </c>
      <c r="J453" s="5" t="s">
        <v>422</v>
      </c>
      <c r="K453" s="5" t="s">
        <v>383</v>
      </c>
      <c r="L453" t="s">
        <v>24</v>
      </c>
      <c r="M453" t="s">
        <v>25</v>
      </c>
      <c r="O453" t="s">
        <v>37</v>
      </c>
      <c r="P453" t="s">
        <v>37</v>
      </c>
      <c r="S453">
        <f t="shared" si="7"/>
        <v>13</v>
      </c>
    </row>
    <row r="454" spans="1:19" x14ac:dyDescent="0.25">
      <c r="A454" t="s">
        <v>29</v>
      </c>
      <c r="B454">
        <v>227189</v>
      </c>
      <c r="C454" t="s">
        <v>19</v>
      </c>
      <c r="D454" t="s">
        <v>337</v>
      </c>
      <c r="E454" t="s">
        <v>21</v>
      </c>
      <c r="F454">
        <v>1</v>
      </c>
      <c r="G454" s="5">
        <v>44267</v>
      </c>
      <c r="H454" s="5">
        <v>44292</v>
      </c>
      <c r="K454" s="5" t="s">
        <v>383</v>
      </c>
      <c r="L454" t="s">
        <v>24</v>
      </c>
      <c r="M454" t="s">
        <v>33</v>
      </c>
      <c r="O454" t="s">
        <v>26</v>
      </c>
      <c r="P454" t="s">
        <v>26</v>
      </c>
      <c r="Q454" t="s">
        <v>28</v>
      </c>
      <c r="R454" t="s">
        <v>53</v>
      </c>
      <c r="S454">
        <f t="shared" si="7"/>
        <v>-44292</v>
      </c>
    </row>
    <row r="455" spans="1:19" x14ac:dyDescent="0.25">
      <c r="A455" t="s">
        <v>29</v>
      </c>
      <c r="B455">
        <v>227189</v>
      </c>
      <c r="C455" t="s">
        <v>19</v>
      </c>
      <c r="D455" t="s">
        <v>337</v>
      </c>
      <c r="E455" t="s">
        <v>45</v>
      </c>
      <c r="F455">
        <v>1</v>
      </c>
      <c r="G455" s="5">
        <v>44267</v>
      </c>
      <c r="H455" s="5">
        <v>44292</v>
      </c>
      <c r="K455" s="5" t="s">
        <v>383</v>
      </c>
      <c r="L455" t="s">
        <v>24</v>
      </c>
      <c r="M455" t="s">
        <v>33</v>
      </c>
      <c r="O455" t="s">
        <v>26</v>
      </c>
      <c r="P455" t="s">
        <v>26</v>
      </c>
      <c r="Q455" t="s">
        <v>28</v>
      </c>
      <c r="R455" t="s">
        <v>53</v>
      </c>
      <c r="S455">
        <f t="shared" si="7"/>
        <v>-44292</v>
      </c>
    </row>
    <row r="456" spans="1:19" x14ac:dyDescent="0.25">
      <c r="A456" t="s">
        <v>29</v>
      </c>
      <c r="B456">
        <v>227189</v>
      </c>
      <c r="C456" t="s">
        <v>19</v>
      </c>
      <c r="D456" t="s">
        <v>337</v>
      </c>
      <c r="E456" t="s">
        <v>105</v>
      </c>
      <c r="F456">
        <v>1</v>
      </c>
      <c r="G456" s="5">
        <v>44267</v>
      </c>
      <c r="H456" s="5">
        <v>44292</v>
      </c>
      <c r="K456" s="5" t="s">
        <v>383</v>
      </c>
      <c r="L456" t="s">
        <v>24</v>
      </c>
      <c r="M456" t="s">
        <v>33</v>
      </c>
      <c r="O456" t="s">
        <v>26</v>
      </c>
      <c r="P456" t="s">
        <v>26</v>
      </c>
      <c r="Q456" t="s">
        <v>28</v>
      </c>
      <c r="R456" t="s">
        <v>53</v>
      </c>
      <c r="S456">
        <f t="shared" si="7"/>
        <v>-44292</v>
      </c>
    </row>
    <row r="457" spans="1:19" x14ac:dyDescent="0.25">
      <c r="A457" t="s">
        <v>29</v>
      </c>
      <c r="B457">
        <v>227189</v>
      </c>
      <c r="C457" t="s">
        <v>19</v>
      </c>
      <c r="D457" t="s">
        <v>337</v>
      </c>
      <c r="E457" t="s">
        <v>126</v>
      </c>
      <c r="F457">
        <v>2</v>
      </c>
      <c r="G457" s="5">
        <v>44267</v>
      </c>
      <c r="H457" s="5">
        <v>44292</v>
      </c>
      <c r="K457" s="5" t="s">
        <v>383</v>
      </c>
      <c r="L457" t="s">
        <v>24</v>
      </c>
      <c r="M457" t="s">
        <v>33</v>
      </c>
      <c r="O457" t="s">
        <v>26</v>
      </c>
      <c r="P457" t="s">
        <v>26</v>
      </c>
      <c r="Q457" t="s">
        <v>28</v>
      </c>
      <c r="R457" t="s">
        <v>53</v>
      </c>
      <c r="S457">
        <f t="shared" si="7"/>
        <v>-44292</v>
      </c>
    </row>
    <row r="458" spans="1:19" x14ac:dyDescent="0.25">
      <c r="A458" t="s">
        <v>29</v>
      </c>
      <c r="B458">
        <v>227189</v>
      </c>
      <c r="C458" t="s">
        <v>19</v>
      </c>
      <c r="D458" t="s">
        <v>337</v>
      </c>
      <c r="E458" t="s">
        <v>146</v>
      </c>
      <c r="F458">
        <v>1</v>
      </c>
      <c r="G458" s="5">
        <v>44267</v>
      </c>
      <c r="H458" s="5">
        <v>44292</v>
      </c>
      <c r="K458" s="5" t="s">
        <v>383</v>
      </c>
      <c r="L458" t="s">
        <v>24</v>
      </c>
      <c r="M458" t="s">
        <v>33</v>
      </c>
      <c r="O458" t="s">
        <v>26</v>
      </c>
      <c r="P458" t="s">
        <v>26</v>
      </c>
      <c r="Q458" t="s">
        <v>28</v>
      </c>
      <c r="R458" t="s">
        <v>53</v>
      </c>
      <c r="S458">
        <f t="shared" si="7"/>
        <v>-44292</v>
      </c>
    </row>
    <row r="459" spans="1:19" x14ac:dyDescent="0.25">
      <c r="A459" t="s">
        <v>29</v>
      </c>
      <c r="B459">
        <v>227189</v>
      </c>
      <c r="C459" t="s">
        <v>76</v>
      </c>
      <c r="D459" t="s">
        <v>337</v>
      </c>
      <c r="G459" s="5">
        <v>44267</v>
      </c>
      <c r="H459" s="5">
        <v>44291</v>
      </c>
      <c r="I459" s="5">
        <v>44286</v>
      </c>
      <c r="J459" s="5" t="s">
        <v>423</v>
      </c>
      <c r="K459" s="5" t="s">
        <v>23</v>
      </c>
      <c r="L459" t="s">
        <v>24</v>
      </c>
      <c r="M459" t="s">
        <v>33</v>
      </c>
      <c r="O459" t="s">
        <v>26</v>
      </c>
      <c r="S459">
        <f t="shared" si="7"/>
        <v>-5</v>
      </c>
    </row>
    <row r="460" spans="1:19" x14ac:dyDescent="0.25">
      <c r="A460" t="s">
        <v>38</v>
      </c>
      <c r="B460">
        <v>227231</v>
      </c>
      <c r="C460" t="s">
        <v>19</v>
      </c>
      <c r="D460" t="s">
        <v>341</v>
      </c>
      <c r="E460" t="s">
        <v>45</v>
      </c>
      <c r="F460">
        <v>1</v>
      </c>
      <c r="G460" s="5">
        <v>44267</v>
      </c>
      <c r="H460" s="5">
        <v>44284</v>
      </c>
      <c r="K460" s="5" t="s">
        <v>383</v>
      </c>
      <c r="L460" t="s">
        <v>44</v>
      </c>
      <c r="M460" t="s">
        <v>25</v>
      </c>
      <c r="O460" t="s">
        <v>26</v>
      </c>
      <c r="P460" t="s">
        <v>26</v>
      </c>
      <c r="Q460" t="s">
        <v>53</v>
      </c>
      <c r="S460">
        <f t="shared" si="7"/>
        <v>-44284</v>
      </c>
    </row>
    <row r="461" spans="1:19" x14ac:dyDescent="0.25">
      <c r="A461" t="s">
        <v>38</v>
      </c>
      <c r="B461">
        <v>227231</v>
      </c>
      <c r="C461" t="s">
        <v>19</v>
      </c>
      <c r="D461" t="s">
        <v>341</v>
      </c>
      <c r="E461" t="s">
        <v>21</v>
      </c>
      <c r="F461">
        <v>1</v>
      </c>
      <c r="G461" s="5">
        <v>44267</v>
      </c>
      <c r="H461" s="5">
        <v>44284</v>
      </c>
      <c r="K461" s="5" t="s">
        <v>383</v>
      </c>
      <c r="L461" t="s">
        <v>24</v>
      </c>
      <c r="M461" t="s">
        <v>25</v>
      </c>
      <c r="O461" t="s">
        <v>26</v>
      </c>
      <c r="P461" t="s">
        <v>26</v>
      </c>
      <c r="Q461" t="s">
        <v>53</v>
      </c>
      <c r="S461">
        <f t="shared" si="7"/>
        <v>-44284</v>
      </c>
    </row>
    <row r="462" spans="1:19" x14ac:dyDescent="0.25">
      <c r="A462" t="s">
        <v>38</v>
      </c>
      <c r="B462">
        <v>227231</v>
      </c>
      <c r="C462" t="s">
        <v>19</v>
      </c>
      <c r="D462" t="s">
        <v>341</v>
      </c>
      <c r="E462" t="s">
        <v>176</v>
      </c>
      <c r="F462">
        <v>1</v>
      </c>
      <c r="G462" s="5">
        <v>44267</v>
      </c>
      <c r="H462" s="5">
        <v>44284</v>
      </c>
      <c r="K462" s="5" t="s">
        <v>383</v>
      </c>
      <c r="L462" t="s">
        <v>44</v>
      </c>
      <c r="M462" t="s">
        <v>25</v>
      </c>
      <c r="O462" t="s">
        <v>26</v>
      </c>
      <c r="P462" t="s">
        <v>26</v>
      </c>
      <c r="Q462" t="s">
        <v>53</v>
      </c>
      <c r="S462">
        <f t="shared" si="7"/>
        <v>-44284</v>
      </c>
    </row>
    <row r="463" spans="1:19" x14ac:dyDescent="0.25">
      <c r="A463" t="s">
        <v>38</v>
      </c>
      <c r="B463">
        <v>226953</v>
      </c>
      <c r="C463" t="s">
        <v>19</v>
      </c>
      <c r="D463" t="s">
        <v>424</v>
      </c>
      <c r="E463" t="s">
        <v>21</v>
      </c>
      <c r="F463">
        <v>1</v>
      </c>
      <c r="G463" s="5">
        <v>44267</v>
      </c>
      <c r="H463" s="5">
        <v>44279</v>
      </c>
      <c r="J463" s="5" t="s">
        <v>425</v>
      </c>
      <c r="K463" s="5" t="s">
        <v>383</v>
      </c>
      <c r="L463" t="s">
        <v>24</v>
      </c>
      <c r="M463" t="s">
        <v>25</v>
      </c>
      <c r="O463" t="s">
        <v>26</v>
      </c>
      <c r="P463" t="s">
        <v>26</v>
      </c>
      <c r="Q463" t="s">
        <v>53</v>
      </c>
      <c r="S463">
        <f t="shared" si="7"/>
        <v>-44279</v>
      </c>
    </row>
    <row r="464" spans="1:19" x14ac:dyDescent="0.25">
      <c r="A464" t="s">
        <v>38</v>
      </c>
      <c r="B464" t="s">
        <v>246</v>
      </c>
      <c r="C464" t="s">
        <v>19</v>
      </c>
      <c r="D464" t="s">
        <v>356</v>
      </c>
      <c r="E464" t="s">
        <v>21</v>
      </c>
      <c r="F464">
        <v>1</v>
      </c>
      <c r="G464" s="5">
        <v>44273</v>
      </c>
      <c r="H464" s="5">
        <v>44284</v>
      </c>
      <c r="K464" s="5" t="s">
        <v>383</v>
      </c>
      <c r="L464" t="s">
        <v>24</v>
      </c>
      <c r="M464" t="s">
        <v>25</v>
      </c>
      <c r="O464" t="s">
        <v>26</v>
      </c>
      <c r="P464" t="s">
        <v>26</v>
      </c>
      <c r="Q464" t="s">
        <v>53</v>
      </c>
      <c r="S464">
        <f t="shared" si="7"/>
        <v>-44284</v>
      </c>
    </row>
    <row r="465" spans="1:19" x14ac:dyDescent="0.25">
      <c r="A465" t="s">
        <v>38</v>
      </c>
      <c r="B465" t="s">
        <v>246</v>
      </c>
      <c r="C465" t="s">
        <v>19</v>
      </c>
      <c r="D465" t="s">
        <v>356</v>
      </c>
      <c r="E465" t="s">
        <v>45</v>
      </c>
      <c r="F465">
        <v>1</v>
      </c>
      <c r="G465" s="5">
        <v>44273</v>
      </c>
      <c r="H465" s="5">
        <v>44284</v>
      </c>
      <c r="K465" s="5" t="s">
        <v>383</v>
      </c>
      <c r="L465" t="s">
        <v>44</v>
      </c>
      <c r="M465" t="s">
        <v>25</v>
      </c>
      <c r="O465" t="s">
        <v>26</v>
      </c>
      <c r="P465" t="s">
        <v>26</v>
      </c>
      <c r="Q465" t="s">
        <v>53</v>
      </c>
      <c r="S465">
        <f t="shared" si="7"/>
        <v>-44284</v>
      </c>
    </row>
    <row r="466" spans="1:19" x14ac:dyDescent="0.25">
      <c r="A466" t="s">
        <v>38</v>
      </c>
      <c r="B466" t="s">
        <v>246</v>
      </c>
      <c r="C466" t="s">
        <v>19</v>
      </c>
      <c r="D466" t="s">
        <v>356</v>
      </c>
      <c r="E466" t="s">
        <v>176</v>
      </c>
      <c r="F466">
        <v>1</v>
      </c>
      <c r="G466" s="5">
        <v>44273</v>
      </c>
      <c r="H466" s="5">
        <v>44284</v>
      </c>
      <c r="K466" s="5" t="s">
        <v>383</v>
      </c>
      <c r="L466" t="s">
        <v>44</v>
      </c>
      <c r="M466" t="s">
        <v>25</v>
      </c>
      <c r="O466" t="s">
        <v>26</v>
      </c>
      <c r="P466" t="s">
        <v>26</v>
      </c>
      <c r="Q466" t="s">
        <v>53</v>
      </c>
      <c r="S466">
        <f t="shared" si="7"/>
        <v>-44284</v>
      </c>
    </row>
    <row r="467" spans="1:19" x14ac:dyDescent="0.25">
      <c r="A467" t="s">
        <v>95</v>
      </c>
      <c r="B467">
        <v>228465</v>
      </c>
      <c r="C467" t="s">
        <v>19</v>
      </c>
      <c r="D467" t="s">
        <v>426</v>
      </c>
      <c r="E467" t="s">
        <v>156</v>
      </c>
      <c r="F467">
        <v>1</v>
      </c>
      <c r="G467" s="5">
        <v>44273</v>
      </c>
      <c r="H467" s="5">
        <v>44277</v>
      </c>
      <c r="J467" s="5" t="s">
        <v>427</v>
      </c>
      <c r="K467" s="5" t="s">
        <v>383</v>
      </c>
      <c r="L467" t="s">
        <v>24</v>
      </c>
      <c r="M467" t="s">
        <v>25</v>
      </c>
      <c r="O467" t="s">
        <v>26</v>
      </c>
      <c r="P467" t="s">
        <v>26</v>
      </c>
      <c r="Q467" t="s">
        <v>53</v>
      </c>
      <c r="S467">
        <f t="shared" si="7"/>
        <v>-44277</v>
      </c>
    </row>
    <row r="468" spans="1:19" x14ac:dyDescent="0.25">
      <c r="A468" t="s">
        <v>95</v>
      </c>
      <c r="B468">
        <v>228465</v>
      </c>
      <c r="C468" t="s">
        <v>19</v>
      </c>
      <c r="D468" t="s">
        <v>426</v>
      </c>
      <c r="E468" t="s">
        <v>114</v>
      </c>
      <c r="F468">
        <v>1</v>
      </c>
      <c r="G468" s="5">
        <v>44273</v>
      </c>
      <c r="H468" s="5">
        <v>44277</v>
      </c>
      <c r="J468" s="5" t="s">
        <v>427</v>
      </c>
      <c r="K468" s="5" t="s">
        <v>383</v>
      </c>
      <c r="L468" t="s">
        <v>24</v>
      </c>
      <c r="M468" t="s">
        <v>25</v>
      </c>
      <c r="O468" t="s">
        <v>26</v>
      </c>
      <c r="P468" t="s">
        <v>26</v>
      </c>
      <c r="Q468" t="s">
        <v>53</v>
      </c>
      <c r="S468">
        <f t="shared" si="7"/>
        <v>-44277</v>
      </c>
    </row>
    <row r="469" spans="1:19" x14ac:dyDescent="0.25">
      <c r="A469" t="s">
        <v>95</v>
      </c>
      <c r="B469">
        <v>228465</v>
      </c>
      <c r="C469" t="s">
        <v>19</v>
      </c>
      <c r="D469" t="s">
        <v>426</v>
      </c>
      <c r="E469" t="s">
        <v>156</v>
      </c>
      <c r="F469">
        <v>1</v>
      </c>
      <c r="G469" s="5">
        <v>44273</v>
      </c>
      <c r="H469" s="5">
        <v>44284</v>
      </c>
      <c r="K469" s="5" t="s">
        <v>383</v>
      </c>
      <c r="L469" t="s">
        <v>24</v>
      </c>
      <c r="M469" t="s">
        <v>25</v>
      </c>
      <c r="O469" t="s">
        <v>26</v>
      </c>
      <c r="P469" t="s">
        <v>26</v>
      </c>
      <c r="Q469" t="s">
        <v>28</v>
      </c>
      <c r="S469">
        <f t="shared" si="7"/>
        <v>-44284</v>
      </c>
    </row>
    <row r="470" spans="1:19" x14ac:dyDescent="0.25">
      <c r="A470" t="s">
        <v>51</v>
      </c>
      <c r="B470">
        <v>228530</v>
      </c>
      <c r="C470" t="s">
        <v>139</v>
      </c>
      <c r="D470" t="s">
        <v>428</v>
      </c>
      <c r="E470" t="s">
        <v>58</v>
      </c>
      <c r="G470" s="5">
        <v>44273</v>
      </c>
      <c r="H470" s="5">
        <v>44274</v>
      </c>
      <c r="I470" s="5">
        <v>44274</v>
      </c>
      <c r="K470" s="5" t="s">
        <v>383</v>
      </c>
      <c r="L470" t="s">
        <v>36</v>
      </c>
      <c r="M470" t="s">
        <v>33</v>
      </c>
      <c r="O470" t="s">
        <v>37</v>
      </c>
      <c r="S470">
        <f t="shared" si="7"/>
        <v>0</v>
      </c>
    </row>
    <row r="471" spans="1:19" x14ac:dyDescent="0.25">
      <c r="A471" t="s">
        <v>29</v>
      </c>
      <c r="B471">
        <v>228687</v>
      </c>
      <c r="C471" t="s">
        <v>139</v>
      </c>
      <c r="D471" t="s">
        <v>429</v>
      </c>
      <c r="E471" t="s">
        <v>45</v>
      </c>
      <c r="F471">
        <v>1</v>
      </c>
      <c r="G471" s="5">
        <v>44274</v>
      </c>
      <c r="H471" s="5">
        <v>44279</v>
      </c>
      <c r="I471" s="5">
        <v>44279</v>
      </c>
      <c r="K471" s="5" t="s">
        <v>23</v>
      </c>
      <c r="L471" t="s">
        <v>36</v>
      </c>
      <c r="M471" t="s">
        <v>25</v>
      </c>
      <c r="O471" t="s">
        <v>37</v>
      </c>
      <c r="P471" t="s">
        <v>37</v>
      </c>
      <c r="Q471" t="s">
        <v>53</v>
      </c>
      <c r="R471" t="s">
        <v>53</v>
      </c>
      <c r="S471">
        <f t="shared" si="7"/>
        <v>0</v>
      </c>
    </row>
    <row r="472" spans="1:19" x14ac:dyDescent="0.25">
      <c r="A472" t="s">
        <v>29</v>
      </c>
      <c r="B472">
        <v>228687</v>
      </c>
      <c r="C472" t="s">
        <v>139</v>
      </c>
      <c r="D472" t="s">
        <v>429</v>
      </c>
      <c r="E472" t="s">
        <v>21</v>
      </c>
      <c r="F472">
        <v>1</v>
      </c>
      <c r="G472" s="5">
        <v>44274</v>
      </c>
      <c r="H472" s="5">
        <v>44279</v>
      </c>
      <c r="I472" s="5">
        <v>44279</v>
      </c>
      <c r="K472" s="5" t="s">
        <v>23</v>
      </c>
      <c r="L472" t="s">
        <v>36</v>
      </c>
      <c r="M472" t="s">
        <v>25</v>
      </c>
      <c r="O472" t="s">
        <v>37</v>
      </c>
      <c r="P472" t="s">
        <v>37</v>
      </c>
      <c r="Q472" t="s">
        <v>53</v>
      </c>
      <c r="R472" t="s">
        <v>53</v>
      </c>
      <c r="S472">
        <f t="shared" si="7"/>
        <v>0</v>
      </c>
    </row>
    <row r="473" spans="1:19" x14ac:dyDescent="0.25">
      <c r="A473" t="s">
        <v>86</v>
      </c>
      <c r="B473">
        <v>228663</v>
      </c>
      <c r="C473" t="s">
        <v>19</v>
      </c>
      <c r="D473" t="s">
        <v>430</v>
      </c>
      <c r="E473" t="s">
        <v>156</v>
      </c>
      <c r="F473">
        <v>1</v>
      </c>
      <c r="G473" s="5">
        <v>44274</v>
      </c>
      <c r="H473" s="5">
        <v>44295</v>
      </c>
      <c r="K473" s="5" t="s">
        <v>387</v>
      </c>
      <c r="L473" t="s">
        <v>24</v>
      </c>
      <c r="M473" t="s">
        <v>25</v>
      </c>
      <c r="O473" t="s">
        <v>26</v>
      </c>
      <c r="S473">
        <f t="shared" si="7"/>
        <v>-44295</v>
      </c>
    </row>
    <row r="474" spans="1:19" x14ac:dyDescent="0.25">
      <c r="A474" t="s">
        <v>71</v>
      </c>
      <c r="B474">
        <v>225891</v>
      </c>
      <c r="C474" t="s">
        <v>19</v>
      </c>
      <c r="D474" t="s">
        <v>366</v>
      </c>
      <c r="E474" t="s">
        <v>78</v>
      </c>
      <c r="G474" s="5">
        <v>44263</v>
      </c>
      <c r="H474" s="5">
        <v>44227</v>
      </c>
      <c r="K474" s="5" t="s">
        <v>383</v>
      </c>
      <c r="L474" t="s">
        <v>24</v>
      </c>
      <c r="M474" t="s">
        <v>33</v>
      </c>
      <c r="O474" t="s">
        <v>26</v>
      </c>
      <c r="P474" t="s">
        <v>26</v>
      </c>
      <c r="Q474" t="s">
        <v>28</v>
      </c>
      <c r="S474">
        <f t="shared" si="7"/>
        <v>-44227</v>
      </c>
    </row>
    <row r="475" spans="1:19" x14ac:dyDescent="0.25">
      <c r="A475" t="s">
        <v>71</v>
      </c>
      <c r="B475">
        <v>225891</v>
      </c>
      <c r="C475" t="s">
        <v>19</v>
      </c>
      <c r="D475" t="s">
        <v>366</v>
      </c>
      <c r="E475" t="s">
        <v>21</v>
      </c>
      <c r="G475" s="5">
        <v>44263</v>
      </c>
      <c r="H475" s="5">
        <v>44227</v>
      </c>
      <c r="J475" s="5" t="s">
        <v>32</v>
      </c>
      <c r="K475" s="5" t="s">
        <v>383</v>
      </c>
      <c r="L475" t="s">
        <v>24</v>
      </c>
      <c r="M475" t="s">
        <v>33</v>
      </c>
      <c r="O475" t="s">
        <v>26</v>
      </c>
      <c r="P475" t="s">
        <v>26</v>
      </c>
      <c r="Q475" t="s">
        <v>28</v>
      </c>
      <c r="S475">
        <f t="shared" si="7"/>
        <v>-44227</v>
      </c>
    </row>
    <row r="476" spans="1:19" x14ac:dyDescent="0.25">
      <c r="A476" t="s">
        <v>71</v>
      </c>
      <c r="B476">
        <v>225891</v>
      </c>
      <c r="C476" t="s">
        <v>76</v>
      </c>
      <c r="D476" t="s">
        <v>366</v>
      </c>
      <c r="E476" t="s">
        <v>58</v>
      </c>
      <c r="G476" s="5">
        <v>44263</v>
      </c>
      <c r="H476" s="5">
        <v>44291</v>
      </c>
      <c r="J476" s="5" t="s">
        <v>431</v>
      </c>
      <c r="K476" s="5" t="s">
        <v>387</v>
      </c>
      <c r="O476" t="s">
        <v>26</v>
      </c>
      <c r="S476">
        <f t="shared" si="7"/>
        <v>-44291</v>
      </c>
    </row>
    <row r="477" spans="1:19" x14ac:dyDescent="0.25">
      <c r="A477" t="s">
        <v>71</v>
      </c>
      <c r="B477">
        <v>225891</v>
      </c>
      <c r="C477" t="s">
        <v>76</v>
      </c>
      <c r="D477" t="s">
        <v>366</v>
      </c>
      <c r="E477" t="s">
        <v>58</v>
      </c>
      <c r="G477" s="5">
        <v>44263</v>
      </c>
      <c r="H477" s="5">
        <v>44291</v>
      </c>
      <c r="J477" s="5" t="s">
        <v>432</v>
      </c>
      <c r="K477" s="5" t="s">
        <v>387</v>
      </c>
      <c r="O477" t="s">
        <v>26</v>
      </c>
      <c r="S477">
        <f t="shared" si="7"/>
        <v>-44291</v>
      </c>
    </row>
    <row r="478" spans="1:19" x14ac:dyDescent="0.25">
      <c r="A478" t="s">
        <v>29</v>
      </c>
      <c r="B478">
        <v>229813</v>
      </c>
      <c r="C478" t="s">
        <v>76</v>
      </c>
      <c r="D478" t="s">
        <v>433</v>
      </c>
      <c r="E478" t="s">
        <v>58</v>
      </c>
      <c r="G478" s="5">
        <v>44285</v>
      </c>
      <c r="H478" s="5">
        <v>44295</v>
      </c>
      <c r="J478" s="5" t="s">
        <v>511</v>
      </c>
      <c r="K478" s="5" t="s">
        <v>387</v>
      </c>
      <c r="L478" t="s">
        <v>57</v>
      </c>
      <c r="M478" t="s">
        <v>33</v>
      </c>
      <c r="O478" t="s">
        <v>37</v>
      </c>
      <c r="S478">
        <f t="shared" si="7"/>
        <v>-44295</v>
      </c>
    </row>
    <row r="479" spans="1:19" x14ac:dyDescent="0.25">
      <c r="A479" t="s">
        <v>29</v>
      </c>
      <c r="B479">
        <v>229813</v>
      </c>
      <c r="C479" t="s">
        <v>19</v>
      </c>
      <c r="D479" t="s">
        <v>433</v>
      </c>
      <c r="E479" t="s">
        <v>58</v>
      </c>
      <c r="F479">
        <v>1</v>
      </c>
      <c r="G479" s="5">
        <v>44285</v>
      </c>
      <c r="H479" s="5">
        <v>44300</v>
      </c>
      <c r="J479" s="5" t="s">
        <v>512</v>
      </c>
      <c r="K479" s="5" t="s">
        <v>387</v>
      </c>
      <c r="L479" t="s">
        <v>57</v>
      </c>
      <c r="M479" t="s">
        <v>33</v>
      </c>
      <c r="O479" t="s">
        <v>37</v>
      </c>
      <c r="S479">
        <f t="shared" si="7"/>
        <v>-44300</v>
      </c>
    </row>
    <row r="480" spans="1:19" x14ac:dyDescent="0.25">
      <c r="A480" t="s">
        <v>29</v>
      </c>
      <c r="B480">
        <v>229915</v>
      </c>
      <c r="C480" t="s">
        <v>76</v>
      </c>
      <c r="D480" t="s">
        <v>434</v>
      </c>
      <c r="E480" t="s">
        <v>82</v>
      </c>
      <c r="F480">
        <v>1</v>
      </c>
      <c r="G480" s="5">
        <v>44280</v>
      </c>
      <c r="J480" s="5" t="s">
        <v>513</v>
      </c>
      <c r="K480" s="5" t="s">
        <v>383</v>
      </c>
      <c r="L480" t="s">
        <v>57</v>
      </c>
      <c r="M480" t="s">
        <v>82</v>
      </c>
      <c r="O480" t="s">
        <v>37</v>
      </c>
      <c r="S480">
        <f t="shared" si="7"/>
        <v>0</v>
      </c>
    </row>
    <row r="481" spans="1:19" x14ac:dyDescent="0.25">
      <c r="A481" t="s">
        <v>299</v>
      </c>
      <c r="B481">
        <v>230598</v>
      </c>
      <c r="C481" t="s">
        <v>139</v>
      </c>
      <c r="D481" t="s">
        <v>372</v>
      </c>
      <c r="E481" t="s">
        <v>45</v>
      </c>
      <c r="G481" s="5">
        <v>44284</v>
      </c>
      <c r="H481" s="5">
        <v>44287</v>
      </c>
      <c r="I481" s="5">
        <v>44286</v>
      </c>
      <c r="K481" s="5" t="s">
        <v>383</v>
      </c>
      <c r="L481" t="s">
        <v>57</v>
      </c>
      <c r="M481" t="s">
        <v>25</v>
      </c>
      <c r="O481" t="s">
        <v>37</v>
      </c>
      <c r="S481">
        <f t="shared" si="7"/>
        <v>-1</v>
      </c>
    </row>
    <row r="482" spans="1:19" x14ac:dyDescent="0.25">
      <c r="A482" t="s">
        <v>299</v>
      </c>
      <c r="B482">
        <v>230598</v>
      </c>
      <c r="C482" t="s">
        <v>139</v>
      </c>
      <c r="D482" t="s">
        <v>372</v>
      </c>
      <c r="E482" t="s">
        <v>106</v>
      </c>
      <c r="G482" s="5">
        <v>44284</v>
      </c>
      <c r="H482" s="5">
        <v>44287</v>
      </c>
      <c r="I482" s="5">
        <v>44286</v>
      </c>
      <c r="K482" s="5" t="s">
        <v>383</v>
      </c>
      <c r="L482" t="s">
        <v>57</v>
      </c>
      <c r="M482" t="s">
        <v>25</v>
      </c>
      <c r="O482" t="s">
        <v>37</v>
      </c>
      <c r="S482">
        <f t="shared" si="7"/>
        <v>-1</v>
      </c>
    </row>
    <row r="483" spans="1:19" x14ac:dyDescent="0.25">
      <c r="A483" t="s">
        <v>299</v>
      </c>
      <c r="B483">
        <v>230598</v>
      </c>
      <c r="C483" t="s">
        <v>139</v>
      </c>
      <c r="D483" t="s">
        <v>372</v>
      </c>
      <c r="E483" t="s">
        <v>21</v>
      </c>
      <c r="G483" s="5">
        <v>44284</v>
      </c>
      <c r="H483" s="5">
        <v>44287</v>
      </c>
      <c r="I483" s="5">
        <v>44286</v>
      </c>
      <c r="K483" s="5" t="s">
        <v>383</v>
      </c>
      <c r="L483" t="s">
        <v>57</v>
      </c>
      <c r="M483" t="s">
        <v>25</v>
      </c>
      <c r="O483" t="s">
        <v>37</v>
      </c>
      <c r="S483">
        <f t="shared" si="7"/>
        <v>-1</v>
      </c>
    </row>
    <row r="484" spans="1:19" x14ac:dyDescent="0.25">
      <c r="A484" t="s">
        <v>299</v>
      </c>
      <c r="B484">
        <v>230598</v>
      </c>
      <c r="C484" t="s">
        <v>139</v>
      </c>
      <c r="D484" t="s">
        <v>372</v>
      </c>
      <c r="E484" t="s">
        <v>40</v>
      </c>
      <c r="F484">
        <v>3</v>
      </c>
      <c r="G484" s="5">
        <v>44284</v>
      </c>
      <c r="H484" s="5">
        <v>44287</v>
      </c>
      <c r="I484" s="5">
        <v>44286</v>
      </c>
      <c r="K484" s="5" t="s">
        <v>383</v>
      </c>
      <c r="L484" t="s">
        <v>57</v>
      </c>
      <c r="M484" t="s">
        <v>25</v>
      </c>
      <c r="O484" t="s">
        <v>37</v>
      </c>
      <c r="S484">
        <f t="shared" si="7"/>
        <v>-1</v>
      </c>
    </row>
    <row r="485" spans="1:19" x14ac:dyDescent="0.25">
      <c r="A485" t="s">
        <v>38</v>
      </c>
      <c r="B485" t="s">
        <v>60</v>
      </c>
      <c r="C485" t="s">
        <v>410</v>
      </c>
      <c r="D485" t="s">
        <v>435</v>
      </c>
      <c r="O485" t="s">
        <v>37</v>
      </c>
      <c r="S485">
        <f t="shared" si="7"/>
        <v>0</v>
      </c>
    </row>
    <row r="486" spans="1:19" x14ac:dyDescent="0.25">
      <c r="A486" t="s">
        <v>38</v>
      </c>
      <c r="B486" t="s">
        <v>60</v>
      </c>
      <c r="C486" t="s">
        <v>76</v>
      </c>
      <c r="D486" t="s">
        <v>435</v>
      </c>
      <c r="E486" t="s">
        <v>301</v>
      </c>
      <c r="J486" s="5" t="s">
        <v>514</v>
      </c>
      <c r="O486" t="s">
        <v>37</v>
      </c>
      <c r="S486">
        <f t="shared" si="7"/>
        <v>0</v>
      </c>
    </row>
    <row r="487" spans="1:19" x14ac:dyDescent="0.25">
      <c r="A487" t="s">
        <v>38</v>
      </c>
      <c r="B487" t="s">
        <v>60</v>
      </c>
      <c r="C487" t="s">
        <v>76</v>
      </c>
      <c r="D487" t="s">
        <v>435</v>
      </c>
      <c r="E487" t="s">
        <v>82</v>
      </c>
      <c r="J487" s="5" t="s">
        <v>515</v>
      </c>
      <c r="O487" t="s">
        <v>37</v>
      </c>
      <c r="S487">
        <f t="shared" si="7"/>
        <v>0</v>
      </c>
    </row>
    <row r="488" spans="1:19" x14ac:dyDescent="0.25">
      <c r="A488" t="s">
        <v>38</v>
      </c>
      <c r="B488" t="s">
        <v>246</v>
      </c>
      <c r="C488" t="s">
        <v>19</v>
      </c>
      <c r="D488" t="s">
        <v>436</v>
      </c>
      <c r="E488" t="s">
        <v>42</v>
      </c>
      <c r="G488" s="5">
        <v>44284</v>
      </c>
      <c r="H488" s="5">
        <v>44295</v>
      </c>
      <c r="J488" s="5" t="s">
        <v>437</v>
      </c>
      <c r="K488" s="5" t="s">
        <v>387</v>
      </c>
      <c r="L488" t="s">
        <v>24</v>
      </c>
      <c r="M488" t="s">
        <v>33</v>
      </c>
      <c r="O488" t="s">
        <v>26</v>
      </c>
      <c r="S488">
        <f t="shared" si="7"/>
        <v>-44295</v>
      </c>
    </row>
    <row r="489" spans="1:19" x14ac:dyDescent="0.25">
      <c r="A489" t="s">
        <v>38</v>
      </c>
      <c r="B489" t="s">
        <v>246</v>
      </c>
      <c r="C489" t="s">
        <v>76</v>
      </c>
      <c r="D489" t="s">
        <v>436</v>
      </c>
      <c r="E489" t="s">
        <v>42</v>
      </c>
      <c r="G489" s="5">
        <v>44284</v>
      </c>
      <c r="H489" s="5">
        <v>44294</v>
      </c>
      <c r="J489" s="5" t="s">
        <v>438</v>
      </c>
      <c r="K489" s="5" t="s">
        <v>387</v>
      </c>
      <c r="L489" t="s">
        <v>24</v>
      </c>
      <c r="M489" t="s">
        <v>33</v>
      </c>
      <c r="O489" t="s">
        <v>26</v>
      </c>
      <c r="S489">
        <f t="shared" si="7"/>
        <v>-44294</v>
      </c>
    </row>
    <row r="490" spans="1:19" x14ac:dyDescent="0.25">
      <c r="A490" t="s">
        <v>38</v>
      </c>
      <c r="B490">
        <v>229683</v>
      </c>
      <c r="C490" t="s">
        <v>76</v>
      </c>
      <c r="D490" t="s">
        <v>439</v>
      </c>
      <c r="E490" t="s">
        <v>73</v>
      </c>
      <c r="G490" s="5">
        <v>44285</v>
      </c>
      <c r="H490" s="5">
        <v>44292</v>
      </c>
      <c r="J490" s="5" t="s">
        <v>440</v>
      </c>
      <c r="K490" s="5" t="s">
        <v>387</v>
      </c>
      <c r="L490" t="s">
        <v>24</v>
      </c>
      <c r="M490" t="s">
        <v>33</v>
      </c>
      <c r="O490" t="s">
        <v>26</v>
      </c>
      <c r="S490">
        <f t="shared" si="7"/>
        <v>-44292</v>
      </c>
    </row>
    <row r="491" spans="1:19" x14ac:dyDescent="0.25">
      <c r="A491" t="s">
        <v>38</v>
      </c>
      <c r="B491">
        <v>229683</v>
      </c>
      <c r="C491" t="s">
        <v>76</v>
      </c>
      <c r="D491" t="s">
        <v>439</v>
      </c>
      <c r="E491" t="s">
        <v>82</v>
      </c>
      <c r="G491" s="5">
        <v>44285</v>
      </c>
      <c r="J491" s="5" t="s">
        <v>441</v>
      </c>
      <c r="K491" s="5" t="s">
        <v>387</v>
      </c>
      <c r="L491" t="s">
        <v>24</v>
      </c>
      <c r="M491" t="s">
        <v>33</v>
      </c>
      <c r="O491" t="s">
        <v>26</v>
      </c>
      <c r="S491">
        <f t="shared" si="7"/>
        <v>0</v>
      </c>
    </row>
    <row r="492" spans="1:19" x14ac:dyDescent="0.25">
      <c r="A492" t="s">
        <v>38</v>
      </c>
      <c r="B492">
        <v>229683</v>
      </c>
      <c r="C492" t="s">
        <v>19</v>
      </c>
      <c r="D492" t="s">
        <v>439</v>
      </c>
      <c r="E492" t="s">
        <v>32</v>
      </c>
      <c r="G492" s="5">
        <v>44285</v>
      </c>
      <c r="H492" s="5">
        <v>44295</v>
      </c>
      <c r="J492" s="5" t="s">
        <v>442</v>
      </c>
      <c r="K492" s="5" t="s">
        <v>387</v>
      </c>
      <c r="L492" t="s">
        <v>24</v>
      </c>
      <c r="M492" t="s">
        <v>33</v>
      </c>
      <c r="O492" t="s">
        <v>26</v>
      </c>
      <c r="S492">
        <f t="shared" si="7"/>
        <v>-44295</v>
      </c>
    </row>
    <row r="493" spans="1:19" x14ac:dyDescent="0.25">
      <c r="A493" t="s">
        <v>48</v>
      </c>
      <c r="B493">
        <v>231835</v>
      </c>
      <c r="C493" t="s">
        <v>139</v>
      </c>
      <c r="D493" t="s">
        <v>516</v>
      </c>
      <c r="E493" t="s">
        <v>45</v>
      </c>
      <c r="F493">
        <v>1</v>
      </c>
      <c r="G493" s="5">
        <v>44291</v>
      </c>
      <c r="H493" s="5">
        <v>44293</v>
      </c>
      <c r="K493" s="5" t="s">
        <v>383</v>
      </c>
      <c r="L493" t="s">
        <v>57</v>
      </c>
      <c r="M493" t="s">
        <v>25</v>
      </c>
      <c r="O493" t="s">
        <v>37</v>
      </c>
      <c r="S493">
        <f t="shared" si="7"/>
        <v>-44293</v>
      </c>
    </row>
    <row r="494" spans="1:19" x14ac:dyDescent="0.25">
      <c r="A494" t="s">
        <v>48</v>
      </c>
      <c r="B494">
        <v>231835</v>
      </c>
      <c r="C494" t="s">
        <v>139</v>
      </c>
      <c r="D494" t="s">
        <v>516</v>
      </c>
      <c r="E494" t="s">
        <v>70</v>
      </c>
      <c r="F494">
        <v>1</v>
      </c>
      <c r="G494" s="5">
        <v>44291</v>
      </c>
      <c r="H494" s="5">
        <v>44293</v>
      </c>
      <c r="K494" s="5" t="s">
        <v>383</v>
      </c>
      <c r="L494" t="s">
        <v>36</v>
      </c>
      <c r="M494" t="s">
        <v>25</v>
      </c>
      <c r="O494" t="s">
        <v>37</v>
      </c>
      <c r="S494">
        <f t="shared" si="7"/>
        <v>-44293</v>
      </c>
    </row>
    <row r="495" spans="1:19" x14ac:dyDescent="0.25">
      <c r="A495" t="s">
        <v>48</v>
      </c>
      <c r="B495">
        <v>231835</v>
      </c>
      <c r="C495" t="s">
        <v>139</v>
      </c>
      <c r="D495" t="s">
        <v>516</v>
      </c>
      <c r="E495" t="s">
        <v>21</v>
      </c>
      <c r="F495">
        <v>1</v>
      </c>
      <c r="G495" s="5">
        <v>44291</v>
      </c>
      <c r="H495" s="5">
        <v>44293</v>
      </c>
      <c r="K495" s="5" t="s">
        <v>383</v>
      </c>
      <c r="L495" t="s">
        <v>57</v>
      </c>
      <c r="M495" t="s">
        <v>25</v>
      </c>
      <c r="O495" t="s">
        <v>37</v>
      </c>
      <c r="S495">
        <f t="shared" si="7"/>
        <v>-44293</v>
      </c>
    </row>
    <row r="496" spans="1:19" x14ac:dyDescent="0.25">
      <c r="A496" t="s">
        <v>48</v>
      </c>
      <c r="B496">
        <v>231835</v>
      </c>
      <c r="C496" t="s">
        <v>139</v>
      </c>
      <c r="D496" t="s">
        <v>516</v>
      </c>
      <c r="E496" t="s">
        <v>40</v>
      </c>
      <c r="F496">
        <v>3</v>
      </c>
      <c r="G496" s="5">
        <v>44291</v>
      </c>
      <c r="H496" s="5">
        <v>44293</v>
      </c>
      <c r="K496" s="5" t="s">
        <v>383</v>
      </c>
      <c r="L496" t="s">
        <v>57</v>
      </c>
      <c r="M496" t="s">
        <v>25</v>
      </c>
      <c r="O496" t="s">
        <v>37</v>
      </c>
      <c r="S496">
        <f t="shared" si="7"/>
        <v>-44293</v>
      </c>
    </row>
    <row r="497" spans="1:19" x14ac:dyDescent="0.25">
      <c r="A497" t="s">
        <v>48</v>
      </c>
      <c r="B497">
        <v>231835</v>
      </c>
      <c r="C497" t="s">
        <v>139</v>
      </c>
      <c r="D497" t="s">
        <v>516</v>
      </c>
      <c r="E497" t="s">
        <v>106</v>
      </c>
      <c r="F497">
        <v>2</v>
      </c>
      <c r="G497" s="5">
        <v>44291</v>
      </c>
      <c r="H497" s="5">
        <v>44293</v>
      </c>
      <c r="K497" s="5" t="s">
        <v>383</v>
      </c>
      <c r="L497" t="s">
        <v>57</v>
      </c>
      <c r="M497" t="s">
        <v>25</v>
      </c>
      <c r="O497" t="s">
        <v>37</v>
      </c>
      <c r="S497">
        <f t="shared" si="7"/>
        <v>-44293</v>
      </c>
    </row>
    <row r="498" spans="1:19" x14ac:dyDescent="0.25">
      <c r="A498" t="s">
        <v>48</v>
      </c>
      <c r="B498">
        <v>231835</v>
      </c>
      <c r="C498" t="s">
        <v>139</v>
      </c>
      <c r="D498" t="s">
        <v>516</v>
      </c>
      <c r="E498" t="s">
        <v>68</v>
      </c>
      <c r="F498">
        <v>2</v>
      </c>
      <c r="G498" s="5">
        <v>44291</v>
      </c>
      <c r="H498" s="5">
        <v>44293</v>
      </c>
      <c r="K498" s="5" t="s">
        <v>383</v>
      </c>
      <c r="L498" t="s">
        <v>57</v>
      </c>
      <c r="M498" t="s">
        <v>25</v>
      </c>
      <c r="O498" t="s">
        <v>37</v>
      </c>
      <c r="S498">
        <f t="shared" si="7"/>
        <v>-44293</v>
      </c>
    </row>
    <row r="499" spans="1:19" x14ac:dyDescent="0.25">
      <c r="A499" t="s">
        <v>29</v>
      </c>
      <c r="B499">
        <v>231497</v>
      </c>
      <c r="C499" t="s">
        <v>410</v>
      </c>
      <c r="D499" t="s">
        <v>517</v>
      </c>
      <c r="E499" t="s">
        <v>47</v>
      </c>
      <c r="F499">
        <v>10</v>
      </c>
      <c r="G499" s="5">
        <v>44287</v>
      </c>
      <c r="H499" s="5">
        <v>44293</v>
      </c>
      <c r="J499" s="5" t="s">
        <v>518</v>
      </c>
      <c r="K499" s="5" t="s">
        <v>387</v>
      </c>
      <c r="L499" t="s">
        <v>57</v>
      </c>
      <c r="M499" t="s">
        <v>25</v>
      </c>
      <c r="O499" t="s">
        <v>37</v>
      </c>
      <c r="S499">
        <f t="shared" si="7"/>
        <v>-44293</v>
      </c>
    </row>
    <row r="500" spans="1:19" x14ac:dyDescent="0.25">
      <c r="A500" t="s">
        <v>38</v>
      </c>
      <c r="B500">
        <v>231804</v>
      </c>
      <c r="C500" t="s">
        <v>410</v>
      </c>
      <c r="D500" t="s">
        <v>519</v>
      </c>
      <c r="E500" t="s">
        <v>58</v>
      </c>
      <c r="G500" s="5">
        <v>44291</v>
      </c>
      <c r="H500" s="5">
        <v>44294</v>
      </c>
      <c r="K500" s="5" t="s">
        <v>387</v>
      </c>
      <c r="L500" t="s">
        <v>57</v>
      </c>
      <c r="M500" t="s">
        <v>25</v>
      </c>
      <c r="O500" t="s">
        <v>37</v>
      </c>
      <c r="S500">
        <f t="shared" si="7"/>
        <v>-44294</v>
      </c>
    </row>
    <row r="501" spans="1:19" x14ac:dyDescent="0.25">
      <c r="A501" t="s">
        <v>29</v>
      </c>
      <c r="B501">
        <v>231826</v>
      </c>
      <c r="C501" t="s">
        <v>76</v>
      </c>
      <c r="D501" t="s">
        <v>520</v>
      </c>
      <c r="E501" t="s">
        <v>58</v>
      </c>
      <c r="G501" s="5">
        <v>44291</v>
      </c>
      <c r="H501" s="5">
        <v>44293</v>
      </c>
      <c r="J501" s="5" t="s">
        <v>521</v>
      </c>
      <c r="K501" s="5" t="s">
        <v>387</v>
      </c>
      <c r="L501" t="s">
        <v>24</v>
      </c>
      <c r="M501" t="s">
        <v>25</v>
      </c>
      <c r="O501" t="s">
        <v>26</v>
      </c>
      <c r="S501">
        <f t="shared" si="7"/>
        <v>-44293</v>
      </c>
    </row>
    <row r="502" spans="1:19" x14ac:dyDescent="0.25">
      <c r="A502" t="s">
        <v>29</v>
      </c>
      <c r="B502">
        <v>231826</v>
      </c>
      <c r="C502" t="s">
        <v>19</v>
      </c>
      <c r="D502" t="s">
        <v>520</v>
      </c>
      <c r="E502" t="s">
        <v>58</v>
      </c>
      <c r="G502" s="5">
        <v>44291</v>
      </c>
      <c r="H502" s="5">
        <v>44305</v>
      </c>
      <c r="J502" s="5" t="s">
        <v>521</v>
      </c>
      <c r="K502" s="5" t="s">
        <v>387</v>
      </c>
      <c r="L502" t="s">
        <v>24</v>
      </c>
      <c r="M502" t="s">
        <v>25</v>
      </c>
      <c r="O502" t="s">
        <v>26</v>
      </c>
      <c r="S502">
        <f t="shared" si="7"/>
        <v>-44305</v>
      </c>
    </row>
    <row r="503" spans="1:19" x14ac:dyDescent="0.25">
      <c r="A503" t="s">
        <v>29</v>
      </c>
      <c r="B503">
        <v>231829</v>
      </c>
      <c r="C503" t="s">
        <v>19</v>
      </c>
      <c r="D503" t="s">
        <v>522</v>
      </c>
      <c r="E503" t="s">
        <v>58</v>
      </c>
      <c r="G503" s="5">
        <v>44291</v>
      </c>
      <c r="J503" s="5" t="s">
        <v>523</v>
      </c>
      <c r="K503" s="5" t="s">
        <v>387</v>
      </c>
      <c r="M503" t="s">
        <v>25</v>
      </c>
      <c r="O503" t="s">
        <v>26</v>
      </c>
      <c r="S503">
        <f t="shared" si="7"/>
        <v>0</v>
      </c>
    </row>
    <row r="504" spans="1:19" x14ac:dyDescent="0.25">
      <c r="A504" t="s">
        <v>191</v>
      </c>
      <c r="B504">
        <v>231933</v>
      </c>
      <c r="C504" t="s">
        <v>410</v>
      </c>
      <c r="D504" t="s">
        <v>524</v>
      </c>
      <c r="E504" t="s">
        <v>83</v>
      </c>
      <c r="G504" s="5">
        <v>44292</v>
      </c>
      <c r="H504" s="5">
        <v>44293</v>
      </c>
      <c r="K504" s="5" t="s">
        <v>387</v>
      </c>
      <c r="L504" t="s">
        <v>36</v>
      </c>
      <c r="M504" t="s">
        <v>25</v>
      </c>
      <c r="O504" t="s">
        <v>37</v>
      </c>
      <c r="S504">
        <f t="shared" si="7"/>
        <v>-44293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66" workbookViewId="0">
      <selection activeCell="C91" sqref="C91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443</v>
      </c>
      <c r="I1" s="7" t="s">
        <v>16</v>
      </c>
      <c r="J1" s="8" t="s">
        <v>444</v>
      </c>
    </row>
    <row r="2" spans="1:10" x14ac:dyDescent="0.25">
      <c r="A2" s="1" t="s">
        <v>445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285</v>
      </c>
      <c r="J2" t="s">
        <v>285</v>
      </c>
    </row>
    <row r="3" spans="1:10" ht="15" customHeight="1" x14ac:dyDescent="0.25">
      <c r="A3" s="1" t="s">
        <v>38</v>
      </c>
      <c r="B3" t="s">
        <v>63</v>
      </c>
      <c r="C3" t="s">
        <v>150</v>
      </c>
      <c r="E3" s="2" t="s">
        <v>383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 x14ac:dyDescent="0.25">
      <c r="A4" s="1" t="s">
        <v>446</v>
      </c>
      <c r="B4" t="s">
        <v>99</v>
      </c>
      <c r="C4" t="s">
        <v>78</v>
      </c>
      <c r="E4" s="1" t="s">
        <v>387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 x14ac:dyDescent="0.25">
      <c r="A5" s="1" t="s">
        <v>95</v>
      </c>
      <c r="B5" t="s">
        <v>447</v>
      </c>
      <c r="C5" t="s">
        <v>448</v>
      </c>
      <c r="E5" s="4" t="s">
        <v>378</v>
      </c>
      <c r="F5" s="1" t="s">
        <v>449</v>
      </c>
      <c r="G5" s="1" t="s">
        <v>73</v>
      </c>
      <c r="H5" s="1"/>
      <c r="I5" t="s">
        <v>53</v>
      </c>
      <c r="J5" t="s">
        <v>53</v>
      </c>
    </row>
    <row r="6" spans="1:10" ht="15" customHeight="1" x14ac:dyDescent="0.25">
      <c r="A6" s="1" t="s">
        <v>181</v>
      </c>
      <c r="B6" s="1" t="s">
        <v>450</v>
      </c>
      <c r="C6" t="s">
        <v>109</v>
      </c>
      <c r="E6" s="9" t="s">
        <v>385</v>
      </c>
      <c r="F6" s="1" t="s">
        <v>36</v>
      </c>
      <c r="G6" s="1" t="s">
        <v>326</v>
      </c>
      <c r="H6" s="1"/>
      <c r="I6" t="s">
        <v>28</v>
      </c>
      <c r="J6" t="s">
        <v>28</v>
      </c>
    </row>
    <row r="7" spans="1:10" ht="15" customHeight="1" x14ac:dyDescent="0.25">
      <c r="A7" s="1" t="s">
        <v>48</v>
      </c>
      <c r="B7" t="s">
        <v>189</v>
      </c>
      <c r="C7" t="s">
        <v>451</v>
      </c>
      <c r="G7" s="1" t="s">
        <v>212</v>
      </c>
      <c r="H7" s="1"/>
    </row>
    <row r="8" spans="1:10" ht="15" customHeight="1" x14ac:dyDescent="0.25">
      <c r="A8" s="1" t="s">
        <v>452</v>
      </c>
      <c r="B8" s="1" t="s">
        <v>410</v>
      </c>
      <c r="C8" t="s">
        <v>101</v>
      </c>
      <c r="D8" s="1"/>
      <c r="G8" s="1"/>
      <c r="H8" s="1"/>
    </row>
    <row r="9" spans="1:10" ht="15" customHeight="1" x14ac:dyDescent="0.25">
      <c r="A9" s="1" t="s">
        <v>360</v>
      </c>
      <c r="B9" t="s">
        <v>453</v>
      </c>
      <c r="C9" t="s">
        <v>40</v>
      </c>
      <c r="D9" s="1"/>
      <c r="H9" s="1"/>
    </row>
    <row r="10" spans="1:10" ht="15" customHeight="1" x14ac:dyDescent="0.25">
      <c r="A10" s="1" t="s">
        <v>158</v>
      </c>
      <c r="B10" t="s">
        <v>454</v>
      </c>
      <c r="C10" t="s">
        <v>455</v>
      </c>
      <c r="D10" s="1"/>
      <c r="H10" s="1"/>
    </row>
    <row r="11" spans="1:10" ht="15" customHeight="1" x14ac:dyDescent="0.25">
      <c r="A11" s="1" t="s">
        <v>18</v>
      </c>
      <c r="B11" s="1" t="s">
        <v>139</v>
      </c>
      <c r="C11" t="s">
        <v>144</v>
      </c>
      <c r="D11" s="1"/>
      <c r="G11" s="1"/>
      <c r="H11" s="1"/>
    </row>
    <row r="12" spans="1:10" ht="15" customHeight="1" x14ac:dyDescent="0.25">
      <c r="A12" s="1" t="s">
        <v>34</v>
      </c>
      <c r="B12" t="s">
        <v>76</v>
      </c>
      <c r="C12" t="s">
        <v>110</v>
      </c>
      <c r="D12" s="1"/>
      <c r="G12" s="1"/>
      <c r="H12" s="1"/>
    </row>
    <row r="13" spans="1:10" ht="15" customHeight="1" x14ac:dyDescent="0.25">
      <c r="A13" s="1" t="s">
        <v>86</v>
      </c>
      <c r="B13" s="1" t="s">
        <v>456</v>
      </c>
      <c r="C13" t="s">
        <v>457</v>
      </c>
      <c r="D13" s="1"/>
      <c r="G13" s="1"/>
      <c r="H13" s="1"/>
    </row>
    <row r="14" spans="1:10" ht="15" customHeight="1" x14ac:dyDescent="0.25">
      <c r="A14" s="1" t="s">
        <v>255</v>
      </c>
      <c r="B14" t="s">
        <v>61</v>
      </c>
      <c r="C14" t="s">
        <v>194</v>
      </c>
      <c r="D14" s="1"/>
      <c r="G14" s="1"/>
      <c r="H14" s="1"/>
    </row>
    <row r="15" spans="1:10" ht="15" customHeight="1" x14ac:dyDescent="0.25">
      <c r="A15" s="1" t="s">
        <v>299</v>
      </c>
      <c r="B15" t="s">
        <v>458</v>
      </c>
      <c r="C15" t="s">
        <v>459</v>
      </c>
      <c r="D15" s="1"/>
      <c r="H15" s="1"/>
    </row>
    <row r="16" spans="1:10" ht="15" customHeight="1" x14ac:dyDescent="0.25">
      <c r="A16" s="1" t="s">
        <v>51</v>
      </c>
      <c r="B16" t="s">
        <v>30</v>
      </c>
      <c r="C16" t="s">
        <v>58</v>
      </c>
      <c r="D16" s="1"/>
      <c r="H16" s="1"/>
    </row>
    <row r="17" spans="1:8" ht="15" customHeight="1" x14ac:dyDescent="0.25">
      <c r="A17" s="1" t="s">
        <v>162</v>
      </c>
      <c r="B17" t="s">
        <v>460</v>
      </c>
      <c r="C17" t="s">
        <v>200</v>
      </c>
      <c r="D17" s="1"/>
      <c r="H17" s="1"/>
    </row>
    <row r="18" spans="1:8" ht="15" customHeight="1" x14ac:dyDescent="0.25">
      <c r="A18" s="1" t="s">
        <v>129</v>
      </c>
      <c r="B18" t="s">
        <v>137</v>
      </c>
      <c r="C18" t="s">
        <v>461</v>
      </c>
      <c r="D18" s="1"/>
      <c r="H18" s="1"/>
    </row>
    <row r="19" spans="1:8" ht="15" customHeight="1" x14ac:dyDescent="0.25">
      <c r="A19" s="1" t="s">
        <v>75</v>
      </c>
      <c r="B19" t="s">
        <v>19</v>
      </c>
      <c r="C19" t="s">
        <v>218</v>
      </c>
      <c r="D19" s="1"/>
      <c r="H19" s="1"/>
    </row>
    <row r="20" spans="1:8" ht="15" customHeight="1" x14ac:dyDescent="0.25">
      <c r="A20" s="1" t="s">
        <v>29</v>
      </c>
      <c r="B20" s="1"/>
      <c r="C20" t="s">
        <v>115</v>
      </c>
      <c r="D20" s="1"/>
    </row>
    <row r="21" spans="1:8" ht="15" customHeight="1" x14ac:dyDescent="0.25">
      <c r="A21" s="1" t="s">
        <v>131</v>
      </c>
      <c r="B21" s="1"/>
      <c r="C21" t="s">
        <v>133</v>
      </c>
      <c r="D21" s="1"/>
    </row>
    <row r="22" spans="1:8" ht="15" customHeight="1" x14ac:dyDescent="0.25">
      <c r="A22" s="1" t="s">
        <v>191</v>
      </c>
      <c r="B22" s="1"/>
      <c r="C22" t="s">
        <v>68</v>
      </c>
      <c r="D22" s="1"/>
    </row>
    <row r="23" spans="1:8" ht="15" customHeight="1" x14ac:dyDescent="0.25">
      <c r="A23" s="1" t="s">
        <v>462</v>
      </c>
      <c r="B23" s="1"/>
      <c r="C23" t="s">
        <v>85</v>
      </c>
      <c r="D23" s="1"/>
    </row>
    <row r="24" spans="1:8" ht="15" customHeight="1" x14ac:dyDescent="0.25">
      <c r="A24" s="1" t="s">
        <v>71</v>
      </c>
      <c r="B24" s="1"/>
      <c r="C24" t="s">
        <v>463</v>
      </c>
    </row>
    <row r="25" spans="1:8" ht="15" customHeight="1" x14ac:dyDescent="0.25">
      <c r="A25" s="1" t="s">
        <v>59</v>
      </c>
      <c r="B25" s="1"/>
      <c r="C25" t="s">
        <v>268</v>
      </c>
    </row>
    <row r="26" spans="1:8" ht="15" customHeight="1" x14ac:dyDescent="0.25">
      <c r="A26" s="1"/>
      <c r="B26" s="1"/>
      <c r="C26" t="s">
        <v>32</v>
      </c>
    </row>
    <row r="27" spans="1:8" ht="15" customHeight="1" x14ac:dyDescent="0.25">
      <c r="A27" s="1"/>
      <c r="B27" s="1"/>
      <c r="C27" t="s">
        <v>66</v>
      </c>
    </row>
    <row r="28" spans="1:8" ht="15" customHeight="1" x14ac:dyDescent="0.25">
      <c r="A28" s="1"/>
      <c r="B28" s="1"/>
      <c r="C28" t="s">
        <v>169</v>
      </c>
    </row>
    <row r="29" spans="1:8" ht="15" customHeight="1" x14ac:dyDescent="0.25">
      <c r="A29" s="1"/>
      <c r="B29" s="1"/>
      <c r="C29" t="s">
        <v>344</v>
      </c>
    </row>
    <row r="30" spans="1:8" ht="15" customHeight="1" x14ac:dyDescent="0.25">
      <c r="A30" s="1"/>
      <c r="B30" s="1"/>
      <c r="C30" t="s">
        <v>277</v>
      </c>
    </row>
    <row r="31" spans="1:8" ht="15" customHeight="1" x14ac:dyDescent="0.25">
      <c r="A31" s="1"/>
      <c r="B31" s="1"/>
      <c r="C31" t="s">
        <v>21</v>
      </c>
    </row>
    <row r="32" spans="1:8" ht="15" customHeight="1" x14ac:dyDescent="0.25">
      <c r="A32" s="1"/>
      <c r="B32" s="1"/>
      <c r="C32" t="s">
        <v>141</v>
      </c>
    </row>
    <row r="33" spans="1:4" ht="15" customHeight="1" x14ac:dyDescent="0.25">
      <c r="A33" s="1"/>
      <c r="B33" s="1"/>
      <c r="C33" t="s">
        <v>464</v>
      </c>
    </row>
    <row r="34" spans="1:4" ht="15" customHeight="1" x14ac:dyDescent="0.25">
      <c r="A34" s="1"/>
      <c r="B34" s="1"/>
      <c r="C34" t="s">
        <v>50</v>
      </c>
    </row>
    <row r="35" spans="1:4" ht="15" customHeight="1" x14ac:dyDescent="0.25">
      <c r="A35" s="1"/>
      <c r="B35" s="1"/>
      <c r="C35" t="s">
        <v>465</v>
      </c>
    </row>
    <row r="36" spans="1:4" ht="15" customHeight="1" x14ac:dyDescent="0.25">
      <c r="A36" s="1"/>
      <c r="B36" s="1"/>
      <c r="C36" t="s">
        <v>198</v>
      </c>
    </row>
    <row r="37" spans="1:4" ht="15" customHeight="1" x14ac:dyDescent="0.25">
      <c r="A37" s="1"/>
      <c r="B37" s="1"/>
      <c r="C37" t="s">
        <v>97</v>
      </c>
      <c r="D37" s="1"/>
    </row>
    <row r="38" spans="1:4" ht="15" customHeight="1" x14ac:dyDescent="0.25">
      <c r="A38" s="1"/>
      <c r="B38" s="1"/>
      <c r="C38" t="s">
        <v>113</v>
      </c>
      <c r="D38" s="1"/>
    </row>
    <row r="39" spans="1:4" ht="15" customHeight="1" x14ac:dyDescent="0.25">
      <c r="A39" s="1"/>
      <c r="B39" s="1"/>
      <c r="C39" t="s">
        <v>466</v>
      </c>
      <c r="D39" s="1"/>
    </row>
    <row r="40" spans="1:4" ht="15" customHeight="1" x14ac:dyDescent="0.25">
      <c r="A40" s="1"/>
      <c r="B40" s="1"/>
      <c r="C40" t="s">
        <v>187</v>
      </c>
      <c r="D40" s="1"/>
    </row>
    <row r="41" spans="1:4" ht="15" customHeight="1" x14ac:dyDescent="0.25">
      <c r="A41" s="1"/>
      <c r="B41" s="1"/>
      <c r="C41" t="s">
        <v>178</v>
      </c>
      <c r="D41" s="1"/>
    </row>
    <row r="42" spans="1:4" ht="15" customHeight="1" x14ac:dyDescent="0.25">
      <c r="A42" s="1"/>
      <c r="B42" s="1"/>
      <c r="C42" t="s">
        <v>467</v>
      </c>
      <c r="D42" s="1"/>
    </row>
    <row r="43" spans="1:4" ht="15" customHeight="1" x14ac:dyDescent="0.25">
      <c r="A43" s="1"/>
      <c r="B43" s="1"/>
      <c r="C43" t="s">
        <v>54</v>
      </c>
      <c r="D43" s="1"/>
    </row>
    <row r="44" spans="1:4" ht="15" customHeight="1" x14ac:dyDescent="0.25">
      <c r="A44" s="1"/>
      <c r="B44" s="1"/>
      <c r="C44" t="s">
        <v>176</v>
      </c>
      <c r="D44" s="1"/>
    </row>
    <row r="45" spans="1:4" ht="15" customHeight="1" x14ac:dyDescent="0.25">
      <c r="A45" s="1"/>
      <c r="B45" s="1"/>
      <c r="C45" t="s">
        <v>235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468</v>
      </c>
    </row>
    <row r="48" spans="1:4" x14ac:dyDescent="0.25">
      <c r="C48" t="s">
        <v>469</v>
      </c>
    </row>
    <row r="49" spans="3:3" x14ac:dyDescent="0.25">
      <c r="C49" t="s">
        <v>470</v>
      </c>
    </row>
    <row r="50" spans="3:3" x14ac:dyDescent="0.25">
      <c r="C50" t="s">
        <v>471</v>
      </c>
    </row>
    <row r="51" spans="3:3" x14ac:dyDescent="0.25">
      <c r="C51" t="s">
        <v>114</v>
      </c>
    </row>
    <row r="52" spans="3:3" x14ac:dyDescent="0.25">
      <c r="C52" t="s">
        <v>472</v>
      </c>
    </row>
    <row r="53" spans="3:3" x14ac:dyDescent="0.25">
      <c r="C53" t="s">
        <v>90</v>
      </c>
    </row>
    <row r="54" spans="3:3" x14ac:dyDescent="0.25">
      <c r="C54" t="s">
        <v>47</v>
      </c>
    </row>
    <row r="55" spans="3:3" x14ac:dyDescent="0.25">
      <c r="C55" t="s">
        <v>473</v>
      </c>
    </row>
    <row r="56" spans="3:3" x14ac:dyDescent="0.25">
      <c r="C56" t="s">
        <v>474</v>
      </c>
    </row>
    <row r="57" spans="3:3" x14ac:dyDescent="0.25">
      <c r="C57" t="s">
        <v>146</v>
      </c>
    </row>
    <row r="58" spans="3:3" x14ac:dyDescent="0.25">
      <c r="C58" t="s">
        <v>174</v>
      </c>
    </row>
    <row r="59" spans="3:3" x14ac:dyDescent="0.25">
      <c r="C59" t="s">
        <v>143</v>
      </c>
    </row>
    <row r="60" spans="3:3" x14ac:dyDescent="0.25">
      <c r="C60" t="s">
        <v>83</v>
      </c>
    </row>
    <row r="61" spans="3:3" x14ac:dyDescent="0.25">
      <c r="C61" t="s">
        <v>42</v>
      </c>
    </row>
    <row r="62" spans="3:3" x14ac:dyDescent="0.25">
      <c r="C62" t="s">
        <v>104</v>
      </c>
    </row>
    <row r="63" spans="3:3" x14ac:dyDescent="0.25">
      <c r="C63" t="s">
        <v>475</v>
      </c>
    </row>
    <row r="64" spans="3:3" x14ac:dyDescent="0.25">
      <c r="C64" t="s">
        <v>476</v>
      </c>
    </row>
    <row r="65" spans="3:3" x14ac:dyDescent="0.25">
      <c r="C65" t="s">
        <v>67</v>
      </c>
    </row>
    <row r="66" spans="3:3" x14ac:dyDescent="0.25">
      <c r="C66" t="s">
        <v>106</v>
      </c>
    </row>
    <row r="67" spans="3:3" x14ac:dyDescent="0.25">
      <c r="C67" t="s">
        <v>81</v>
      </c>
    </row>
    <row r="68" spans="3:3" x14ac:dyDescent="0.25">
      <c r="C68" t="s">
        <v>45</v>
      </c>
    </row>
    <row r="69" spans="3:3" x14ac:dyDescent="0.25">
      <c r="C69" t="s">
        <v>126</v>
      </c>
    </row>
    <row r="70" spans="3:3" x14ac:dyDescent="0.25">
      <c r="C70" t="s">
        <v>287</v>
      </c>
    </row>
    <row r="71" spans="3:3" x14ac:dyDescent="0.25">
      <c r="C71" t="s">
        <v>73</v>
      </c>
    </row>
    <row r="72" spans="3:3" x14ac:dyDescent="0.25">
      <c r="C72" t="s">
        <v>226</v>
      </c>
    </row>
    <row r="73" spans="3:3" x14ac:dyDescent="0.25">
      <c r="C73" t="s">
        <v>156</v>
      </c>
    </row>
    <row r="74" spans="3:3" x14ac:dyDescent="0.25">
      <c r="C74" t="s">
        <v>301</v>
      </c>
    </row>
    <row r="75" spans="3:3" x14ac:dyDescent="0.25">
      <c r="C75" t="s">
        <v>477</v>
      </c>
    </row>
    <row r="76" spans="3:3" x14ac:dyDescent="0.25">
      <c r="C76" t="s">
        <v>478</v>
      </c>
    </row>
    <row r="77" spans="3:3" x14ac:dyDescent="0.25">
      <c r="C77" t="s">
        <v>123</v>
      </c>
    </row>
    <row r="78" spans="3:3" x14ac:dyDescent="0.25">
      <c r="C78" t="s">
        <v>70</v>
      </c>
    </row>
    <row r="79" spans="3:3" x14ac:dyDescent="0.25">
      <c r="C79" t="s">
        <v>479</v>
      </c>
    </row>
    <row r="80" spans="3:3" x14ac:dyDescent="0.25">
      <c r="C80" t="s">
        <v>105</v>
      </c>
    </row>
    <row r="81" spans="3:3" x14ac:dyDescent="0.25">
      <c r="C81" t="s">
        <v>152</v>
      </c>
    </row>
    <row r="82" spans="3:3" x14ac:dyDescent="0.25">
      <c r="C82" t="s">
        <v>480</v>
      </c>
    </row>
    <row r="83" spans="3:3" x14ac:dyDescent="0.25">
      <c r="C83" t="s">
        <v>92</v>
      </c>
    </row>
    <row r="84" spans="3:3" x14ac:dyDescent="0.25">
      <c r="C84" t="s">
        <v>481</v>
      </c>
    </row>
    <row r="85" spans="3:3" x14ac:dyDescent="0.25">
      <c r="C85" t="s">
        <v>482</v>
      </c>
    </row>
    <row r="86" spans="3:3" x14ac:dyDescent="0.25">
      <c r="C86" t="s">
        <v>483</v>
      </c>
    </row>
    <row r="87" spans="3:3" x14ac:dyDescent="0.25">
      <c r="C87" t="s">
        <v>82</v>
      </c>
    </row>
    <row r="88" spans="3:3" x14ac:dyDescent="0.25">
      <c r="C88" t="s">
        <v>484</v>
      </c>
    </row>
    <row r="89" spans="3:3" x14ac:dyDescent="0.25">
      <c r="C89" t="s">
        <v>485</v>
      </c>
    </row>
    <row r="90" spans="3:3" x14ac:dyDescent="0.25">
      <c r="C90" t="s">
        <v>103</v>
      </c>
    </row>
    <row r="91" spans="3:3" x14ac:dyDescent="0.25">
      <c r="C91" t="s">
        <v>486</v>
      </c>
    </row>
  </sheetData>
  <sortState xmlns:xlrd2="http://schemas.microsoft.com/office/spreadsheetml/2017/richdata2" ref="B2:B19">
    <sortCondition ref="B19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EF46-4DFA-4B6C-9613-780B1AA8C984}">
  <sheetPr codeName="Planilha3"/>
  <dimension ref="A1:AB16"/>
  <sheetViews>
    <sheetView tabSelected="1" topLeftCell="B1" workbookViewId="0">
      <selection activeCell="O22" sqref="J21:O22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94" t="s">
        <v>605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37"/>
      <c r="O1" s="36"/>
      <c r="P1" s="37"/>
      <c r="Q1" s="95" t="s">
        <v>598</v>
      </c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8.75" x14ac:dyDescent="0.3">
      <c r="A2" s="77"/>
      <c r="B2" s="81" t="s">
        <v>565</v>
      </c>
      <c r="C2" s="81" t="s">
        <v>566</v>
      </c>
      <c r="D2" s="81" t="s">
        <v>567</v>
      </c>
      <c r="E2" s="81" t="s">
        <v>568</v>
      </c>
      <c r="F2" s="81" t="s">
        <v>569</v>
      </c>
      <c r="G2" s="81" t="s">
        <v>570</v>
      </c>
      <c r="H2" s="81" t="s">
        <v>571</v>
      </c>
      <c r="I2" s="81" t="s">
        <v>572</v>
      </c>
      <c r="J2" s="81" t="s">
        <v>573</v>
      </c>
      <c r="K2" s="81" t="s">
        <v>574</v>
      </c>
      <c r="L2" s="81" t="s">
        <v>575</v>
      </c>
      <c r="M2" s="81" t="s">
        <v>576</v>
      </c>
      <c r="N2" s="37"/>
      <c r="O2" s="36"/>
      <c r="P2" s="37"/>
      <c r="Q2" s="73" t="s">
        <v>525</v>
      </c>
      <c r="R2" s="73" t="s">
        <v>526</v>
      </c>
      <c r="S2" s="73" t="s">
        <v>527</v>
      </c>
      <c r="T2" s="73" t="s">
        <v>528</v>
      </c>
      <c r="U2" s="73" t="s">
        <v>529</v>
      </c>
      <c r="V2" s="73" t="s">
        <v>530</v>
      </c>
      <c r="W2" s="73" t="s">
        <v>531</v>
      </c>
      <c r="X2" s="73" t="s">
        <v>532</v>
      </c>
      <c r="Y2" s="73" t="s">
        <v>533</v>
      </c>
      <c r="Z2" s="73" t="s">
        <v>534</v>
      </c>
      <c r="AA2" s="73" t="s">
        <v>535</v>
      </c>
      <c r="AB2" s="73" t="s">
        <v>536</v>
      </c>
    </row>
    <row r="3" spans="1:28" x14ac:dyDescent="0.25">
      <c r="A3" s="90" t="s">
        <v>345</v>
      </c>
      <c r="B3" s="90">
        <f>COUNTIFS(CONSOLIDADO!$O:$O,$A3,CONSOLIDADO!$I:$I,Q$3,CONSOLIDADO!$I:$I,Q$4,CONSOLIDADO!$K:$K,"&lt;&gt;NOVO")</f>
        <v>37</v>
      </c>
      <c r="C3" s="90">
        <f>COUNTIFS(CONSOLIDADO!$O:$O,$A3,CONSOLIDADO!$I:$I,R$3,CONSOLIDADO!$I:$I,R$4,CONSOLIDADO!$K:$K,"&lt;&gt;NOVO")</f>
        <v>81</v>
      </c>
      <c r="D3" s="90">
        <f>COUNTIFS(CONSOLIDADO!$O:$O,$A3,CONSOLIDADO!$I:$I,S$3,CONSOLIDADO!$I:$I,S$4,CONSOLIDADO!$K:$K,"&lt;&gt;NOVO")</f>
        <v>116</v>
      </c>
      <c r="E3" s="90">
        <f>COUNTIFS(CONSOLIDADO!$O:$O,$A3,CONSOLIDADO!$I:$I,T$3,CONSOLIDADO!$I:$I,T$4,CONSOLIDADO!$K:$K,"&lt;&gt;NOVO")</f>
        <v>0</v>
      </c>
      <c r="F3" s="90">
        <f>COUNTIFS(CONSOLIDADO!$O:$O,$A3,CONSOLIDADO!$I:$I,U$3,CONSOLIDADO!$I:$I,U$4,CONSOLIDADO!$K:$K,"&lt;&gt;NOVO")</f>
        <v>0</v>
      </c>
      <c r="G3" s="90">
        <f>COUNTIFS(CONSOLIDADO!$O:$O,$A3,CONSOLIDADO!$I:$I,V$3,CONSOLIDADO!$I:$I,V$4,CONSOLIDADO!$K:$K,"&lt;&gt;NOVO")</f>
        <v>0</v>
      </c>
      <c r="H3" s="90">
        <f>COUNTIFS(CONSOLIDADO!$O:$O,$A3,CONSOLIDADO!$I:$I,W$3,CONSOLIDADO!$I:$I,W$4,CONSOLIDADO!$K:$K,"&lt;&gt;NOVO")</f>
        <v>0</v>
      </c>
      <c r="I3" s="90">
        <f>COUNTIFS(CONSOLIDADO!$O:$O,$A3,CONSOLIDADO!$I:$I,X$3,CONSOLIDADO!$I:$I,X$4,CONSOLIDADO!$K:$K,"&lt;&gt;NOVO")</f>
        <v>0</v>
      </c>
      <c r="J3" s="90">
        <f>COUNTIFS(CONSOLIDADO!$O:$O,$A3,CONSOLIDADO!$I:$I,Y$3,CONSOLIDADO!$I:$I,Y$4,CONSOLIDADO!$K:$K,"&lt;&gt;NOVO")</f>
        <v>0</v>
      </c>
      <c r="K3" s="90">
        <f>COUNTIFS(CONSOLIDADO!$O:$O,$A3,CONSOLIDADO!$I:$I,Z$3,CONSOLIDADO!$I:$I,Z$4,CONSOLIDADO!$K:$K,"&lt;&gt;NOVO")</f>
        <v>0</v>
      </c>
      <c r="L3" s="90">
        <f>COUNTIFS(CONSOLIDADO!$O:$O,$A3,CONSOLIDADO!$I:$I,AA$3,CONSOLIDADO!$I:$I,AA$4,CONSOLIDADO!$K:$K,"&lt;&gt;NOVO")</f>
        <v>0</v>
      </c>
      <c r="M3" s="90">
        <f>COUNTIFS(CONSOLIDADO!$O:$O,$A3,CONSOLIDADO!$I:$I,AB$3,CONSOLIDADO!$I:$I,AB$4,CONSOLIDADO!$K:$K,"&lt;&gt;NOVO")</f>
        <v>0</v>
      </c>
      <c r="N3" s="37"/>
      <c r="O3" s="36"/>
      <c r="P3" s="37"/>
      <c r="Q3" s="74" t="s">
        <v>537</v>
      </c>
      <c r="R3" s="74" t="s">
        <v>538</v>
      </c>
      <c r="S3" s="74" t="s">
        <v>539</v>
      </c>
      <c r="T3" s="74" t="s">
        <v>540</v>
      </c>
      <c r="U3" s="74" t="s">
        <v>541</v>
      </c>
      <c r="V3" s="74" t="s">
        <v>542</v>
      </c>
      <c r="W3" s="74" t="s">
        <v>543</v>
      </c>
      <c r="X3" s="74" t="s">
        <v>544</v>
      </c>
      <c r="Y3" s="74" t="s">
        <v>545</v>
      </c>
      <c r="Z3" s="74" t="s">
        <v>546</v>
      </c>
      <c r="AA3" s="74" t="s">
        <v>547</v>
      </c>
      <c r="AB3" s="74" t="s">
        <v>548</v>
      </c>
    </row>
    <row r="4" spans="1:28" x14ac:dyDescent="0.25">
      <c r="A4" s="90" t="s">
        <v>606</v>
      </c>
      <c r="B4" s="90">
        <f>COUNTIFS(CONSOLIDADO!$O:$O,$A4,CONSOLIDADO!$I:$I,Q$3,CONSOLIDADO!$I:$I,Q$4,CONSOLIDADO!$K:$K,"&lt;&gt;NOVO")</f>
        <v>52</v>
      </c>
      <c r="C4" s="90">
        <f>COUNTIFS(CONSOLIDADO!$O:$O,$A4,CONSOLIDADO!$I:$I,R$3,CONSOLIDADO!$I:$I,R$4,CONSOLIDADO!$K:$K,"&lt;&gt;NOVO")</f>
        <v>51</v>
      </c>
      <c r="D4" s="90">
        <f>COUNTIFS(CONSOLIDADO!$O:$O,$A4,CONSOLIDADO!$I:$I,S$3,CONSOLIDADO!$I:$I,S$4,CONSOLIDADO!$K:$K,"&lt;&gt;NOVO")</f>
        <v>50</v>
      </c>
      <c r="E4" s="90">
        <f>COUNTIFS(CONSOLIDADO!$O:$O,$A4,CONSOLIDADO!$I:$I,T$3,CONSOLIDADO!$I:$I,T$4,CONSOLIDADO!$K:$K,"&lt;&gt;NOVO")</f>
        <v>0</v>
      </c>
      <c r="F4" s="90">
        <f>COUNTIFS(CONSOLIDADO!$O:$O,$A4,CONSOLIDADO!$I:$I,U$3,CONSOLIDADO!$I:$I,U$4,CONSOLIDADO!$K:$K,"&lt;&gt;NOVO")</f>
        <v>0</v>
      </c>
      <c r="G4" s="90">
        <f>COUNTIFS(CONSOLIDADO!$O:$O,$A4,CONSOLIDADO!$I:$I,V$3,CONSOLIDADO!$I:$I,V$4,CONSOLIDADO!$K:$K,"&lt;&gt;NOVO")</f>
        <v>0</v>
      </c>
      <c r="H4" s="90">
        <f>COUNTIFS(CONSOLIDADO!$O:$O,$A4,CONSOLIDADO!$I:$I,W$3,CONSOLIDADO!$I:$I,W$4,CONSOLIDADO!$K:$K,"&lt;&gt;NOVO")</f>
        <v>0</v>
      </c>
      <c r="I4" s="90">
        <f>COUNTIFS(CONSOLIDADO!$O:$O,$A4,CONSOLIDADO!$I:$I,X$3,CONSOLIDADO!$I:$I,X$4,CONSOLIDADO!$K:$K,"&lt;&gt;NOVO")</f>
        <v>0</v>
      </c>
      <c r="J4" s="90">
        <f>COUNTIFS(CONSOLIDADO!$O:$O,$A4,CONSOLIDADO!$I:$I,Y$3,CONSOLIDADO!$I:$I,Y$4,CONSOLIDADO!$K:$K,"&lt;&gt;NOVO")</f>
        <v>0</v>
      </c>
      <c r="K4" s="90">
        <f>COUNTIFS(CONSOLIDADO!$O:$O,$A4,CONSOLIDADO!$I:$I,Z$3,CONSOLIDADO!$I:$I,Z$4,CONSOLIDADO!$K:$K,"&lt;&gt;NOVO")</f>
        <v>0</v>
      </c>
      <c r="L4" s="90">
        <f>COUNTIFS(CONSOLIDADO!$O:$O,$A4,CONSOLIDADO!$I:$I,AA$3,CONSOLIDADO!$I:$I,AA$4,CONSOLIDADO!$K:$K,"&lt;&gt;NOVO")</f>
        <v>0</v>
      </c>
      <c r="M4" s="90">
        <f>COUNTIFS(CONSOLIDADO!$O:$O,$A4,CONSOLIDADO!$I:$I,AB$3,CONSOLIDADO!$I:$I,AB$4,CONSOLIDADO!$K:$K,"&lt;&gt;NOVO")</f>
        <v>4</v>
      </c>
      <c r="N4" s="37"/>
      <c r="O4" s="36"/>
      <c r="P4" s="37"/>
      <c r="Q4" s="74" t="s">
        <v>549</v>
      </c>
      <c r="R4" s="74" t="s">
        <v>550</v>
      </c>
      <c r="S4" s="74" t="s">
        <v>551</v>
      </c>
      <c r="T4" s="74" t="s">
        <v>552</v>
      </c>
      <c r="U4" s="74" t="s">
        <v>553</v>
      </c>
      <c r="V4" s="74" t="s">
        <v>554</v>
      </c>
      <c r="W4" s="74" t="s">
        <v>555</v>
      </c>
      <c r="X4" s="74" t="s">
        <v>556</v>
      </c>
      <c r="Y4" s="74" t="s">
        <v>557</v>
      </c>
      <c r="Z4" s="74" t="s">
        <v>558</v>
      </c>
      <c r="AA4" s="74" t="s">
        <v>559</v>
      </c>
      <c r="AB4" s="74" t="s">
        <v>560</v>
      </c>
    </row>
    <row r="5" spans="1:28" x14ac:dyDescent="0.25">
      <c r="A5" s="90" t="s">
        <v>607</v>
      </c>
      <c r="B5" s="91">
        <f>B3/SUM(B3:B4)</f>
        <v>0.4157303370786517</v>
      </c>
      <c r="C5" s="91">
        <f t="shared" ref="C5:M5" si="0">C3/SUM(C3:C4)</f>
        <v>0.61363636363636365</v>
      </c>
      <c r="D5" s="91">
        <f t="shared" si="0"/>
        <v>0.6987951807228916</v>
      </c>
      <c r="E5" s="91" t="e">
        <f t="shared" si="0"/>
        <v>#DIV/0!</v>
      </c>
      <c r="F5" s="91" t="e">
        <f t="shared" si="0"/>
        <v>#DIV/0!</v>
      </c>
      <c r="G5" s="91" t="e">
        <f t="shared" si="0"/>
        <v>#DIV/0!</v>
      </c>
      <c r="H5" s="91" t="e">
        <f t="shared" si="0"/>
        <v>#DIV/0!</v>
      </c>
      <c r="I5" s="91" t="e">
        <f t="shared" si="0"/>
        <v>#DIV/0!</v>
      </c>
      <c r="J5" s="91" t="e">
        <f t="shared" si="0"/>
        <v>#DIV/0!</v>
      </c>
      <c r="K5" s="91" t="e">
        <f t="shared" si="0"/>
        <v>#DIV/0!</v>
      </c>
      <c r="L5" s="91" t="e">
        <f t="shared" si="0"/>
        <v>#DIV/0!</v>
      </c>
      <c r="M5" s="91">
        <f t="shared" si="0"/>
        <v>0</v>
      </c>
      <c r="N5" s="37"/>
      <c r="O5" s="36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2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6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</row>
    <row r="7" spans="1:28" ht="18.75" x14ac:dyDescent="0.3">
      <c r="A7" s="37"/>
      <c r="B7" s="96" t="s">
        <v>612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37"/>
      <c r="O7" s="36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</row>
    <row r="8" spans="1:28" ht="18.75" x14ac:dyDescent="0.3">
      <c r="A8" s="37"/>
      <c r="B8" s="81" t="s">
        <v>565</v>
      </c>
      <c r="C8" s="81" t="s">
        <v>566</v>
      </c>
      <c r="D8" s="81" t="s">
        <v>567</v>
      </c>
      <c r="E8" s="81" t="s">
        <v>568</v>
      </c>
      <c r="F8" s="81" t="s">
        <v>569</v>
      </c>
      <c r="G8" s="81" t="s">
        <v>570</v>
      </c>
      <c r="H8" s="81" t="s">
        <v>571</v>
      </c>
      <c r="I8" s="81" t="s">
        <v>572</v>
      </c>
      <c r="J8" s="81" t="s">
        <v>573</v>
      </c>
      <c r="K8" s="81" t="s">
        <v>574</v>
      </c>
      <c r="L8" s="81" t="s">
        <v>575</v>
      </c>
      <c r="M8" s="81" t="s">
        <v>576</v>
      </c>
      <c r="N8" s="37"/>
      <c r="O8" s="36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x14ac:dyDescent="0.25">
      <c r="A9" t="s">
        <v>613</v>
      </c>
      <c r="B9">
        <f>COUNTIFS(CONSOLIDADO!$G:$G,ANÁLISE!Q$3,CONSOLIDADO!$G:$G,ANÁLISE!Q$4,CONSOLIDADO!$K:$K,ANÁLISE!$A9)</f>
        <v>163</v>
      </c>
      <c r="C9">
        <f>COUNTIFS(CONSOLIDADO!$G:$G,ANÁLISE!R$3,CONSOLIDADO!$G:$G,ANÁLISE!R$4,CONSOLIDADO!$K:$K,ANÁLISE!$A9)</f>
        <v>112</v>
      </c>
      <c r="D9">
        <f>COUNTIFS(CONSOLIDADO!$G:$G,ANÁLISE!S$3,CONSOLIDADO!$G:$G,ANÁLISE!S$4,CONSOLIDADO!$K:$K,ANÁLISE!$A9)</f>
        <v>106</v>
      </c>
      <c r="E9">
        <f>COUNTIFS(CONSOLIDADO!$G:$G,ANÁLISE!T$3,CONSOLIDADO!$G:$G,ANÁLISE!T$4,CONSOLIDADO!$K:$K,ANÁLISE!$A9)</f>
        <v>0</v>
      </c>
      <c r="F9">
        <f>COUNTIFS(CONSOLIDADO!$G:$G,ANÁLISE!U$3,CONSOLIDADO!$G:$G,ANÁLISE!U$4,CONSOLIDADO!$K:$K,ANÁLISE!$A9)</f>
        <v>0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0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0</v>
      </c>
      <c r="L9">
        <f>COUNTIFS(CONSOLIDADO!$G:$G,ANÁLISE!AA$3,CONSOLIDADO!$G:$G,ANÁLISE!AA$4,CONSOLIDADO!$K:$K,ANÁLISE!$A9)</f>
        <v>1</v>
      </c>
      <c r="M9">
        <f>COUNTIFS(CONSOLIDADO!$G:$G,ANÁLISE!AB$3,CONSOLIDADO!$G:$G,ANÁLISE!AB$4,CONSOLIDADO!$K:$K,ANÁLISE!$A9)</f>
        <v>0</v>
      </c>
      <c r="N9" s="37"/>
      <c r="O9" s="36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x14ac:dyDescent="0.25">
      <c r="A10" t="s">
        <v>608</v>
      </c>
      <c r="B10">
        <f>COUNTIFS(CONSOLIDADO!$G:$G,ANÁLISE!Q$3,CONSOLIDADO!$G:$G,ANÁLISE!Q$4,CONSOLIDADO!$K:$K,ANÁLISE!$A10)</f>
        <v>3</v>
      </c>
      <c r="C10">
        <f>COUNTIFS(CONSOLIDADO!$G:$G,ANÁLISE!R$3,CONSOLIDADO!$G:$G,ANÁLISE!R$4,CONSOLIDADO!$K:$K,ANÁLISE!$A10)</f>
        <v>7</v>
      </c>
      <c r="D10">
        <f>COUNTIFS(CONSOLIDADO!$G:$G,ANÁLISE!S$3,CONSOLIDADO!$G:$G,ANÁLISE!S$4,CONSOLIDADO!$K:$K,ANÁLISE!$A10)</f>
        <v>11</v>
      </c>
      <c r="E10">
        <f>COUNTIFS(CONSOLIDADO!$G:$G,ANÁLISE!T$3,CONSOLIDADO!$G:$G,ANÁLISE!T$4,CONSOLIDADO!$K:$K,ANÁLISE!$A10)</f>
        <v>6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37"/>
      <c r="O10" s="36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x14ac:dyDescent="0.25">
      <c r="A11" t="s">
        <v>607</v>
      </c>
      <c r="B11" s="92">
        <f>B9/SUM(B9:B10)</f>
        <v>0.98192771084337349</v>
      </c>
      <c r="C11" s="92">
        <f t="shared" ref="C11:M11" si="1">C9/SUM(C9:C10)</f>
        <v>0.94117647058823528</v>
      </c>
      <c r="D11" s="92">
        <f t="shared" si="1"/>
        <v>0.90598290598290598</v>
      </c>
      <c r="E11" s="92">
        <f t="shared" si="1"/>
        <v>0</v>
      </c>
      <c r="F11" s="92" t="e">
        <f t="shared" si="1"/>
        <v>#DIV/0!</v>
      </c>
      <c r="G11" s="92" t="e">
        <f t="shared" si="1"/>
        <v>#DIV/0!</v>
      </c>
      <c r="H11" s="92" t="e">
        <f t="shared" si="1"/>
        <v>#DIV/0!</v>
      </c>
      <c r="I11" s="92" t="e">
        <f t="shared" si="1"/>
        <v>#DIV/0!</v>
      </c>
      <c r="J11" s="92" t="e">
        <f t="shared" si="1"/>
        <v>#DIV/0!</v>
      </c>
      <c r="K11" s="92" t="e">
        <f t="shared" si="1"/>
        <v>#DIV/0!</v>
      </c>
      <c r="L11" s="92">
        <f t="shared" si="1"/>
        <v>1</v>
      </c>
      <c r="M11" s="92" t="e">
        <f t="shared" si="1"/>
        <v>#DIV/0!</v>
      </c>
      <c r="N11" s="37"/>
      <c r="O11" s="36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6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6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6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6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6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46A2-47FB-4D55-9CD2-968066258C31}">
  <sheetPr codeName="Planilha8"/>
  <dimension ref="A1:AB122"/>
  <sheetViews>
    <sheetView workbookViewId="0">
      <selection activeCell="I106" sqref="I106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2.7109375" bestFit="1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8" width="12.7109375" bestFit="1" customWidth="1"/>
    <col min="19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11.7109375" bestFit="1" customWidth="1"/>
  </cols>
  <sheetData>
    <row r="1" spans="1:28" ht="23.25" x14ac:dyDescent="0.25">
      <c r="A1" s="97" t="s">
        <v>598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</row>
    <row r="2" spans="1:28" x14ac:dyDescent="0.25">
      <c r="A2" s="73" t="s">
        <v>525</v>
      </c>
      <c r="B2" s="73" t="s">
        <v>526</v>
      </c>
      <c r="C2" s="73" t="s">
        <v>527</v>
      </c>
      <c r="D2" s="73" t="s">
        <v>528</v>
      </c>
      <c r="E2" s="73" t="s">
        <v>529</v>
      </c>
      <c r="F2" s="73" t="s">
        <v>530</v>
      </c>
      <c r="G2" s="73" t="s">
        <v>531</v>
      </c>
      <c r="H2" s="73" t="s">
        <v>532</v>
      </c>
      <c r="I2" s="73" t="s">
        <v>533</v>
      </c>
      <c r="J2" s="73" t="s">
        <v>534</v>
      </c>
      <c r="K2" s="73" t="s">
        <v>535</v>
      </c>
      <c r="L2" s="73" t="s">
        <v>536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</row>
    <row r="3" spans="1:28" x14ac:dyDescent="0.25">
      <c r="A3" s="74" t="s">
        <v>537</v>
      </c>
      <c r="B3" s="74" t="s">
        <v>538</v>
      </c>
      <c r="C3" s="74" t="s">
        <v>539</v>
      </c>
      <c r="D3" s="74" t="s">
        <v>540</v>
      </c>
      <c r="E3" s="74" t="s">
        <v>541</v>
      </c>
      <c r="F3" s="74" t="s">
        <v>542</v>
      </c>
      <c r="G3" s="74" t="s">
        <v>543</v>
      </c>
      <c r="H3" s="74" t="s">
        <v>544</v>
      </c>
      <c r="I3" s="74" t="s">
        <v>545</v>
      </c>
      <c r="J3" s="74" t="s">
        <v>546</v>
      </c>
      <c r="K3" s="74" t="s">
        <v>547</v>
      </c>
      <c r="L3" s="74" t="s">
        <v>548</v>
      </c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</row>
    <row r="4" spans="1:28" x14ac:dyDescent="0.25">
      <c r="A4" s="74" t="s">
        <v>549</v>
      </c>
      <c r="B4" s="74" t="s">
        <v>550</v>
      </c>
      <c r="C4" s="74" t="s">
        <v>551</v>
      </c>
      <c r="D4" s="74" t="s">
        <v>552</v>
      </c>
      <c r="E4" s="74" t="s">
        <v>553</v>
      </c>
      <c r="F4" s="74" t="s">
        <v>554</v>
      </c>
      <c r="G4" s="74" t="s">
        <v>555</v>
      </c>
      <c r="H4" s="74" t="s">
        <v>556</v>
      </c>
      <c r="I4" s="74" t="s">
        <v>557</v>
      </c>
      <c r="J4" s="74" t="s">
        <v>558</v>
      </c>
      <c r="K4" s="74" t="s">
        <v>559</v>
      </c>
      <c r="L4" s="74" t="s">
        <v>560</v>
      </c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</row>
    <row r="5" spans="1:28" x14ac:dyDescent="0.2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2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</row>
    <row r="7" spans="1:28" ht="15.75" x14ac:dyDescent="0.25">
      <c r="A7" s="98" t="s">
        <v>561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9"/>
      <c r="N7" s="100" t="s">
        <v>562</v>
      </c>
      <c r="O7" s="100"/>
      <c r="P7" s="100" t="s">
        <v>563</v>
      </c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37"/>
    </row>
    <row r="8" spans="1:28" ht="15.75" x14ac:dyDescent="0.25">
      <c r="A8" s="75" t="s">
        <v>564</v>
      </c>
      <c r="B8" s="75" t="s">
        <v>565</v>
      </c>
      <c r="C8" s="75" t="s">
        <v>566</v>
      </c>
      <c r="D8" s="75" t="s">
        <v>567</v>
      </c>
      <c r="E8" s="75" t="s">
        <v>568</v>
      </c>
      <c r="F8" s="75" t="s">
        <v>569</v>
      </c>
      <c r="G8" s="75" t="s">
        <v>570</v>
      </c>
      <c r="H8" s="75" t="s">
        <v>571</v>
      </c>
      <c r="I8" s="75" t="s">
        <v>572</v>
      </c>
      <c r="J8" s="75" t="s">
        <v>573</v>
      </c>
      <c r="K8" s="75" t="s">
        <v>574</v>
      </c>
      <c r="L8" s="75" t="s">
        <v>575</v>
      </c>
      <c r="M8" s="75" t="s">
        <v>576</v>
      </c>
      <c r="N8" s="75" t="s">
        <v>577</v>
      </c>
      <c r="O8" s="75" t="s">
        <v>578</v>
      </c>
      <c r="P8" s="75" t="s">
        <v>565</v>
      </c>
      <c r="Q8" s="75" t="s">
        <v>566</v>
      </c>
      <c r="R8" s="75" t="s">
        <v>567</v>
      </c>
      <c r="S8" s="75" t="s">
        <v>568</v>
      </c>
      <c r="T8" s="75" t="s">
        <v>569</v>
      </c>
      <c r="U8" s="75" t="s">
        <v>570</v>
      </c>
      <c r="V8" s="75" t="s">
        <v>571</v>
      </c>
      <c r="W8" s="75" t="s">
        <v>572</v>
      </c>
      <c r="X8" s="75" t="s">
        <v>573</v>
      </c>
      <c r="Y8" s="75" t="s">
        <v>574</v>
      </c>
      <c r="Z8" s="75" t="s">
        <v>575</v>
      </c>
      <c r="AA8" s="75" t="s">
        <v>576</v>
      </c>
      <c r="AB8" s="37"/>
    </row>
    <row r="9" spans="1:28" x14ac:dyDescent="0.25">
      <c r="A9" s="76" t="s">
        <v>93</v>
      </c>
      <c r="B9" s="77">
        <f>SUMIFS(CONSOLIDADO!$F:$F,CONSOLIDADO!$E:$E,$A9,CONSOLIDADO!$I:$I,A$3,CONSOLIDADO!$I:$I,A$4,CONSOLIDADO!$K:$K,"&lt;&gt;NOVO")</f>
        <v>4</v>
      </c>
      <c r="C9" s="77">
        <f>SUMIFS(CONSOLIDADO!$F:$F,CONSOLIDADO!$E:$E,$A9,CONSOLIDADO!$I:$I,B$3,CONSOLIDADO!$I:$I,B$4,CONSOLIDADO!$K:$K,"&lt;&gt;NOVO")</f>
        <v>8</v>
      </c>
      <c r="D9" s="77">
        <f>SUMIFS(CONSOLIDADO!$F:$F,CONSOLIDADO!$E:$E,$A9,CONSOLIDADO!$I:$I,C$3,CONSOLIDADO!$I:$I,C$4,CONSOLIDADO!$K:$K,"&lt;&gt;NOVO")</f>
        <v>9</v>
      </c>
      <c r="E9" s="77">
        <f>SUMIFS(CONSOLIDADO!$F:$F,CONSOLIDADO!$E:$E,$A9,CONSOLIDADO!$I:$I,D$3,CONSOLIDADO!$I:$I,D$4,CONSOLIDADO!$K:$K,"&lt;&gt;NOVO")</f>
        <v>0</v>
      </c>
      <c r="F9" s="77">
        <f>SUMIFS(CONSOLIDADO!$F:$F,CONSOLIDADO!$E:$E,$A9,CONSOLIDADO!$I:$I,E$3,CONSOLIDADO!$I:$I,E$4,CONSOLIDADO!$K:$K,"&lt;&gt;NOVO")</f>
        <v>0</v>
      </c>
      <c r="G9" s="77">
        <f>SUMIFS(CONSOLIDADO!$F:$F,CONSOLIDADO!$E:$E,$A9,CONSOLIDADO!$I:$I,F$3,CONSOLIDADO!$I:$I,F$4,CONSOLIDADO!$K:$K,"&lt;&gt;NOVO")</f>
        <v>0</v>
      </c>
      <c r="H9" s="77">
        <f>SUMIFS(CONSOLIDADO!$F:$F,CONSOLIDADO!$E:$E,$A9,CONSOLIDADO!$I:$I,G$3,CONSOLIDADO!$I:$I,G$4,CONSOLIDADO!$K:$K,"&lt;&gt;NOVO")</f>
        <v>0</v>
      </c>
      <c r="I9" s="77">
        <f>SUMIFS(CONSOLIDADO!$F:$F,CONSOLIDADO!$E:$E,$A9,CONSOLIDADO!$I:$I,H$3,CONSOLIDADO!$I:$I,H$4,CONSOLIDADO!$K:$K,"&lt;&gt;NOVO")</f>
        <v>0</v>
      </c>
      <c r="J9" s="77">
        <f>SUMIFS(CONSOLIDADO!$F:$F,CONSOLIDADO!$E:$E,$A9,CONSOLIDADO!$I:$I,I$3,CONSOLIDADO!$I:$I,I$4,CONSOLIDADO!$K:$K,"&lt;&gt;NOVO")</f>
        <v>0</v>
      </c>
      <c r="K9" s="77">
        <f>SUMIFS(CONSOLIDADO!$F:$F,CONSOLIDADO!$E:$E,$A9,CONSOLIDADO!$I:$I,J$3,CONSOLIDADO!$I:$I,J$4,CONSOLIDADO!$K:$K,"&lt;&gt;NOVO")</f>
        <v>0</v>
      </c>
      <c r="L9" s="77">
        <f>SUMIFS(CONSOLIDADO!$F:$F,CONSOLIDADO!$E:$E,$A9,CONSOLIDADO!$I:$I,K$3,CONSOLIDADO!$I:$I,K$4,CONSOLIDADO!$K:$K,"&lt;&gt;NOVO")</f>
        <v>0</v>
      </c>
      <c r="M9" s="77">
        <f>SUMIFS(CONSOLIDADO!$F:$F,CONSOLIDADO!$E:$E,$A9,CONSOLIDADO!$I:$I,L$3,CONSOLIDADO!$I:$I,L$4,CONSOLIDADO!$K:$K,"&lt;&gt;NOVO")</f>
        <v>0</v>
      </c>
      <c r="N9" s="79">
        <v>652.09</v>
      </c>
      <c r="O9" s="78">
        <v>0.8</v>
      </c>
      <c r="P9" s="79">
        <f>B9*($N9*(1-$O9))</f>
        <v>521.67199999999991</v>
      </c>
      <c r="Q9" s="79">
        <f t="shared" ref="Q9:AA24" si="0">C9*($N9*(1-$O9))</f>
        <v>1043.3439999999998</v>
      </c>
      <c r="R9" s="79">
        <f t="shared" si="0"/>
        <v>1173.7619999999997</v>
      </c>
      <c r="S9" s="79">
        <f t="shared" si="0"/>
        <v>0</v>
      </c>
      <c r="T9" s="79">
        <f t="shared" si="0"/>
        <v>0</v>
      </c>
      <c r="U9" s="79">
        <f t="shared" si="0"/>
        <v>0</v>
      </c>
      <c r="V9" s="79">
        <f t="shared" si="0"/>
        <v>0</v>
      </c>
      <c r="W9" s="79">
        <f t="shared" si="0"/>
        <v>0</v>
      </c>
      <c r="X9" s="79">
        <f t="shared" si="0"/>
        <v>0</v>
      </c>
      <c r="Y9" s="79">
        <f t="shared" si="0"/>
        <v>0</v>
      </c>
      <c r="Z9" s="79">
        <f t="shared" si="0"/>
        <v>0</v>
      </c>
      <c r="AA9" s="79">
        <f t="shared" si="0"/>
        <v>0</v>
      </c>
      <c r="AB9" s="37"/>
    </row>
    <row r="10" spans="1:28" x14ac:dyDescent="0.25">
      <c r="A10" s="76" t="s">
        <v>150</v>
      </c>
      <c r="B10" s="77">
        <f>SUMIFS(CONSOLIDADO!$F:$F,CONSOLIDADO!$E:$E,$A10,CONSOLIDADO!$I:$I,A$3,CONSOLIDADO!$I:$I,A$4,CONSOLIDADO!$K:$K,"&lt;&gt;NOVO")</f>
        <v>0</v>
      </c>
      <c r="C10" s="77">
        <f>SUMIFS(CONSOLIDADO!$F:$F,CONSOLIDADO!$E:$E,$A10,CONSOLIDADO!$I:$I,B$3,CONSOLIDADO!$I:$I,B$4,CONSOLIDADO!$K:$K,"&lt;&gt;NOVO")</f>
        <v>1</v>
      </c>
      <c r="D10" s="77">
        <f>SUMIFS(CONSOLIDADO!$F:$F,CONSOLIDADO!$E:$E,$A10,CONSOLIDADO!$I:$I,C$3,CONSOLIDADO!$I:$I,C$4,CONSOLIDADO!$K:$K,"&lt;&gt;NOVO")</f>
        <v>1</v>
      </c>
      <c r="E10" s="77">
        <f>SUMIFS(CONSOLIDADO!$F:$F,CONSOLIDADO!$E:$E,$A10,CONSOLIDADO!$I:$I,D$3,CONSOLIDADO!$I:$I,D$4,CONSOLIDADO!$K:$K,"&lt;&gt;NOVO")</f>
        <v>0</v>
      </c>
      <c r="F10" s="77">
        <f>SUMIFS(CONSOLIDADO!$F:$F,CONSOLIDADO!$E:$E,$A10,CONSOLIDADO!$I:$I,E$3,CONSOLIDADO!$I:$I,E$4,CONSOLIDADO!$K:$K,"&lt;&gt;NOVO")</f>
        <v>0</v>
      </c>
      <c r="G10" s="77">
        <f>SUMIFS(CONSOLIDADO!$F:$F,CONSOLIDADO!$E:$E,$A10,CONSOLIDADO!$I:$I,F$3,CONSOLIDADO!$I:$I,F$4,CONSOLIDADO!$K:$K,"&lt;&gt;NOVO")</f>
        <v>0</v>
      </c>
      <c r="H10" s="77">
        <f>SUMIFS(CONSOLIDADO!$F:$F,CONSOLIDADO!$E:$E,$A10,CONSOLIDADO!$I:$I,G$3,CONSOLIDADO!$I:$I,G$4,CONSOLIDADO!$K:$K,"&lt;&gt;NOVO")</f>
        <v>0</v>
      </c>
      <c r="I10" s="77">
        <f>SUMIFS(CONSOLIDADO!$F:$F,CONSOLIDADO!$E:$E,$A10,CONSOLIDADO!$I:$I,H$3,CONSOLIDADO!$I:$I,H$4,CONSOLIDADO!$K:$K,"&lt;&gt;NOVO")</f>
        <v>0</v>
      </c>
      <c r="J10" s="77">
        <f>SUMIFS(CONSOLIDADO!$F:$F,CONSOLIDADO!$E:$E,$A10,CONSOLIDADO!$I:$I,I$3,CONSOLIDADO!$I:$I,I$4,CONSOLIDADO!$K:$K,"&lt;&gt;NOVO")</f>
        <v>0</v>
      </c>
      <c r="K10" s="77">
        <f>SUMIFS(CONSOLIDADO!$F:$F,CONSOLIDADO!$E:$E,$A10,CONSOLIDADO!$I:$I,J$3,CONSOLIDADO!$I:$I,J$4,CONSOLIDADO!$K:$K,"&lt;&gt;NOVO")</f>
        <v>0</v>
      </c>
      <c r="L10" s="77">
        <f>SUMIFS(CONSOLIDADO!$F:$F,CONSOLIDADO!$E:$E,$A10,CONSOLIDADO!$I:$I,K$3,CONSOLIDADO!$I:$I,K$4,CONSOLIDADO!$K:$K,"&lt;&gt;NOVO")</f>
        <v>0</v>
      </c>
      <c r="M10" s="77">
        <f>SUMIFS(CONSOLIDADO!$F:$F,CONSOLIDADO!$E:$E,$A10,CONSOLIDADO!$I:$I,L$3,CONSOLIDADO!$I:$I,L$4,CONSOLIDADO!$K:$K,"&lt;&gt;NOVO")</f>
        <v>0</v>
      </c>
      <c r="N10" s="79">
        <v>982.59</v>
      </c>
      <c r="O10" s="78">
        <v>0.8</v>
      </c>
      <c r="P10" s="79">
        <f t="shared" ref="P10:AA44" si="1">B10*($N10*(1-$O10))</f>
        <v>0</v>
      </c>
      <c r="Q10" s="79">
        <f t="shared" si="0"/>
        <v>196.51799999999997</v>
      </c>
      <c r="R10" s="79">
        <f t="shared" si="0"/>
        <v>196.51799999999997</v>
      </c>
      <c r="S10" s="79">
        <f t="shared" si="0"/>
        <v>0</v>
      </c>
      <c r="T10" s="79">
        <f t="shared" si="0"/>
        <v>0</v>
      </c>
      <c r="U10" s="79">
        <f t="shared" si="0"/>
        <v>0</v>
      </c>
      <c r="V10" s="79">
        <f t="shared" si="0"/>
        <v>0</v>
      </c>
      <c r="W10" s="79">
        <f t="shared" si="0"/>
        <v>0</v>
      </c>
      <c r="X10" s="79">
        <f t="shared" si="0"/>
        <v>0</v>
      </c>
      <c r="Y10" s="79">
        <f t="shared" si="0"/>
        <v>0</v>
      </c>
      <c r="Z10" s="79">
        <f t="shared" si="0"/>
        <v>0</v>
      </c>
      <c r="AA10" s="79">
        <f t="shared" si="0"/>
        <v>0</v>
      </c>
      <c r="AB10" s="37"/>
    </row>
    <row r="11" spans="1:28" x14ac:dyDescent="0.25">
      <c r="A11" s="76" t="s">
        <v>78</v>
      </c>
      <c r="B11" s="77">
        <f>SUMIFS(CONSOLIDADO!$F:$F,CONSOLIDADO!$E:$E,$A11,CONSOLIDADO!$I:$I,A$3,CONSOLIDADO!$I:$I,A$4,CONSOLIDADO!$K:$K,"&lt;&gt;NOVO")</f>
        <v>6</v>
      </c>
      <c r="C11" s="77">
        <f>SUMIFS(CONSOLIDADO!$F:$F,CONSOLIDADO!$E:$E,$A11,CONSOLIDADO!$I:$I,B$3,CONSOLIDADO!$I:$I,B$4,CONSOLIDADO!$K:$K,"&lt;&gt;NOVO")</f>
        <v>7</v>
      </c>
      <c r="D11" s="77">
        <f>SUMIFS(CONSOLIDADO!$F:$F,CONSOLIDADO!$E:$E,$A11,CONSOLIDADO!$I:$I,C$3,CONSOLIDADO!$I:$I,C$4,CONSOLIDADO!$K:$K,"&lt;&gt;NOVO")</f>
        <v>10</v>
      </c>
      <c r="E11" s="77">
        <f>SUMIFS(CONSOLIDADO!$F:$F,CONSOLIDADO!$E:$E,$A11,CONSOLIDADO!$I:$I,D$3,CONSOLIDADO!$I:$I,D$4,CONSOLIDADO!$K:$K,"&lt;&gt;NOVO")</f>
        <v>0</v>
      </c>
      <c r="F11" s="77">
        <f>SUMIFS(CONSOLIDADO!$F:$F,CONSOLIDADO!$E:$E,$A11,CONSOLIDADO!$I:$I,E$3,CONSOLIDADO!$I:$I,E$4,CONSOLIDADO!$K:$K,"&lt;&gt;NOVO")</f>
        <v>0</v>
      </c>
      <c r="G11" s="77">
        <f>SUMIFS(CONSOLIDADO!$F:$F,CONSOLIDADO!$E:$E,$A11,CONSOLIDADO!$I:$I,F$3,CONSOLIDADO!$I:$I,F$4,CONSOLIDADO!$K:$K,"&lt;&gt;NOVO")</f>
        <v>0</v>
      </c>
      <c r="H11" s="77">
        <f>SUMIFS(CONSOLIDADO!$F:$F,CONSOLIDADO!$E:$E,$A11,CONSOLIDADO!$I:$I,G$3,CONSOLIDADO!$I:$I,G$4,CONSOLIDADO!$K:$K,"&lt;&gt;NOVO")</f>
        <v>0</v>
      </c>
      <c r="I11" s="77">
        <f>SUMIFS(CONSOLIDADO!$F:$F,CONSOLIDADO!$E:$E,$A11,CONSOLIDADO!$I:$I,H$3,CONSOLIDADO!$I:$I,H$4,CONSOLIDADO!$K:$K,"&lt;&gt;NOVO")</f>
        <v>0</v>
      </c>
      <c r="J11" s="77">
        <f>SUMIFS(CONSOLIDADO!$F:$F,CONSOLIDADO!$E:$E,$A11,CONSOLIDADO!$I:$I,I$3,CONSOLIDADO!$I:$I,I$4,CONSOLIDADO!$K:$K,"&lt;&gt;NOVO")</f>
        <v>0</v>
      </c>
      <c r="K11" s="77">
        <f>SUMIFS(CONSOLIDADO!$F:$F,CONSOLIDADO!$E:$E,$A11,CONSOLIDADO!$I:$I,J$3,CONSOLIDADO!$I:$I,J$4,CONSOLIDADO!$K:$K,"&lt;&gt;NOVO")</f>
        <v>0</v>
      </c>
      <c r="L11" s="77">
        <f>SUMIFS(CONSOLIDADO!$F:$F,CONSOLIDADO!$E:$E,$A11,CONSOLIDADO!$I:$I,K$3,CONSOLIDADO!$I:$I,K$4,CONSOLIDADO!$K:$K,"&lt;&gt;NOVO")</f>
        <v>0</v>
      </c>
      <c r="M11" s="77">
        <f>SUMIFS(CONSOLIDADO!$F:$F,CONSOLIDADO!$E:$E,$A11,CONSOLIDADO!$I:$I,L$3,CONSOLIDADO!$I:$I,L$4,CONSOLIDADO!$K:$K,"&lt;&gt;NOVO")</f>
        <v>0</v>
      </c>
      <c r="N11" s="79">
        <v>1000</v>
      </c>
      <c r="O11" s="78">
        <v>0.8</v>
      </c>
      <c r="P11" s="79">
        <f t="shared" si="1"/>
        <v>1199.9999999999995</v>
      </c>
      <c r="Q11" s="79">
        <f t="shared" si="0"/>
        <v>1399.9999999999995</v>
      </c>
      <c r="R11" s="79">
        <f t="shared" si="0"/>
        <v>1999.9999999999995</v>
      </c>
      <c r="S11" s="79">
        <f t="shared" si="0"/>
        <v>0</v>
      </c>
      <c r="T11" s="79">
        <f t="shared" si="0"/>
        <v>0</v>
      </c>
      <c r="U11" s="79">
        <f t="shared" si="0"/>
        <v>0</v>
      </c>
      <c r="V11" s="79">
        <f t="shared" si="0"/>
        <v>0</v>
      </c>
      <c r="W11" s="79">
        <f t="shared" si="0"/>
        <v>0</v>
      </c>
      <c r="X11" s="79">
        <f t="shared" si="0"/>
        <v>0</v>
      </c>
      <c r="Y11" s="79">
        <f t="shared" si="0"/>
        <v>0</v>
      </c>
      <c r="Z11" s="79">
        <f t="shared" si="0"/>
        <v>0</v>
      </c>
      <c r="AA11" s="79">
        <f t="shared" si="0"/>
        <v>0</v>
      </c>
      <c r="AB11" s="37"/>
    </row>
    <row r="12" spans="1:28" x14ac:dyDescent="0.25">
      <c r="A12" s="76" t="s">
        <v>448</v>
      </c>
      <c r="B12" s="77">
        <f>SUMIFS(CONSOLIDADO!$F:$F,CONSOLIDADO!$E:$E,$A12,CONSOLIDADO!$I:$I,A$3,CONSOLIDADO!$I:$I,A$4,CONSOLIDADO!$K:$K,"&lt;&gt;NOVO")</f>
        <v>0</v>
      </c>
      <c r="C12" s="77">
        <f>SUMIFS(CONSOLIDADO!$F:$F,CONSOLIDADO!$E:$E,$A12,CONSOLIDADO!$I:$I,B$3,CONSOLIDADO!$I:$I,B$4,CONSOLIDADO!$K:$K,"&lt;&gt;NOVO")</f>
        <v>0</v>
      </c>
      <c r="D12" s="77">
        <f>SUMIFS(CONSOLIDADO!$F:$F,CONSOLIDADO!$E:$E,$A12,CONSOLIDADO!$I:$I,C$3,CONSOLIDADO!$I:$I,C$4,CONSOLIDADO!$K:$K,"&lt;&gt;NOVO")</f>
        <v>0</v>
      </c>
      <c r="E12" s="77">
        <f>SUMIFS(CONSOLIDADO!$F:$F,CONSOLIDADO!$E:$E,$A12,CONSOLIDADO!$I:$I,D$3,CONSOLIDADO!$I:$I,D$4,CONSOLIDADO!$K:$K,"&lt;&gt;NOVO")</f>
        <v>0</v>
      </c>
      <c r="F12" s="77">
        <f>SUMIFS(CONSOLIDADO!$F:$F,CONSOLIDADO!$E:$E,$A12,CONSOLIDADO!$I:$I,E$3,CONSOLIDADO!$I:$I,E$4,CONSOLIDADO!$K:$K,"&lt;&gt;NOVO")</f>
        <v>0</v>
      </c>
      <c r="G12" s="77">
        <f>SUMIFS(CONSOLIDADO!$F:$F,CONSOLIDADO!$E:$E,$A12,CONSOLIDADO!$I:$I,F$3,CONSOLIDADO!$I:$I,F$4,CONSOLIDADO!$K:$K,"&lt;&gt;NOVO")</f>
        <v>0</v>
      </c>
      <c r="H12" s="77">
        <f>SUMIFS(CONSOLIDADO!$F:$F,CONSOLIDADO!$E:$E,$A12,CONSOLIDADO!$I:$I,G$3,CONSOLIDADO!$I:$I,G$4,CONSOLIDADO!$K:$K,"&lt;&gt;NOVO")</f>
        <v>0</v>
      </c>
      <c r="I12" s="77">
        <f>SUMIFS(CONSOLIDADO!$F:$F,CONSOLIDADO!$E:$E,$A12,CONSOLIDADO!$I:$I,H$3,CONSOLIDADO!$I:$I,H$4,CONSOLIDADO!$K:$K,"&lt;&gt;NOVO")</f>
        <v>0</v>
      </c>
      <c r="J12" s="77">
        <f>SUMIFS(CONSOLIDADO!$F:$F,CONSOLIDADO!$E:$E,$A12,CONSOLIDADO!$I:$I,I$3,CONSOLIDADO!$I:$I,I$4,CONSOLIDADO!$K:$K,"&lt;&gt;NOVO")</f>
        <v>0</v>
      </c>
      <c r="K12" s="77">
        <f>SUMIFS(CONSOLIDADO!$F:$F,CONSOLIDADO!$E:$E,$A12,CONSOLIDADO!$I:$I,J$3,CONSOLIDADO!$I:$I,J$4,CONSOLIDADO!$K:$K,"&lt;&gt;NOVO")</f>
        <v>0</v>
      </c>
      <c r="L12" s="77">
        <f>SUMIFS(CONSOLIDADO!$F:$F,CONSOLIDADO!$E:$E,$A12,CONSOLIDADO!$I:$I,K$3,CONSOLIDADO!$I:$I,K$4,CONSOLIDADO!$K:$K,"&lt;&gt;NOVO")</f>
        <v>0</v>
      </c>
      <c r="M12" s="77">
        <f>SUMIFS(CONSOLIDADO!$F:$F,CONSOLIDADO!$E:$E,$A12,CONSOLIDADO!$I:$I,L$3,CONSOLIDADO!$I:$I,L$4,CONSOLIDADO!$K:$K,"&lt;&gt;NOVO")</f>
        <v>0</v>
      </c>
      <c r="N12" s="79">
        <v>1000</v>
      </c>
      <c r="O12" s="78">
        <v>0.8</v>
      </c>
      <c r="P12" s="79">
        <f t="shared" si="1"/>
        <v>0</v>
      </c>
      <c r="Q12" s="79">
        <f t="shared" si="0"/>
        <v>0</v>
      </c>
      <c r="R12" s="79">
        <f t="shared" si="0"/>
        <v>0</v>
      </c>
      <c r="S12" s="79">
        <f t="shared" si="0"/>
        <v>0</v>
      </c>
      <c r="T12" s="79">
        <f t="shared" si="0"/>
        <v>0</v>
      </c>
      <c r="U12" s="79">
        <f t="shared" si="0"/>
        <v>0</v>
      </c>
      <c r="V12" s="79">
        <f t="shared" si="0"/>
        <v>0</v>
      </c>
      <c r="W12" s="79">
        <f t="shared" si="0"/>
        <v>0</v>
      </c>
      <c r="X12" s="79">
        <f t="shared" si="0"/>
        <v>0</v>
      </c>
      <c r="Y12" s="79">
        <f t="shared" si="0"/>
        <v>0</v>
      </c>
      <c r="Z12" s="79">
        <f t="shared" si="0"/>
        <v>0</v>
      </c>
      <c r="AA12" s="79">
        <f t="shared" si="0"/>
        <v>0</v>
      </c>
      <c r="AB12" s="37"/>
    </row>
    <row r="13" spans="1:28" x14ac:dyDescent="0.25">
      <c r="A13" s="76" t="s">
        <v>109</v>
      </c>
      <c r="B13" s="77">
        <f>SUMIFS(CONSOLIDADO!$F:$F,CONSOLIDADO!$E:$E,$A13,CONSOLIDADO!$I:$I,A$3,CONSOLIDADO!$I:$I,A$4,CONSOLIDADO!$K:$K,"&lt;&gt;NOVO")</f>
        <v>2</v>
      </c>
      <c r="C13" s="77">
        <f>SUMIFS(CONSOLIDADO!$F:$F,CONSOLIDADO!$E:$E,$A13,CONSOLIDADO!$I:$I,B$3,CONSOLIDADO!$I:$I,B$4,CONSOLIDADO!$K:$K,"&lt;&gt;NOVO")</f>
        <v>0</v>
      </c>
      <c r="D13" s="77">
        <f>SUMIFS(CONSOLIDADO!$F:$F,CONSOLIDADO!$E:$E,$A13,CONSOLIDADO!$I:$I,C$3,CONSOLIDADO!$I:$I,C$4,CONSOLIDADO!$K:$K,"&lt;&gt;NOVO")</f>
        <v>3</v>
      </c>
      <c r="E13" s="77">
        <f>SUMIFS(CONSOLIDADO!$F:$F,CONSOLIDADO!$E:$E,$A13,CONSOLIDADO!$I:$I,D$3,CONSOLIDADO!$I:$I,D$4,CONSOLIDADO!$K:$K,"&lt;&gt;NOVO")</f>
        <v>0</v>
      </c>
      <c r="F13" s="77">
        <f>SUMIFS(CONSOLIDADO!$F:$F,CONSOLIDADO!$E:$E,$A13,CONSOLIDADO!$I:$I,E$3,CONSOLIDADO!$I:$I,E$4,CONSOLIDADO!$K:$K,"&lt;&gt;NOVO")</f>
        <v>0</v>
      </c>
      <c r="G13" s="77">
        <f>SUMIFS(CONSOLIDADO!$F:$F,CONSOLIDADO!$E:$E,$A13,CONSOLIDADO!$I:$I,F$3,CONSOLIDADO!$I:$I,F$4,CONSOLIDADO!$K:$K,"&lt;&gt;NOVO")</f>
        <v>0</v>
      </c>
      <c r="H13" s="77">
        <f>SUMIFS(CONSOLIDADO!$F:$F,CONSOLIDADO!$E:$E,$A13,CONSOLIDADO!$I:$I,G$3,CONSOLIDADO!$I:$I,G$4,CONSOLIDADO!$K:$K,"&lt;&gt;NOVO")</f>
        <v>0</v>
      </c>
      <c r="I13" s="77">
        <f>SUMIFS(CONSOLIDADO!$F:$F,CONSOLIDADO!$E:$E,$A13,CONSOLIDADO!$I:$I,H$3,CONSOLIDADO!$I:$I,H$4,CONSOLIDADO!$K:$K,"&lt;&gt;NOVO")</f>
        <v>0</v>
      </c>
      <c r="J13" s="77">
        <f>SUMIFS(CONSOLIDADO!$F:$F,CONSOLIDADO!$E:$E,$A13,CONSOLIDADO!$I:$I,I$3,CONSOLIDADO!$I:$I,I$4,CONSOLIDADO!$K:$K,"&lt;&gt;NOVO")</f>
        <v>0</v>
      </c>
      <c r="K13" s="77">
        <f>SUMIFS(CONSOLIDADO!$F:$F,CONSOLIDADO!$E:$E,$A13,CONSOLIDADO!$I:$I,J$3,CONSOLIDADO!$I:$I,J$4,CONSOLIDADO!$K:$K,"&lt;&gt;NOVO")</f>
        <v>0</v>
      </c>
      <c r="L13" s="77">
        <f>SUMIFS(CONSOLIDADO!$F:$F,CONSOLIDADO!$E:$E,$A13,CONSOLIDADO!$I:$I,K$3,CONSOLIDADO!$I:$I,K$4,CONSOLIDADO!$K:$K,"&lt;&gt;NOVO")</f>
        <v>0</v>
      </c>
      <c r="M13" s="77">
        <f>SUMIFS(CONSOLIDADO!$F:$F,CONSOLIDADO!$E:$E,$A13,CONSOLIDADO!$I:$I,L$3,CONSOLIDADO!$I:$I,L$4,CONSOLIDADO!$K:$K,"&lt;&gt;NOVO")</f>
        <v>0</v>
      </c>
      <c r="N13" s="79">
        <v>932.53</v>
      </c>
      <c r="O13" s="78">
        <v>0.8</v>
      </c>
      <c r="P13" s="79">
        <f t="shared" si="1"/>
        <v>373.01199999999989</v>
      </c>
      <c r="Q13" s="79">
        <f t="shared" si="0"/>
        <v>0</v>
      </c>
      <c r="R13" s="79">
        <f t="shared" si="0"/>
        <v>559.5179999999998</v>
      </c>
      <c r="S13" s="79">
        <f t="shared" si="0"/>
        <v>0</v>
      </c>
      <c r="T13" s="79">
        <f t="shared" si="0"/>
        <v>0</v>
      </c>
      <c r="U13" s="79">
        <f t="shared" si="0"/>
        <v>0</v>
      </c>
      <c r="V13" s="79">
        <f t="shared" si="0"/>
        <v>0</v>
      </c>
      <c r="W13" s="79">
        <f t="shared" si="0"/>
        <v>0</v>
      </c>
      <c r="X13" s="79">
        <f t="shared" si="0"/>
        <v>0</v>
      </c>
      <c r="Y13" s="79">
        <f t="shared" si="0"/>
        <v>0</v>
      </c>
      <c r="Z13" s="79">
        <f t="shared" si="0"/>
        <v>0</v>
      </c>
      <c r="AA13" s="79">
        <f t="shared" si="0"/>
        <v>0</v>
      </c>
      <c r="AB13" s="37"/>
    </row>
    <row r="14" spans="1:28" x14ac:dyDescent="0.25">
      <c r="A14" t="s">
        <v>451</v>
      </c>
      <c r="B14" s="77">
        <f>SUMIFS(CONSOLIDADO!$F:$F,CONSOLIDADO!$E:$E,$A14,CONSOLIDADO!$I:$I,A$3,CONSOLIDADO!$I:$I,A$4,CONSOLIDADO!$K:$K,"&lt;&gt;NOVO")</f>
        <v>0</v>
      </c>
      <c r="C14" s="77">
        <f>SUMIFS(CONSOLIDADO!$F:$F,CONSOLIDADO!$E:$E,$A14,CONSOLIDADO!$I:$I,B$3,CONSOLIDADO!$I:$I,B$4,CONSOLIDADO!$K:$K,"&lt;&gt;NOVO")</f>
        <v>0</v>
      </c>
      <c r="D14" s="77">
        <f>SUMIFS(CONSOLIDADO!$F:$F,CONSOLIDADO!$E:$E,$A14,CONSOLIDADO!$I:$I,C$3,CONSOLIDADO!$I:$I,C$4,CONSOLIDADO!$K:$K,"&lt;&gt;NOVO")</f>
        <v>0</v>
      </c>
      <c r="E14" s="77">
        <f>SUMIFS(CONSOLIDADO!$F:$F,CONSOLIDADO!$E:$E,$A14,CONSOLIDADO!$I:$I,D$3,CONSOLIDADO!$I:$I,D$4,CONSOLIDADO!$K:$K,"&lt;&gt;NOVO")</f>
        <v>0</v>
      </c>
      <c r="F14" s="77">
        <f>SUMIFS(CONSOLIDADO!$F:$F,CONSOLIDADO!$E:$E,$A14,CONSOLIDADO!$I:$I,E$3,CONSOLIDADO!$I:$I,E$4,CONSOLIDADO!$K:$K,"&lt;&gt;NOVO")</f>
        <v>0</v>
      </c>
      <c r="G14" s="77">
        <f>SUMIFS(CONSOLIDADO!$F:$F,CONSOLIDADO!$E:$E,$A14,CONSOLIDADO!$I:$I,F$3,CONSOLIDADO!$I:$I,F$4,CONSOLIDADO!$K:$K,"&lt;&gt;NOVO")</f>
        <v>0</v>
      </c>
      <c r="H14" s="77">
        <f>SUMIFS(CONSOLIDADO!$F:$F,CONSOLIDADO!$E:$E,$A14,CONSOLIDADO!$I:$I,G$3,CONSOLIDADO!$I:$I,G$4,CONSOLIDADO!$K:$K,"&lt;&gt;NOVO")</f>
        <v>0</v>
      </c>
      <c r="I14" s="77">
        <f>SUMIFS(CONSOLIDADO!$F:$F,CONSOLIDADO!$E:$E,$A14,CONSOLIDADO!$I:$I,H$3,CONSOLIDADO!$I:$I,H$4,CONSOLIDADO!$K:$K,"&lt;&gt;NOVO")</f>
        <v>0</v>
      </c>
      <c r="J14" s="77">
        <f>SUMIFS(CONSOLIDADO!$F:$F,CONSOLIDADO!$E:$E,$A14,CONSOLIDADO!$I:$I,I$3,CONSOLIDADO!$I:$I,I$4,CONSOLIDADO!$K:$K,"&lt;&gt;NOVO")</f>
        <v>0</v>
      </c>
      <c r="K14" s="77">
        <f>SUMIFS(CONSOLIDADO!$F:$F,CONSOLIDADO!$E:$E,$A14,CONSOLIDADO!$I:$I,J$3,CONSOLIDADO!$I:$I,J$4,CONSOLIDADO!$K:$K,"&lt;&gt;NOVO")</f>
        <v>0</v>
      </c>
      <c r="L14" s="77">
        <f>SUMIFS(CONSOLIDADO!$F:$F,CONSOLIDADO!$E:$E,$A14,CONSOLIDADO!$I:$I,K$3,CONSOLIDADO!$I:$I,K$4,CONSOLIDADO!$K:$K,"&lt;&gt;NOVO")</f>
        <v>0</v>
      </c>
      <c r="M14" s="77">
        <f>SUMIFS(CONSOLIDADO!$F:$F,CONSOLIDADO!$E:$E,$A14,CONSOLIDADO!$I:$I,L$3,CONSOLIDADO!$I:$I,L$4,CONSOLIDADO!$K:$K,"&lt;&gt;NOVO")</f>
        <v>0</v>
      </c>
      <c r="N14" s="79">
        <v>1000</v>
      </c>
      <c r="O14" s="78">
        <v>0.8</v>
      </c>
      <c r="P14" s="79">
        <f t="shared" si="1"/>
        <v>0</v>
      </c>
      <c r="Q14" s="79">
        <f t="shared" si="0"/>
        <v>0</v>
      </c>
      <c r="R14" s="79">
        <f t="shared" si="0"/>
        <v>0</v>
      </c>
      <c r="S14" s="79">
        <f t="shared" si="0"/>
        <v>0</v>
      </c>
      <c r="T14" s="79">
        <f t="shared" si="0"/>
        <v>0</v>
      </c>
      <c r="U14" s="79">
        <f t="shared" si="0"/>
        <v>0</v>
      </c>
      <c r="V14" s="79">
        <f t="shared" si="0"/>
        <v>0</v>
      </c>
      <c r="W14" s="79">
        <f t="shared" si="0"/>
        <v>0</v>
      </c>
      <c r="X14" s="79">
        <f t="shared" si="0"/>
        <v>0</v>
      </c>
      <c r="Y14" s="79">
        <f t="shared" si="0"/>
        <v>0</v>
      </c>
      <c r="Z14" s="79">
        <f t="shared" si="0"/>
        <v>0</v>
      </c>
      <c r="AA14" s="79">
        <f t="shared" si="0"/>
        <v>0</v>
      </c>
      <c r="AB14" s="37"/>
    </row>
    <row r="15" spans="1:28" x14ac:dyDescent="0.25">
      <c r="A15" s="76" t="s">
        <v>101</v>
      </c>
      <c r="B15" s="77">
        <f>SUMIFS(CONSOLIDADO!$F:$F,CONSOLIDADO!$E:$E,$A15,CONSOLIDADO!$I:$I,A$3,CONSOLIDADO!$I:$I,A$4,CONSOLIDADO!$K:$K,"&lt;&gt;NOVO")</f>
        <v>1</v>
      </c>
      <c r="C15" s="77">
        <f>SUMIFS(CONSOLIDADO!$F:$F,CONSOLIDADO!$E:$E,$A15,CONSOLIDADO!$I:$I,B$3,CONSOLIDADO!$I:$I,B$4,CONSOLIDADO!$K:$K,"&lt;&gt;NOVO")</f>
        <v>5</v>
      </c>
      <c r="D15" s="77">
        <f>SUMIFS(CONSOLIDADO!$F:$F,CONSOLIDADO!$E:$E,$A15,CONSOLIDADO!$I:$I,C$3,CONSOLIDADO!$I:$I,C$4,CONSOLIDADO!$K:$K,"&lt;&gt;NOVO")</f>
        <v>3</v>
      </c>
      <c r="E15" s="77">
        <f>SUMIFS(CONSOLIDADO!$F:$F,CONSOLIDADO!$E:$E,$A15,CONSOLIDADO!$I:$I,D$3,CONSOLIDADO!$I:$I,D$4,CONSOLIDADO!$K:$K,"&lt;&gt;NOVO")</f>
        <v>0</v>
      </c>
      <c r="F15" s="77">
        <f>SUMIFS(CONSOLIDADO!$F:$F,CONSOLIDADO!$E:$E,$A15,CONSOLIDADO!$I:$I,E$3,CONSOLIDADO!$I:$I,E$4,CONSOLIDADO!$K:$K,"&lt;&gt;NOVO")</f>
        <v>0</v>
      </c>
      <c r="G15" s="77">
        <f>SUMIFS(CONSOLIDADO!$F:$F,CONSOLIDADO!$E:$E,$A15,CONSOLIDADO!$I:$I,F$3,CONSOLIDADO!$I:$I,F$4,CONSOLIDADO!$K:$K,"&lt;&gt;NOVO")</f>
        <v>0</v>
      </c>
      <c r="H15" s="77">
        <f>SUMIFS(CONSOLIDADO!$F:$F,CONSOLIDADO!$E:$E,$A15,CONSOLIDADO!$I:$I,G$3,CONSOLIDADO!$I:$I,G$4,CONSOLIDADO!$K:$K,"&lt;&gt;NOVO")</f>
        <v>0</v>
      </c>
      <c r="I15" s="77">
        <f>SUMIFS(CONSOLIDADO!$F:$F,CONSOLIDADO!$E:$E,$A15,CONSOLIDADO!$I:$I,H$3,CONSOLIDADO!$I:$I,H$4,CONSOLIDADO!$K:$K,"&lt;&gt;NOVO")</f>
        <v>0</v>
      </c>
      <c r="J15" s="77">
        <f>SUMIFS(CONSOLIDADO!$F:$F,CONSOLIDADO!$E:$E,$A15,CONSOLIDADO!$I:$I,I$3,CONSOLIDADO!$I:$I,I$4,CONSOLIDADO!$K:$K,"&lt;&gt;NOVO")</f>
        <v>0</v>
      </c>
      <c r="K15" s="77">
        <f>SUMIFS(CONSOLIDADO!$F:$F,CONSOLIDADO!$E:$E,$A15,CONSOLIDADO!$I:$I,J$3,CONSOLIDADO!$I:$I,J$4,CONSOLIDADO!$K:$K,"&lt;&gt;NOVO")</f>
        <v>0</v>
      </c>
      <c r="L15" s="77">
        <f>SUMIFS(CONSOLIDADO!$F:$F,CONSOLIDADO!$E:$E,$A15,CONSOLIDADO!$I:$I,K$3,CONSOLIDADO!$I:$I,K$4,CONSOLIDADO!$K:$K,"&lt;&gt;NOVO")</f>
        <v>0</v>
      </c>
      <c r="M15" s="77">
        <f>SUMIFS(CONSOLIDADO!$F:$F,CONSOLIDADO!$E:$E,$A15,CONSOLIDADO!$I:$I,L$3,CONSOLIDADO!$I:$I,L$4,CONSOLIDADO!$K:$K,"&lt;&gt;NOVO")</f>
        <v>0</v>
      </c>
      <c r="N15" s="79">
        <v>1075.51</v>
      </c>
      <c r="O15" s="78">
        <v>0.8</v>
      </c>
      <c r="P15" s="79">
        <f t="shared" si="1"/>
        <v>215.10199999999995</v>
      </c>
      <c r="Q15" s="79">
        <f t="shared" si="0"/>
        <v>1075.5099999999998</v>
      </c>
      <c r="R15" s="79">
        <f t="shared" si="0"/>
        <v>645.30599999999981</v>
      </c>
      <c r="S15" s="79">
        <f t="shared" si="0"/>
        <v>0</v>
      </c>
      <c r="T15" s="79">
        <f t="shared" si="0"/>
        <v>0</v>
      </c>
      <c r="U15" s="79">
        <f t="shared" si="0"/>
        <v>0</v>
      </c>
      <c r="V15" s="79">
        <f t="shared" si="0"/>
        <v>0</v>
      </c>
      <c r="W15" s="79">
        <f t="shared" si="0"/>
        <v>0</v>
      </c>
      <c r="X15" s="79">
        <f t="shared" si="0"/>
        <v>0</v>
      </c>
      <c r="Y15" s="79">
        <f t="shared" si="0"/>
        <v>0</v>
      </c>
      <c r="Z15" s="79">
        <f t="shared" si="0"/>
        <v>0</v>
      </c>
      <c r="AA15" s="79">
        <f t="shared" si="0"/>
        <v>0</v>
      </c>
      <c r="AB15" s="37"/>
    </row>
    <row r="16" spans="1:28" x14ac:dyDescent="0.25">
      <c r="A16" s="76" t="s">
        <v>40</v>
      </c>
      <c r="B16" s="77">
        <f>SUMIFS(CONSOLIDADO!$F:$F,CONSOLIDADO!$E:$E,$A16,CONSOLIDADO!$I:$I,A$3,CONSOLIDADO!$I:$I,A$4,CONSOLIDADO!$K:$K,"&lt;&gt;NOVO")</f>
        <v>6</v>
      </c>
      <c r="C16" s="77">
        <f>SUMIFS(CONSOLIDADO!$F:$F,CONSOLIDADO!$E:$E,$A16,CONSOLIDADO!$I:$I,B$3,CONSOLIDADO!$I:$I,B$4,CONSOLIDADO!$K:$K,"&lt;&gt;NOVO")</f>
        <v>2</v>
      </c>
      <c r="D16" s="77">
        <f>SUMIFS(CONSOLIDADO!$F:$F,CONSOLIDADO!$E:$E,$A16,CONSOLIDADO!$I:$I,C$3,CONSOLIDADO!$I:$I,C$4,CONSOLIDADO!$K:$K,"&lt;&gt;NOVO")</f>
        <v>12</v>
      </c>
      <c r="E16" s="77">
        <f>SUMIFS(CONSOLIDADO!$F:$F,CONSOLIDADO!$E:$E,$A16,CONSOLIDADO!$I:$I,D$3,CONSOLIDADO!$I:$I,D$4,CONSOLIDADO!$K:$K,"&lt;&gt;NOVO")</f>
        <v>0</v>
      </c>
      <c r="F16" s="77">
        <f>SUMIFS(CONSOLIDADO!$F:$F,CONSOLIDADO!$E:$E,$A16,CONSOLIDADO!$I:$I,E$3,CONSOLIDADO!$I:$I,E$4,CONSOLIDADO!$K:$K,"&lt;&gt;NOVO")</f>
        <v>0</v>
      </c>
      <c r="G16" s="77">
        <f>SUMIFS(CONSOLIDADO!$F:$F,CONSOLIDADO!$E:$E,$A16,CONSOLIDADO!$I:$I,F$3,CONSOLIDADO!$I:$I,F$4,CONSOLIDADO!$K:$K,"&lt;&gt;NOVO")</f>
        <v>0</v>
      </c>
      <c r="H16" s="77">
        <f>SUMIFS(CONSOLIDADO!$F:$F,CONSOLIDADO!$E:$E,$A16,CONSOLIDADO!$I:$I,G$3,CONSOLIDADO!$I:$I,G$4,CONSOLIDADO!$K:$K,"&lt;&gt;NOVO")</f>
        <v>0</v>
      </c>
      <c r="I16" s="77">
        <f>SUMIFS(CONSOLIDADO!$F:$F,CONSOLIDADO!$E:$E,$A16,CONSOLIDADO!$I:$I,H$3,CONSOLIDADO!$I:$I,H$4,CONSOLIDADO!$K:$K,"&lt;&gt;NOVO")</f>
        <v>0</v>
      </c>
      <c r="J16" s="77">
        <f>SUMIFS(CONSOLIDADO!$F:$F,CONSOLIDADO!$E:$E,$A16,CONSOLIDADO!$I:$I,I$3,CONSOLIDADO!$I:$I,I$4,CONSOLIDADO!$K:$K,"&lt;&gt;NOVO")</f>
        <v>0</v>
      </c>
      <c r="K16" s="77">
        <f>SUMIFS(CONSOLIDADO!$F:$F,CONSOLIDADO!$E:$E,$A16,CONSOLIDADO!$I:$I,J$3,CONSOLIDADO!$I:$I,J$4,CONSOLIDADO!$K:$K,"&lt;&gt;NOVO")</f>
        <v>0</v>
      </c>
      <c r="L16" s="77">
        <f>SUMIFS(CONSOLIDADO!$F:$F,CONSOLIDADO!$E:$E,$A16,CONSOLIDADO!$I:$I,K$3,CONSOLIDADO!$I:$I,K$4,CONSOLIDADO!$K:$K,"&lt;&gt;NOVO")</f>
        <v>0</v>
      </c>
      <c r="M16" s="77">
        <f>SUMIFS(CONSOLIDADO!$F:$F,CONSOLIDADO!$E:$E,$A16,CONSOLIDADO!$I:$I,L$3,CONSOLIDADO!$I:$I,L$4,CONSOLIDADO!$K:$K,"&lt;&gt;NOVO")</f>
        <v>0</v>
      </c>
      <c r="N16" s="79">
        <v>675.51</v>
      </c>
      <c r="O16" s="78">
        <v>0.8</v>
      </c>
      <c r="P16" s="79">
        <f t="shared" si="1"/>
        <v>810.61199999999985</v>
      </c>
      <c r="Q16" s="79">
        <f t="shared" si="0"/>
        <v>270.20399999999995</v>
      </c>
      <c r="R16" s="79">
        <f t="shared" si="0"/>
        <v>1621.2239999999997</v>
      </c>
      <c r="S16" s="79">
        <f t="shared" si="0"/>
        <v>0</v>
      </c>
      <c r="T16" s="79">
        <f t="shared" si="0"/>
        <v>0</v>
      </c>
      <c r="U16" s="79">
        <f t="shared" si="0"/>
        <v>0</v>
      </c>
      <c r="V16" s="79">
        <f t="shared" si="0"/>
        <v>0</v>
      </c>
      <c r="W16" s="79">
        <f t="shared" si="0"/>
        <v>0</v>
      </c>
      <c r="X16" s="79">
        <f t="shared" si="0"/>
        <v>0</v>
      </c>
      <c r="Y16" s="79">
        <f t="shared" si="0"/>
        <v>0</v>
      </c>
      <c r="Z16" s="79">
        <f t="shared" si="0"/>
        <v>0</v>
      </c>
      <c r="AA16" s="79">
        <f t="shared" si="0"/>
        <v>0</v>
      </c>
      <c r="AB16" s="37"/>
    </row>
    <row r="17" spans="1:28" x14ac:dyDescent="0.25">
      <c r="A17" s="76" t="s">
        <v>110</v>
      </c>
      <c r="B17" s="77">
        <f>SUMIFS(CONSOLIDADO!$F:$F,CONSOLIDADO!$E:$E,$A17,CONSOLIDADO!$I:$I,A$3,CONSOLIDADO!$I:$I,A$4,CONSOLIDADO!$K:$K,"&lt;&gt;NOVO")</f>
        <v>1</v>
      </c>
      <c r="C17" s="77">
        <f>SUMIFS(CONSOLIDADO!$F:$F,CONSOLIDADO!$E:$E,$A17,CONSOLIDADO!$I:$I,B$3,CONSOLIDADO!$I:$I,B$4,CONSOLIDADO!$K:$K,"&lt;&gt;NOVO")</f>
        <v>0</v>
      </c>
      <c r="D17" s="77">
        <f>SUMIFS(CONSOLIDADO!$F:$F,CONSOLIDADO!$E:$E,$A17,CONSOLIDADO!$I:$I,C$3,CONSOLIDADO!$I:$I,C$4,CONSOLIDADO!$K:$K,"&lt;&gt;NOVO")</f>
        <v>15</v>
      </c>
      <c r="E17" s="77">
        <f>SUMIFS(CONSOLIDADO!$F:$F,CONSOLIDADO!$E:$E,$A17,CONSOLIDADO!$I:$I,D$3,CONSOLIDADO!$I:$I,D$4,CONSOLIDADO!$K:$K,"&lt;&gt;NOVO")</f>
        <v>0</v>
      </c>
      <c r="F17" s="77">
        <f>SUMIFS(CONSOLIDADO!$F:$F,CONSOLIDADO!$E:$E,$A17,CONSOLIDADO!$I:$I,E$3,CONSOLIDADO!$I:$I,E$4,CONSOLIDADO!$K:$K,"&lt;&gt;NOVO")</f>
        <v>0</v>
      </c>
      <c r="G17" s="77">
        <f>SUMIFS(CONSOLIDADO!$F:$F,CONSOLIDADO!$E:$E,$A17,CONSOLIDADO!$I:$I,F$3,CONSOLIDADO!$I:$I,F$4,CONSOLIDADO!$K:$K,"&lt;&gt;NOVO")</f>
        <v>0</v>
      </c>
      <c r="H17" s="77">
        <f>SUMIFS(CONSOLIDADO!$F:$F,CONSOLIDADO!$E:$E,$A17,CONSOLIDADO!$I:$I,G$3,CONSOLIDADO!$I:$I,G$4,CONSOLIDADO!$K:$K,"&lt;&gt;NOVO")</f>
        <v>0</v>
      </c>
      <c r="I17" s="77">
        <f>SUMIFS(CONSOLIDADO!$F:$F,CONSOLIDADO!$E:$E,$A17,CONSOLIDADO!$I:$I,H$3,CONSOLIDADO!$I:$I,H$4,CONSOLIDADO!$K:$K,"&lt;&gt;NOVO")</f>
        <v>0</v>
      </c>
      <c r="J17" s="77">
        <f>SUMIFS(CONSOLIDADO!$F:$F,CONSOLIDADO!$E:$E,$A17,CONSOLIDADO!$I:$I,I$3,CONSOLIDADO!$I:$I,I$4,CONSOLIDADO!$K:$K,"&lt;&gt;NOVO")</f>
        <v>0</v>
      </c>
      <c r="K17" s="77">
        <f>SUMIFS(CONSOLIDADO!$F:$F,CONSOLIDADO!$E:$E,$A17,CONSOLIDADO!$I:$I,J$3,CONSOLIDADO!$I:$I,J$4,CONSOLIDADO!$K:$K,"&lt;&gt;NOVO")</f>
        <v>0</v>
      </c>
      <c r="L17" s="77">
        <f>SUMIFS(CONSOLIDADO!$F:$F,CONSOLIDADO!$E:$E,$A17,CONSOLIDADO!$I:$I,K$3,CONSOLIDADO!$I:$I,K$4,CONSOLIDADO!$K:$K,"&lt;&gt;NOVO")</f>
        <v>0</v>
      </c>
      <c r="M17" s="77">
        <f>SUMIFS(CONSOLIDADO!$F:$F,CONSOLIDADO!$E:$E,$A17,CONSOLIDADO!$I:$I,L$3,CONSOLIDADO!$I:$I,L$4,CONSOLIDADO!$K:$K,"&lt;&gt;NOVO")</f>
        <v>1</v>
      </c>
      <c r="N17" s="79">
        <v>1075.51</v>
      </c>
      <c r="O17" s="78">
        <v>0.8</v>
      </c>
      <c r="P17" s="79">
        <f t="shared" si="1"/>
        <v>215.10199999999995</v>
      </c>
      <c r="Q17" s="79">
        <f t="shared" si="0"/>
        <v>0</v>
      </c>
      <c r="R17" s="79">
        <f t="shared" si="0"/>
        <v>3226.5299999999993</v>
      </c>
      <c r="S17" s="79">
        <f t="shared" si="0"/>
        <v>0</v>
      </c>
      <c r="T17" s="79">
        <f t="shared" si="0"/>
        <v>0</v>
      </c>
      <c r="U17" s="79">
        <f t="shared" si="0"/>
        <v>0</v>
      </c>
      <c r="V17" s="79">
        <f t="shared" si="0"/>
        <v>0</v>
      </c>
      <c r="W17" s="79">
        <f t="shared" si="0"/>
        <v>0</v>
      </c>
      <c r="X17" s="79">
        <f t="shared" si="0"/>
        <v>0</v>
      </c>
      <c r="Y17" s="79">
        <f t="shared" si="0"/>
        <v>0</v>
      </c>
      <c r="Z17" s="79">
        <f t="shared" si="0"/>
        <v>0</v>
      </c>
      <c r="AA17" s="79">
        <f t="shared" si="0"/>
        <v>215.10199999999995</v>
      </c>
      <c r="AB17" s="37"/>
    </row>
    <row r="18" spans="1:28" x14ac:dyDescent="0.25">
      <c r="A18" t="s">
        <v>455</v>
      </c>
      <c r="B18" s="77">
        <f>SUMIFS(CONSOLIDADO!$F:$F,CONSOLIDADO!$E:$E,$A18,CONSOLIDADO!$I:$I,A$3,CONSOLIDADO!$I:$I,A$4,CONSOLIDADO!$K:$K,"&lt;&gt;NOVO")</f>
        <v>0</v>
      </c>
      <c r="C18" s="77">
        <f>SUMIFS(CONSOLIDADO!$F:$F,CONSOLIDADO!$E:$E,$A18,CONSOLIDADO!$I:$I,B$3,CONSOLIDADO!$I:$I,B$4,CONSOLIDADO!$K:$K,"&lt;&gt;NOVO")</f>
        <v>0</v>
      </c>
      <c r="D18" s="77">
        <f>SUMIFS(CONSOLIDADO!$F:$F,CONSOLIDADO!$E:$E,$A18,CONSOLIDADO!$I:$I,C$3,CONSOLIDADO!$I:$I,C$4,CONSOLIDADO!$K:$K,"&lt;&gt;NOVO")</f>
        <v>0</v>
      </c>
      <c r="E18" s="77">
        <f>SUMIFS(CONSOLIDADO!$F:$F,CONSOLIDADO!$E:$E,$A18,CONSOLIDADO!$I:$I,D$3,CONSOLIDADO!$I:$I,D$4,CONSOLIDADO!$K:$K,"&lt;&gt;NOVO")</f>
        <v>0</v>
      </c>
      <c r="F18" s="77">
        <f>SUMIFS(CONSOLIDADO!$F:$F,CONSOLIDADO!$E:$E,$A18,CONSOLIDADO!$I:$I,E$3,CONSOLIDADO!$I:$I,E$4,CONSOLIDADO!$K:$K,"&lt;&gt;NOVO")</f>
        <v>0</v>
      </c>
      <c r="G18" s="77">
        <f>SUMIFS(CONSOLIDADO!$F:$F,CONSOLIDADO!$E:$E,$A18,CONSOLIDADO!$I:$I,F$3,CONSOLIDADO!$I:$I,F$4,CONSOLIDADO!$K:$K,"&lt;&gt;NOVO")</f>
        <v>0</v>
      </c>
      <c r="H18" s="77">
        <f>SUMIFS(CONSOLIDADO!$F:$F,CONSOLIDADO!$E:$E,$A18,CONSOLIDADO!$I:$I,G$3,CONSOLIDADO!$I:$I,G$4,CONSOLIDADO!$K:$K,"&lt;&gt;NOVO")</f>
        <v>0</v>
      </c>
      <c r="I18" s="77">
        <f>SUMIFS(CONSOLIDADO!$F:$F,CONSOLIDADO!$E:$E,$A18,CONSOLIDADO!$I:$I,H$3,CONSOLIDADO!$I:$I,H$4,CONSOLIDADO!$K:$K,"&lt;&gt;NOVO")</f>
        <v>0</v>
      </c>
      <c r="J18" s="77">
        <f>SUMIFS(CONSOLIDADO!$F:$F,CONSOLIDADO!$E:$E,$A18,CONSOLIDADO!$I:$I,I$3,CONSOLIDADO!$I:$I,I$4,CONSOLIDADO!$K:$K,"&lt;&gt;NOVO")</f>
        <v>0</v>
      </c>
      <c r="K18" s="77">
        <f>SUMIFS(CONSOLIDADO!$F:$F,CONSOLIDADO!$E:$E,$A18,CONSOLIDADO!$I:$I,J$3,CONSOLIDADO!$I:$I,J$4,CONSOLIDADO!$K:$K,"&lt;&gt;NOVO")</f>
        <v>0</v>
      </c>
      <c r="L18" s="77">
        <f>SUMIFS(CONSOLIDADO!$F:$F,CONSOLIDADO!$E:$E,$A18,CONSOLIDADO!$I:$I,K$3,CONSOLIDADO!$I:$I,K$4,CONSOLIDADO!$K:$K,"&lt;&gt;NOVO")</f>
        <v>0</v>
      </c>
      <c r="M18" s="77">
        <f>SUMIFS(CONSOLIDADO!$F:$F,CONSOLIDADO!$E:$E,$A18,CONSOLIDADO!$I:$I,L$3,CONSOLIDADO!$I:$I,L$4,CONSOLIDADO!$K:$K,"&lt;&gt;NOVO")</f>
        <v>0</v>
      </c>
      <c r="N18" s="79">
        <v>1075.51</v>
      </c>
      <c r="O18" s="78">
        <v>0.8</v>
      </c>
      <c r="P18" s="79">
        <f t="shared" si="1"/>
        <v>0</v>
      </c>
      <c r="Q18" s="79">
        <f t="shared" si="0"/>
        <v>0</v>
      </c>
      <c r="R18" s="79">
        <f t="shared" si="0"/>
        <v>0</v>
      </c>
      <c r="S18" s="79">
        <f t="shared" si="0"/>
        <v>0</v>
      </c>
      <c r="T18" s="79">
        <f t="shared" si="0"/>
        <v>0</v>
      </c>
      <c r="U18" s="79">
        <f t="shared" si="0"/>
        <v>0</v>
      </c>
      <c r="V18" s="79">
        <f t="shared" si="0"/>
        <v>0</v>
      </c>
      <c r="W18" s="79">
        <f t="shared" si="0"/>
        <v>0</v>
      </c>
      <c r="X18" s="79">
        <f t="shared" si="0"/>
        <v>0</v>
      </c>
      <c r="Y18" s="79">
        <f t="shared" si="0"/>
        <v>0</v>
      </c>
      <c r="Z18" s="79">
        <f t="shared" si="0"/>
        <v>0</v>
      </c>
      <c r="AA18" s="79">
        <f t="shared" si="0"/>
        <v>0</v>
      </c>
      <c r="AB18" s="37"/>
    </row>
    <row r="19" spans="1:28" x14ac:dyDescent="0.25">
      <c r="A19" s="76" t="s">
        <v>457</v>
      </c>
      <c r="B19" s="77">
        <f>SUMIFS(CONSOLIDADO!$F:$F,CONSOLIDADO!$E:$E,$A19,CONSOLIDADO!$I:$I,A$3,CONSOLIDADO!$I:$I,A$4,CONSOLIDADO!$K:$K,"&lt;&gt;NOVO")</f>
        <v>0</v>
      </c>
      <c r="C19" s="77">
        <f>SUMIFS(CONSOLIDADO!$F:$F,CONSOLIDADO!$E:$E,$A19,CONSOLIDADO!$I:$I,B$3,CONSOLIDADO!$I:$I,B$4,CONSOLIDADO!$K:$K,"&lt;&gt;NOVO")</f>
        <v>0</v>
      </c>
      <c r="D19" s="77">
        <f>SUMIFS(CONSOLIDADO!$F:$F,CONSOLIDADO!$E:$E,$A19,CONSOLIDADO!$I:$I,C$3,CONSOLIDADO!$I:$I,C$4,CONSOLIDADO!$K:$K,"&lt;&gt;NOVO")</f>
        <v>0</v>
      </c>
      <c r="E19" s="77">
        <f>SUMIFS(CONSOLIDADO!$F:$F,CONSOLIDADO!$E:$E,$A19,CONSOLIDADO!$I:$I,D$3,CONSOLIDADO!$I:$I,D$4,CONSOLIDADO!$K:$K,"&lt;&gt;NOVO")</f>
        <v>0</v>
      </c>
      <c r="F19" s="77">
        <f>SUMIFS(CONSOLIDADO!$F:$F,CONSOLIDADO!$E:$E,$A19,CONSOLIDADO!$I:$I,E$3,CONSOLIDADO!$I:$I,E$4,CONSOLIDADO!$K:$K,"&lt;&gt;NOVO")</f>
        <v>0</v>
      </c>
      <c r="G19" s="77">
        <f>SUMIFS(CONSOLIDADO!$F:$F,CONSOLIDADO!$E:$E,$A19,CONSOLIDADO!$I:$I,F$3,CONSOLIDADO!$I:$I,F$4,CONSOLIDADO!$K:$K,"&lt;&gt;NOVO")</f>
        <v>0</v>
      </c>
      <c r="H19" s="77">
        <f>SUMIFS(CONSOLIDADO!$F:$F,CONSOLIDADO!$E:$E,$A19,CONSOLIDADO!$I:$I,G$3,CONSOLIDADO!$I:$I,G$4,CONSOLIDADO!$K:$K,"&lt;&gt;NOVO")</f>
        <v>0</v>
      </c>
      <c r="I19" s="77">
        <f>SUMIFS(CONSOLIDADO!$F:$F,CONSOLIDADO!$E:$E,$A19,CONSOLIDADO!$I:$I,H$3,CONSOLIDADO!$I:$I,H$4,CONSOLIDADO!$K:$K,"&lt;&gt;NOVO")</f>
        <v>0</v>
      </c>
      <c r="J19" s="77">
        <f>SUMIFS(CONSOLIDADO!$F:$F,CONSOLIDADO!$E:$E,$A19,CONSOLIDADO!$I:$I,I$3,CONSOLIDADO!$I:$I,I$4,CONSOLIDADO!$K:$K,"&lt;&gt;NOVO")</f>
        <v>0</v>
      </c>
      <c r="K19" s="77">
        <f>SUMIFS(CONSOLIDADO!$F:$F,CONSOLIDADO!$E:$E,$A19,CONSOLIDADO!$I:$I,J$3,CONSOLIDADO!$I:$I,J$4,CONSOLIDADO!$K:$K,"&lt;&gt;NOVO")</f>
        <v>0</v>
      </c>
      <c r="L19" s="77">
        <f>SUMIFS(CONSOLIDADO!$F:$F,CONSOLIDADO!$E:$E,$A19,CONSOLIDADO!$I:$I,K$3,CONSOLIDADO!$I:$I,K$4,CONSOLIDADO!$K:$K,"&lt;&gt;NOVO")</f>
        <v>0</v>
      </c>
      <c r="M19" s="77">
        <f>SUMIFS(CONSOLIDADO!$F:$F,CONSOLIDADO!$E:$E,$A19,CONSOLIDADO!$I:$I,L$3,CONSOLIDADO!$I:$I,L$4,CONSOLIDADO!$K:$K,"&lt;&gt;NOVO")</f>
        <v>0</v>
      </c>
      <c r="N19" s="79">
        <v>653.75</v>
      </c>
      <c r="O19" s="78">
        <v>0.8</v>
      </c>
      <c r="P19" s="79">
        <f t="shared" si="1"/>
        <v>0</v>
      </c>
      <c r="Q19" s="79">
        <f t="shared" si="0"/>
        <v>0</v>
      </c>
      <c r="R19" s="79">
        <f t="shared" si="0"/>
        <v>0</v>
      </c>
      <c r="S19" s="79">
        <f t="shared" si="0"/>
        <v>0</v>
      </c>
      <c r="T19" s="79">
        <f t="shared" si="0"/>
        <v>0</v>
      </c>
      <c r="U19" s="79">
        <f t="shared" si="0"/>
        <v>0</v>
      </c>
      <c r="V19" s="79">
        <f t="shared" si="0"/>
        <v>0</v>
      </c>
      <c r="W19" s="79">
        <f t="shared" si="0"/>
        <v>0</v>
      </c>
      <c r="X19" s="79">
        <f t="shared" si="0"/>
        <v>0</v>
      </c>
      <c r="Y19" s="79">
        <f t="shared" si="0"/>
        <v>0</v>
      </c>
      <c r="Z19" s="79">
        <f t="shared" si="0"/>
        <v>0</v>
      </c>
      <c r="AA19" s="79">
        <f t="shared" si="0"/>
        <v>0</v>
      </c>
      <c r="AB19" s="37"/>
    </row>
    <row r="20" spans="1:28" x14ac:dyDescent="0.25">
      <c r="A20" t="s">
        <v>194</v>
      </c>
      <c r="B20" s="77">
        <f>SUMIFS(CONSOLIDADO!$F:$F,CONSOLIDADO!$E:$E,$A20,CONSOLIDADO!$I:$I,A$3,CONSOLIDADO!$I:$I,A$4,CONSOLIDADO!$K:$K,"&lt;&gt;NOVO")</f>
        <v>1</v>
      </c>
      <c r="C20" s="77">
        <f>SUMIFS(CONSOLIDADO!$F:$F,CONSOLIDADO!$E:$E,$A20,CONSOLIDADO!$I:$I,B$3,CONSOLIDADO!$I:$I,B$4,CONSOLIDADO!$K:$K,"&lt;&gt;NOVO")</f>
        <v>0</v>
      </c>
      <c r="D20" s="77">
        <f>SUMIFS(CONSOLIDADO!$F:$F,CONSOLIDADO!$E:$E,$A20,CONSOLIDADO!$I:$I,C$3,CONSOLIDADO!$I:$I,C$4,CONSOLIDADO!$K:$K,"&lt;&gt;NOVO")</f>
        <v>0</v>
      </c>
      <c r="E20" s="77">
        <f>SUMIFS(CONSOLIDADO!$F:$F,CONSOLIDADO!$E:$E,$A20,CONSOLIDADO!$I:$I,D$3,CONSOLIDADO!$I:$I,D$4,CONSOLIDADO!$K:$K,"&lt;&gt;NOVO")</f>
        <v>0</v>
      </c>
      <c r="F20" s="77">
        <f>SUMIFS(CONSOLIDADO!$F:$F,CONSOLIDADO!$E:$E,$A20,CONSOLIDADO!$I:$I,E$3,CONSOLIDADO!$I:$I,E$4,CONSOLIDADO!$K:$K,"&lt;&gt;NOVO")</f>
        <v>0</v>
      </c>
      <c r="G20" s="77">
        <f>SUMIFS(CONSOLIDADO!$F:$F,CONSOLIDADO!$E:$E,$A20,CONSOLIDADO!$I:$I,F$3,CONSOLIDADO!$I:$I,F$4,CONSOLIDADO!$K:$K,"&lt;&gt;NOVO")</f>
        <v>0</v>
      </c>
      <c r="H20" s="77">
        <f>SUMIFS(CONSOLIDADO!$F:$F,CONSOLIDADO!$E:$E,$A20,CONSOLIDADO!$I:$I,G$3,CONSOLIDADO!$I:$I,G$4,CONSOLIDADO!$K:$K,"&lt;&gt;NOVO")</f>
        <v>0</v>
      </c>
      <c r="I20" s="77">
        <f>SUMIFS(CONSOLIDADO!$F:$F,CONSOLIDADO!$E:$E,$A20,CONSOLIDADO!$I:$I,H$3,CONSOLIDADO!$I:$I,H$4,CONSOLIDADO!$K:$K,"&lt;&gt;NOVO")</f>
        <v>0</v>
      </c>
      <c r="J20" s="77">
        <f>SUMIFS(CONSOLIDADO!$F:$F,CONSOLIDADO!$E:$E,$A20,CONSOLIDADO!$I:$I,I$3,CONSOLIDADO!$I:$I,I$4,CONSOLIDADO!$K:$K,"&lt;&gt;NOVO")</f>
        <v>0</v>
      </c>
      <c r="K20" s="77">
        <f>SUMIFS(CONSOLIDADO!$F:$F,CONSOLIDADO!$E:$E,$A20,CONSOLIDADO!$I:$I,J$3,CONSOLIDADO!$I:$I,J$4,CONSOLIDADO!$K:$K,"&lt;&gt;NOVO")</f>
        <v>0</v>
      </c>
      <c r="L20" s="77">
        <f>SUMIFS(CONSOLIDADO!$F:$F,CONSOLIDADO!$E:$E,$A20,CONSOLIDADO!$I:$I,K$3,CONSOLIDADO!$I:$I,K$4,CONSOLIDADO!$K:$K,"&lt;&gt;NOVO")</f>
        <v>0</v>
      </c>
      <c r="M20" s="77">
        <f>SUMIFS(CONSOLIDADO!$F:$F,CONSOLIDADO!$E:$E,$A20,CONSOLIDADO!$I:$I,L$3,CONSOLIDADO!$I:$I,L$4,CONSOLIDADO!$K:$K,"&lt;&gt;NOVO")</f>
        <v>0</v>
      </c>
      <c r="N20" s="79">
        <v>2340.21</v>
      </c>
      <c r="O20" s="78">
        <v>0.8</v>
      </c>
      <c r="P20" s="79">
        <f t="shared" si="1"/>
        <v>468.04199999999992</v>
      </c>
      <c r="Q20" s="79">
        <f t="shared" si="0"/>
        <v>0</v>
      </c>
      <c r="R20" s="79">
        <f t="shared" si="0"/>
        <v>0</v>
      </c>
      <c r="S20" s="79">
        <f t="shared" si="0"/>
        <v>0</v>
      </c>
      <c r="T20" s="79">
        <f t="shared" si="0"/>
        <v>0</v>
      </c>
      <c r="U20" s="79">
        <f t="shared" si="0"/>
        <v>0</v>
      </c>
      <c r="V20" s="79">
        <f t="shared" si="0"/>
        <v>0</v>
      </c>
      <c r="W20" s="79">
        <f t="shared" si="0"/>
        <v>0</v>
      </c>
      <c r="X20" s="79">
        <f t="shared" si="0"/>
        <v>0</v>
      </c>
      <c r="Y20" s="79">
        <f t="shared" si="0"/>
        <v>0</v>
      </c>
      <c r="Z20" s="79">
        <f t="shared" si="0"/>
        <v>0</v>
      </c>
      <c r="AA20" s="79">
        <f t="shared" si="0"/>
        <v>0</v>
      </c>
      <c r="AB20" s="37"/>
    </row>
    <row r="21" spans="1:28" x14ac:dyDescent="0.25">
      <c r="A21" s="76" t="s">
        <v>459</v>
      </c>
      <c r="B21" s="77">
        <f>SUMIFS(CONSOLIDADO!$F:$F,CONSOLIDADO!$E:$E,$A21,CONSOLIDADO!$I:$I,A$3,CONSOLIDADO!$I:$I,A$4,CONSOLIDADO!$K:$K,"&lt;&gt;NOVO")</f>
        <v>0</v>
      </c>
      <c r="C21" s="77">
        <f>SUMIFS(CONSOLIDADO!$F:$F,CONSOLIDADO!$E:$E,$A21,CONSOLIDADO!$I:$I,B$3,CONSOLIDADO!$I:$I,B$4,CONSOLIDADO!$K:$K,"&lt;&gt;NOVO")</f>
        <v>0</v>
      </c>
      <c r="D21" s="77">
        <f>SUMIFS(CONSOLIDADO!$F:$F,CONSOLIDADO!$E:$E,$A21,CONSOLIDADO!$I:$I,C$3,CONSOLIDADO!$I:$I,C$4,CONSOLIDADO!$K:$K,"&lt;&gt;NOVO")</f>
        <v>0</v>
      </c>
      <c r="E21" s="77">
        <f>SUMIFS(CONSOLIDADO!$F:$F,CONSOLIDADO!$E:$E,$A21,CONSOLIDADO!$I:$I,D$3,CONSOLIDADO!$I:$I,D$4,CONSOLIDADO!$K:$K,"&lt;&gt;NOVO")</f>
        <v>0</v>
      </c>
      <c r="F21" s="77">
        <f>SUMIFS(CONSOLIDADO!$F:$F,CONSOLIDADO!$E:$E,$A21,CONSOLIDADO!$I:$I,E$3,CONSOLIDADO!$I:$I,E$4,CONSOLIDADO!$K:$K,"&lt;&gt;NOVO")</f>
        <v>0</v>
      </c>
      <c r="G21" s="77">
        <f>SUMIFS(CONSOLIDADO!$F:$F,CONSOLIDADO!$E:$E,$A21,CONSOLIDADO!$I:$I,F$3,CONSOLIDADO!$I:$I,F$4,CONSOLIDADO!$K:$K,"&lt;&gt;NOVO")</f>
        <v>0</v>
      </c>
      <c r="H21" s="77">
        <f>SUMIFS(CONSOLIDADO!$F:$F,CONSOLIDADO!$E:$E,$A21,CONSOLIDADO!$I:$I,G$3,CONSOLIDADO!$I:$I,G$4,CONSOLIDADO!$K:$K,"&lt;&gt;NOVO")</f>
        <v>0</v>
      </c>
      <c r="I21" s="77">
        <f>SUMIFS(CONSOLIDADO!$F:$F,CONSOLIDADO!$E:$E,$A21,CONSOLIDADO!$I:$I,H$3,CONSOLIDADO!$I:$I,H$4,CONSOLIDADO!$K:$K,"&lt;&gt;NOVO")</f>
        <v>0</v>
      </c>
      <c r="J21" s="77">
        <f>SUMIFS(CONSOLIDADO!$F:$F,CONSOLIDADO!$E:$E,$A21,CONSOLIDADO!$I:$I,I$3,CONSOLIDADO!$I:$I,I$4,CONSOLIDADO!$K:$K,"&lt;&gt;NOVO")</f>
        <v>0</v>
      </c>
      <c r="K21" s="77">
        <f>SUMIFS(CONSOLIDADO!$F:$F,CONSOLIDADO!$E:$E,$A21,CONSOLIDADO!$I:$I,J$3,CONSOLIDADO!$I:$I,J$4,CONSOLIDADO!$K:$K,"&lt;&gt;NOVO")</f>
        <v>0</v>
      </c>
      <c r="L21" s="77">
        <f>SUMIFS(CONSOLIDADO!$F:$F,CONSOLIDADO!$E:$E,$A21,CONSOLIDADO!$I:$I,K$3,CONSOLIDADO!$I:$I,K$4,CONSOLIDADO!$K:$K,"&lt;&gt;NOVO")</f>
        <v>0</v>
      </c>
      <c r="M21" s="77">
        <f>SUMIFS(CONSOLIDADO!$F:$F,CONSOLIDADO!$E:$E,$A21,CONSOLIDADO!$I:$I,L$3,CONSOLIDADO!$I:$I,L$4,CONSOLIDADO!$K:$K,"&lt;&gt;NOVO")</f>
        <v>0</v>
      </c>
      <c r="N21" s="79">
        <v>653.75</v>
      </c>
      <c r="O21" s="78">
        <v>0.8</v>
      </c>
      <c r="P21" s="79">
        <f t="shared" si="1"/>
        <v>0</v>
      </c>
      <c r="Q21" s="79">
        <f t="shared" si="0"/>
        <v>0</v>
      </c>
      <c r="R21" s="79">
        <f t="shared" si="0"/>
        <v>0</v>
      </c>
      <c r="S21" s="79">
        <f t="shared" si="0"/>
        <v>0</v>
      </c>
      <c r="T21" s="79">
        <f t="shared" si="0"/>
        <v>0</v>
      </c>
      <c r="U21" s="79">
        <f t="shared" si="0"/>
        <v>0</v>
      </c>
      <c r="V21" s="79">
        <f t="shared" si="0"/>
        <v>0</v>
      </c>
      <c r="W21" s="79">
        <f t="shared" si="0"/>
        <v>0</v>
      </c>
      <c r="X21" s="79">
        <f t="shared" si="0"/>
        <v>0</v>
      </c>
      <c r="Y21" s="79">
        <f t="shared" si="0"/>
        <v>0</v>
      </c>
      <c r="Z21" s="79">
        <f t="shared" si="0"/>
        <v>0</v>
      </c>
      <c r="AA21" s="79">
        <f t="shared" si="0"/>
        <v>0</v>
      </c>
      <c r="AB21" s="37"/>
    </row>
    <row r="22" spans="1:28" x14ac:dyDescent="0.25">
      <c r="A22" s="76" t="s">
        <v>58</v>
      </c>
      <c r="B22" s="77">
        <f>SUMIFS(CONSOLIDADO!$F:$F,CONSOLIDADO!$E:$E,$A22,CONSOLIDADO!$I:$I,A$3,CONSOLIDADO!$I:$I,A$4,CONSOLIDADO!$K:$K,"&lt;&gt;NOVO")</f>
        <v>2</v>
      </c>
      <c r="C22" s="77">
        <f>SUMIFS(CONSOLIDADO!$F:$F,CONSOLIDADO!$E:$E,$A22,CONSOLIDADO!$I:$I,B$3,CONSOLIDADO!$I:$I,B$4,CONSOLIDADO!$K:$K,"&lt;&gt;NOVO")</f>
        <v>0</v>
      </c>
      <c r="D22" s="77">
        <f>SUMIFS(CONSOLIDADO!$F:$F,CONSOLIDADO!$E:$E,$A22,CONSOLIDADO!$I:$I,C$3,CONSOLIDADO!$I:$I,C$4,CONSOLIDADO!$K:$K,"&lt;&gt;NOVO")</f>
        <v>0</v>
      </c>
      <c r="E22" s="77">
        <f>SUMIFS(CONSOLIDADO!$F:$F,CONSOLIDADO!$E:$E,$A22,CONSOLIDADO!$I:$I,D$3,CONSOLIDADO!$I:$I,D$4,CONSOLIDADO!$K:$K,"&lt;&gt;NOVO")</f>
        <v>0</v>
      </c>
      <c r="F22" s="77">
        <f>SUMIFS(CONSOLIDADO!$F:$F,CONSOLIDADO!$E:$E,$A22,CONSOLIDADO!$I:$I,E$3,CONSOLIDADO!$I:$I,E$4,CONSOLIDADO!$K:$K,"&lt;&gt;NOVO")</f>
        <v>0</v>
      </c>
      <c r="G22" s="77">
        <f>SUMIFS(CONSOLIDADO!$F:$F,CONSOLIDADO!$E:$E,$A22,CONSOLIDADO!$I:$I,F$3,CONSOLIDADO!$I:$I,F$4,CONSOLIDADO!$K:$K,"&lt;&gt;NOVO")</f>
        <v>0</v>
      </c>
      <c r="H22" s="77">
        <f>SUMIFS(CONSOLIDADO!$F:$F,CONSOLIDADO!$E:$E,$A22,CONSOLIDADO!$I:$I,G$3,CONSOLIDADO!$I:$I,G$4,CONSOLIDADO!$K:$K,"&lt;&gt;NOVO")</f>
        <v>0</v>
      </c>
      <c r="I22" s="77">
        <f>SUMIFS(CONSOLIDADO!$F:$F,CONSOLIDADO!$E:$E,$A22,CONSOLIDADO!$I:$I,H$3,CONSOLIDADO!$I:$I,H$4,CONSOLIDADO!$K:$K,"&lt;&gt;NOVO")</f>
        <v>0</v>
      </c>
      <c r="J22" s="77">
        <f>SUMIFS(CONSOLIDADO!$F:$F,CONSOLIDADO!$E:$E,$A22,CONSOLIDADO!$I:$I,I$3,CONSOLIDADO!$I:$I,I$4,CONSOLIDADO!$K:$K,"&lt;&gt;NOVO")</f>
        <v>0</v>
      </c>
      <c r="K22" s="77">
        <f>SUMIFS(CONSOLIDADO!$F:$F,CONSOLIDADO!$E:$E,$A22,CONSOLIDADO!$I:$I,J$3,CONSOLIDADO!$I:$I,J$4,CONSOLIDADO!$K:$K,"&lt;&gt;NOVO")</f>
        <v>0</v>
      </c>
      <c r="L22" s="77">
        <f>SUMIFS(CONSOLIDADO!$F:$F,CONSOLIDADO!$E:$E,$A22,CONSOLIDADO!$I:$I,K$3,CONSOLIDADO!$I:$I,K$4,CONSOLIDADO!$K:$K,"&lt;&gt;NOVO")</f>
        <v>0</v>
      </c>
      <c r="M22" s="77">
        <f>SUMIFS(CONSOLIDADO!$F:$F,CONSOLIDADO!$E:$E,$A22,CONSOLIDADO!$I:$I,L$3,CONSOLIDADO!$I:$I,L$4,CONSOLIDADO!$K:$K,"&lt;&gt;NOVO")</f>
        <v>0</v>
      </c>
      <c r="N22" s="79">
        <v>2340.21</v>
      </c>
      <c r="O22" s="78">
        <v>0.8</v>
      </c>
      <c r="P22" s="79">
        <f t="shared" si="1"/>
        <v>936.08399999999983</v>
      </c>
      <c r="Q22" s="79">
        <f t="shared" si="0"/>
        <v>0</v>
      </c>
      <c r="R22" s="79">
        <f t="shared" si="0"/>
        <v>0</v>
      </c>
      <c r="S22" s="79">
        <f t="shared" si="0"/>
        <v>0</v>
      </c>
      <c r="T22" s="79">
        <f t="shared" si="0"/>
        <v>0</v>
      </c>
      <c r="U22" s="79">
        <f t="shared" si="0"/>
        <v>0</v>
      </c>
      <c r="V22" s="79">
        <f t="shared" si="0"/>
        <v>0</v>
      </c>
      <c r="W22" s="79">
        <f t="shared" si="0"/>
        <v>0</v>
      </c>
      <c r="X22" s="79">
        <f t="shared" si="0"/>
        <v>0</v>
      </c>
      <c r="Y22" s="79">
        <f t="shared" si="0"/>
        <v>0</v>
      </c>
      <c r="Z22" s="79">
        <f t="shared" si="0"/>
        <v>0</v>
      </c>
      <c r="AA22" s="79">
        <f t="shared" si="0"/>
        <v>0</v>
      </c>
      <c r="AB22" s="37"/>
    </row>
    <row r="23" spans="1:28" x14ac:dyDescent="0.25">
      <c r="A23" s="76" t="s">
        <v>461</v>
      </c>
      <c r="B23" s="77">
        <f>SUMIFS(CONSOLIDADO!$F:$F,CONSOLIDADO!$E:$E,$A23,CONSOLIDADO!$I:$I,A$3,CONSOLIDADO!$I:$I,A$4,CONSOLIDADO!$K:$K,"&lt;&gt;NOVO")</f>
        <v>0</v>
      </c>
      <c r="C23" s="77">
        <f>SUMIFS(CONSOLIDADO!$F:$F,CONSOLIDADO!$E:$E,$A23,CONSOLIDADO!$I:$I,B$3,CONSOLIDADO!$I:$I,B$4,CONSOLIDADO!$K:$K,"&lt;&gt;NOVO")</f>
        <v>0</v>
      </c>
      <c r="D23" s="77">
        <f>SUMIFS(CONSOLIDADO!$F:$F,CONSOLIDADO!$E:$E,$A23,CONSOLIDADO!$I:$I,C$3,CONSOLIDADO!$I:$I,C$4,CONSOLIDADO!$K:$K,"&lt;&gt;NOVO")</f>
        <v>0</v>
      </c>
      <c r="E23" s="77">
        <f>SUMIFS(CONSOLIDADO!$F:$F,CONSOLIDADO!$E:$E,$A23,CONSOLIDADO!$I:$I,D$3,CONSOLIDADO!$I:$I,D$4,CONSOLIDADO!$K:$K,"&lt;&gt;NOVO")</f>
        <v>0</v>
      </c>
      <c r="F23" s="77">
        <f>SUMIFS(CONSOLIDADO!$F:$F,CONSOLIDADO!$E:$E,$A23,CONSOLIDADO!$I:$I,E$3,CONSOLIDADO!$I:$I,E$4,CONSOLIDADO!$K:$K,"&lt;&gt;NOVO")</f>
        <v>0</v>
      </c>
      <c r="G23" s="77">
        <f>SUMIFS(CONSOLIDADO!$F:$F,CONSOLIDADO!$E:$E,$A23,CONSOLIDADO!$I:$I,F$3,CONSOLIDADO!$I:$I,F$4,CONSOLIDADO!$K:$K,"&lt;&gt;NOVO")</f>
        <v>0</v>
      </c>
      <c r="H23" s="77">
        <f>SUMIFS(CONSOLIDADO!$F:$F,CONSOLIDADO!$E:$E,$A23,CONSOLIDADO!$I:$I,G$3,CONSOLIDADO!$I:$I,G$4,CONSOLIDADO!$K:$K,"&lt;&gt;NOVO")</f>
        <v>0</v>
      </c>
      <c r="I23" s="77">
        <f>SUMIFS(CONSOLIDADO!$F:$F,CONSOLIDADO!$E:$E,$A23,CONSOLIDADO!$I:$I,H$3,CONSOLIDADO!$I:$I,H$4,CONSOLIDADO!$K:$K,"&lt;&gt;NOVO")</f>
        <v>0</v>
      </c>
      <c r="J23" s="77">
        <f>SUMIFS(CONSOLIDADO!$F:$F,CONSOLIDADO!$E:$E,$A23,CONSOLIDADO!$I:$I,I$3,CONSOLIDADO!$I:$I,I$4,CONSOLIDADO!$K:$K,"&lt;&gt;NOVO")</f>
        <v>0</v>
      </c>
      <c r="K23" s="77">
        <f>SUMIFS(CONSOLIDADO!$F:$F,CONSOLIDADO!$E:$E,$A23,CONSOLIDADO!$I:$I,J$3,CONSOLIDADO!$I:$I,J$4,CONSOLIDADO!$K:$K,"&lt;&gt;NOVO")</f>
        <v>0</v>
      </c>
      <c r="L23" s="77">
        <f>SUMIFS(CONSOLIDADO!$F:$F,CONSOLIDADO!$E:$E,$A23,CONSOLIDADO!$I:$I,K$3,CONSOLIDADO!$I:$I,K$4,CONSOLIDADO!$K:$K,"&lt;&gt;NOVO")</f>
        <v>0</v>
      </c>
      <c r="M23" s="77">
        <f>SUMIFS(CONSOLIDADO!$F:$F,CONSOLIDADO!$E:$E,$A23,CONSOLIDADO!$I:$I,L$3,CONSOLIDADO!$I:$I,L$4,CONSOLIDADO!$K:$K,"&lt;&gt;NOVO")</f>
        <v>0</v>
      </c>
      <c r="N23" s="79">
        <v>465.63</v>
      </c>
      <c r="O23" s="78">
        <v>0.8</v>
      </c>
      <c r="P23" s="79">
        <f t="shared" si="1"/>
        <v>0</v>
      </c>
      <c r="Q23" s="79">
        <f t="shared" si="0"/>
        <v>0</v>
      </c>
      <c r="R23" s="79">
        <f t="shared" si="0"/>
        <v>0</v>
      </c>
      <c r="S23" s="79">
        <f t="shared" si="0"/>
        <v>0</v>
      </c>
      <c r="T23" s="79">
        <f t="shared" si="0"/>
        <v>0</v>
      </c>
      <c r="U23" s="79">
        <f t="shared" si="0"/>
        <v>0</v>
      </c>
      <c r="V23" s="79">
        <f t="shared" si="0"/>
        <v>0</v>
      </c>
      <c r="W23" s="79">
        <f t="shared" si="0"/>
        <v>0</v>
      </c>
      <c r="X23" s="79">
        <f t="shared" si="0"/>
        <v>0</v>
      </c>
      <c r="Y23" s="79">
        <f t="shared" si="0"/>
        <v>0</v>
      </c>
      <c r="Z23" s="79">
        <f t="shared" si="0"/>
        <v>0</v>
      </c>
      <c r="AA23" s="79">
        <f t="shared" si="0"/>
        <v>0</v>
      </c>
      <c r="AB23" s="37"/>
    </row>
    <row r="24" spans="1:28" x14ac:dyDescent="0.25">
      <c r="A24" s="76" t="s">
        <v>218</v>
      </c>
      <c r="B24" s="77">
        <f>SUMIFS(CONSOLIDADO!$F:$F,CONSOLIDADO!$E:$E,$A24,CONSOLIDADO!$I:$I,A$3,CONSOLIDADO!$I:$I,A$4,CONSOLIDADO!$K:$K,"&lt;&gt;NOVO")</f>
        <v>0</v>
      </c>
      <c r="C24" s="77">
        <f>SUMIFS(CONSOLIDADO!$F:$F,CONSOLIDADO!$E:$E,$A24,CONSOLIDADO!$I:$I,B$3,CONSOLIDADO!$I:$I,B$4,CONSOLIDADO!$K:$K,"&lt;&gt;NOVO")</f>
        <v>1</v>
      </c>
      <c r="D24" s="77">
        <f>SUMIFS(CONSOLIDADO!$F:$F,CONSOLIDADO!$E:$E,$A24,CONSOLIDADO!$I:$I,C$3,CONSOLIDADO!$I:$I,C$4,CONSOLIDADO!$K:$K,"&lt;&gt;NOVO")</f>
        <v>0</v>
      </c>
      <c r="E24" s="77">
        <f>SUMIFS(CONSOLIDADO!$F:$F,CONSOLIDADO!$E:$E,$A24,CONSOLIDADO!$I:$I,D$3,CONSOLIDADO!$I:$I,D$4,CONSOLIDADO!$K:$K,"&lt;&gt;NOVO")</f>
        <v>0</v>
      </c>
      <c r="F24" s="77">
        <f>SUMIFS(CONSOLIDADO!$F:$F,CONSOLIDADO!$E:$E,$A24,CONSOLIDADO!$I:$I,E$3,CONSOLIDADO!$I:$I,E$4,CONSOLIDADO!$K:$K,"&lt;&gt;NOVO")</f>
        <v>0</v>
      </c>
      <c r="G24" s="77">
        <f>SUMIFS(CONSOLIDADO!$F:$F,CONSOLIDADO!$E:$E,$A24,CONSOLIDADO!$I:$I,F$3,CONSOLIDADO!$I:$I,F$4,CONSOLIDADO!$K:$K,"&lt;&gt;NOVO")</f>
        <v>0</v>
      </c>
      <c r="H24" s="77">
        <f>SUMIFS(CONSOLIDADO!$F:$F,CONSOLIDADO!$E:$E,$A24,CONSOLIDADO!$I:$I,G$3,CONSOLIDADO!$I:$I,G$4,CONSOLIDADO!$K:$K,"&lt;&gt;NOVO")</f>
        <v>0</v>
      </c>
      <c r="I24" s="77">
        <f>SUMIFS(CONSOLIDADO!$F:$F,CONSOLIDADO!$E:$E,$A24,CONSOLIDADO!$I:$I,H$3,CONSOLIDADO!$I:$I,H$4,CONSOLIDADO!$K:$K,"&lt;&gt;NOVO")</f>
        <v>0</v>
      </c>
      <c r="J24" s="77">
        <f>SUMIFS(CONSOLIDADO!$F:$F,CONSOLIDADO!$E:$E,$A24,CONSOLIDADO!$I:$I,I$3,CONSOLIDADO!$I:$I,I$4,CONSOLIDADO!$K:$K,"&lt;&gt;NOVO")</f>
        <v>0</v>
      </c>
      <c r="K24" s="77">
        <f>SUMIFS(CONSOLIDADO!$F:$F,CONSOLIDADO!$E:$E,$A24,CONSOLIDADO!$I:$I,J$3,CONSOLIDADO!$I:$I,J$4,CONSOLIDADO!$K:$K,"&lt;&gt;NOVO")</f>
        <v>0</v>
      </c>
      <c r="L24" s="77">
        <f>SUMIFS(CONSOLIDADO!$F:$F,CONSOLIDADO!$E:$E,$A24,CONSOLIDADO!$I:$I,K$3,CONSOLIDADO!$I:$I,K$4,CONSOLIDADO!$K:$K,"&lt;&gt;NOVO")</f>
        <v>0</v>
      </c>
      <c r="M24" s="77">
        <f>SUMIFS(CONSOLIDADO!$F:$F,CONSOLIDADO!$E:$E,$A24,CONSOLIDADO!$I:$I,L$3,CONSOLIDADO!$I:$I,L$4,CONSOLIDADO!$K:$K,"&lt;&gt;NOVO")</f>
        <v>0</v>
      </c>
      <c r="N24" s="79">
        <v>653.75</v>
      </c>
      <c r="O24" s="78">
        <v>0.8</v>
      </c>
      <c r="P24" s="79">
        <f t="shared" si="1"/>
        <v>0</v>
      </c>
      <c r="Q24" s="79">
        <f t="shared" si="0"/>
        <v>130.74999999999997</v>
      </c>
      <c r="R24" s="79">
        <f t="shared" si="0"/>
        <v>0</v>
      </c>
      <c r="S24" s="79">
        <f t="shared" si="0"/>
        <v>0</v>
      </c>
      <c r="T24" s="79">
        <f t="shared" si="0"/>
        <v>0</v>
      </c>
      <c r="U24" s="79">
        <f t="shared" si="0"/>
        <v>0</v>
      </c>
      <c r="V24" s="79">
        <f t="shared" si="0"/>
        <v>0</v>
      </c>
      <c r="W24" s="79">
        <f t="shared" si="0"/>
        <v>0</v>
      </c>
      <c r="X24" s="79">
        <f t="shared" si="0"/>
        <v>0</v>
      </c>
      <c r="Y24" s="79">
        <f t="shared" si="0"/>
        <v>0</v>
      </c>
      <c r="Z24" s="79">
        <f t="shared" si="0"/>
        <v>0</v>
      </c>
      <c r="AA24" s="79">
        <f t="shared" si="0"/>
        <v>0</v>
      </c>
      <c r="AB24" s="37"/>
    </row>
    <row r="25" spans="1:28" x14ac:dyDescent="0.25">
      <c r="A25" s="76" t="s">
        <v>115</v>
      </c>
      <c r="B25" s="77">
        <f>SUMIFS(CONSOLIDADO!$F:$F,CONSOLIDADO!$E:$E,$A25,CONSOLIDADO!$I:$I,A$3,CONSOLIDADO!$I:$I,A$4,CONSOLIDADO!$K:$K,"&lt;&gt;NOVO")</f>
        <v>1</v>
      </c>
      <c r="C25" s="77">
        <f>SUMIFS(CONSOLIDADO!$F:$F,CONSOLIDADO!$E:$E,$A25,CONSOLIDADO!$I:$I,B$3,CONSOLIDADO!$I:$I,B$4,CONSOLIDADO!$K:$K,"&lt;&gt;NOVO")</f>
        <v>1</v>
      </c>
      <c r="D25" s="77">
        <f>SUMIFS(CONSOLIDADO!$F:$F,CONSOLIDADO!$E:$E,$A25,CONSOLIDADO!$I:$I,C$3,CONSOLIDADO!$I:$I,C$4,CONSOLIDADO!$K:$K,"&lt;&gt;NOVO")</f>
        <v>2</v>
      </c>
      <c r="E25" s="77">
        <f>SUMIFS(CONSOLIDADO!$F:$F,CONSOLIDADO!$E:$E,$A25,CONSOLIDADO!$I:$I,D$3,CONSOLIDADO!$I:$I,D$4,CONSOLIDADO!$K:$K,"&lt;&gt;NOVO")</f>
        <v>0</v>
      </c>
      <c r="F25" s="77">
        <f>SUMIFS(CONSOLIDADO!$F:$F,CONSOLIDADO!$E:$E,$A25,CONSOLIDADO!$I:$I,E$3,CONSOLIDADO!$I:$I,E$4,CONSOLIDADO!$K:$K,"&lt;&gt;NOVO")</f>
        <v>0</v>
      </c>
      <c r="G25" s="77">
        <f>SUMIFS(CONSOLIDADO!$F:$F,CONSOLIDADO!$E:$E,$A25,CONSOLIDADO!$I:$I,F$3,CONSOLIDADO!$I:$I,F$4,CONSOLIDADO!$K:$K,"&lt;&gt;NOVO")</f>
        <v>0</v>
      </c>
      <c r="H25" s="77">
        <f>SUMIFS(CONSOLIDADO!$F:$F,CONSOLIDADO!$E:$E,$A25,CONSOLIDADO!$I:$I,G$3,CONSOLIDADO!$I:$I,G$4,CONSOLIDADO!$K:$K,"&lt;&gt;NOVO")</f>
        <v>0</v>
      </c>
      <c r="I25" s="77">
        <f>SUMIFS(CONSOLIDADO!$F:$F,CONSOLIDADO!$E:$E,$A25,CONSOLIDADO!$I:$I,H$3,CONSOLIDADO!$I:$I,H$4,CONSOLIDADO!$K:$K,"&lt;&gt;NOVO")</f>
        <v>0</v>
      </c>
      <c r="J25" s="77">
        <f>SUMIFS(CONSOLIDADO!$F:$F,CONSOLIDADO!$E:$E,$A25,CONSOLIDADO!$I:$I,I$3,CONSOLIDADO!$I:$I,I$4,CONSOLIDADO!$K:$K,"&lt;&gt;NOVO")</f>
        <v>0</v>
      </c>
      <c r="K25" s="77">
        <f>SUMIFS(CONSOLIDADO!$F:$F,CONSOLIDADO!$E:$E,$A25,CONSOLIDADO!$I:$I,J$3,CONSOLIDADO!$I:$I,J$4,CONSOLIDADO!$K:$K,"&lt;&gt;NOVO")</f>
        <v>0</v>
      </c>
      <c r="L25" s="77">
        <f>SUMIFS(CONSOLIDADO!$F:$F,CONSOLIDADO!$E:$E,$A25,CONSOLIDADO!$I:$I,K$3,CONSOLIDADO!$I:$I,K$4,CONSOLIDADO!$K:$K,"&lt;&gt;NOVO")</f>
        <v>0</v>
      </c>
      <c r="M25" s="77">
        <f>SUMIFS(CONSOLIDADO!$F:$F,CONSOLIDADO!$E:$E,$A25,CONSOLIDADO!$I:$I,L$3,CONSOLIDADO!$I:$I,L$4,CONSOLIDADO!$K:$K,"&lt;&gt;NOVO")</f>
        <v>0</v>
      </c>
      <c r="N25" s="79">
        <v>373.89</v>
      </c>
      <c r="O25" s="78">
        <v>0.8</v>
      </c>
      <c r="P25" s="79">
        <f t="shared" si="1"/>
        <v>74.777999999999977</v>
      </c>
      <c r="Q25" s="79">
        <f t="shared" si="1"/>
        <v>74.777999999999977</v>
      </c>
      <c r="R25" s="79">
        <f t="shared" si="1"/>
        <v>149.55599999999995</v>
      </c>
      <c r="S25" s="79">
        <f t="shared" si="1"/>
        <v>0</v>
      </c>
      <c r="T25" s="79">
        <f t="shared" si="1"/>
        <v>0</v>
      </c>
      <c r="U25" s="79">
        <f t="shared" si="1"/>
        <v>0</v>
      </c>
      <c r="V25" s="79">
        <f t="shared" si="1"/>
        <v>0</v>
      </c>
      <c r="W25" s="79">
        <f t="shared" si="1"/>
        <v>0</v>
      </c>
      <c r="X25" s="79">
        <f t="shared" si="1"/>
        <v>0</v>
      </c>
      <c r="Y25" s="79">
        <f t="shared" si="1"/>
        <v>0</v>
      </c>
      <c r="Z25" s="79">
        <f t="shared" si="1"/>
        <v>0</v>
      </c>
      <c r="AA25" s="79">
        <f t="shared" si="1"/>
        <v>0</v>
      </c>
      <c r="AB25" s="37"/>
    </row>
    <row r="26" spans="1:28" x14ac:dyDescent="0.25">
      <c r="A26" s="76" t="s">
        <v>133</v>
      </c>
      <c r="B26" s="77">
        <f>SUMIFS(CONSOLIDADO!$F:$F,CONSOLIDADO!$E:$E,$A26,CONSOLIDADO!$I:$I,A$3,CONSOLIDADO!$I:$I,A$4,CONSOLIDADO!$K:$K,"&lt;&gt;NOVO")</f>
        <v>0</v>
      </c>
      <c r="C26" s="77">
        <f>SUMIFS(CONSOLIDADO!$F:$F,CONSOLIDADO!$E:$E,$A26,CONSOLIDADO!$I:$I,B$3,CONSOLIDADO!$I:$I,B$4,CONSOLIDADO!$K:$K,"&lt;&gt;NOVO")</f>
        <v>16</v>
      </c>
      <c r="D26" s="77">
        <f>SUMIFS(CONSOLIDADO!$F:$F,CONSOLIDADO!$E:$E,$A26,CONSOLIDADO!$I:$I,C$3,CONSOLIDADO!$I:$I,C$4,CONSOLIDADO!$K:$K,"&lt;&gt;NOVO")</f>
        <v>4</v>
      </c>
      <c r="E26" s="77">
        <f>SUMIFS(CONSOLIDADO!$F:$F,CONSOLIDADO!$E:$E,$A26,CONSOLIDADO!$I:$I,D$3,CONSOLIDADO!$I:$I,D$4,CONSOLIDADO!$K:$K,"&lt;&gt;NOVO")</f>
        <v>0</v>
      </c>
      <c r="F26" s="77">
        <f>SUMIFS(CONSOLIDADO!$F:$F,CONSOLIDADO!$E:$E,$A26,CONSOLIDADO!$I:$I,E$3,CONSOLIDADO!$I:$I,E$4,CONSOLIDADO!$K:$K,"&lt;&gt;NOVO")</f>
        <v>0</v>
      </c>
      <c r="G26" s="77">
        <f>SUMIFS(CONSOLIDADO!$F:$F,CONSOLIDADO!$E:$E,$A26,CONSOLIDADO!$I:$I,F$3,CONSOLIDADO!$I:$I,F$4,CONSOLIDADO!$K:$K,"&lt;&gt;NOVO")</f>
        <v>0</v>
      </c>
      <c r="H26" s="77">
        <f>SUMIFS(CONSOLIDADO!$F:$F,CONSOLIDADO!$E:$E,$A26,CONSOLIDADO!$I:$I,G$3,CONSOLIDADO!$I:$I,G$4,CONSOLIDADO!$K:$K,"&lt;&gt;NOVO")</f>
        <v>0</v>
      </c>
      <c r="I26" s="77">
        <f>SUMIFS(CONSOLIDADO!$F:$F,CONSOLIDADO!$E:$E,$A26,CONSOLIDADO!$I:$I,H$3,CONSOLIDADO!$I:$I,H$4,CONSOLIDADO!$K:$K,"&lt;&gt;NOVO")</f>
        <v>0</v>
      </c>
      <c r="J26" s="77">
        <f>SUMIFS(CONSOLIDADO!$F:$F,CONSOLIDADO!$E:$E,$A26,CONSOLIDADO!$I:$I,I$3,CONSOLIDADO!$I:$I,I$4,CONSOLIDADO!$K:$K,"&lt;&gt;NOVO")</f>
        <v>0</v>
      </c>
      <c r="K26" s="77">
        <f>SUMIFS(CONSOLIDADO!$F:$F,CONSOLIDADO!$E:$E,$A26,CONSOLIDADO!$I:$I,J$3,CONSOLIDADO!$I:$I,J$4,CONSOLIDADO!$K:$K,"&lt;&gt;NOVO")</f>
        <v>0</v>
      </c>
      <c r="L26" s="77">
        <f>SUMIFS(CONSOLIDADO!$F:$F,CONSOLIDADO!$E:$E,$A26,CONSOLIDADO!$I:$I,K$3,CONSOLIDADO!$I:$I,K$4,CONSOLIDADO!$K:$K,"&lt;&gt;NOVO")</f>
        <v>0</v>
      </c>
      <c r="M26" s="77">
        <f>SUMIFS(CONSOLIDADO!$F:$F,CONSOLIDADO!$E:$E,$A26,CONSOLIDADO!$I:$I,L$3,CONSOLIDADO!$I:$I,L$4,CONSOLIDADO!$K:$K,"&lt;&gt;NOVO")</f>
        <v>0</v>
      </c>
      <c r="N26" s="79">
        <v>259.27</v>
      </c>
      <c r="O26" s="78">
        <v>0.8</v>
      </c>
      <c r="P26" s="79">
        <f t="shared" si="1"/>
        <v>0</v>
      </c>
      <c r="Q26" s="79">
        <f t="shared" si="1"/>
        <v>829.66399999999976</v>
      </c>
      <c r="R26" s="79">
        <f t="shared" si="1"/>
        <v>207.41599999999994</v>
      </c>
      <c r="S26" s="79">
        <f t="shared" si="1"/>
        <v>0</v>
      </c>
      <c r="T26" s="79">
        <f t="shared" si="1"/>
        <v>0</v>
      </c>
      <c r="U26" s="79">
        <f t="shared" si="1"/>
        <v>0</v>
      </c>
      <c r="V26" s="79">
        <f t="shared" si="1"/>
        <v>0</v>
      </c>
      <c r="W26" s="79">
        <f t="shared" si="1"/>
        <v>0</v>
      </c>
      <c r="X26" s="79">
        <f t="shared" si="1"/>
        <v>0</v>
      </c>
      <c r="Y26" s="79">
        <f t="shared" si="1"/>
        <v>0</v>
      </c>
      <c r="Z26" s="79">
        <f t="shared" si="1"/>
        <v>0</v>
      </c>
      <c r="AA26" s="79">
        <f t="shared" si="1"/>
        <v>0</v>
      </c>
      <c r="AB26" s="37"/>
    </row>
    <row r="27" spans="1:28" x14ac:dyDescent="0.25">
      <c r="A27" s="76" t="s">
        <v>68</v>
      </c>
      <c r="B27" s="77">
        <f>SUMIFS(CONSOLIDADO!$F:$F,CONSOLIDADO!$E:$E,$A27,CONSOLIDADO!$I:$I,A$3,CONSOLIDADO!$I:$I,A$4,CONSOLIDADO!$K:$K,"&lt;&gt;NOVO")</f>
        <v>2</v>
      </c>
      <c r="C27" s="77">
        <f>SUMIFS(CONSOLIDADO!$F:$F,CONSOLIDADO!$E:$E,$A27,CONSOLIDADO!$I:$I,B$3,CONSOLIDADO!$I:$I,B$4,CONSOLIDADO!$K:$K,"&lt;&gt;NOVO")</f>
        <v>7</v>
      </c>
      <c r="D27" s="77">
        <f>SUMIFS(CONSOLIDADO!$F:$F,CONSOLIDADO!$E:$E,$A27,CONSOLIDADO!$I:$I,C$3,CONSOLIDADO!$I:$I,C$4,CONSOLIDADO!$K:$K,"&lt;&gt;NOVO")</f>
        <v>6</v>
      </c>
      <c r="E27" s="77">
        <f>SUMIFS(CONSOLIDADO!$F:$F,CONSOLIDADO!$E:$E,$A27,CONSOLIDADO!$I:$I,D$3,CONSOLIDADO!$I:$I,D$4,CONSOLIDADO!$K:$K,"&lt;&gt;NOVO")</f>
        <v>0</v>
      </c>
      <c r="F27" s="77">
        <f>SUMIFS(CONSOLIDADO!$F:$F,CONSOLIDADO!$E:$E,$A27,CONSOLIDADO!$I:$I,E$3,CONSOLIDADO!$I:$I,E$4,CONSOLIDADO!$K:$K,"&lt;&gt;NOVO")</f>
        <v>0</v>
      </c>
      <c r="G27" s="77">
        <f>SUMIFS(CONSOLIDADO!$F:$F,CONSOLIDADO!$E:$E,$A27,CONSOLIDADO!$I:$I,F$3,CONSOLIDADO!$I:$I,F$4,CONSOLIDADO!$K:$K,"&lt;&gt;NOVO")</f>
        <v>0</v>
      </c>
      <c r="H27" s="77">
        <f>SUMIFS(CONSOLIDADO!$F:$F,CONSOLIDADO!$E:$E,$A27,CONSOLIDADO!$I:$I,G$3,CONSOLIDADO!$I:$I,G$4,CONSOLIDADO!$K:$K,"&lt;&gt;NOVO")</f>
        <v>0</v>
      </c>
      <c r="I27" s="77">
        <f>SUMIFS(CONSOLIDADO!$F:$F,CONSOLIDADO!$E:$E,$A27,CONSOLIDADO!$I:$I,H$3,CONSOLIDADO!$I:$I,H$4,CONSOLIDADO!$K:$K,"&lt;&gt;NOVO")</f>
        <v>0</v>
      </c>
      <c r="J27" s="77">
        <f>SUMIFS(CONSOLIDADO!$F:$F,CONSOLIDADO!$E:$E,$A27,CONSOLIDADO!$I:$I,I$3,CONSOLIDADO!$I:$I,I$4,CONSOLIDADO!$K:$K,"&lt;&gt;NOVO")</f>
        <v>0</v>
      </c>
      <c r="K27" s="77">
        <f>SUMIFS(CONSOLIDADO!$F:$F,CONSOLIDADO!$E:$E,$A27,CONSOLIDADO!$I:$I,J$3,CONSOLIDADO!$I:$I,J$4,CONSOLIDADO!$K:$K,"&lt;&gt;NOVO")</f>
        <v>0</v>
      </c>
      <c r="L27" s="77">
        <f>SUMIFS(CONSOLIDADO!$F:$F,CONSOLIDADO!$E:$E,$A27,CONSOLIDADO!$I:$I,K$3,CONSOLIDADO!$I:$I,K$4,CONSOLIDADO!$K:$K,"&lt;&gt;NOVO")</f>
        <v>0</v>
      </c>
      <c r="M27" s="77">
        <f>SUMIFS(CONSOLIDADO!$F:$F,CONSOLIDADO!$E:$E,$A27,CONSOLIDADO!$I:$I,L$3,CONSOLIDADO!$I:$I,L$4,CONSOLIDADO!$K:$K,"&lt;&gt;NOVO")</f>
        <v>0</v>
      </c>
      <c r="N27" s="79">
        <v>3260.49</v>
      </c>
      <c r="O27" s="78">
        <v>0.8</v>
      </c>
      <c r="P27" s="79">
        <f t="shared" si="1"/>
        <v>1304.1959999999997</v>
      </c>
      <c r="Q27" s="79">
        <f t="shared" si="1"/>
        <v>4564.6859999999988</v>
      </c>
      <c r="R27" s="79">
        <f t="shared" si="1"/>
        <v>3912.5879999999988</v>
      </c>
      <c r="S27" s="79">
        <f t="shared" si="1"/>
        <v>0</v>
      </c>
      <c r="T27" s="79">
        <f t="shared" si="1"/>
        <v>0</v>
      </c>
      <c r="U27" s="79">
        <f t="shared" si="1"/>
        <v>0</v>
      </c>
      <c r="V27" s="79">
        <f t="shared" si="1"/>
        <v>0</v>
      </c>
      <c r="W27" s="79">
        <f t="shared" si="1"/>
        <v>0</v>
      </c>
      <c r="X27" s="79">
        <f t="shared" si="1"/>
        <v>0</v>
      </c>
      <c r="Y27" s="79">
        <f t="shared" si="1"/>
        <v>0</v>
      </c>
      <c r="Z27" s="79">
        <f t="shared" si="1"/>
        <v>0</v>
      </c>
      <c r="AA27" s="79">
        <f t="shared" si="1"/>
        <v>0</v>
      </c>
      <c r="AB27" s="37"/>
    </row>
    <row r="28" spans="1:28" x14ac:dyDescent="0.25">
      <c r="A28" t="s">
        <v>85</v>
      </c>
      <c r="B28" s="77">
        <f>SUMIFS(CONSOLIDADO!$F:$F,CONSOLIDADO!$E:$E,$A28,CONSOLIDADO!$I:$I,A$3,CONSOLIDADO!$I:$I,A$4,CONSOLIDADO!$K:$K,"&lt;&gt;NOVO")</f>
        <v>0</v>
      </c>
      <c r="C28" s="77">
        <f>SUMIFS(CONSOLIDADO!$F:$F,CONSOLIDADO!$E:$E,$A28,CONSOLIDADO!$I:$I,B$3,CONSOLIDADO!$I:$I,B$4,CONSOLIDADO!$K:$K,"&lt;&gt;NOVO")</f>
        <v>0</v>
      </c>
      <c r="D28" s="77">
        <f>SUMIFS(CONSOLIDADO!$F:$F,CONSOLIDADO!$E:$E,$A28,CONSOLIDADO!$I:$I,C$3,CONSOLIDADO!$I:$I,C$4,CONSOLIDADO!$K:$K,"&lt;&gt;NOVO")</f>
        <v>0</v>
      </c>
      <c r="E28" s="77">
        <f>SUMIFS(CONSOLIDADO!$F:$F,CONSOLIDADO!$E:$E,$A28,CONSOLIDADO!$I:$I,D$3,CONSOLIDADO!$I:$I,D$4,CONSOLIDADO!$K:$K,"&lt;&gt;NOVO")</f>
        <v>0</v>
      </c>
      <c r="F28" s="77">
        <f>SUMIFS(CONSOLIDADO!$F:$F,CONSOLIDADO!$E:$E,$A28,CONSOLIDADO!$I:$I,E$3,CONSOLIDADO!$I:$I,E$4,CONSOLIDADO!$K:$K,"&lt;&gt;NOVO")</f>
        <v>0</v>
      </c>
      <c r="G28" s="77">
        <f>SUMIFS(CONSOLIDADO!$F:$F,CONSOLIDADO!$E:$E,$A28,CONSOLIDADO!$I:$I,F$3,CONSOLIDADO!$I:$I,F$4,CONSOLIDADO!$K:$K,"&lt;&gt;NOVO")</f>
        <v>0</v>
      </c>
      <c r="H28" s="77">
        <f>SUMIFS(CONSOLIDADO!$F:$F,CONSOLIDADO!$E:$E,$A28,CONSOLIDADO!$I:$I,G$3,CONSOLIDADO!$I:$I,G$4,CONSOLIDADO!$K:$K,"&lt;&gt;NOVO")</f>
        <v>0</v>
      </c>
      <c r="I28" s="77">
        <f>SUMIFS(CONSOLIDADO!$F:$F,CONSOLIDADO!$E:$E,$A28,CONSOLIDADO!$I:$I,H$3,CONSOLIDADO!$I:$I,H$4,CONSOLIDADO!$K:$K,"&lt;&gt;NOVO")</f>
        <v>0</v>
      </c>
      <c r="J28" s="77">
        <f>SUMIFS(CONSOLIDADO!$F:$F,CONSOLIDADO!$E:$E,$A28,CONSOLIDADO!$I:$I,I$3,CONSOLIDADO!$I:$I,I$4,CONSOLIDADO!$K:$K,"&lt;&gt;NOVO")</f>
        <v>0</v>
      </c>
      <c r="K28" s="77">
        <f>SUMIFS(CONSOLIDADO!$F:$F,CONSOLIDADO!$E:$E,$A28,CONSOLIDADO!$I:$I,J$3,CONSOLIDADO!$I:$I,J$4,CONSOLIDADO!$K:$K,"&lt;&gt;NOVO")</f>
        <v>0</v>
      </c>
      <c r="L28" s="77">
        <f>SUMIFS(CONSOLIDADO!$F:$F,CONSOLIDADO!$E:$E,$A28,CONSOLIDADO!$I:$I,K$3,CONSOLIDADO!$I:$I,K$4,CONSOLIDADO!$K:$K,"&lt;&gt;NOVO")</f>
        <v>0</v>
      </c>
      <c r="M28" s="77">
        <f>SUMIFS(CONSOLIDADO!$F:$F,CONSOLIDADO!$E:$E,$A28,CONSOLIDADO!$I:$I,L$3,CONSOLIDADO!$I:$I,L$4,CONSOLIDADO!$K:$K,"&lt;&gt;NOVO")</f>
        <v>0</v>
      </c>
      <c r="N28" s="79">
        <v>671</v>
      </c>
      <c r="O28" s="78">
        <v>0.8</v>
      </c>
      <c r="P28" s="79">
        <f t="shared" si="1"/>
        <v>0</v>
      </c>
      <c r="Q28" s="79">
        <f t="shared" si="1"/>
        <v>0</v>
      </c>
      <c r="R28" s="79">
        <f t="shared" si="1"/>
        <v>0</v>
      </c>
      <c r="S28" s="79">
        <f t="shared" si="1"/>
        <v>0</v>
      </c>
      <c r="T28" s="79">
        <f t="shared" si="1"/>
        <v>0</v>
      </c>
      <c r="U28" s="79">
        <f t="shared" si="1"/>
        <v>0</v>
      </c>
      <c r="V28" s="79">
        <f t="shared" si="1"/>
        <v>0</v>
      </c>
      <c r="W28" s="79">
        <f t="shared" si="1"/>
        <v>0</v>
      </c>
      <c r="X28" s="79">
        <f t="shared" si="1"/>
        <v>0</v>
      </c>
      <c r="Y28" s="79">
        <f t="shared" si="1"/>
        <v>0</v>
      </c>
      <c r="Z28" s="79">
        <f t="shared" si="1"/>
        <v>0</v>
      </c>
      <c r="AA28" s="79">
        <f t="shared" si="1"/>
        <v>0</v>
      </c>
      <c r="AB28" s="37"/>
    </row>
    <row r="29" spans="1:28" x14ac:dyDescent="0.25">
      <c r="A29" s="76" t="s">
        <v>463</v>
      </c>
      <c r="B29" s="77">
        <f>SUMIFS(CONSOLIDADO!$F:$F,CONSOLIDADO!$E:$E,$A29,CONSOLIDADO!$I:$I,A$3,CONSOLIDADO!$I:$I,A$4,CONSOLIDADO!$K:$K,"&lt;&gt;NOVO")</f>
        <v>0</v>
      </c>
      <c r="C29" s="77">
        <f>SUMIFS(CONSOLIDADO!$F:$F,CONSOLIDADO!$E:$E,$A29,CONSOLIDADO!$I:$I,B$3,CONSOLIDADO!$I:$I,B$4,CONSOLIDADO!$K:$K,"&lt;&gt;NOVO")</f>
        <v>0</v>
      </c>
      <c r="D29" s="77">
        <f>SUMIFS(CONSOLIDADO!$F:$F,CONSOLIDADO!$E:$E,$A29,CONSOLIDADO!$I:$I,C$3,CONSOLIDADO!$I:$I,C$4,CONSOLIDADO!$K:$K,"&lt;&gt;NOVO")</f>
        <v>0</v>
      </c>
      <c r="E29" s="77">
        <f>SUMIFS(CONSOLIDADO!$F:$F,CONSOLIDADO!$E:$E,$A29,CONSOLIDADO!$I:$I,D$3,CONSOLIDADO!$I:$I,D$4,CONSOLIDADO!$K:$K,"&lt;&gt;NOVO")</f>
        <v>0</v>
      </c>
      <c r="F29" s="77">
        <f>SUMIFS(CONSOLIDADO!$F:$F,CONSOLIDADO!$E:$E,$A29,CONSOLIDADO!$I:$I,E$3,CONSOLIDADO!$I:$I,E$4,CONSOLIDADO!$K:$K,"&lt;&gt;NOVO")</f>
        <v>0</v>
      </c>
      <c r="G29" s="77">
        <f>SUMIFS(CONSOLIDADO!$F:$F,CONSOLIDADO!$E:$E,$A29,CONSOLIDADO!$I:$I,F$3,CONSOLIDADO!$I:$I,F$4,CONSOLIDADO!$K:$K,"&lt;&gt;NOVO")</f>
        <v>0</v>
      </c>
      <c r="H29" s="77">
        <f>SUMIFS(CONSOLIDADO!$F:$F,CONSOLIDADO!$E:$E,$A29,CONSOLIDADO!$I:$I,G$3,CONSOLIDADO!$I:$I,G$4,CONSOLIDADO!$K:$K,"&lt;&gt;NOVO")</f>
        <v>0</v>
      </c>
      <c r="I29" s="77">
        <f>SUMIFS(CONSOLIDADO!$F:$F,CONSOLIDADO!$E:$E,$A29,CONSOLIDADO!$I:$I,H$3,CONSOLIDADO!$I:$I,H$4,CONSOLIDADO!$K:$K,"&lt;&gt;NOVO")</f>
        <v>0</v>
      </c>
      <c r="J29" s="77">
        <f>SUMIFS(CONSOLIDADO!$F:$F,CONSOLIDADO!$E:$E,$A29,CONSOLIDADO!$I:$I,I$3,CONSOLIDADO!$I:$I,I$4,CONSOLIDADO!$K:$K,"&lt;&gt;NOVO")</f>
        <v>0</v>
      </c>
      <c r="K29" s="77">
        <f>SUMIFS(CONSOLIDADO!$F:$F,CONSOLIDADO!$E:$E,$A29,CONSOLIDADO!$I:$I,J$3,CONSOLIDADO!$I:$I,J$4,CONSOLIDADO!$K:$K,"&lt;&gt;NOVO")</f>
        <v>0</v>
      </c>
      <c r="L29" s="77">
        <f>SUMIFS(CONSOLIDADO!$F:$F,CONSOLIDADO!$E:$E,$A29,CONSOLIDADO!$I:$I,K$3,CONSOLIDADO!$I:$I,K$4,CONSOLIDADO!$K:$K,"&lt;&gt;NOVO")</f>
        <v>0</v>
      </c>
      <c r="M29" s="77">
        <f>SUMIFS(CONSOLIDADO!$F:$F,CONSOLIDADO!$E:$E,$A29,CONSOLIDADO!$I:$I,L$3,CONSOLIDADO!$I:$I,L$4,CONSOLIDADO!$K:$K,"&lt;&gt;NOVO")</f>
        <v>0</v>
      </c>
      <c r="N29" s="79">
        <v>671</v>
      </c>
      <c r="O29" s="78">
        <v>0.8</v>
      </c>
      <c r="P29" s="79">
        <f t="shared" si="1"/>
        <v>0</v>
      </c>
      <c r="Q29" s="79">
        <f t="shared" si="1"/>
        <v>0</v>
      </c>
      <c r="R29" s="79">
        <f t="shared" si="1"/>
        <v>0</v>
      </c>
      <c r="S29" s="79">
        <f t="shared" si="1"/>
        <v>0</v>
      </c>
      <c r="T29" s="79">
        <f t="shared" si="1"/>
        <v>0</v>
      </c>
      <c r="U29" s="79">
        <f t="shared" si="1"/>
        <v>0</v>
      </c>
      <c r="V29" s="79">
        <f t="shared" si="1"/>
        <v>0</v>
      </c>
      <c r="W29" s="79">
        <f t="shared" si="1"/>
        <v>0</v>
      </c>
      <c r="X29" s="79">
        <f t="shared" si="1"/>
        <v>0</v>
      </c>
      <c r="Y29" s="79">
        <f t="shared" si="1"/>
        <v>0</v>
      </c>
      <c r="Z29" s="79">
        <f t="shared" si="1"/>
        <v>0</v>
      </c>
      <c r="AA29" s="79">
        <f t="shared" si="1"/>
        <v>0</v>
      </c>
      <c r="AB29" s="37"/>
    </row>
    <row r="30" spans="1:28" x14ac:dyDescent="0.25">
      <c r="A30" t="s">
        <v>268</v>
      </c>
      <c r="B30" s="77">
        <f>SUMIFS(CONSOLIDADO!$F:$F,CONSOLIDADO!$E:$E,$A30,CONSOLIDADO!$I:$I,A$3,CONSOLIDADO!$I:$I,A$4,CONSOLIDADO!$K:$K,"&lt;&gt;NOVO")</f>
        <v>0</v>
      </c>
      <c r="C30" s="77">
        <f>SUMIFS(CONSOLIDADO!$F:$F,CONSOLIDADO!$E:$E,$A30,CONSOLIDADO!$I:$I,B$3,CONSOLIDADO!$I:$I,B$4,CONSOLIDADO!$K:$K,"&lt;&gt;NOVO")</f>
        <v>2</v>
      </c>
      <c r="D30" s="77">
        <f>SUMIFS(CONSOLIDADO!$F:$F,CONSOLIDADO!$E:$E,$A30,CONSOLIDADO!$I:$I,C$3,CONSOLIDADO!$I:$I,C$4,CONSOLIDADO!$K:$K,"&lt;&gt;NOVO")</f>
        <v>0</v>
      </c>
      <c r="E30" s="77">
        <f>SUMIFS(CONSOLIDADO!$F:$F,CONSOLIDADO!$E:$E,$A30,CONSOLIDADO!$I:$I,D$3,CONSOLIDADO!$I:$I,D$4,CONSOLIDADO!$K:$K,"&lt;&gt;NOVO")</f>
        <v>0</v>
      </c>
      <c r="F30" s="77">
        <f>SUMIFS(CONSOLIDADO!$F:$F,CONSOLIDADO!$E:$E,$A30,CONSOLIDADO!$I:$I,E$3,CONSOLIDADO!$I:$I,E$4,CONSOLIDADO!$K:$K,"&lt;&gt;NOVO")</f>
        <v>0</v>
      </c>
      <c r="G30" s="77">
        <f>SUMIFS(CONSOLIDADO!$F:$F,CONSOLIDADO!$E:$E,$A30,CONSOLIDADO!$I:$I,F$3,CONSOLIDADO!$I:$I,F$4,CONSOLIDADO!$K:$K,"&lt;&gt;NOVO")</f>
        <v>0</v>
      </c>
      <c r="H30" s="77">
        <f>SUMIFS(CONSOLIDADO!$F:$F,CONSOLIDADO!$E:$E,$A30,CONSOLIDADO!$I:$I,G$3,CONSOLIDADO!$I:$I,G$4,CONSOLIDADO!$K:$K,"&lt;&gt;NOVO")</f>
        <v>0</v>
      </c>
      <c r="I30" s="77">
        <f>SUMIFS(CONSOLIDADO!$F:$F,CONSOLIDADO!$E:$E,$A30,CONSOLIDADO!$I:$I,H$3,CONSOLIDADO!$I:$I,H$4,CONSOLIDADO!$K:$K,"&lt;&gt;NOVO")</f>
        <v>0</v>
      </c>
      <c r="J30" s="77">
        <f>SUMIFS(CONSOLIDADO!$F:$F,CONSOLIDADO!$E:$E,$A30,CONSOLIDADO!$I:$I,I$3,CONSOLIDADO!$I:$I,I$4,CONSOLIDADO!$K:$K,"&lt;&gt;NOVO")</f>
        <v>0</v>
      </c>
      <c r="K30" s="77">
        <f>SUMIFS(CONSOLIDADO!$F:$F,CONSOLIDADO!$E:$E,$A30,CONSOLIDADO!$I:$I,J$3,CONSOLIDADO!$I:$I,J$4,CONSOLIDADO!$K:$K,"&lt;&gt;NOVO")</f>
        <v>0</v>
      </c>
      <c r="L30" s="77">
        <f>SUMIFS(CONSOLIDADO!$F:$F,CONSOLIDADO!$E:$E,$A30,CONSOLIDADO!$I:$I,K$3,CONSOLIDADO!$I:$I,K$4,CONSOLIDADO!$K:$K,"&lt;&gt;NOVO")</f>
        <v>0</v>
      </c>
      <c r="M30" s="77">
        <f>SUMIFS(CONSOLIDADO!$F:$F,CONSOLIDADO!$E:$E,$A30,CONSOLIDADO!$I:$I,L$3,CONSOLIDADO!$I:$I,L$4,CONSOLIDADO!$K:$K,"&lt;&gt;NOVO")</f>
        <v>0</v>
      </c>
      <c r="N30" s="79">
        <v>653.75</v>
      </c>
      <c r="O30" s="78">
        <v>0.8</v>
      </c>
      <c r="P30" s="79">
        <f t="shared" si="1"/>
        <v>0</v>
      </c>
      <c r="Q30" s="79">
        <f t="shared" si="1"/>
        <v>261.49999999999994</v>
      </c>
      <c r="R30" s="79">
        <f t="shared" si="1"/>
        <v>0</v>
      </c>
      <c r="S30" s="79">
        <f t="shared" si="1"/>
        <v>0</v>
      </c>
      <c r="T30" s="79">
        <f t="shared" si="1"/>
        <v>0</v>
      </c>
      <c r="U30" s="79">
        <f t="shared" si="1"/>
        <v>0</v>
      </c>
      <c r="V30" s="79">
        <f t="shared" si="1"/>
        <v>0</v>
      </c>
      <c r="W30" s="79">
        <f t="shared" si="1"/>
        <v>0</v>
      </c>
      <c r="X30" s="79">
        <f t="shared" si="1"/>
        <v>0</v>
      </c>
      <c r="Y30" s="79">
        <f t="shared" si="1"/>
        <v>0</v>
      </c>
      <c r="Z30" s="79">
        <f t="shared" si="1"/>
        <v>0</v>
      </c>
      <c r="AA30" s="79">
        <f t="shared" si="1"/>
        <v>0</v>
      </c>
      <c r="AB30" s="37"/>
    </row>
    <row r="31" spans="1:28" x14ac:dyDescent="0.25">
      <c r="A31" s="76" t="s">
        <v>32</v>
      </c>
      <c r="B31" s="77">
        <f>SUMIFS(CONSOLIDADO!$F:$F,CONSOLIDADO!$E:$E,$A31,CONSOLIDADO!$I:$I,A$3,CONSOLIDADO!$I:$I,A$4,CONSOLIDADO!$K:$K,"&lt;&gt;NOVO")</f>
        <v>10</v>
      </c>
      <c r="C31" s="77">
        <f>SUMIFS(CONSOLIDADO!$F:$F,CONSOLIDADO!$E:$E,$A31,CONSOLIDADO!$I:$I,B$3,CONSOLIDADO!$I:$I,B$4,CONSOLIDADO!$K:$K,"&lt;&gt;NOVO")</f>
        <v>1</v>
      </c>
      <c r="D31" s="77">
        <f>SUMIFS(CONSOLIDADO!$F:$F,CONSOLIDADO!$E:$E,$A31,CONSOLIDADO!$I:$I,C$3,CONSOLIDADO!$I:$I,C$4,CONSOLIDADO!$K:$K,"&lt;&gt;NOVO")</f>
        <v>5</v>
      </c>
      <c r="E31" s="77">
        <f>SUMIFS(CONSOLIDADO!$F:$F,CONSOLIDADO!$E:$E,$A31,CONSOLIDADO!$I:$I,D$3,CONSOLIDADO!$I:$I,D$4,CONSOLIDADO!$K:$K,"&lt;&gt;NOVO")</f>
        <v>0</v>
      </c>
      <c r="F31" s="77">
        <f>SUMIFS(CONSOLIDADO!$F:$F,CONSOLIDADO!$E:$E,$A31,CONSOLIDADO!$I:$I,E$3,CONSOLIDADO!$I:$I,E$4,CONSOLIDADO!$K:$K,"&lt;&gt;NOVO")</f>
        <v>0</v>
      </c>
      <c r="G31" s="77">
        <f>SUMIFS(CONSOLIDADO!$F:$F,CONSOLIDADO!$E:$E,$A31,CONSOLIDADO!$I:$I,F$3,CONSOLIDADO!$I:$I,F$4,CONSOLIDADO!$K:$K,"&lt;&gt;NOVO")</f>
        <v>0</v>
      </c>
      <c r="H31" s="77">
        <f>SUMIFS(CONSOLIDADO!$F:$F,CONSOLIDADO!$E:$E,$A31,CONSOLIDADO!$I:$I,G$3,CONSOLIDADO!$I:$I,G$4,CONSOLIDADO!$K:$K,"&lt;&gt;NOVO")</f>
        <v>0</v>
      </c>
      <c r="I31" s="77">
        <f>SUMIFS(CONSOLIDADO!$F:$F,CONSOLIDADO!$E:$E,$A31,CONSOLIDADO!$I:$I,H$3,CONSOLIDADO!$I:$I,H$4,CONSOLIDADO!$K:$K,"&lt;&gt;NOVO")</f>
        <v>0</v>
      </c>
      <c r="J31" s="77">
        <f>SUMIFS(CONSOLIDADO!$F:$F,CONSOLIDADO!$E:$E,$A31,CONSOLIDADO!$I:$I,I$3,CONSOLIDADO!$I:$I,I$4,CONSOLIDADO!$K:$K,"&lt;&gt;NOVO")</f>
        <v>0</v>
      </c>
      <c r="K31" s="77">
        <f>SUMIFS(CONSOLIDADO!$F:$F,CONSOLIDADO!$E:$E,$A31,CONSOLIDADO!$I:$I,J$3,CONSOLIDADO!$I:$I,J$4,CONSOLIDADO!$K:$K,"&lt;&gt;NOVO")</f>
        <v>0</v>
      </c>
      <c r="L31" s="77">
        <f>SUMIFS(CONSOLIDADO!$F:$F,CONSOLIDADO!$E:$E,$A31,CONSOLIDADO!$I:$I,K$3,CONSOLIDADO!$I:$I,K$4,CONSOLIDADO!$K:$K,"&lt;&gt;NOVO")</f>
        <v>0</v>
      </c>
      <c r="M31" s="77">
        <f>SUMIFS(CONSOLIDADO!$F:$F,CONSOLIDADO!$E:$E,$A31,CONSOLIDADO!$I:$I,L$3,CONSOLIDADO!$I:$I,L$4,CONSOLIDADO!$K:$K,"&lt;&gt;NOVO")</f>
        <v>0</v>
      </c>
      <c r="N31" s="79">
        <v>5590.69</v>
      </c>
      <c r="O31" s="78">
        <v>0.8</v>
      </c>
      <c r="P31" s="79">
        <f t="shared" si="1"/>
        <v>11181.379999999997</v>
      </c>
      <c r="Q31" s="79">
        <f t="shared" si="1"/>
        <v>1118.1379999999997</v>
      </c>
      <c r="R31" s="79">
        <f t="shared" si="1"/>
        <v>5590.6899999999987</v>
      </c>
      <c r="S31" s="79">
        <f t="shared" si="1"/>
        <v>0</v>
      </c>
      <c r="T31" s="79">
        <f t="shared" si="1"/>
        <v>0</v>
      </c>
      <c r="U31" s="79">
        <f t="shared" si="1"/>
        <v>0</v>
      </c>
      <c r="V31" s="79">
        <f t="shared" si="1"/>
        <v>0</v>
      </c>
      <c r="W31" s="79">
        <f t="shared" si="1"/>
        <v>0</v>
      </c>
      <c r="X31" s="79">
        <f t="shared" si="1"/>
        <v>0</v>
      </c>
      <c r="Y31" s="79">
        <f t="shared" si="1"/>
        <v>0</v>
      </c>
      <c r="Z31" s="79">
        <f t="shared" si="1"/>
        <v>0</v>
      </c>
      <c r="AA31" s="79">
        <f t="shared" si="1"/>
        <v>0</v>
      </c>
      <c r="AB31" s="37"/>
    </row>
    <row r="32" spans="1:28" x14ac:dyDescent="0.25">
      <c r="A32" s="76" t="s">
        <v>66</v>
      </c>
      <c r="B32" s="77">
        <f>SUMIFS(CONSOLIDADO!$F:$F,CONSOLIDADO!$E:$E,$A32,CONSOLIDADO!$I:$I,A$3,CONSOLIDADO!$I:$I,A$4,CONSOLIDADO!$K:$K,"&lt;&gt;NOVO")</f>
        <v>2</v>
      </c>
      <c r="C32" s="77">
        <f>SUMIFS(CONSOLIDADO!$F:$F,CONSOLIDADO!$E:$E,$A32,CONSOLIDADO!$I:$I,B$3,CONSOLIDADO!$I:$I,B$4,CONSOLIDADO!$K:$K,"&lt;&gt;NOVO")</f>
        <v>1</v>
      </c>
      <c r="D32" s="77">
        <f>SUMIFS(CONSOLIDADO!$F:$F,CONSOLIDADO!$E:$E,$A32,CONSOLIDADO!$I:$I,C$3,CONSOLIDADO!$I:$I,C$4,CONSOLIDADO!$K:$K,"&lt;&gt;NOVO")</f>
        <v>2</v>
      </c>
      <c r="E32" s="77">
        <f>SUMIFS(CONSOLIDADO!$F:$F,CONSOLIDADO!$E:$E,$A32,CONSOLIDADO!$I:$I,D$3,CONSOLIDADO!$I:$I,D$4,CONSOLIDADO!$K:$K,"&lt;&gt;NOVO")</f>
        <v>0</v>
      </c>
      <c r="F32" s="77">
        <f>SUMIFS(CONSOLIDADO!$F:$F,CONSOLIDADO!$E:$E,$A32,CONSOLIDADO!$I:$I,E$3,CONSOLIDADO!$I:$I,E$4,CONSOLIDADO!$K:$K,"&lt;&gt;NOVO")</f>
        <v>0</v>
      </c>
      <c r="G32" s="77">
        <f>SUMIFS(CONSOLIDADO!$F:$F,CONSOLIDADO!$E:$E,$A32,CONSOLIDADO!$I:$I,F$3,CONSOLIDADO!$I:$I,F$4,CONSOLIDADO!$K:$K,"&lt;&gt;NOVO")</f>
        <v>0</v>
      </c>
      <c r="H32" s="77">
        <f>SUMIFS(CONSOLIDADO!$F:$F,CONSOLIDADO!$E:$E,$A32,CONSOLIDADO!$I:$I,G$3,CONSOLIDADO!$I:$I,G$4,CONSOLIDADO!$K:$K,"&lt;&gt;NOVO")</f>
        <v>0</v>
      </c>
      <c r="I32" s="77">
        <f>SUMIFS(CONSOLIDADO!$F:$F,CONSOLIDADO!$E:$E,$A32,CONSOLIDADO!$I:$I,H$3,CONSOLIDADO!$I:$I,H$4,CONSOLIDADO!$K:$K,"&lt;&gt;NOVO")</f>
        <v>0</v>
      </c>
      <c r="J32" s="77">
        <f>SUMIFS(CONSOLIDADO!$F:$F,CONSOLIDADO!$E:$E,$A32,CONSOLIDADO!$I:$I,I$3,CONSOLIDADO!$I:$I,I$4,CONSOLIDADO!$K:$K,"&lt;&gt;NOVO")</f>
        <v>0</v>
      </c>
      <c r="K32" s="77">
        <f>SUMIFS(CONSOLIDADO!$F:$F,CONSOLIDADO!$E:$E,$A32,CONSOLIDADO!$I:$I,J$3,CONSOLIDADO!$I:$I,J$4,CONSOLIDADO!$K:$K,"&lt;&gt;NOVO")</f>
        <v>0</v>
      </c>
      <c r="L32" s="77">
        <f>SUMIFS(CONSOLIDADO!$F:$F,CONSOLIDADO!$E:$E,$A32,CONSOLIDADO!$I:$I,K$3,CONSOLIDADO!$I:$I,K$4,CONSOLIDADO!$K:$K,"&lt;&gt;NOVO")</f>
        <v>0</v>
      </c>
      <c r="M32" s="77">
        <f>SUMIFS(CONSOLIDADO!$F:$F,CONSOLIDADO!$E:$E,$A32,CONSOLIDADO!$I:$I,L$3,CONSOLIDADO!$I:$I,L$4,CONSOLIDADO!$K:$K,"&lt;&gt;NOVO")</f>
        <v>0</v>
      </c>
      <c r="N32" s="79">
        <v>557.51</v>
      </c>
      <c r="O32" s="78">
        <v>0.8</v>
      </c>
      <c r="P32" s="79">
        <f t="shared" si="1"/>
        <v>223.00399999999993</v>
      </c>
      <c r="Q32" s="79">
        <f t="shared" si="1"/>
        <v>111.50199999999997</v>
      </c>
      <c r="R32" s="79">
        <f t="shared" si="1"/>
        <v>223.00399999999993</v>
      </c>
      <c r="S32" s="79">
        <f t="shared" si="1"/>
        <v>0</v>
      </c>
      <c r="T32" s="79">
        <f t="shared" si="1"/>
        <v>0</v>
      </c>
      <c r="U32" s="79">
        <f t="shared" si="1"/>
        <v>0</v>
      </c>
      <c r="V32" s="79">
        <f t="shared" si="1"/>
        <v>0</v>
      </c>
      <c r="W32" s="79">
        <f t="shared" si="1"/>
        <v>0</v>
      </c>
      <c r="X32" s="79">
        <f t="shared" si="1"/>
        <v>0</v>
      </c>
      <c r="Y32" s="79">
        <f t="shared" si="1"/>
        <v>0</v>
      </c>
      <c r="Z32" s="79">
        <f t="shared" si="1"/>
        <v>0</v>
      </c>
      <c r="AA32" s="79">
        <f t="shared" si="1"/>
        <v>0</v>
      </c>
      <c r="AB32" s="37"/>
    </row>
    <row r="33" spans="1:28" x14ac:dyDescent="0.25">
      <c r="A33" s="76" t="s">
        <v>169</v>
      </c>
      <c r="B33" s="77">
        <f>SUMIFS(CONSOLIDADO!$F:$F,CONSOLIDADO!$E:$E,$A33,CONSOLIDADO!$I:$I,A$3,CONSOLIDADO!$I:$I,A$4,CONSOLIDADO!$K:$K,"&lt;&gt;NOVO")</f>
        <v>0</v>
      </c>
      <c r="C33" s="77">
        <f>SUMIFS(CONSOLIDADO!$F:$F,CONSOLIDADO!$E:$E,$A33,CONSOLIDADO!$I:$I,B$3,CONSOLIDADO!$I:$I,B$4,CONSOLIDADO!$K:$K,"&lt;&gt;NOVO")</f>
        <v>3</v>
      </c>
      <c r="D33" s="77">
        <f>SUMIFS(CONSOLIDADO!$F:$F,CONSOLIDADO!$E:$E,$A33,CONSOLIDADO!$I:$I,C$3,CONSOLIDADO!$I:$I,C$4,CONSOLIDADO!$K:$K,"&lt;&gt;NOVO")</f>
        <v>0</v>
      </c>
      <c r="E33" s="77">
        <f>SUMIFS(CONSOLIDADO!$F:$F,CONSOLIDADO!$E:$E,$A33,CONSOLIDADO!$I:$I,D$3,CONSOLIDADO!$I:$I,D$4,CONSOLIDADO!$K:$K,"&lt;&gt;NOVO")</f>
        <v>0</v>
      </c>
      <c r="F33" s="77">
        <f>SUMIFS(CONSOLIDADO!$F:$F,CONSOLIDADO!$E:$E,$A33,CONSOLIDADO!$I:$I,E$3,CONSOLIDADO!$I:$I,E$4,CONSOLIDADO!$K:$K,"&lt;&gt;NOVO")</f>
        <v>0</v>
      </c>
      <c r="G33" s="77">
        <f>SUMIFS(CONSOLIDADO!$F:$F,CONSOLIDADO!$E:$E,$A33,CONSOLIDADO!$I:$I,F$3,CONSOLIDADO!$I:$I,F$4,CONSOLIDADO!$K:$K,"&lt;&gt;NOVO")</f>
        <v>0</v>
      </c>
      <c r="H33" s="77">
        <f>SUMIFS(CONSOLIDADO!$F:$F,CONSOLIDADO!$E:$E,$A33,CONSOLIDADO!$I:$I,G$3,CONSOLIDADO!$I:$I,G$4,CONSOLIDADO!$K:$K,"&lt;&gt;NOVO")</f>
        <v>0</v>
      </c>
      <c r="I33" s="77">
        <f>SUMIFS(CONSOLIDADO!$F:$F,CONSOLIDADO!$E:$E,$A33,CONSOLIDADO!$I:$I,H$3,CONSOLIDADO!$I:$I,H$4,CONSOLIDADO!$K:$K,"&lt;&gt;NOVO")</f>
        <v>0</v>
      </c>
      <c r="J33" s="77">
        <f>SUMIFS(CONSOLIDADO!$F:$F,CONSOLIDADO!$E:$E,$A33,CONSOLIDADO!$I:$I,I$3,CONSOLIDADO!$I:$I,I$4,CONSOLIDADO!$K:$K,"&lt;&gt;NOVO")</f>
        <v>0</v>
      </c>
      <c r="K33" s="77">
        <f>SUMIFS(CONSOLIDADO!$F:$F,CONSOLIDADO!$E:$E,$A33,CONSOLIDADO!$I:$I,J$3,CONSOLIDADO!$I:$I,J$4,CONSOLIDADO!$K:$K,"&lt;&gt;NOVO")</f>
        <v>0</v>
      </c>
      <c r="L33" s="77">
        <f>SUMIFS(CONSOLIDADO!$F:$F,CONSOLIDADO!$E:$E,$A33,CONSOLIDADO!$I:$I,K$3,CONSOLIDADO!$I:$I,K$4,CONSOLIDADO!$K:$K,"&lt;&gt;NOVO")</f>
        <v>0</v>
      </c>
      <c r="M33" s="77">
        <f>SUMIFS(CONSOLIDADO!$F:$F,CONSOLIDADO!$E:$E,$A33,CONSOLIDADO!$I:$I,L$3,CONSOLIDADO!$I:$I,L$4,CONSOLIDADO!$K:$K,"&lt;&gt;NOVO")</f>
        <v>0</v>
      </c>
      <c r="N33" s="79">
        <v>1115.02</v>
      </c>
      <c r="O33" s="78">
        <v>0.8</v>
      </c>
      <c r="P33" s="79">
        <f t="shared" si="1"/>
        <v>0</v>
      </c>
      <c r="Q33" s="79">
        <f t="shared" si="1"/>
        <v>669.01199999999983</v>
      </c>
      <c r="R33" s="79">
        <f t="shared" si="1"/>
        <v>0</v>
      </c>
      <c r="S33" s="79">
        <f t="shared" si="1"/>
        <v>0</v>
      </c>
      <c r="T33" s="79">
        <f t="shared" si="1"/>
        <v>0</v>
      </c>
      <c r="U33" s="79">
        <f t="shared" si="1"/>
        <v>0</v>
      </c>
      <c r="V33" s="79">
        <f t="shared" si="1"/>
        <v>0</v>
      </c>
      <c r="W33" s="79">
        <f t="shared" si="1"/>
        <v>0</v>
      </c>
      <c r="X33" s="79">
        <f t="shared" si="1"/>
        <v>0</v>
      </c>
      <c r="Y33" s="79">
        <f t="shared" si="1"/>
        <v>0</v>
      </c>
      <c r="Z33" s="79">
        <f t="shared" si="1"/>
        <v>0</v>
      </c>
      <c r="AA33" s="79">
        <f t="shared" si="1"/>
        <v>0</v>
      </c>
      <c r="AB33" s="37"/>
    </row>
    <row r="34" spans="1:28" x14ac:dyDescent="0.25">
      <c r="A34" s="76" t="s">
        <v>344</v>
      </c>
      <c r="B34" s="77">
        <f>SUMIFS(CONSOLIDADO!$F:$F,CONSOLIDADO!$E:$E,$A34,CONSOLIDADO!$I:$I,A$3,CONSOLIDADO!$I:$I,A$4,CONSOLIDADO!$K:$K,"&lt;&gt;NOVO")</f>
        <v>0</v>
      </c>
      <c r="C34" s="77">
        <f>SUMIFS(CONSOLIDADO!$F:$F,CONSOLIDADO!$E:$E,$A34,CONSOLIDADO!$I:$I,B$3,CONSOLIDADO!$I:$I,B$4,CONSOLIDADO!$K:$K,"&lt;&gt;NOVO")</f>
        <v>0</v>
      </c>
      <c r="D34" s="77">
        <f>SUMIFS(CONSOLIDADO!$F:$F,CONSOLIDADO!$E:$E,$A34,CONSOLIDADO!$I:$I,C$3,CONSOLIDADO!$I:$I,C$4,CONSOLIDADO!$K:$K,"&lt;&gt;NOVO")</f>
        <v>1</v>
      </c>
      <c r="E34" s="77">
        <f>SUMIFS(CONSOLIDADO!$F:$F,CONSOLIDADO!$E:$E,$A34,CONSOLIDADO!$I:$I,D$3,CONSOLIDADO!$I:$I,D$4,CONSOLIDADO!$K:$K,"&lt;&gt;NOVO")</f>
        <v>0</v>
      </c>
      <c r="F34" s="77">
        <f>SUMIFS(CONSOLIDADO!$F:$F,CONSOLIDADO!$E:$E,$A34,CONSOLIDADO!$I:$I,E$3,CONSOLIDADO!$I:$I,E$4,CONSOLIDADO!$K:$K,"&lt;&gt;NOVO")</f>
        <v>0</v>
      </c>
      <c r="G34" s="77">
        <f>SUMIFS(CONSOLIDADO!$F:$F,CONSOLIDADO!$E:$E,$A34,CONSOLIDADO!$I:$I,F$3,CONSOLIDADO!$I:$I,F$4,CONSOLIDADO!$K:$K,"&lt;&gt;NOVO")</f>
        <v>0</v>
      </c>
      <c r="H34" s="77">
        <f>SUMIFS(CONSOLIDADO!$F:$F,CONSOLIDADO!$E:$E,$A34,CONSOLIDADO!$I:$I,G$3,CONSOLIDADO!$I:$I,G$4,CONSOLIDADO!$K:$K,"&lt;&gt;NOVO")</f>
        <v>0</v>
      </c>
      <c r="I34" s="77">
        <f>SUMIFS(CONSOLIDADO!$F:$F,CONSOLIDADO!$E:$E,$A34,CONSOLIDADO!$I:$I,H$3,CONSOLIDADO!$I:$I,H$4,CONSOLIDADO!$K:$K,"&lt;&gt;NOVO")</f>
        <v>0</v>
      </c>
      <c r="J34" s="77">
        <f>SUMIFS(CONSOLIDADO!$F:$F,CONSOLIDADO!$E:$E,$A34,CONSOLIDADO!$I:$I,I$3,CONSOLIDADO!$I:$I,I$4,CONSOLIDADO!$K:$K,"&lt;&gt;NOVO")</f>
        <v>0</v>
      </c>
      <c r="K34" s="77">
        <f>SUMIFS(CONSOLIDADO!$F:$F,CONSOLIDADO!$E:$E,$A34,CONSOLIDADO!$I:$I,J$3,CONSOLIDADO!$I:$I,J$4,CONSOLIDADO!$K:$K,"&lt;&gt;NOVO")</f>
        <v>0</v>
      </c>
      <c r="L34" s="77">
        <f>SUMIFS(CONSOLIDADO!$F:$F,CONSOLIDADO!$E:$E,$A34,CONSOLIDADO!$I:$I,K$3,CONSOLIDADO!$I:$I,K$4,CONSOLIDADO!$K:$K,"&lt;&gt;NOVO")</f>
        <v>0</v>
      </c>
      <c r="M34" s="77">
        <f>SUMIFS(CONSOLIDADO!$F:$F,CONSOLIDADO!$E:$E,$A34,CONSOLIDADO!$I:$I,L$3,CONSOLIDADO!$I:$I,L$4,CONSOLIDADO!$K:$K,"&lt;&gt;NOVO")</f>
        <v>0</v>
      </c>
      <c r="N34" s="79">
        <v>373.89</v>
      </c>
      <c r="O34" s="78">
        <v>0.8</v>
      </c>
      <c r="P34" s="79">
        <f t="shared" si="1"/>
        <v>0</v>
      </c>
      <c r="Q34" s="79">
        <f t="shared" si="1"/>
        <v>0</v>
      </c>
      <c r="R34" s="79">
        <f t="shared" si="1"/>
        <v>74.777999999999977</v>
      </c>
      <c r="S34" s="79">
        <f t="shared" si="1"/>
        <v>0</v>
      </c>
      <c r="T34" s="79">
        <f t="shared" si="1"/>
        <v>0</v>
      </c>
      <c r="U34" s="79">
        <f t="shared" si="1"/>
        <v>0</v>
      </c>
      <c r="V34" s="79">
        <f t="shared" si="1"/>
        <v>0</v>
      </c>
      <c r="W34" s="79">
        <f t="shared" si="1"/>
        <v>0</v>
      </c>
      <c r="X34" s="79">
        <f t="shared" si="1"/>
        <v>0</v>
      </c>
      <c r="Y34" s="79">
        <f t="shared" si="1"/>
        <v>0</v>
      </c>
      <c r="Z34" s="79">
        <f t="shared" si="1"/>
        <v>0</v>
      </c>
      <c r="AA34" s="79">
        <f t="shared" si="1"/>
        <v>0</v>
      </c>
      <c r="AB34" s="37"/>
    </row>
    <row r="35" spans="1:28" x14ac:dyDescent="0.25">
      <c r="A35" s="76" t="s">
        <v>277</v>
      </c>
      <c r="B35" s="77">
        <f>SUMIFS(CONSOLIDADO!$F:$F,CONSOLIDADO!$E:$E,$A35,CONSOLIDADO!$I:$I,A$3,CONSOLIDADO!$I:$I,A$4,CONSOLIDADO!$K:$K,"&lt;&gt;NOVO")</f>
        <v>0</v>
      </c>
      <c r="C35" s="77">
        <f>SUMIFS(CONSOLIDADO!$F:$F,CONSOLIDADO!$E:$E,$A35,CONSOLIDADO!$I:$I,B$3,CONSOLIDADO!$I:$I,B$4,CONSOLIDADO!$K:$K,"&lt;&gt;NOVO")</f>
        <v>0</v>
      </c>
      <c r="D35" s="77">
        <f>SUMIFS(CONSOLIDADO!$F:$F,CONSOLIDADO!$E:$E,$A35,CONSOLIDADO!$I:$I,C$3,CONSOLIDADO!$I:$I,C$4,CONSOLIDADO!$K:$K,"&lt;&gt;NOVO")</f>
        <v>0</v>
      </c>
      <c r="E35" s="77">
        <f>SUMIFS(CONSOLIDADO!$F:$F,CONSOLIDADO!$E:$E,$A35,CONSOLIDADO!$I:$I,D$3,CONSOLIDADO!$I:$I,D$4,CONSOLIDADO!$K:$K,"&lt;&gt;NOVO")</f>
        <v>0</v>
      </c>
      <c r="F35" s="77">
        <f>SUMIFS(CONSOLIDADO!$F:$F,CONSOLIDADO!$E:$E,$A35,CONSOLIDADO!$I:$I,E$3,CONSOLIDADO!$I:$I,E$4,CONSOLIDADO!$K:$K,"&lt;&gt;NOVO")</f>
        <v>0</v>
      </c>
      <c r="G35" s="77">
        <f>SUMIFS(CONSOLIDADO!$F:$F,CONSOLIDADO!$E:$E,$A35,CONSOLIDADO!$I:$I,F$3,CONSOLIDADO!$I:$I,F$4,CONSOLIDADO!$K:$K,"&lt;&gt;NOVO")</f>
        <v>0</v>
      </c>
      <c r="H35" s="77">
        <f>SUMIFS(CONSOLIDADO!$F:$F,CONSOLIDADO!$E:$E,$A35,CONSOLIDADO!$I:$I,G$3,CONSOLIDADO!$I:$I,G$4,CONSOLIDADO!$K:$K,"&lt;&gt;NOVO")</f>
        <v>0</v>
      </c>
      <c r="I35" s="77">
        <f>SUMIFS(CONSOLIDADO!$F:$F,CONSOLIDADO!$E:$E,$A35,CONSOLIDADO!$I:$I,H$3,CONSOLIDADO!$I:$I,H$4,CONSOLIDADO!$K:$K,"&lt;&gt;NOVO")</f>
        <v>0</v>
      </c>
      <c r="J35" s="77">
        <f>SUMIFS(CONSOLIDADO!$F:$F,CONSOLIDADO!$E:$E,$A35,CONSOLIDADO!$I:$I,I$3,CONSOLIDADO!$I:$I,I$4,CONSOLIDADO!$K:$K,"&lt;&gt;NOVO")</f>
        <v>0</v>
      </c>
      <c r="K35" s="77">
        <f>SUMIFS(CONSOLIDADO!$F:$F,CONSOLIDADO!$E:$E,$A35,CONSOLIDADO!$I:$I,J$3,CONSOLIDADO!$I:$I,J$4,CONSOLIDADO!$K:$K,"&lt;&gt;NOVO")</f>
        <v>0</v>
      </c>
      <c r="L35" s="77">
        <f>SUMIFS(CONSOLIDADO!$F:$F,CONSOLIDADO!$E:$E,$A35,CONSOLIDADO!$I:$I,K$3,CONSOLIDADO!$I:$I,K$4,CONSOLIDADO!$K:$K,"&lt;&gt;NOVO")</f>
        <v>0</v>
      </c>
      <c r="M35" s="77">
        <f>SUMIFS(CONSOLIDADO!$F:$F,CONSOLIDADO!$E:$E,$A35,CONSOLIDADO!$I:$I,L$3,CONSOLIDADO!$I:$I,L$4,CONSOLIDADO!$K:$K,"&lt;&gt;NOVO")</f>
        <v>0</v>
      </c>
      <c r="N35" s="79">
        <v>373.89</v>
      </c>
      <c r="O35" s="78">
        <v>0.8</v>
      </c>
      <c r="P35" s="79">
        <f t="shared" si="1"/>
        <v>0</v>
      </c>
      <c r="Q35" s="79">
        <f t="shared" si="1"/>
        <v>0</v>
      </c>
      <c r="R35" s="79">
        <f t="shared" si="1"/>
        <v>0</v>
      </c>
      <c r="S35" s="79">
        <f t="shared" si="1"/>
        <v>0</v>
      </c>
      <c r="T35" s="79">
        <f t="shared" si="1"/>
        <v>0</v>
      </c>
      <c r="U35" s="79">
        <f t="shared" si="1"/>
        <v>0</v>
      </c>
      <c r="V35" s="79">
        <f t="shared" si="1"/>
        <v>0</v>
      </c>
      <c r="W35" s="79">
        <f t="shared" si="1"/>
        <v>0</v>
      </c>
      <c r="X35" s="79">
        <f t="shared" si="1"/>
        <v>0</v>
      </c>
      <c r="Y35" s="79">
        <f t="shared" si="1"/>
        <v>0</v>
      </c>
      <c r="Z35" s="79">
        <f t="shared" si="1"/>
        <v>0</v>
      </c>
      <c r="AA35" s="79">
        <f t="shared" si="1"/>
        <v>0</v>
      </c>
      <c r="AB35" s="37"/>
    </row>
    <row r="36" spans="1:28" x14ac:dyDescent="0.25">
      <c r="A36" s="76" t="s">
        <v>579</v>
      </c>
      <c r="B36" s="77">
        <f>SUMIFS(CONSOLIDADO!$F:$F,CONSOLIDADO!$E:$E,$A36,CONSOLIDADO!$I:$I,A$3,CONSOLIDADO!$I:$I,A$4,CONSOLIDADO!$K:$K,"&lt;&gt;NOVO")</f>
        <v>0</v>
      </c>
      <c r="C36" s="77">
        <f>SUMIFS(CONSOLIDADO!$F:$F,CONSOLIDADO!$E:$E,$A36,CONSOLIDADO!$I:$I,B$3,CONSOLIDADO!$I:$I,B$4,CONSOLIDADO!$K:$K,"&lt;&gt;NOVO")</f>
        <v>0</v>
      </c>
      <c r="D36" s="77">
        <f>SUMIFS(CONSOLIDADO!$F:$F,CONSOLIDADO!$E:$E,$A36,CONSOLIDADO!$I:$I,C$3,CONSOLIDADO!$I:$I,C$4,CONSOLIDADO!$K:$K,"&lt;&gt;NOVO")</f>
        <v>0</v>
      </c>
      <c r="E36" s="77">
        <f>SUMIFS(CONSOLIDADO!$F:$F,CONSOLIDADO!$E:$E,$A36,CONSOLIDADO!$I:$I,D$3,CONSOLIDADO!$I:$I,D$4,CONSOLIDADO!$K:$K,"&lt;&gt;NOVO")</f>
        <v>0</v>
      </c>
      <c r="F36" s="77">
        <f>SUMIFS(CONSOLIDADO!$F:$F,CONSOLIDADO!$E:$E,$A36,CONSOLIDADO!$I:$I,E$3,CONSOLIDADO!$I:$I,E$4,CONSOLIDADO!$K:$K,"&lt;&gt;NOVO")</f>
        <v>0</v>
      </c>
      <c r="G36" s="77">
        <f>SUMIFS(CONSOLIDADO!$F:$F,CONSOLIDADO!$E:$E,$A36,CONSOLIDADO!$I:$I,F$3,CONSOLIDADO!$I:$I,F$4,CONSOLIDADO!$K:$K,"&lt;&gt;NOVO")</f>
        <v>0</v>
      </c>
      <c r="H36" s="77">
        <f>SUMIFS(CONSOLIDADO!$F:$F,CONSOLIDADO!$E:$E,$A36,CONSOLIDADO!$I:$I,G$3,CONSOLIDADO!$I:$I,G$4,CONSOLIDADO!$K:$K,"&lt;&gt;NOVO")</f>
        <v>0</v>
      </c>
      <c r="I36" s="77">
        <f>SUMIFS(CONSOLIDADO!$F:$F,CONSOLIDADO!$E:$E,$A36,CONSOLIDADO!$I:$I,H$3,CONSOLIDADO!$I:$I,H$4,CONSOLIDADO!$K:$K,"&lt;&gt;NOVO")</f>
        <v>0</v>
      </c>
      <c r="J36" s="77">
        <f>SUMIFS(CONSOLIDADO!$F:$F,CONSOLIDADO!$E:$E,$A36,CONSOLIDADO!$I:$I,I$3,CONSOLIDADO!$I:$I,I$4,CONSOLIDADO!$K:$K,"&lt;&gt;NOVO")</f>
        <v>0</v>
      </c>
      <c r="K36" s="77">
        <f>SUMIFS(CONSOLIDADO!$F:$F,CONSOLIDADO!$E:$E,$A36,CONSOLIDADO!$I:$I,J$3,CONSOLIDADO!$I:$I,J$4,CONSOLIDADO!$K:$K,"&lt;&gt;NOVO")</f>
        <v>0</v>
      </c>
      <c r="L36" s="77">
        <f>SUMIFS(CONSOLIDADO!$F:$F,CONSOLIDADO!$E:$E,$A36,CONSOLIDADO!$I:$I,K$3,CONSOLIDADO!$I:$I,K$4,CONSOLIDADO!$K:$K,"&lt;&gt;NOVO")</f>
        <v>0</v>
      </c>
      <c r="M36" s="77">
        <f>SUMIFS(CONSOLIDADO!$F:$F,CONSOLIDADO!$E:$E,$A36,CONSOLIDADO!$I:$I,L$3,CONSOLIDADO!$I:$I,L$4,CONSOLIDADO!$K:$K,"&lt;&gt;NOVO")</f>
        <v>0</v>
      </c>
      <c r="N36" s="79">
        <v>2888.26</v>
      </c>
      <c r="O36" s="78">
        <v>0.8</v>
      </c>
      <c r="P36" s="79">
        <f t="shared" si="1"/>
        <v>0</v>
      </c>
      <c r="Q36" s="79">
        <f t="shared" si="1"/>
        <v>0</v>
      </c>
      <c r="R36" s="79">
        <f t="shared" si="1"/>
        <v>0</v>
      </c>
      <c r="S36" s="79">
        <f t="shared" si="1"/>
        <v>0</v>
      </c>
      <c r="T36" s="79">
        <f t="shared" si="1"/>
        <v>0</v>
      </c>
      <c r="U36" s="79">
        <f t="shared" si="1"/>
        <v>0</v>
      </c>
      <c r="V36" s="79">
        <f t="shared" si="1"/>
        <v>0</v>
      </c>
      <c r="W36" s="79">
        <f t="shared" si="1"/>
        <v>0</v>
      </c>
      <c r="X36" s="79">
        <f t="shared" si="1"/>
        <v>0</v>
      </c>
      <c r="Y36" s="79">
        <f t="shared" si="1"/>
        <v>0</v>
      </c>
      <c r="Z36" s="79">
        <f t="shared" si="1"/>
        <v>0</v>
      </c>
      <c r="AA36" s="79">
        <f t="shared" si="1"/>
        <v>0</v>
      </c>
      <c r="AB36" s="37"/>
    </row>
    <row r="37" spans="1:28" x14ac:dyDescent="0.25">
      <c r="A37" s="76" t="s">
        <v>580</v>
      </c>
      <c r="B37" s="77">
        <f>SUMIFS(CONSOLIDADO!$F:$F,CONSOLIDADO!$E:$E,$A37,CONSOLIDADO!$I:$I,A$3,CONSOLIDADO!$I:$I,A$4,CONSOLIDADO!$K:$K,"&lt;&gt;NOVO")</f>
        <v>0</v>
      </c>
      <c r="C37" s="77">
        <f>SUMIFS(CONSOLIDADO!$F:$F,CONSOLIDADO!$E:$E,$A37,CONSOLIDADO!$I:$I,B$3,CONSOLIDADO!$I:$I,B$4,CONSOLIDADO!$K:$K,"&lt;&gt;NOVO")</f>
        <v>0</v>
      </c>
      <c r="D37" s="77">
        <f>SUMIFS(CONSOLIDADO!$F:$F,CONSOLIDADO!$E:$E,$A37,CONSOLIDADO!$I:$I,C$3,CONSOLIDADO!$I:$I,C$4,CONSOLIDADO!$K:$K,"&lt;&gt;NOVO")</f>
        <v>0</v>
      </c>
      <c r="E37" s="77">
        <f>SUMIFS(CONSOLIDADO!$F:$F,CONSOLIDADO!$E:$E,$A37,CONSOLIDADO!$I:$I,D$3,CONSOLIDADO!$I:$I,D$4,CONSOLIDADO!$K:$K,"&lt;&gt;NOVO")</f>
        <v>0</v>
      </c>
      <c r="F37" s="77">
        <f>SUMIFS(CONSOLIDADO!$F:$F,CONSOLIDADO!$E:$E,$A37,CONSOLIDADO!$I:$I,E$3,CONSOLIDADO!$I:$I,E$4,CONSOLIDADO!$K:$K,"&lt;&gt;NOVO")</f>
        <v>0</v>
      </c>
      <c r="G37" s="77">
        <f>SUMIFS(CONSOLIDADO!$F:$F,CONSOLIDADO!$E:$E,$A37,CONSOLIDADO!$I:$I,F$3,CONSOLIDADO!$I:$I,F$4,CONSOLIDADO!$K:$K,"&lt;&gt;NOVO")</f>
        <v>0</v>
      </c>
      <c r="H37" s="77">
        <f>SUMIFS(CONSOLIDADO!$F:$F,CONSOLIDADO!$E:$E,$A37,CONSOLIDADO!$I:$I,G$3,CONSOLIDADO!$I:$I,G$4,CONSOLIDADO!$K:$K,"&lt;&gt;NOVO")</f>
        <v>0</v>
      </c>
      <c r="I37" s="77">
        <f>SUMIFS(CONSOLIDADO!$F:$F,CONSOLIDADO!$E:$E,$A37,CONSOLIDADO!$I:$I,H$3,CONSOLIDADO!$I:$I,H$4,CONSOLIDADO!$K:$K,"&lt;&gt;NOVO")</f>
        <v>0</v>
      </c>
      <c r="J37" s="77">
        <f>SUMIFS(CONSOLIDADO!$F:$F,CONSOLIDADO!$E:$E,$A37,CONSOLIDADO!$I:$I,I$3,CONSOLIDADO!$I:$I,I$4,CONSOLIDADO!$K:$K,"&lt;&gt;NOVO")</f>
        <v>0</v>
      </c>
      <c r="K37" s="77">
        <f>SUMIFS(CONSOLIDADO!$F:$F,CONSOLIDADO!$E:$E,$A37,CONSOLIDADO!$I:$I,J$3,CONSOLIDADO!$I:$I,J$4,CONSOLIDADO!$K:$K,"&lt;&gt;NOVO")</f>
        <v>0</v>
      </c>
      <c r="L37" s="77">
        <f>SUMIFS(CONSOLIDADO!$F:$F,CONSOLIDADO!$E:$E,$A37,CONSOLIDADO!$I:$I,K$3,CONSOLIDADO!$I:$I,K$4,CONSOLIDADO!$K:$K,"&lt;&gt;NOVO")</f>
        <v>0</v>
      </c>
      <c r="M37" s="77">
        <f>SUMIFS(CONSOLIDADO!$F:$F,CONSOLIDADO!$E:$E,$A37,CONSOLIDADO!$I:$I,L$3,CONSOLIDADO!$I:$I,L$4,CONSOLIDADO!$K:$K,"&lt;&gt;NOVO")</f>
        <v>0</v>
      </c>
      <c r="N37" s="79">
        <v>2888.26</v>
      </c>
      <c r="O37" s="78">
        <v>0.8</v>
      </c>
      <c r="P37" s="79">
        <f t="shared" si="1"/>
        <v>0</v>
      </c>
      <c r="Q37" s="79">
        <f t="shared" si="1"/>
        <v>0</v>
      </c>
      <c r="R37" s="79">
        <f t="shared" si="1"/>
        <v>0</v>
      </c>
      <c r="S37" s="79">
        <f t="shared" si="1"/>
        <v>0</v>
      </c>
      <c r="T37" s="79">
        <f t="shared" si="1"/>
        <v>0</v>
      </c>
      <c r="U37" s="79">
        <f t="shared" si="1"/>
        <v>0</v>
      </c>
      <c r="V37" s="79">
        <f t="shared" si="1"/>
        <v>0</v>
      </c>
      <c r="W37" s="79">
        <f t="shared" si="1"/>
        <v>0</v>
      </c>
      <c r="X37" s="79">
        <f t="shared" si="1"/>
        <v>0</v>
      </c>
      <c r="Y37" s="79">
        <f t="shared" si="1"/>
        <v>0</v>
      </c>
      <c r="Z37" s="79">
        <f t="shared" si="1"/>
        <v>0</v>
      </c>
      <c r="AA37" s="79">
        <f t="shared" si="1"/>
        <v>0</v>
      </c>
      <c r="AB37" s="37"/>
    </row>
    <row r="38" spans="1:28" x14ac:dyDescent="0.25">
      <c r="A38" s="76" t="s">
        <v>21</v>
      </c>
      <c r="B38" s="77">
        <f>SUMIFS(CONSOLIDADO!$F:$F,CONSOLIDADO!$E:$E,$A38,CONSOLIDADO!$I:$I,A$3,CONSOLIDADO!$I:$I,A$4,CONSOLIDADO!$K:$K,"&lt;&gt;NOVO")</f>
        <v>39</v>
      </c>
      <c r="C38" s="77">
        <f>SUMIFS(CONSOLIDADO!$F:$F,CONSOLIDADO!$E:$E,$A38,CONSOLIDADO!$I:$I,B$3,CONSOLIDADO!$I:$I,B$4,CONSOLIDADO!$K:$K,"&lt;&gt;NOVO")</f>
        <v>39</v>
      </c>
      <c r="D38" s="77">
        <f>SUMIFS(CONSOLIDADO!$F:$F,CONSOLIDADO!$E:$E,$A38,CONSOLIDADO!$I:$I,C$3,CONSOLIDADO!$I:$I,C$4,CONSOLIDADO!$K:$K,"&lt;&gt;NOVO")</f>
        <v>28</v>
      </c>
      <c r="E38" s="77">
        <f>SUMIFS(CONSOLIDADO!$F:$F,CONSOLIDADO!$E:$E,$A38,CONSOLIDADO!$I:$I,D$3,CONSOLIDADO!$I:$I,D$4,CONSOLIDADO!$K:$K,"&lt;&gt;NOVO")</f>
        <v>0</v>
      </c>
      <c r="F38" s="77">
        <f>SUMIFS(CONSOLIDADO!$F:$F,CONSOLIDADO!$E:$E,$A38,CONSOLIDADO!$I:$I,E$3,CONSOLIDADO!$I:$I,E$4,CONSOLIDADO!$K:$K,"&lt;&gt;NOVO")</f>
        <v>0</v>
      </c>
      <c r="G38" s="77">
        <f>SUMIFS(CONSOLIDADO!$F:$F,CONSOLIDADO!$E:$E,$A38,CONSOLIDADO!$I:$I,F$3,CONSOLIDADO!$I:$I,F$4,CONSOLIDADO!$K:$K,"&lt;&gt;NOVO")</f>
        <v>0</v>
      </c>
      <c r="H38" s="77">
        <f>SUMIFS(CONSOLIDADO!$F:$F,CONSOLIDADO!$E:$E,$A38,CONSOLIDADO!$I:$I,G$3,CONSOLIDADO!$I:$I,G$4,CONSOLIDADO!$K:$K,"&lt;&gt;NOVO")</f>
        <v>0</v>
      </c>
      <c r="I38" s="77">
        <f>SUMIFS(CONSOLIDADO!$F:$F,CONSOLIDADO!$E:$E,$A38,CONSOLIDADO!$I:$I,H$3,CONSOLIDADO!$I:$I,H$4,CONSOLIDADO!$K:$K,"&lt;&gt;NOVO")</f>
        <v>0</v>
      </c>
      <c r="J38" s="77">
        <f>SUMIFS(CONSOLIDADO!$F:$F,CONSOLIDADO!$E:$E,$A38,CONSOLIDADO!$I:$I,I$3,CONSOLIDADO!$I:$I,I$4,CONSOLIDADO!$K:$K,"&lt;&gt;NOVO")</f>
        <v>0</v>
      </c>
      <c r="K38" s="77">
        <f>SUMIFS(CONSOLIDADO!$F:$F,CONSOLIDADO!$E:$E,$A38,CONSOLIDADO!$I:$I,J$3,CONSOLIDADO!$I:$I,J$4,CONSOLIDADO!$K:$K,"&lt;&gt;NOVO")</f>
        <v>0</v>
      </c>
      <c r="L38" s="77">
        <f>SUMIFS(CONSOLIDADO!$F:$F,CONSOLIDADO!$E:$E,$A38,CONSOLIDADO!$I:$I,K$3,CONSOLIDADO!$I:$I,K$4,CONSOLIDADO!$K:$K,"&lt;&gt;NOVO")</f>
        <v>0</v>
      </c>
      <c r="M38" s="77">
        <f>SUMIFS(CONSOLIDADO!$F:$F,CONSOLIDADO!$E:$E,$A38,CONSOLIDADO!$I:$I,L$3,CONSOLIDADO!$I:$I,L$4,CONSOLIDADO!$K:$K,"&lt;&gt;NOVO")</f>
        <v>1</v>
      </c>
      <c r="N38" s="79">
        <v>2000</v>
      </c>
      <c r="O38" s="78">
        <v>0.8</v>
      </c>
      <c r="P38" s="79">
        <f t="shared" si="1"/>
        <v>15599.999999999996</v>
      </c>
      <c r="Q38" s="79">
        <f t="shared" si="1"/>
        <v>15599.999999999996</v>
      </c>
      <c r="R38" s="79">
        <f t="shared" si="1"/>
        <v>11199.999999999996</v>
      </c>
      <c r="S38" s="79">
        <f t="shared" si="1"/>
        <v>0</v>
      </c>
      <c r="T38" s="79">
        <f t="shared" si="1"/>
        <v>0</v>
      </c>
      <c r="U38" s="79">
        <f t="shared" si="1"/>
        <v>0</v>
      </c>
      <c r="V38" s="79">
        <f t="shared" si="1"/>
        <v>0</v>
      </c>
      <c r="W38" s="79">
        <f t="shared" si="1"/>
        <v>0</v>
      </c>
      <c r="X38" s="79">
        <f t="shared" si="1"/>
        <v>0</v>
      </c>
      <c r="Y38" s="79">
        <f t="shared" si="1"/>
        <v>0</v>
      </c>
      <c r="Z38" s="79">
        <f t="shared" si="1"/>
        <v>0</v>
      </c>
      <c r="AA38" s="79">
        <f t="shared" si="1"/>
        <v>399.99999999999989</v>
      </c>
      <c r="AB38" s="37"/>
    </row>
    <row r="39" spans="1:28" x14ac:dyDescent="0.25">
      <c r="A39" s="76" t="s">
        <v>141</v>
      </c>
      <c r="B39" s="77">
        <f>SUMIFS(CONSOLIDADO!$F:$F,CONSOLIDADO!$E:$E,$A39,CONSOLIDADO!$I:$I,A$3,CONSOLIDADO!$I:$I,A$4,CONSOLIDADO!$K:$K,"&lt;&gt;NOVO")</f>
        <v>0</v>
      </c>
      <c r="C39" s="77">
        <f>SUMIFS(CONSOLIDADO!$F:$F,CONSOLIDADO!$E:$E,$A39,CONSOLIDADO!$I:$I,B$3,CONSOLIDADO!$I:$I,B$4,CONSOLIDADO!$K:$K,"&lt;&gt;NOVO")</f>
        <v>6</v>
      </c>
      <c r="D39" s="77">
        <f>SUMIFS(CONSOLIDADO!$F:$F,CONSOLIDADO!$E:$E,$A39,CONSOLIDADO!$I:$I,C$3,CONSOLIDADO!$I:$I,C$4,CONSOLIDADO!$K:$K,"&lt;&gt;NOVO")</f>
        <v>3</v>
      </c>
      <c r="E39" s="77">
        <f>SUMIFS(CONSOLIDADO!$F:$F,CONSOLIDADO!$E:$E,$A39,CONSOLIDADO!$I:$I,D$3,CONSOLIDADO!$I:$I,D$4,CONSOLIDADO!$K:$K,"&lt;&gt;NOVO")</f>
        <v>0</v>
      </c>
      <c r="F39" s="77">
        <f>SUMIFS(CONSOLIDADO!$F:$F,CONSOLIDADO!$E:$E,$A39,CONSOLIDADO!$I:$I,E$3,CONSOLIDADO!$I:$I,E$4,CONSOLIDADO!$K:$K,"&lt;&gt;NOVO")</f>
        <v>0</v>
      </c>
      <c r="G39" s="77">
        <f>SUMIFS(CONSOLIDADO!$F:$F,CONSOLIDADO!$E:$E,$A39,CONSOLIDADO!$I:$I,F$3,CONSOLIDADO!$I:$I,F$4,CONSOLIDADO!$K:$K,"&lt;&gt;NOVO")</f>
        <v>0</v>
      </c>
      <c r="H39" s="77">
        <f>SUMIFS(CONSOLIDADO!$F:$F,CONSOLIDADO!$E:$E,$A39,CONSOLIDADO!$I:$I,G$3,CONSOLIDADO!$I:$I,G$4,CONSOLIDADO!$K:$K,"&lt;&gt;NOVO")</f>
        <v>0</v>
      </c>
      <c r="I39" s="77">
        <f>SUMIFS(CONSOLIDADO!$F:$F,CONSOLIDADO!$E:$E,$A39,CONSOLIDADO!$I:$I,H$3,CONSOLIDADO!$I:$I,H$4,CONSOLIDADO!$K:$K,"&lt;&gt;NOVO")</f>
        <v>0</v>
      </c>
      <c r="J39" s="77">
        <f>SUMIFS(CONSOLIDADO!$F:$F,CONSOLIDADO!$E:$E,$A39,CONSOLIDADO!$I:$I,I$3,CONSOLIDADO!$I:$I,I$4,CONSOLIDADO!$K:$K,"&lt;&gt;NOVO")</f>
        <v>0</v>
      </c>
      <c r="K39" s="77">
        <f>SUMIFS(CONSOLIDADO!$F:$F,CONSOLIDADO!$E:$E,$A39,CONSOLIDADO!$I:$I,J$3,CONSOLIDADO!$I:$I,J$4,CONSOLIDADO!$K:$K,"&lt;&gt;NOVO")</f>
        <v>0</v>
      </c>
      <c r="L39" s="77">
        <f>SUMIFS(CONSOLIDADO!$F:$F,CONSOLIDADO!$E:$E,$A39,CONSOLIDADO!$I:$I,K$3,CONSOLIDADO!$I:$I,K$4,CONSOLIDADO!$K:$K,"&lt;&gt;NOVO")</f>
        <v>0</v>
      </c>
      <c r="M39" s="77">
        <f>SUMIFS(CONSOLIDADO!$F:$F,CONSOLIDADO!$E:$E,$A39,CONSOLIDADO!$I:$I,L$3,CONSOLIDADO!$I:$I,L$4,CONSOLIDADO!$K:$K,"&lt;&gt;NOVO")</f>
        <v>0</v>
      </c>
      <c r="N39" s="79">
        <v>465.15</v>
      </c>
      <c r="O39" s="78">
        <v>0.8</v>
      </c>
      <c r="P39" s="79">
        <f t="shared" si="1"/>
        <v>0</v>
      </c>
      <c r="Q39" s="79">
        <f t="shared" si="1"/>
        <v>558.17999999999984</v>
      </c>
      <c r="R39" s="79">
        <f t="shared" si="1"/>
        <v>279.08999999999992</v>
      </c>
      <c r="S39" s="79">
        <f t="shared" si="1"/>
        <v>0</v>
      </c>
      <c r="T39" s="79">
        <f t="shared" si="1"/>
        <v>0</v>
      </c>
      <c r="U39" s="79">
        <f t="shared" si="1"/>
        <v>0</v>
      </c>
      <c r="V39" s="79">
        <f t="shared" si="1"/>
        <v>0</v>
      </c>
      <c r="W39" s="79">
        <f t="shared" si="1"/>
        <v>0</v>
      </c>
      <c r="X39" s="79">
        <f t="shared" si="1"/>
        <v>0</v>
      </c>
      <c r="Y39" s="79">
        <f t="shared" si="1"/>
        <v>0</v>
      </c>
      <c r="Z39" s="79">
        <f t="shared" si="1"/>
        <v>0</v>
      </c>
      <c r="AA39" s="79">
        <f t="shared" si="1"/>
        <v>0</v>
      </c>
      <c r="AB39" s="37"/>
    </row>
    <row r="40" spans="1:28" x14ac:dyDescent="0.25">
      <c r="A40" t="s">
        <v>464</v>
      </c>
      <c r="B40" s="77">
        <f>SUMIFS(CONSOLIDADO!$F:$F,CONSOLIDADO!$E:$E,$A40,CONSOLIDADO!$I:$I,A$3,CONSOLIDADO!$I:$I,A$4,CONSOLIDADO!$K:$K,"&lt;&gt;NOVO")</f>
        <v>0</v>
      </c>
      <c r="C40" s="77">
        <f>SUMIFS(CONSOLIDADO!$F:$F,CONSOLIDADO!$E:$E,$A40,CONSOLIDADO!$I:$I,B$3,CONSOLIDADO!$I:$I,B$4,CONSOLIDADO!$K:$K,"&lt;&gt;NOVO")</f>
        <v>0</v>
      </c>
      <c r="D40" s="77">
        <f>SUMIFS(CONSOLIDADO!$F:$F,CONSOLIDADO!$E:$E,$A40,CONSOLIDADO!$I:$I,C$3,CONSOLIDADO!$I:$I,C$4,CONSOLIDADO!$K:$K,"&lt;&gt;NOVO")</f>
        <v>0</v>
      </c>
      <c r="E40" s="77">
        <f>SUMIFS(CONSOLIDADO!$F:$F,CONSOLIDADO!$E:$E,$A40,CONSOLIDADO!$I:$I,D$3,CONSOLIDADO!$I:$I,D$4,CONSOLIDADO!$K:$K,"&lt;&gt;NOVO")</f>
        <v>0</v>
      </c>
      <c r="F40" s="77">
        <f>SUMIFS(CONSOLIDADO!$F:$F,CONSOLIDADO!$E:$E,$A40,CONSOLIDADO!$I:$I,E$3,CONSOLIDADO!$I:$I,E$4,CONSOLIDADO!$K:$K,"&lt;&gt;NOVO")</f>
        <v>0</v>
      </c>
      <c r="G40" s="77">
        <f>SUMIFS(CONSOLIDADO!$F:$F,CONSOLIDADO!$E:$E,$A40,CONSOLIDADO!$I:$I,F$3,CONSOLIDADO!$I:$I,F$4,CONSOLIDADO!$K:$K,"&lt;&gt;NOVO")</f>
        <v>0</v>
      </c>
      <c r="H40" s="77">
        <f>SUMIFS(CONSOLIDADO!$F:$F,CONSOLIDADO!$E:$E,$A40,CONSOLIDADO!$I:$I,G$3,CONSOLIDADO!$I:$I,G$4,CONSOLIDADO!$K:$K,"&lt;&gt;NOVO")</f>
        <v>0</v>
      </c>
      <c r="I40" s="77">
        <f>SUMIFS(CONSOLIDADO!$F:$F,CONSOLIDADO!$E:$E,$A40,CONSOLIDADO!$I:$I,H$3,CONSOLIDADO!$I:$I,H$4,CONSOLIDADO!$K:$K,"&lt;&gt;NOVO")</f>
        <v>0</v>
      </c>
      <c r="J40" s="77">
        <f>SUMIFS(CONSOLIDADO!$F:$F,CONSOLIDADO!$E:$E,$A40,CONSOLIDADO!$I:$I,I$3,CONSOLIDADO!$I:$I,I$4,CONSOLIDADO!$K:$K,"&lt;&gt;NOVO")</f>
        <v>0</v>
      </c>
      <c r="K40" s="77">
        <f>SUMIFS(CONSOLIDADO!$F:$F,CONSOLIDADO!$E:$E,$A40,CONSOLIDADO!$I:$I,J$3,CONSOLIDADO!$I:$I,J$4,CONSOLIDADO!$K:$K,"&lt;&gt;NOVO")</f>
        <v>0</v>
      </c>
      <c r="L40" s="77">
        <f>SUMIFS(CONSOLIDADO!$F:$F,CONSOLIDADO!$E:$E,$A40,CONSOLIDADO!$I:$I,K$3,CONSOLIDADO!$I:$I,K$4,CONSOLIDADO!$K:$K,"&lt;&gt;NOVO")</f>
        <v>0</v>
      </c>
      <c r="M40" s="77">
        <f>SUMIFS(CONSOLIDADO!$F:$F,CONSOLIDADO!$E:$E,$A40,CONSOLIDADO!$I:$I,L$3,CONSOLIDADO!$I:$I,L$4,CONSOLIDADO!$K:$K,"&lt;&gt;NOVO")</f>
        <v>0</v>
      </c>
      <c r="N40" s="79">
        <v>1115.02</v>
      </c>
      <c r="O40" s="78">
        <v>0.8</v>
      </c>
      <c r="P40" s="79">
        <f t="shared" si="1"/>
        <v>0</v>
      </c>
      <c r="Q40" s="79">
        <f t="shared" si="1"/>
        <v>0</v>
      </c>
      <c r="R40" s="79">
        <f t="shared" si="1"/>
        <v>0</v>
      </c>
      <c r="S40" s="79">
        <f t="shared" si="1"/>
        <v>0</v>
      </c>
      <c r="T40" s="79">
        <f t="shared" si="1"/>
        <v>0</v>
      </c>
      <c r="U40" s="79">
        <f t="shared" si="1"/>
        <v>0</v>
      </c>
      <c r="V40" s="79">
        <f t="shared" si="1"/>
        <v>0</v>
      </c>
      <c r="W40" s="79">
        <f t="shared" si="1"/>
        <v>0</v>
      </c>
      <c r="X40" s="79">
        <f t="shared" si="1"/>
        <v>0</v>
      </c>
      <c r="Y40" s="79">
        <f t="shared" si="1"/>
        <v>0</v>
      </c>
      <c r="Z40" s="79">
        <f t="shared" si="1"/>
        <v>0</v>
      </c>
      <c r="AA40" s="79">
        <f t="shared" si="1"/>
        <v>0</v>
      </c>
      <c r="AB40" s="37"/>
    </row>
    <row r="41" spans="1:28" x14ac:dyDescent="0.25">
      <c r="A41" s="76" t="s">
        <v>50</v>
      </c>
      <c r="B41" s="77">
        <f>SUMIFS(CONSOLIDADO!$F:$F,CONSOLIDADO!$E:$E,$A41,CONSOLIDADO!$I:$I,A$3,CONSOLIDADO!$I:$I,A$4,CONSOLIDADO!$K:$K,"&lt;&gt;NOVO")</f>
        <v>1</v>
      </c>
      <c r="C41" s="77">
        <f>SUMIFS(CONSOLIDADO!$F:$F,CONSOLIDADO!$E:$E,$A41,CONSOLIDADO!$I:$I,B$3,CONSOLIDADO!$I:$I,B$4,CONSOLIDADO!$K:$K,"&lt;&gt;NOVO")</f>
        <v>0</v>
      </c>
      <c r="D41" s="77">
        <f>SUMIFS(CONSOLIDADO!$F:$F,CONSOLIDADO!$E:$E,$A41,CONSOLIDADO!$I:$I,C$3,CONSOLIDADO!$I:$I,C$4,CONSOLIDADO!$K:$K,"&lt;&gt;NOVO")</f>
        <v>0</v>
      </c>
      <c r="E41" s="77">
        <f>SUMIFS(CONSOLIDADO!$F:$F,CONSOLIDADO!$E:$E,$A41,CONSOLIDADO!$I:$I,D$3,CONSOLIDADO!$I:$I,D$4,CONSOLIDADO!$K:$K,"&lt;&gt;NOVO")</f>
        <v>0</v>
      </c>
      <c r="F41" s="77">
        <f>SUMIFS(CONSOLIDADO!$F:$F,CONSOLIDADO!$E:$E,$A41,CONSOLIDADO!$I:$I,E$3,CONSOLIDADO!$I:$I,E$4,CONSOLIDADO!$K:$K,"&lt;&gt;NOVO")</f>
        <v>0</v>
      </c>
      <c r="G41" s="77">
        <f>SUMIFS(CONSOLIDADO!$F:$F,CONSOLIDADO!$E:$E,$A41,CONSOLIDADO!$I:$I,F$3,CONSOLIDADO!$I:$I,F$4,CONSOLIDADO!$K:$K,"&lt;&gt;NOVO")</f>
        <v>0</v>
      </c>
      <c r="H41" s="77">
        <f>SUMIFS(CONSOLIDADO!$F:$F,CONSOLIDADO!$E:$E,$A41,CONSOLIDADO!$I:$I,G$3,CONSOLIDADO!$I:$I,G$4,CONSOLIDADO!$K:$K,"&lt;&gt;NOVO")</f>
        <v>0</v>
      </c>
      <c r="I41" s="77">
        <f>SUMIFS(CONSOLIDADO!$F:$F,CONSOLIDADO!$E:$E,$A41,CONSOLIDADO!$I:$I,H$3,CONSOLIDADO!$I:$I,H$4,CONSOLIDADO!$K:$K,"&lt;&gt;NOVO")</f>
        <v>0</v>
      </c>
      <c r="J41" s="77">
        <f>SUMIFS(CONSOLIDADO!$F:$F,CONSOLIDADO!$E:$E,$A41,CONSOLIDADO!$I:$I,I$3,CONSOLIDADO!$I:$I,I$4,CONSOLIDADO!$K:$K,"&lt;&gt;NOVO")</f>
        <v>0</v>
      </c>
      <c r="K41" s="77">
        <f>SUMIFS(CONSOLIDADO!$F:$F,CONSOLIDADO!$E:$E,$A41,CONSOLIDADO!$I:$I,J$3,CONSOLIDADO!$I:$I,J$4,CONSOLIDADO!$K:$K,"&lt;&gt;NOVO")</f>
        <v>0</v>
      </c>
      <c r="L41" s="77">
        <f>SUMIFS(CONSOLIDADO!$F:$F,CONSOLIDADO!$E:$E,$A41,CONSOLIDADO!$I:$I,K$3,CONSOLIDADO!$I:$I,K$4,CONSOLIDADO!$K:$K,"&lt;&gt;NOVO")</f>
        <v>0</v>
      </c>
      <c r="M41" s="77">
        <f>SUMIFS(CONSOLIDADO!$F:$F,CONSOLIDADO!$E:$E,$A41,CONSOLIDADO!$I:$I,L$3,CONSOLIDADO!$I:$I,L$4,CONSOLIDADO!$K:$K,"&lt;&gt;NOVO")</f>
        <v>0</v>
      </c>
      <c r="N41" s="79">
        <v>746.68</v>
      </c>
      <c r="O41" s="78">
        <v>0.8</v>
      </c>
      <c r="P41" s="79">
        <f t="shared" si="1"/>
        <v>149.33599999999996</v>
      </c>
      <c r="Q41" s="79">
        <f t="shared" si="1"/>
        <v>0</v>
      </c>
      <c r="R41" s="79">
        <f t="shared" si="1"/>
        <v>0</v>
      </c>
      <c r="S41" s="79">
        <f t="shared" si="1"/>
        <v>0</v>
      </c>
      <c r="T41" s="79">
        <f t="shared" si="1"/>
        <v>0</v>
      </c>
      <c r="U41" s="79">
        <f t="shared" si="1"/>
        <v>0</v>
      </c>
      <c r="V41" s="79">
        <f t="shared" si="1"/>
        <v>0</v>
      </c>
      <c r="W41" s="79">
        <f t="shared" si="1"/>
        <v>0</v>
      </c>
      <c r="X41" s="79">
        <f t="shared" si="1"/>
        <v>0</v>
      </c>
      <c r="Y41" s="79">
        <f t="shared" si="1"/>
        <v>0</v>
      </c>
      <c r="Z41" s="79">
        <f t="shared" si="1"/>
        <v>0</v>
      </c>
      <c r="AA41" s="79">
        <f t="shared" si="1"/>
        <v>0</v>
      </c>
      <c r="AB41" s="37"/>
    </row>
    <row r="42" spans="1:28" x14ac:dyDescent="0.25">
      <c r="A42" s="76" t="s">
        <v>465</v>
      </c>
      <c r="B42" s="77">
        <f>SUMIFS(CONSOLIDADO!$F:$F,CONSOLIDADO!$E:$E,$A42,CONSOLIDADO!$I:$I,A$3,CONSOLIDADO!$I:$I,A$4,CONSOLIDADO!$K:$K,"&lt;&gt;NOVO")</f>
        <v>0</v>
      </c>
      <c r="C42" s="77">
        <f>SUMIFS(CONSOLIDADO!$F:$F,CONSOLIDADO!$E:$E,$A42,CONSOLIDADO!$I:$I,B$3,CONSOLIDADO!$I:$I,B$4,CONSOLIDADO!$K:$K,"&lt;&gt;NOVO")</f>
        <v>0</v>
      </c>
      <c r="D42" s="77">
        <f>SUMIFS(CONSOLIDADO!$F:$F,CONSOLIDADO!$E:$E,$A42,CONSOLIDADO!$I:$I,C$3,CONSOLIDADO!$I:$I,C$4,CONSOLIDADO!$K:$K,"&lt;&gt;NOVO")</f>
        <v>0</v>
      </c>
      <c r="E42" s="77">
        <f>SUMIFS(CONSOLIDADO!$F:$F,CONSOLIDADO!$E:$E,$A42,CONSOLIDADO!$I:$I,D$3,CONSOLIDADO!$I:$I,D$4,CONSOLIDADO!$K:$K,"&lt;&gt;NOVO")</f>
        <v>0</v>
      </c>
      <c r="F42" s="77">
        <f>SUMIFS(CONSOLIDADO!$F:$F,CONSOLIDADO!$E:$E,$A42,CONSOLIDADO!$I:$I,E$3,CONSOLIDADO!$I:$I,E$4,CONSOLIDADO!$K:$K,"&lt;&gt;NOVO")</f>
        <v>0</v>
      </c>
      <c r="G42" s="77">
        <f>SUMIFS(CONSOLIDADO!$F:$F,CONSOLIDADO!$E:$E,$A42,CONSOLIDADO!$I:$I,F$3,CONSOLIDADO!$I:$I,F$4,CONSOLIDADO!$K:$K,"&lt;&gt;NOVO")</f>
        <v>0</v>
      </c>
      <c r="H42" s="77">
        <f>SUMIFS(CONSOLIDADO!$F:$F,CONSOLIDADO!$E:$E,$A42,CONSOLIDADO!$I:$I,G$3,CONSOLIDADO!$I:$I,G$4,CONSOLIDADO!$K:$K,"&lt;&gt;NOVO")</f>
        <v>0</v>
      </c>
      <c r="I42" s="77">
        <f>SUMIFS(CONSOLIDADO!$F:$F,CONSOLIDADO!$E:$E,$A42,CONSOLIDADO!$I:$I,H$3,CONSOLIDADO!$I:$I,H$4,CONSOLIDADO!$K:$K,"&lt;&gt;NOVO")</f>
        <v>0</v>
      </c>
      <c r="J42" s="77">
        <f>SUMIFS(CONSOLIDADO!$F:$F,CONSOLIDADO!$E:$E,$A42,CONSOLIDADO!$I:$I,I$3,CONSOLIDADO!$I:$I,I$4,CONSOLIDADO!$K:$K,"&lt;&gt;NOVO")</f>
        <v>0</v>
      </c>
      <c r="K42" s="77">
        <f>SUMIFS(CONSOLIDADO!$F:$F,CONSOLIDADO!$E:$E,$A42,CONSOLIDADO!$I:$I,J$3,CONSOLIDADO!$I:$I,J$4,CONSOLIDADO!$K:$K,"&lt;&gt;NOVO")</f>
        <v>0</v>
      </c>
      <c r="L42" s="77">
        <f>SUMIFS(CONSOLIDADO!$F:$F,CONSOLIDADO!$E:$E,$A42,CONSOLIDADO!$I:$I,K$3,CONSOLIDADO!$I:$I,K$4,CONSOLIDADO!$K:$K,"&lt;&gt;NOVO")</f>
        <v>0</v>
      </c>
      <c r="M42" s="77">
        <f>SUMIFS(CONSOLIDADO!$F:$F,CONSOLIDADO!$E:$E,$A42,CONSOLIDADO!$I:$I,L$3,CONSOLIDADO!$I:$I,L$4,CONSOLIDADO!$K:$K,"&lt;&gt;NOVO")</f>
        <v>0</v>
      </c>
      <c r="N42" s="79">
        <v>653.20000000000005</v>
      </c>
      <c r="O42" s="78">
        <v>0.8</v>
      </c>
      <c r="P42" s="79">
        <f t="shared" si="1"/>
        <v>0</v>
      </c>
      <c r="Q42" s="79">
        <f t="shared" si="1"/>
        <v>0</v>
      </c>
      <c r="R42" s="79">
        <f t="shared" si="1"/>
        <v>0</v>
      </c>
      <c r="S42" s="79">
        <f t="shared" si="1"/>
        <v>0</v>
      </c>
      <c r="T42" s="79">
        <f t="shared" si="1"/>
        <v>0</v>
      </c>
      <c r="U42" s="79">
        <f t="shared" si="1"/>
        <v>0</v>
      </c>
      <c r="V42" s="79">
        <f t="shared" si="1"/>
        <v>0</v>
      </c>
      <c r="W42" s="79">
        <f t="shared" si="1"/>
        <v>0</v>
      </c>
      <c r="X42" s="79">
        <f t="shared" si="1"/>
        <v>0</v>
      </c>
      <c r="Y42" s="79">
        <f t="shared" si="1"/>
        <v>0</v>
      </c>
      <c r="Z42" s="79">
        <f t="shared" si="1"/>
        <v>0</v>
      </c>
      <c r="AA42" s="79">
        <f t="shared" si="1"/>
        <v>0</v>
      </c>
      <c r="AB42" s="37"/>
    </row>
    <row r="43" spans="1:28" x14ac:dyDescent="0.25">
      <c r="A43" s="76" t="s">
        <v>198</v>
      </c>
      <c r="B43" s="77">
        <f>SUMIFS(CONSOLIDADO!$F:$F,CONSOLIDADO!$E:$E,$A43,CONSOLIDADO!$I:$I,A$3,CONSOLIDADO!$I:$I,A$4,CONSOLIDADO!$K:$K,"&lt;&gt;NOVO")</f>
        <v>2</v>
      </c>
      <c r="C43" s="77">
        <f>SUMIFS(CONSOLIDADO!$F:$F,CONSOLIDADO!$E:$E,$A43,CONSOLIDADO!$I:$I,B$3,CONSOLIDADO!$I:$I,B$4,CONSOLIDADO!$K:$K,"&lt;&gt;NOVO")</f>
        <v>0</v>
      </c>
      <c r="D43" s="77">
        <f>SUMIFS(CONSOLIDADO!$F:$F,CONSOLIDADO!$E:$E,$A43,CONSOLIDADO!$I:$I,C$3,CONSOLIDADO!$I:$I,C$4,CONSOLIDADO!$K:$K,"&lt;&gt;NOVO")</f>
        <v>0</v>
      </c>
      <c r="E43" s="77">
        <f>SUMIFS(CONSOLIDADO!$F:$F,CONSOLIDADO!$E:$E,$A43,CONSOLIDADO!$I:$I,D$3,CONSOLIDADO!$I:$I,D$4,CONSOLIDADO!$K:$K,"&lt;&gt;NOVO")</f>
        <v>0</v>
      </c>
      <c r="F43" s="77">
        <f>SUMIFS(CONSOLIDADO!$F:$F,CONSOLIDADO!$E:$E,$A43,CONSOLIDADO!$I:$I,E$3,CONSOLIDADO!$I:$I,E$4,CONSOLIDADO!$K:$K,"&lt;&gt;NOVO")</f>
        <v>0</v>
      </c>
      <c r="G43" s="77">
        <f>SUMIFS(CONSOLIDADO!$F:$F,CONSOLIDADO!$E:$E,$A43,CONSOLIDADO!$I:$I,F$3,CONSOLIDADO!$I:$I,F$4,CONSOLIDADO!$K:$K,"&lt;&gt;NOVO")</f>
        <v>0</v>
      </c>
      <c r="H43" s="77">
        <f>SUMIFS(CONSOLIDADO!$F:$F,CONSOLIDADO!$E:$E,$A43,CONSOLIDADO!$I:$I,G$3,CONSOLIDADO!$I:$I,G$4,CONSOLIDADO!$K:$K,"&lt;&gt;NOVO")</f>
        <v>0</v>
      </c>
      <c r="I43" s="77">
        <f>SUMIFS(CONSOLIDADO!$F:$F,CONSOLIDADO!$E:$E,$A43,CONSOLIDADO!$I:$I,H$3,CONSOLIDADO!$I:$I,H$4,CONSOLIDADO!$K:$K,"&lt;&gt;NOVO")</f>
        <v>0</v>
      </c>
      <c r="J43" s="77">
        <f>SUMIFS(CONSOLIDADO!$F:$F,CONSOLIDADO!$E:$E,$A43,CONSOLIDADO!$I:$I,I$3,CONSOLIDADO!$I:$I,I$4,CONSOLIDADO!$K:$K,"&lt;&gt;NOVO")</f>
        <v>0</v>
      </c>
      <c r="K43" s="77">
        <f>SUMIFS(CONSOLIDADO!$F:$F,CONSOLIDADO!$E:$E,$A43,CONSOLIDADO!$I:$I,J$3,CONSOLIDADO!$I:$I,J$4,CONSOLIDADO!$K:$K,"&lt;&gt;NOVO")</f>
        <v>0</v>
      </c>
      <c r="L43" s="77">
        <f>SUMIFS(CONSOLIDADO!$F:$F,CONSOLIDADO!$E:$E,$A43,CONSOLIDADO!$I:$I,K$3,CONSOLIDADO!$I:$I,K$4,CONSOLIDADO!$K:$K,"&lt;&gt;NOVO")</f>
        <v>0</v>
      </c>
      <c r="M43" s="77">
        <f>SUMIFS(CONSOLIDADO!$F:$F,CONSOLIDADO!$E:$E,$A43,CONSOLIDADO!$I:$I,L$3,CONSOLIDADO!$I:$I,L$4,CONSOLIDADO!$K:$K,"&lt;&gt;NOVO")</f>
        <v>0</v>
      </c>
      <c r="N43" s="79">
        <v>1791.6</v>
      </c>
      <c r="O43" s="78">
        <v>0.8</v>
      </c>
      <c r="P43" s="79">
        <f t="shared" si="1"/>
        <v>716.63999999999976</v>
      </c>
      <c r="Q43" s="79">
        <f t="shared" si="1"/>
        <v>0</v>
      </c>
      <c r="R43" s="79">
        <f t="shared" si="1"/>
        <v>0</v>
      </c>
      <c r="S43" s="79">
        <f t="shared" si="1"/>
        <v>0</v>
      </c>
      <c r="T43" s="79">
        <f t="shared" si="1"/>
        <v>0</v>
      </c>
      <c r="U43" s="79">
        <f t="shared" si="1"/>
        <v>0</v>
      </c>
      <c r="V43" s="79">
        <f t="shared" si="1"/>
        <v>0</v>
      </c>
      <c r="W43" s="79">
        <f t="shared" si="1"/>
        <v>0</v>
      </c>
      <c r="X43" s="79">
        <f t="shared" si="1"/>
        <v>0</v>
      </c>
      <c r="Y43" s="79">
        <f t="shared" si="1"/>
        <v>0</v>
      </c>
      <c r="Z43" s="79">
        <f t="shared" si="1"/>
        <v>0</v>
      </c>
      <c r="AA43" s="79">
        <f t="shared" si="1"/>
        <v>0</v>
      </c>
      <c r="AB43" s="37"/>
    </row>
    <row r="44" spans="1:28" x14ac:dyDescent="0.25">
      <c r="A44" s="76" t="s">
        <v>97</v>
      </c>
      <c r="B44" s="77">
        <f>SUMIFS(CONSOLIDADO!$F:$F,CONSOLIDADO!$E:$E,$A44,CONSOLIDADO!$I:$I,A$3,CONSOLIDADO!$I:$I,A$4,CONSOLIDADO!$K:$K,"&lt;&gt;NOVO")</f>
        <v>1</v>
      </c>
      <c r="C44" s="77">
        <f>SUMIFS(CONSOLIDADO!$F:$F,CONSOLIDADO!$E:$E,$A44,CONSOLIDADO!$I:$I,B$3,CONSOLIDADO!$I:$I,B$4,CONSOLIDADO!$K:$K,"&lt;&gt;NOVO")</f>
        <v>0</v>
      </c>
      <c r="D44" s="77">
        <f>SUMIFS(CONSOLIDADO!$F:$F,CONSOLIDADO!$E:$E,$A44,CONSOLIDADO!$I:$I,C$3,CONSOLIDADO!$I:$I,C$4,CONSOLIDADO!$K:$K,"&lt;&gt;NOVO")</f>
        <v>135</v>
      </c>
      <c r="E44" s="77">
        <f>SUMIFS(CONSOLIDADO!$F:$F,CONSOLIDADO!$E:$E,$A44,CONSOLIDADO!$I:$I,D$3,CONSOLIDADO!$I:$I,D$4,CONSOLIDADO!$K:$K,"&lt;&gt;NOVO")</f>
        <v>0</v>
      </c>
      <c r="F44" s="77">
        <f>SUMIFS(CONSOLIDADO!$F:$F,CONSOLIDADO!$E:$E,$A44,CONSOLIDADO!$I:$I,E$3,CONSOLIDADO!$I:$I,E$4,CONSOLIDADO!$K:$K,"&lt;&gt;NOVO")</f>
        <v>0</v>
      </c>
      <c r="G44" s="77">
        <f>SUMIFS(CONSOLIDADO!$F:$F,CONSOLIDADO!$E:$E,$A44,CONSOLIDADO!$I:$I,F$3,CONSOLIDADO!$I:$I,F$4,CONSOLIDADO!$K:$K,"&lt;&gt;NOVO")</f>
        <v>0</v>
      </c>
      <c r="H44" s="77">
        <f>SUMIFS(CONSOLIDADO!$F:$F,CONSOLIDADO!$E:$E,$A44,CONSOLIDADO!$I:$I,G$3,CONSOLIDADO!$I:$I,G$4,CONSOLIDADO!$K:$K,"&lt;&gt;NOVO")</f>
        <v>0</v>
      </c>
      <c r="I44" s="77">
        <f>SUMIFS(CONSOLIDADO!$F:$F,CONSOLIDADO!$E:$E,$A44,CONSOLIDADO!$I:$I,H$3,CONSOLIDADO!$I:$I,H$4,CONSOLIDADO!$K:$K,"&lt;&gt;NOVO")</f>
        <v>0</v>
      </c>
      <c r="J44" s="77">
        <f>SUMIFS(CONSOLIDADO!$F:$F,CONSOLIDADO!$E:$E,$A44,CONSOLIDADO!$I:$I,I$3,CONSOLIDADO!$I:$I,I$4,CONSOLIDADO!$K:$K,"&lt;&gt;NOVO")</f>
        <v>0</v>
      </c>
      <c r="K44" s="77">
        <f>SUMIFS(CONSOLIDADO!$F:$F,CONSOLIDADO!$E:$E,$A44,CONSOLIDADO!$I:$I,J$3,CONSOLIDADO!$I:$I,J$4,CONSOLIDADO!$K:$K,"&lt;&gt;NOVO")</f>
        <v>0</v>
      </c>
      <c r="L44" s="77">
        <f>SUMIFS(CONSOLIDADO!$F:$F,CONSOLIDADO!$E:$E,$A44,CONSOLIDADO!$I:$I,K$3,CONSOLIDADO!$I:$I,K$4,CONSOLIDADO!$K:$K,"&lt;&gt;NOVO")</f>
        <v>0</v>
      </c>
      <c r="M44" s="77">
        <f>SUMIFS(CONSOLIDADO!$F:$F,CONSOLIDADO!$E:$E,$A44,CONSOLIDADO!$I:$I,L$3,CONSOLIDADO!$I:$I,L$4,CONSOLIDADO!$K:$K,"&lt;&gt;NOVO")</f>
        <v>0</v>
      </c>
      <c r="N44" s="79">
        <v>200</v>
      </c>
      <c r="O44" s="78">
        <v>0.8</v>
      </c>
      <c r="P44" s="79">
        <f t="shared" si="1"/>
        <v>39.999999999999993</v>
      </c>
      <c r="Q44" s="79">
        <f t="shared" si="1"/>
        <v>0</v>
      </c>
      <c r="R44" s="79">
        <f t="shared" si="1"/>
        <v>5399.9999999999991</v>
      </c>
      <c r="S44" s="79">
        <f t="shared" si="1"/>
        <v>0</v>
      </c>
      <c r="T44" s="79">
        <f t="shared" si="1"/>
        <v>0</v>
      </c>
      <c r="U44" s="79">
        <f t="shared" si="1"/>
        <v>0</v>
      </c>
      <c r="V44" s="79">
        <f t="shared" si="1"/>
        <v>0</v>
      </c>
      <c r="W44" s="79">
        <f t="shared" si="1"/>
        <v>0</v>
      </c>
      <c r="X44" s="79">
        <f t="shared" si="1"/>
        <v>0</v>
      </c>
      <c r="Y44" s="79">
        <f t="shared" si="1"/>
        <v>0</v>
      </c>
      <c r="Z44" s="79">
        <f t="shared" si="1"/>
        <v>0</v>
      </c>
      <c r="AA44" s="79">
        <f t="shared" si="1"/>
        <v>0</v>
      </c>
      <c r="AB44" s="37"/>
    </row>
    <row r="45" spans="1:28" x14ac:dyDescent="0.25">
      <c r="A45" s="76" t="s">
        <v>466</v>
      </c>
      <c r="B45" s="77">
        <f>SUMIFS(CONSOLIDADO!$F:$F,CONSOLIDADO!$E:$E,$A45,CONSOLIDADO!$I:$I,A$3,CONSOLIDADO!$I:$I,A$4,CONSOLIDADO!$K:$K,"&lt;&gt;NOVO")</f>
        <v>0</v>
      </c>
      <c r="C45" s="77">
        <f>SUMIFS(CONSOLIDADO!$F:$F,CONSOLIDADO!$E:$E,$A45,CONSOLIDADO!$I:$I,B$3,CONSOLIDADO!$I:$I,B$4,CONSOLIDADO!$K:$K,"&lt;&gt;NOVO")</f>
        <v>0</v>
      </c>
      <c r="D45" s="77">
        <f>SUMIFS(CONSOLIDADO!$F:$F,CONSOLIDADO!$E:$E,$A45,CONSOLIDADO!$I:$I,C$3,CONSOLIDADO!$I:$I,C$4,CONSOLIDADO!$K:$K,"&lt;&gt;NOVO")</f>
        <v>0</v>
      </c>
      <c r="E45" s="77">
        <f>SUMIFS(CONSOLIDADO!$F:$F,CONSOLIDADO!$E:$E,$A45,CONSOLIDADO!$I:$I,D$3,CONSOLIDADO!$I:$I,D$4,CONSOLIDADO!$K:$K,"&lt;&gt;NOVO")</f>
        <v>0</v>
      </c>
      <c r="F45" s="77">
        <f>SUMIFS(CONSOLIDADO!$F:$F,CONSOLIDADO!$E:$E,$A45,CONSOLIDADO!$I:$I,E$3,CONSOLIDADO!$I:$I,E$4,CONSOLIDADO!$K:$K,"&lt;&gt;NOVO")</f>
        <v>0</v>
      </c>
      <c r="G45" s="77">
        <f>SUMIFS(CONSOLIDADO!$F:$F,CONSOLIDADO!$E:$E,$A45,CONSOLIDADO!$I:$I,F$3,CONSOLIDADO!$I:$I,F$4,CONSOLIDADO!$K:$K,"&lt;&gt;NOVO")</f>
        <v>0</v>
      </c>
      <c r="H45" s="77">
        <f>SUMIFS(CONSOLIDADO!$F:$F,CONSOLIDADO!$E:$E,$A45,CONSOLIDADO!$I:$I,G$3,CONSOLIDADO!$I:$I,G$4,CONSOLIDADO!$K:$K,"&lt;&gt;NOVO")</f>
        <v>0</v>
      </c>
      <c r="I45" s="77">
        <f>SUMIFS(CONSOLIDADO!$F:$F,CONSOLIDADO!$E:$E,$A45,CONSOLIDADO!$I:$I,H$3,CONSOLIDADO!$I:$I,H$4,CONSOLIDADO!$K:$K,"&lt;&gt;NOVO")</f>
        <v>0</v>
      </c>
      <c r="J45" s="77">
        <f>SUMIFS(CONSOLIDADO!$F:$F,CONSOLIDADO!$E:$E,$A45,CONSOLIDADO!$I:$I,I$3,CONSOLIDADO!$I:$I,I$4,CONSOLIDADO!$K:$K,"&lt;&gt;NOVO")</f>
        <v>0</v>
      </c>
      <c r="K45" s="77">
        <f>SUMIFS(CONSOLIDADO!$F:$F,CONSOLIDADO!$E:$E,$A45,CONSOLIDADO!$I:$I,J$3,CONSOLIDADO!$I:$I,J$4,CONSOLIDADO!$K:$K,"&lt;&gt;NOVO")</f>
        <v>0</v>
      </c>
      <c r="L45" s="77">
        <f>SUMIFS(CONSOLIDADO!$F:$F,CONSOLIDADO!$E:$E,$A45,CONSOLIDADO!$I:$I,K$3,CONSOLIDADO!$I:$I,K$4,CONSOLIDADO!$K:$K,"&lt;&gt;NOVO")</f>
        <v>0</v>
      </c>
      <c r="M45" s="77">
        <f>SUMIFS(CONSOLIDADO!$F:$F,CONSOLIDADO!$E:$E,$A45,CONSOLIDADO!$I:$I,L$3,CONSOLIDADO!$I:$I,L$4,CONSOLIDADO!$K:$K,"&lt;&gt;NOVO")</f>
        <v>0</v>
      </c>
      <c r="N45" s="79">
        <v>653.20000000000005</v>
      </c>
      <c r="O45" s="78">
        <v>0.8</v>
      </c>
      <c r="P45" s="79">
        <f t="shared" ref="P45:AA66" si="2">B45*($N45*(1-$O45))</f>
        <v>0</v>
      </c>
      <c r="Q45" s="79">
        <f t="shared" si="2"/>
        <v>0</v>
      </c>
      <c r="R45" s="79">
        <f t="shared" si="2"/>
        <v>0</v>
      </c>
      <c r="S45" s="79">
        <f t="shared" si="2"/>
        <v>0</v>
      </c>
      <c r="T45" s="79">
        <f t="shared" si="2"/>
        <v>0</v>
      </c>
      <c r="U45" s="79">
        <f t="shared" si="2"/>
        <v>0</v>
      </c>
      <c r="V45" s="79">
        <f t="shared" si="2"/>
        <v>0</v>
      </c>
      <c r="W45" s="79">
        <f t="shared" si="2"/>
        <v>0</v>
      </c>
      <c r="X45" s="79">
        <f t="shared" si="2"/>
        <v>0</v>
      </c>
      <c r="Y45" s="79">
        <f t="shared" si="2"/>
        <v>0</v>
      </c>
      <c r="Z45" s="79">
        <f t="shared" si="2"/>
        <v>0</v>
      </c>
      <c r="AA45" s="79">
        <f t="shared" si="2"/>
        <v>0</v>
      </c>
      <c r="AB45" s="37"/>
    </row>
    <row r="46" spans="1:28" x14ac:dyDescent="0.25">
      <c r="A46" t="s">
        <v>113</v>
      </c>
      <c r="B46" s="77">
        <f>SUMIFS(CONSOLIDADO!$F:$F,CONSOLIDADO!$E:$E,$A46,CONSOLIDADO!$I:$I,A$3,CONSOLIDADO!$I:$I,A$4,CONSOLIDADO!$K:$K,"&lt;&gt;NOVO")</f>
        <v>1</v>
      </c>
      <c r="C46" s="77">
        <f>SUMIFS(CONSOLIDADO!$F:$F,CONSOLIDADO!$E:$E,$A46,CONSOLIDADO!$I:$I,B$3,CONSOLIDADO!$I:$I,B$4,CONSOLIDADO!$K:$K,"&lt;&gt;NOVO")</f>
        <v>0</v>
      </c>
      <c r="D46" s="77">
        <f>SUMIFS(CONSOLIDADO!$F:$F,CONSOLIDADO!$E:$E,$A46,CONSOLIDADO!$I:$I,C$3,CONSOLIDADO!$I:$I,C$4,CONSOLIDADO!$K:$K,"&lt;&gt;NOVO")</f>
        <v>0</v>
      </c>
      <c r="E46" s="77">
        <f>SUMIFS(CONSOLIDADO!$F:$F,CONSOLIDADO!$E:$E,$A46,CONSOLIDADO!$I:$I,D$3,CONSOLIDADO!$I:$I,D$4,CONSOLIDADO!$K:$K,"&lt;&gt;NOVO")</f>
        <v>0</v>
      </c>
      <c r="F46" s="77">
        <f>SUMIFS(CONSOLIDADO!$F:$F,CONSOLIDADO!$E:$E,$A46,CONSOLIDADO!$I:$I,E$3,CONSOLIDADO!$I:$I,E$4,CONSOLIDADO!$K:$K,"&lt;&gt;NOVO")</f>
        <v>0</v>
      </c>
      <c r="G46" s="77">
        <f>SUMIFS(CONSOLIDADO!$F:$F,CONSOLIDADO!$E:$E,$A46,CONSOLIDADO!$I:$I,F$3,CONSOLIDADO!$I:$I,F$4,CONSOLIDADO!$K:$K,"&lt;&gt;NOVO")</f>
        <v>0</v>
      </c>
      <c r="H46" s="77">
        <f>SUMIFS(CONSOLIDADO!$F:$F,CONSOLIDADO!$E:$E,$A46,CONSOLIDADO!$I:$I,G$3,CONSOLIDADO!$I:$I,G$4,CONSOLIDADO!$K:$K,"&lt;&gt;NOVO")</f>
        <v>0</v>
      </c>
      <c r="I46" s="77">
        <f>SUMIFS(CONSOLIDADO!$F:$F,CONSOLIDADO!$E:$E,$A46,CONSOLIDADO!$I:$I,H$3,CONSOLIDADO!$I:$I,H$4,CONSOLIDADO!$K:$K,"&lt;&gt;NOVO")</f>
        <v>0</v>
      </c>
      <c r="J46" s="77">
        <f>SUMIFS(CONSOLIDADO!$F:$F,CONSOLIDADO!$E:$E,$A46,CONSOLIDADO!$I:$I,I$3,CONSOLIDADO!$I:$I,I$4,CONSOLIDADO!$K:$K,"&lt;&gt;NOVO")</f>
        <v>0</v>
      </c>
      <c r="K46" s="77">
        <f>SUMIFS(CONSOLIDADO!$F:$F,CONSOLIDADO!$E:$E,$A46,CONSOLIDADO!$I:$I,J$3,CONSOLIDADO!$I:$I,J$4,CONSOLIDADO!$K:$K,"&lt;&gt;NOVO")</f>
        <v>0</v>
      </c>
      <c r="L46" s="77">
        <f>SUMIFS(CONSOLIDADO!$F:$F,CONSOLIDADO!$E:$E,$A46,CONSOLIDADO!$I:$I,K$3,CONSOLIDADO!$I:$I,K$4,CONSOLIDADO!$K:$K,"&lt;&gt;NOVO")</f>
        <v>0</v>
      </c>
      <c r="M46" s="77">
        <f>SUMIFS(CONSOLIDADO!$F:$F,CONSOLIDADO!$E:$E,$A46,CONSOLIDADO!$I:$I,L$3,CONSOLIDADO!$I:$I,L$4,CONSOLIDADO!$K:$K,"&lt;&gt;NOVO")</f>
        <v>0</v>
      </c>
      <c r="N46" s="79">
        <v>2600</v>
      </c>
      <c r="O46" s="78">
        <v>0.8</v>
      </c>
      <c r="P46" s="79">
        <f t="shared" si="2"/>
        <v>519.99999999999989</v>
      </c>
      <c r="Q46" s="79">
        <f t="shared" si="2"/>
        <v>0</v>
      </c>
      <c r="R46" s="79">
        <f t="shared" si="2"/>
        <v>0</v>
      </c>
      <c r="S46" s="79">
        <f t="shared" si="2"/>
        <v>0</v>
      </c>
      <c r="T46" s="79">
        <f t="shared" si="2"/>
        <v>0</v>
      </c>
      <c r="U46" s="79">
        <f t="shared" si="2"/>
        <v>0</v>
      </c>
      <c r="V46" s="79">
        <f t="shared" si="2"/>
        <v>0</v>
      </c>
      <c r="W46" s="79">
        <f t="shared" si="2"/>
        <v>0</v>
      </c>
      <c r="X46" s="79">
        <f t="shared" si="2"/>
        <v>0</v>
      </c>
      <c r="Y46" s="79">
        <f t="shared" si="2"/>
        <v>0</v>
      </c>
      <c r="Z46" s="79">
        <f t="shared" si="2"/>
        <v>0</v>
      </c>
      <c r="AA46" s="79">
        <f t="shared" si="2"/>
        <v>0</v>
      </c>
      <c r="AB46" s="37"/>
    </row>
    <row r="47" spans="1:28" x14ac:dyDescent="0.25">
      <c r="A47" t="s">
        <v>187</v>
      </c>
      <c r="B47" s="77">
        <f>SUMIFS(CONSOLIDADO!$F:$F,CONSOLIDADO!$E:$E,$A47,CONSOLIDADO!$I:$I,A$3,CONSOLIDADO!$I:$I,A$4,CONSOLIDADO!$K:$K,"&lt;&gt;NOVO")</f>
        <v>1</v>
      </c>
      <c r="C47" s="77">
        <f>SUMIFS(CONSOLIDADO!$F:$F,CONSOLIDADO!$E:$E,$A47,CONSOLIDADO!$I:$I,B$3,CONSOLIDADO!$I:$I,B$4,CONSOLIDADO!$K:$K,"&lt;&gt;NOVO")</f>
        <v>0</v>
      </c>
      <c r="D47" s="77">
        <f>SUMIFS(CONSOLIDADO!$F:$F,CONSOLIDADO!$E:$E,$A47,CONSOLIDADO!$I:$I,C$3,CONSOLIDADO!$I:$I,C$4,CONSOLIDADO!$K:$K,"&lt;&gt;NOVO")</f>
        <v>0</v>
      </c>
      <c r="E47" s="77">
        <f>SUMIFS(CONSOLIDADO!$F:$F,CONSOLIDADO!$E:$E,$A47,CONSOLIDADO!$I:$I,D$3,CONSOLIDADO!$I:$I,D$4,CONSOLIDADO!$K:$K,"&lt;&gt;NOVO")</f>
        <v>0</v>
      </c>
      <c r="F47" s="77">
        <f>SUMIFS(CONSOLIDADO!$F:$F,CONSOLIDADO!$E:$E,$A47,CONSOLIDADO!$I:$I,E$3,CONSOLIDADO!$I:$I,E$4,CONSOLIDADO!$K:$K,"&lt;&gt;NOVO")</f>
        <v>0</v>
      </c>
      <c r="G47" s="77">
        <f>SUMIFS(CONSOLIDADO!$F:$F,CONSOLIDADO!$E:$E,$A47,CONSOLIDADO!$I:$I,F$3,CONSOLIDADO!$I:$I,F$4,CONSOLIDADO!$K:$K,"&lt;&gt;NOVO")</f>
        <v>0</v>
      </c>
      <c r="H47" s="77">
        <f>SUMIFS(CONSOLIDADO!$F:$F,CONSOLIDADO!$E:$E,$A47,CONSOLIDADO!$I:$I,G$3,CONSOLIDADO!$I:$I,G$4,CONSOLIDADO!$K:$K,"&lt;&gt;NOVO")</f>
        <v>0</v>
      </c>
      <c r="I47" s="77">
        <f>SUMIFS(CONSOLIDADO!$F:$F,CONSOLIDADO!$E:$E,$A47,CONSOLIDADO!$I:$I,H$3,CONSOLIDADO!$I:$I,H$4,CONSOLIDADO!$K:$K,"&lt;&gt;NOVO")</f>
        <v>0</v>
      </c>
      <c r="J47" s="77">
        <f>SUMIFS(CONSOLIDADO!$F:$F,CONSOLIDADO!$E:$E,$A47,CONSOLIDADO!$I:$I,I$3,CONSOLIDADO!$I:$I,I$4,CONSOLIDADO!$K:$K,"&lt;&gt;NOVO")</f>
        <v>0</v>
      </c>
      <c r="K47" s="77">
        <f>SUMIFS(CONSOLIDADO!$F:$F,CONSOLIDADO!$E:$E,$A47,CONSOLIDADO!$I:$I,J$3,CONSOLIDADO!$I:$I,J$4,CONSOLIDADO!$K:$K,"&lt;&gt;NOVO")</f>
        <v>0</v>
      </c>
      <c r="L47" s="77">
        <f>SUMIFS(CONSOLIDADO!$F:$F,CONSOLIDADO!$E:$E,$A47,CONSOLIDADO!$I:$I,K$3,CONSOLIDADO!$I:$I,K$4,CONSOLIDADO!$K:$K,"&lt;&gt;NOVO")</f>
        <v>0</v>
      </c>
      <c r="M47" s="77">
        <f>SUMIFS(CONSOLIDADO!$F:$F,CONSOLIDADO!$E:$E,$A47,CONSOLIDADO!$I:$I,L$3,CONSOLIDADO!$I:$I,L$4,CONSOLIDADO!$K:$K,"&lt;&gt;NOVO")</f>
        <v>0</v>
      </c>
      <c r="N47" s="79">
        <v>2000</v>
      </c>
      <c r="O47" s="78">
        <v>0.8</v>
      </c>
      <c r="P47" s="79">
        <f t="shared" si="2"/>
        <v>399.99999999999989</v>
      </c>
      <c r="Q47" s="79">
        <f t="shared" si="2"/>
        <v>0</v>
      </c>
      <c r="R47" s="79">
        <f t="shared" si="2"/>
        <v>0</v>
      </c>
      <c r="S47" s="79">
        <f t="shared" si="2"/>
        <v>0</v>
      </c>
      <c r="T47" s="79">
        <f t="shared" si="2"/>
        <v>0</v>
      </c>
      <c r="U47" s="79">
        <f t="shared" si="2"/>
        <v>0</v>
      </c>
      <c r="V47" s="79">
        <f t="shared" si="2"/>
        <v>0</v>
      </c>
      <c r="W47" s="79">
        <f t="shared" si="2"/>
        <v>0</v>
      </c>
      <c r="X47" s="79">
        <f t="shared" si="2"/>
        <v>0</v>
      </c>
      <c r="Y47" s="79">
        <f t="shared" si="2"/>
        <v>0</v>
      </c>
      <c r="Z47" s="79">
        <f t="shared" si="2"/>
        <v>0</v>
      </c>
      <c r="AA47" s="79">
        <f t="shared" si="2"/>
        <v>0</v>
      </c>
      <c r="AB47" s="37"/>
    </row>
    <row r="48" spans="1:28" x14ac:dyDescent="0.25">
      <c r="A48" s="76" t="s">
        <v>581</v>
      </c>
      <c r="B48" s="77">
        <f>SUMIFS(CONSOLIDADO!$F:$F,CONSOLIDADO!$E:$E,$A48,CONSOLIDADO!$I:$I,A$3,CONSOLIDADO!$I:$I,A$4,CONSOLIDADO!$K:$K,"&lt;&gt;NOVO")</f>
        <v>0</v>
      </c>
      <c r="C48" s="77">
        <f>SUMIFS(CONSOLIDADO!$F:$F,CONSOLIDADO!$E:$E,$A48,CONSOLIDADO!$I:$I,B$3,CONSOLIDADO!$I:$I,B$4,CONSOLIDADO!$K:$K,"&lt;&gt;NOVO")</f>
        <v>0</v>
      </c>
      <c r="D48" s="77">
        <f>SUMIFS(CONSOLIDADO!$F:$F,CONSOLIDADO!$E:$E,$A48,CONSOLIDADO!$I:$I,C$3,CONSOLIDADO!$I:$I,C$4,CONSOLIDADO!$K:$K,"&lt;&gt;NOVO")</f>
        <v>0</v>
      </c>
      <c r="E48" s="77">
        <f>SUMIFS(CONSOLIDADO!$F:$F,CONSOLIDADO!$E:$E,$A48,CONSOLIDADO!$I:$I,D$3,CONSOLIDADO!$I:$I,D$4,CONSOLIDADO!$K:$K,"&lt;&gt;NOVO")</f>
        <v>0</v>
      </c>
      <c r="F48" s="77">
        <f>SUMIFS(CONSOLIDADO!$F:$F,CONSOLIDADO!$E:$E,$A48,CONSOLIDADO!$I:$I,E$3,CONSOLIDADO!$I:$I,E$4,CONSOLIDADO!$K:$K,"&lt;&gt;NOVO")</f>
        <v>0</v>
      </c>
      <c r="G48" s="77">
        <f>SUMIFS(CONSOLIDADO!$F:$F,CONSOLIDADO!$E:$E,$A48,CONSOLIDADO!$I:$I,F$3,CONSOLIDADO!$I:$I,F$4,CONSOLIDADO!$K:$K,"&lt;&gt;NOVO")</f>
        <v>0</v>
      </c>
      <c r="H48" s="77">
        <f>SUMIFS(CONSOLIDADO!$F:$F,CONSOLIDADO!$E:$E,$A48,CONSOLIDADO!$I:$I,G$3,CONSOLIDADO!$I:$I,G$4,CONSOLIDADO!$K:$K,"&lt;&gt;NOVO")</f>
        <v>0</v>
      </c>
      <c r="I48" s="77">
        <f>SUMIFS(CONSOLIDADO!$F:$F,CONSOLIDADO!$E:$E,$A48,CONSOLIDADO!$I:$I,H$3,CONSOLIDADO!$I:$I,H$4,CONSOLIDADO!$K:$K,"&lt;&gt;NOVO")</f>
        <v>0</v>
      </c>
      <c r="J48" s="77">
        <f>SUMIFS(CONSOLIDADO!$F:$F,CONSOLIDADO!$E:$E,$A48,CONSOLIDADO!$I:$I,I$3,CONSOLIDADO!$I:$I,I$4,CONSOLIDADO!$K:$K,"&lt;&gt;NOVO")</f>
        <v>0</v>
      </c>
      <c r="K48" s="77">
        <f>SUMIFS(CONSOLIDADO!$F:$F,CONSOLIDADO!$E:$E,$A48,CONSOLIDADO!$I:$I,J$3,CONSOLIDADO!$I:$I,J$4,CONSOLIDADO!$K:$K,"&lt;&gt;NOVO")</f>
        <v>0</v>
      </c>
      <c r="L48" s="77">
        <f>SUMIFS(CONSOLIDADO!$F:$F,CONSOLIDADO!$E:$E,$A48,CONSOLIDADO!$I:$I,K$3,CONSOLIDADO!$I:$I,K$4,CONSOLIDADO!$K:$K,"&lt;&gt;NOVO")</f>
        <v>0</v>
      </c>
      <c r="M48" s="77">
        <f>SUMIFS(CONSOLIDADO!$F:$F,CONSOLIDADO!$E:$E,$A48,CONSOLIDADO!$I:$I,L$3,CONSOLIDADO!$I:$I,L$4,CONSOLIDADO!$K:$K,"&lt;&gt;NOVO")</f>
        <v>0</v>
      </c>
      <c r="N48" s="79">
        <v>188.6</v>
      </c>
      <c r="O48" s="78">
        <v>0.8</v>
      </c>
      <c r="P48" s="79">
        <f t="shared" si="2"/>
        <v>0</v>
      </c>
      <c r="Q48" s="79">
        <f t="shared" si="2"/>
        <v>0</v>
      </c>
      <c r="R48" s="79">
        <f t="shared" si="2"/>
        <v>0</v>
      </c>
      <c r="S48" s="79">
        <f t="shared" si="2"/>
        <v>0</v>
      </c>
      <c r="T48" s="79">
        <f t="shared" si="2"/>
        <v>0</v>
      </c>
      <c r="U48" s="79">
        <f t="shared" si="2"/>
        <v>0</v>
      </c>
      <c r="V48" s="79">
        <f t="shared" si="2"/>
        <v>0</v>
      </c>
      <c r="W48" s="79">
        <f t="shared" si="2"/>
        <v>0</v>
      </c>
      <c r="X48" s="79">
        <f t="shared" si="2"/>
        <v>0</v>
      </c>
      <c r="Y48" s="79">
        <f t="shared" si="2"/>
        <v>0</v>
      </c>
      <c r="Z48" s="79">
        <f t="shared" si="2"/>
        <v>0</v>
      </c>
      <c r="AA48" s="79">
        <f t="shared" si="2"/>
        <v>0</v>
      </c>
      <c r="AB48" s="37"/>
    </row>
    <row r="49" spans="1:28" x14ac:dyDescent="0.25">
      <c r="A49" s="76" t="s">
        <v>54</v>
      </c>
      <c r="B49" s="77">
        <f>SUMIFS(CONSOLIDADO!$F:$F,CONSOLIDADO!$E:$E,$A49,CONSOLIDADO!$I:$I,A$3,CONSOLIDADO!$I:$I,A$4,CONSOLIDADO!$K:$K,"&lt;&gt;NOVO")</f>
        <v>14</v>
      </c>
      <c r="C49" s="77">
        <f>SUMIFS(CONSOLIDADO!$F:$F,CONSOLIDADO!$E:$E,$A49,CONSOLIDADO!$I:$I,B$3,CONSOLIDADO!$I:$I,B$4,CONSOLIDADO!$K:$K,"&lt;&gt;NOVO")</f>
        <v>0</v>
      </c>
      <c r="D49" s="77">
        <f>SUMIFS(CONSOLIDADO!$F:$F,CONSOLIDADO!$E:$E,$A49,CONSOLIDADO!$I:$I,C$3,CONSOLIDADO!$I:$I,C$4,CONSOLIDADO!$K:$K,"&lt;&gt;NOVO")</f>
        <v>7</v>
      </c>
      <c r="E49" s="77">
        <f>SUMIFS(CONSOLIDADO!$F:$F,CONSOLIDADO!$E:$E,$A49,CONSOLIDADO!$I:$I,D$3,CONSOLIDADO!$I:$I,D$4,CONSOLIDADO!$K:$K,"&lt;&gt;NOVO")</f>
        <v>0</v>
      </c>
      <c r="F49" s="77">
        <f>SUMIFS(CONSOLIDADO!$F:$F,CONSOLIDADO!$E:$E,$A49,CONSOLIDADO!$I:$I,E$3,CONSOLIDADO!$I:$I,E$4,CONSOLIDADO!$K:$K,"&lt;&gt;NOVO")</f>
        <v>0</v>
      </c>
      <c r="G49" s="77">
        <f>SUMIFS(CONSOLIDADO!$F:$F,CONSOLIDADO!$E:$E,$A49,CONSOLIDADO!$I:$I,F$3,CONSOLIDADO!$I:$I,F$4,CONSOLIDADO!$K:$K,"&lt;&gt;NOVO")</f>
        <v>0</v>
      </c>
      <c r="H49" s="77">
        <f>SUMIFS(CONSOLIDADO!$F:$F,CONSOLIDADO!$E:$E,$A49,CONSOLIDADO!$I:$I,G$3,CONSOLIDADO!$I:$I,G$4,CONSOLIDADO!$K:$K,"&lt;&gt;NOVO")</f>
        <v>0</v>
      </c>
      <c r="I49" s="77">
        <f>SUMIFS(CONSOLIDADO!$F:$F,CONSOLIDADO!$E:$E,$A49,CONSOLIDADO!$I:$I,H$3,CONSOLIDADO!$I:$I,H$4,CONSOLIDADO!$K:$K,"&lt;&gt;NOVO")</f>
        <v>0</v>
      </c>
      <c r="J49" s="77">
        <f>SUMIFS(CONSOLIDADO!$F:$F,CONSOLIDADO!$E:$E,$A49,CONSOLIDADO!$I:$I,I$3,CONSOLIDADO!$I:$I,I$4,CONSOLIDADO!$K:$K,"&lt;&gt;NOVO")</f>
        <v>0</v>
      </c>
      <c r="K49" s="77">
        <f>SUMIFS(CONSOLIDADO!$F:$F,CONSOLIDADO!$E:$E,$A49,CONSOLIDADO!$I:$I,J$3,CONSOLIDADO!$I:$I,J$4,CONSOLIDADO!$K:$K,"&lt;&gt;NOVO")</f>
        <v>0</v>
      </c>
      <c r="L49" s="77">
        <f>SUMIFS(CONSOLIDADO!$F:$F,CONSOLIDADO!$E:$E,$A49,CONSOLIDADO!$I:$I,K$3,CONSOLIDADO!$I:$I,K$4,CONSOLIDADO!$K:$K,"&lt;&gt;NOVO")</f>
        <v>0</v>
      </c>
      <c r="M49" s="77">
        <f>SUMIFS(CONSOLIDADO!$F:$F,CONSOLIDADO!$E:$E,$A49,CONSOLIDADO!$I:$I,L$3,CONSOLIDADO!$I:$I,L$4,CONSOLIDADO!$K:$K,"&lt;&gt;NOVO")</f>
        <v>0</v>
      </c>
      <c r="N49" s="79">
        <v>653.20000000000005</v>
      </c>
      <c r="O49" s="78">
        <v>0.8</v>
      </c>
      <c r="P49" s="79">
        <f t="shared" si="2"/>
        <v>1828.9599999999998</v>
      </c>
      <c r="Q49" s="79">
        <f t="shared" si="2"/>
        <v>0</v>
      </c>
      <c r="R49" s="79">
        <f t="shared" si="2"/>
        <v>914.4799999999999</v>
      </c>
      <c r="S49" s="79">
        <f t="shared" si="2"/>
        <v>0</v>
      </c>
      <c r="T49" s="79">
        <f t="shared" si="2"/>
        <v>0</v>
      </c>
      <c r="U49" s="79">
        <f t="shared" si="2"/>
        <v>0</v>
      </c>
      <c r="V49" s="79">
        <f t="shared" si="2"/>
        <v>0</v>
      </c>
      <c r="W49" s="79">
        <f t="shared" si="2"/>
        <v>0</v>
      </c>
      <c r="X49" s="79">
        <f t="shared" si="2"/>
        <v>0</v>
      </c>
      <c r="Y49" s="79">
        <f t="shared" si="2"/>
        <v>0</v>
      </c>
      <c r="Z49" s="79">
        <f t="shared" si="2"/>
        <v>0</v>
      </c>
      <c r="AA49" s="79">
        <f t="shared" si="2"/>
        <v>0</v>
      </c>
      <c r="AB49" s="37"/>
    </row>
    <row r="50" spans="1:28" x14ac:dyDescent="0.25">
      <c r="A50" s="76" t="s">
        <v>176</v>
      </c>
      <c r="B50" s="77">
        <f>SUMIFS(CONSOLIDADO!$F:$F,CONSOLIDADO!$E:$E,$A50,CONSOLIDADO!$I:$I,A$3,CONSOLIDADO!$I:$I,A$4,CONSOLIDADO!$K:$K,"&lt;&gt;NOVO")</f>
        <v>0</v>
      </c>
      <c r="C50" s="77">
        <f>SUMIFS(CONSOLIDADO!$F:$F,CONSOLIDADO!$E:$E,$A50,CONSOLIDADO!$I:$I,B$3,CONSOLIDADO!$I:$I,B$4,CONSOLIDADO!$K:$K,"&lt;&gt;NOVO")</f>
        <v>2</v>
      </c>
      <c r="D50" s="77">
        <f>SUMIFS(CONSOLIDADO!$F:$F,CONSOLIDADO!$E:$E,$A50,CONSOLIDADO!$I:$I,C$3,CONSOLIDADO!$I:$I,C$4,CONSOLIDADO!$K:$K,"&lt;&gt;NOVO")</f>
        <v>13</v>
      </c>
      <c r="E50" s="77">
        <f>SUMIFS(CONSOLIDADO!$F:$F,CONSOLIDADO!$E:$E,$A50,CONSOLIDADO!$I:$I,D$3,CONSOLIDADO!$I:$I,D$4,CONSOLIDADO!$K:$K,"&lt;&gt;NOVO")</f>
        <v>0</v>
      </c>
      <c r="F50" s="77">
        <f>SUMIFS(CONSOLIDADO!$F:$F,CONSOLIDADO!$E:$E,$A50,CONSOLIDADO!$I:$I,E$3,CONSOLIDADO!$I:$I,E$4,CONSOLIDADO!$K:$K,"&lt;&gt;NOVO")</f>
        <v>0</v>
      </c>
      <c r="G50" s="77">
        <f>SUMIFS(CONSOLIDADO!$F:$F,CONSOLIDADO!$E:$E,$A50,CONSOLIDADO!$I:$I,F$3,CONSOLIDADO!$I:$I,F$4,CONSOLIDADO!$K:$K,"&lt;&gt;NOVO")</f>
        <v>0</v>
      </c>
      <c r="H50" s="77">
        <f>SUMIFS(CONSOLIDADO!$F:$F,CONSOLIDADO!$E:$E,$A50,CONSOLIDADO!$I:$I,G$3,CONSOLIDADO!$I:$I,G$4,CONSOLIDADO!$K:$K,"&lt;&gt;NOVO")</f>
        <v>0</v>
      </c>
      <c r="I50" s="77">
        <f>SUMIFS(CONSOLIDADO!$F:$F,CONSOLIDADO!$E:$E,$A50,CONSOLIDADO!$I:$I,H$3,CONSOLIDADO!$I:$I,H$4,CONSOLIDADO!$K:$K,"&lt;&gt;NOVO")</f>
        <v>0</v>
      </c>
      <c r="J50" s="77">
        <f>SUMIFS(CONSOLIDADO!$F:$F,CONSOLIDADO!$E:$E,$A50,CONSOLIDADO!$I:$I,I$3,CONSOLIDADO!$I:$I,I$4,CONSOLIDADO!$K:$K,"&lt;&gt;NOVO")</f>
        <v>0</v>
      </c>
      <c r="K50" s="77">
        <f>SUMIFS(CONSOLIDADO!$F:$F,CONSOLIDADO!$E:$E,$A50,CONSOLIDADO!$I:$I,J$3,CONSOLIDADO!$I:$I,J$4,CONSOLIDADO!$K:$K,"&lt;&gt;NOVO")</f>
        <v>0</v>
      </c>
      <c r="L50" s="77">
        <f>SUMIFS(CONSOLIDADO!$F:$F,CONSOLIDADO!$E:$E,$A50,CONSOLIDADO!$I:$I,K$3,CONSOLIDADO!$I:$I,K$4,CONSOLIDADO!$K:$K,"&lt;&gt;NOVO")</f>
        <v>0</v>
      </c>
      <c r="M50" s="77">
        <f>SUMIFS(CONSOLIDADO!$F:$F,CONSOLIDADO!$E:$E,$A50,CONSOLIDADO!$I:$I,L$3,CONSOLIDADO!$I:$I,L$4,CONSOLIDADO!$K:$K,"&lt;&gt;NOVO")</f>
        <v>0</v>
      </c>
      <c r="N50" s="79">
        <v>250</v>
      </c>
      <c r="O50" s="78">
        <v>0.8</v>
      </c>
      <c r="P50" s="79">
        <f t="shared" si="2"/>
        <v>0</v>
      </c>
      <c r="Q50" s="79">
        <f t="shared" si="2"/>
        <v>99.999999999999972</v>
      </c>
      <c r="R50" s="79">
        <f t="shared" si="2"/>
        <v>649.99999999999977</v>
      </c>
      <c r="S50" s="79">
        <f t="shared" si="2"/>
        <v>0</v>
      </c>
      <c r="T50" s="79">
        <f t="shared" si="2"/>
        <v>0</v>
      </c>
      <c r="U50" s="79">
        <f t="shared" si="2"/>
        <v>0</v>
      </c>
      <c r="V50" s="79">
        <f t="shared" si="2"/>
        <v>0</v>
      </c>
      <c r="W50" s="79">
        <f t="shared" si="2"/>
        <v>0</v>
      </c>
      <c r="X50" s="79">
        <f t="shared" si="2"/>
        <v>0</v>
      </c>
      <c r="Y50" s="79">
        <f t="shared" si="2"/>
        <v>0</v>
      </c>
      <c r="Z50" s="79">
        <f t="shared" si="2"/>
        <v>0</v>
      </c>
      <c r="AA50" s="79">
        <f t="shared" si="2"/>
        <v>0</v>
      </c>
      <c r="AB50" s="37"/>
    </row>
    <row r="51" spans="1:28" x14ac:dyDescent="0.25">
      <c r="A51" s="76" t="s">
        <v>235</v>
      </c>
      <c r="B51" s="77">
        <f>SUMIFS(CONSOLIDADO!$F:$F,CONSOLIDADO!$E:$E,$A51,CONSOLIDADO!$I:$I,A$3,CONSOLIDADO!$I:$I,A$4,CONSOLIDADO!$K:$K,"&lt;&gt;NOVO")</f>
        <v>0</v>
      </c>
      <c r="C51" s="77">
        <f>SUMIFS(CONSOLIDADO!$F:$F,CONSOLIDADO!$E:$E,$A51,CONSOLIDADO!$I:$I,B$3,CONSOLIDADO!$I:$I,B$4,CONSOLIDADO!$K:$K,"&lt;&gt;NOVO")</f>
        <v>12</v>
      </c>
      <c r="D51" s="77">
        <f>SUMIFS(CONSOLIDADO!$F:$F,CONSOLIDADO!$E:$E,$A51,CONSOLIDADO!$I:$I,C$3,CONSOLIDADO!$I:$I,C$4,CONSOLIDADO!$K:$K,"&lt;&gt;NOVO")</f>
        <v>4</v>
      </c>
      <c r="E51" s="77">
        <f>SUMIFS(CONSOLIDADO!$F:$F,CONSOLIDADO!$E:$E,$A51,CONSOLIDADO!$I:$I,D$3,CONSOLIDADO!$I:$I,D$4,CONSOLIDADO!$K:$K,"&lt;&gt;NOVO")</f>
        <v>0</v>
      </c>
      <c r="F51" s="77">
        <f>SUMIFS(CONSOLIDADO!$F:$F,CONSOLIDADO!$E:$E,$A51,CONSOLIDADO!$I:$I,E$3,CONSOLIDADO!$I:$I,E$4,CONSOLIDADO!$K:$K,"&lt;&gt;NOVO")</f>
        <v>0</v>
      </c>
      <c r="G51" s="77">
        <f>SUMIFS(CONSOLIDADO!$F:$F,CONSOLIDADO!$E:$E,$A51,CONSOLIDADO!$I:$I,F$3,CONSOLIDADO!$I:$I,F$4,CONSOLIDADO!$K:$K,"&lt;&gt;NOVO")</f>
        <v>0</v>
      </c>
      <c r="H51" s="77">
        <f>SUMIFS(CONSOLIDADO!$F:$F,CONSOLIDADO!$E:$E,$A51,CONSOLIDADO!$I:$I,G$3,CONSOLIDADO!$I:$I,G$4,CONSOLIDADO!$K:$K,"&lt;&gt;NOVO")</f>
        <v>0</v>
      </c>
      <c r="I51" s="77">
        <f>SUMIFS(CONSOLIDADO!$F:$F,CONSOLIDADO!$E:$E,$A51,CONSOLIDADO!$I:$I,H$3,CONSOLIDADO!$I:$I,H$4,CONSOLIDADO!$K:$K,"&lt;&gt;NOVO")</f>
        <v>0</v>
      </c>
      <c r="J51" s="77">
        <f>SUMIFS(CONSOLIDADO!$F:$F,CONSOLIDADO!$E:$E,$A51,CONSOLIDADO!$I:$I,I$3,CONSOLIDADO!$I:$I,I$4,CONSOLIDADO!$K:$K,"&lt;&gt;NOVO")</f>
        <v>0</v>
      </c>
      <c r="K51" s="77">
        <f>SUMIFS(CONSOLIDADO!$F:$F,CONSOLIDADO!$E:$E,$A51,CONSOLIDADO!$I:$I,J$3,CONSOLIDADO!$I:$I,J$4,CONSOLIDADO!$K:$K,"&lt;&gt;NOVO")</f>
        <v>0</v>
      </c>
      <c r="L51" s="77">
        <f>SUMIFS(CONSOLIDADO!$F:$F,CONSOLIDADO!$E:$E,$A51,CONSOLIDADO!$I:$I,K$3,CONSOLIDADO!$I:$I,K$4,CONSOLIDADO!$K:$K,"&lt;&gt;NOVO")</f>
        <v>0</v>
      </c>
      <c r="M51" s="77">
        <f>SUMIFS(CONSOLIDADO!$F:$F,CONSOLIDADO!$E:$E,$A51,CONSOLIDADO!$I:$I,L$3,CONSOLIDADO!$I:$I,L$4,CONSOLIDADO!$K:$K,"&lt;&gt;NOVO")</f>
        <v>0</v>
      </c>
      <c r="N51" s="79">
        <v>4655.38</v>
      </c>
      <c r="O51" s="78">
        <v>0.8</v>
      </c>
      <c r="P51" s="79">
        <f t="shared" si="2"/>
        <v>0</v>
      </c>
      <c r="Q51" s="79">
        <f t="shared" si="2"/>
        <v>11172.911999999997</v>
      </c>
      <c r="R51" s="79">
        <f t="shared" si="2"/>
        <v>3724.3039999999992</v>
      </c>
      <c r="S51" s="79">
        <f t="shared" si="2"/>
        <v>0</v>
      </c>
      <c r="T51" s="79">
        <f t="shared" si="2"/>
        <v>0</v>
      </c>
      <c r="U51" s="79">
        <f t="shared" si="2"/>
        <v>0</v>
      </c>
      <c r="V51" s="79">
        <f t="shared" si="2"/>
        <v>0</v>
      </c>
      <c r="W51" s="79">
        <f t="shared" si="2"/>
        <v>0</v>
      </c>
      <c r="X51" s="79">
        <f t="shared" si="2"/>
        <v>0</v>
      </c>
      <c r="Y51" s="79">
        <f t="shared" si="2"/>
        <v>0</v>
      </c>
      <c r="Z51" s="79">
        <f t="shared" si="2"/>
        <v>0</v>
      </c>
      <c r="AA51" s="79">
        <f t="shared" si="2"/>
        <v>0</v>
      </c>
      <c r="AB51" s="37"/>
    </row>
    <row r="52" spans="1:28" x14ac:dyDescent="0.25">
      <c r="A52" s="76" t="s">
        <v>128</v>
      </c>
      <c r="B52" s="77">
        <f>SUMIFS(CONSOLIDADO!$F:$F,CONSOLIDADO!$E:$E,$A52,CONSOLIDADO!$I:$I,A$3,CONSOLIDADO!$I:$I,A$4,CONSOLIDADO!$K:$K,"&lt;&gt;NOVO")</f>
        <v>1</v>
      </c>
      <c r="C52" s="77">
        <f>SUMIFS(CONSOLIDADO!$F:$F,CONSOLIDADO!$E:$E,$A52,CONSOLIDADO!$I:$I,B$3,CONSOLIDADO!$I:$I,B$4,CONSOLIDADO!$K:$K,"&lt;&gt;NOVO")</f>
        <v>0</v>
      </c>
      <c r="D52" s="77">
        <f>SUMIFS(CONSOLIDADO!$F:$F,CONSOLIDADO!$E:$E,$A52,CONSOLIDADO!$I:$I,C$3,CONSOLIDADO!$I:$I,C$4,CONSOLIDADO!$K:$K,"&lt;&gt;NOVO")</f>
        <v>0</v>
      </c>
      <c r="E52" s="77">
        <f>SUMIFS(CONSOLIDADO!$F:$F,CONSOLIDADO!$E:$E,$A52,CONSOLIDADO!$I:$I,D$3,CONSOLIDADO!$I:$I,D$4,CONSOLIDADO!$K:$K,"&lt;&gt;NOVO")</f>
        <v>0</v>
      </c>
      <c r="F52" s="77">
        <f>SUMIFS(CONSOLIDADO!$F:$F,CONSOLIDADO!$E:$E,$A52,CONSOLIDADO!$I:$I,E$3,CONSOLIDADO!$I:$I,E$4,CONSOLIDADO!$K:$K,"&lt;&gt;NOVO")</f>
        <v>0</v>
      </c>
      <c r="G52" s="77">
        <f>SUMIFS(CONSOLIDADO!$F:$F,CONSOLIDADO!$E:$E,$A52,CONSOLIDADO!$I:$I,F$3,CONSOLIDADO!$I:$I,F$4,CONSOLIDADO!$K:$K,"&lt;&gt;NOVO")</f>
        <v>0</v>
      </c>
      <c r="H52" s="77">
        <f>SUMIFS(CONSOLIDADO!$F:$F,CONSOLIDADO!$E:$E,$A52,CONSOLIDADO!$I:$I,G$3,CONSOLIDADO!$I:$I,G$4,CONSOLIDADO!$K:$K,"&lt;&gt;NOVO")</f>
        <v>0</v>
      </c>
      <c r="I52" s="77">
        <f>SUMIFS(CONSOLIDADO!$F:$F,CONSOLIDADO!$E:$E,$A52,CONSOLIDADO!$I:$I,H$3,CONSOLIDADO!$I:$I,H$4,CONSOLIDADO!$K:$K,"&lt;&gt;NOVO")</f>
        <v>0</v>
      </c>
      <c r="J52" s="77">
        <f>SUMIFS(CONSOLIDADO!$F:$F,CONSOLIDADO!$E:$E,$A52,CONSOLIDADO!$I:$I,I$3,CONSOLIDADO!$I:$I,I$4,CONSOLIDADO!$K:$K,"&lt;&gt;NOVO")</f>
        <v>0</v>
      </c>
      <c r="K52" s="77">
        <f>SUMIFS(CONSOLIDADO!$F:$F,CONSOLIDADO!$E:$E,$A52,CONSOLIDADO!$I:$I,J$3,CONSOLIDADO!$I:$I,J$4,CONSOLIDADO!$K:$K,"&lt;&gt;NOVO")</f>
        <v>0</v>
      </c>
      <c r="L52" s="77">
        <f>SUMIFS(CONSOLIDADO!$F:$F,CONSOLIDADO!$E:$E,$A52,CONSOLIDADO!$I:$I,K$3,CONSOLIDADO!$I:$I,K$4,CONSOLIDADO!$K:$K,"&lt;&gt;NOVO")</f>
        <v>0</v>
      </c>
      <c r="M52" s="77">
        <f>SUMIFS(CONSOLIDADO!$F:$F,CONSOLIDADO!$E:$E,$A52,CONSOLIDADO!$I:$I,L$3,CONSOLIDADO!$I:$I,L$4,CONSOLIDADO!$K:$K,"&lt;&gt;NOVO")</f>
        <v>0</v>
      </c>
      <c r="N52" s="79">
        <v>1075.51</v>
      </c>
      <c r="O52" s="78">
        <v>0.8</v>
      </c>
      <c r="P52" s="79">
        <f t="shared" si="2"/>
        <v>215.10199999999995</v>
      </c>
      <c r="Q52" s="79">
        <f t="shared" si="2"/>
        <v>0</v>
      </c>
      <c r="R52" s="79">
        <f t="shared" si="2"/>
        <v>0</v>
      </c>
      <c r="S52" s="79">
        <f t="shared" si="2"/>
        <v>0</v>
      </c>
      <c r="T52" s="79">
        <f t="shared" si="2"/>
        <v>0</v>
      </c>
      <c r="U52" s="79">
        <f t="shared" si="2"/>
        <v>0</v>
      </c>
      <c r="V52" s="79">
        <f t="shared" si="2"/>
        <v>0</v>
      </c>
      <c r="W52" s="79">
        <f t="shared" si="2"/>
        <v>0</v>
      </c>
      <c r="X52" s="79">
        <f t="shared" si="2"/>
        <v>0</v>
      </c>
      <c r="Y52" s="79">
        <f t="shared" si="2"/>
        <v>0</v>
      </c>
      <c r="Z52" s="79">
        <f t="shared" si="2"/>
        <v>0</v>
      </c>
      <c r="AA52" s="79">
        <f t="shared" si="2"/>
        <v>0</v>
      </c>
      <c r="AB52" s="37"/>
    </row>
    <row r="53" spans="1:28" x14ac:dyDescent="0.25">
      <c r="A53" s="76" t="s">
        <v>468</v>
      </c>
      <c r="B53" s="77">
        <f>SUMIFS(CONSOLIDADO!$F:$F,CONSOLIDADO!$E:$E,$A53,CONSOLIDADO!$I:$I,A$3,CONSOLIDADO!$I:$I,A$4,CONSOLIDADO!$K:$K,"&lt;&gt;NOVO")</f>
        <v>0</v>
      </c>
      <c r="C53" s="77">
        <f>SUMIFS(CONSOLIDADO!$F:$F,CONSOLIDADO!$E:$E,$A53,CONSOLIDADO!$I:$I,B$3,CONSOLIDADO!$I:$I,B$4,CONSOLIDADO!$K:$K,"&lt;&gt;NOVO")</f>
        <v>0</v>
      </c>
      <c r="D53" s="77">
        <f>SUMIFS(CONSOLIDADO!$F:$F,CONSOLIDADO!$E:$E,$A53,CONSOLIDADO!$I:$I,C$3,CONSOLIDADO!$I:$I,C$4,CONSOLIDADO!$K:$K,"&lt;&gt;NOVO")</f>
        <v>0</v>
      </c>
      <c r="E53" s="77">
        <f>SUMIFS(CONSOLIDADO!$F:$F,CONSOLIDADO!$E:$E,$A53,CONSOLIDADO!$I:$I,D$3,CONSOLIDADO!$I:$I,D$4,CONSOLIDADO!$K:$K,"&lt;&gt;NOVO")</f>
        <v>0</v>
      </c>
      <c r="F53" s="77">
        <f>SUMIFS(CONSOLIDADO!$F:$F,CONSOLIDADO!$E:$E,$A53,CONSOLIDADO!$I:$I,E$3,CONSOLIDADO!$I:$I,E$4,CONSOLIDADO!$K:$K,"&lt;&gt;NOVO")</f>
        <v>0</v>
      </c>
      <c r="G53" s="77">
        <f>SUMIFS(CONSOLIDADO!$F:$F,CONSOLIDADO!$E:$E,$A53,CONSOLIDADO!$I:$I,F$3,CONSOLIDADO!$I:$I,F$4,CONSOLIDADO!$K:$K,"&lt;&gt;NOVO")</f>
        <v>0</v>
      </c>
      <c r="H53" s="77">
        <f>SUMIFS(CONSOLIDADO!$F:$F,CONSOLIDADO!$E:$E,$A53,CONSOLIDADO!$I:$I,G$3,CONSOLIDADO!$I:$I,G$4,CONSOLIDADO!$K:$K,"&lt;&gt;NOVO")</f>
        <v>0</v>
      </c>
      <c r="I53" s="77">
        <f>SUMIFS(CONSOLIDADO!$F:$F,CONSOLIDADO!$E:$E,$A53,CONSOLIDADO!$I:$I,H$3,CONSOLIDADO!$I:$I,H$4,CONSOLIDADO!$K:$K,"&lt;&gt;NOVO")</f>
        <v>0</v>
      </c>
      <c r="J53" s="77">
        <f>SUMIFS(CONSOLIDADO!$F:$F,CONSOLIDADO!$E:$E,$A53,CONSOLIDADO!$I:$I,I$3,CONSOLIDADO!$I:$I,I$4,CONSOLIDADO!$K:$K,"&lt;&gt;NOVO")</f>
        <v>0</v>
      </c>
      <c r="K53" s="77">
        <f>SUMIFS(CONSOLIDADO!$F:$F,CONSOLIDADO!$E:$E,$A53,CONSOLIDADO!$I:$I,J$3,CONSOLIDADO!$I:$I,J$4,CONSOLIDADO!$K:$K,"&lt;&gt;NOVO")</f>
        <v>0</v>
      </c>
      <c r="L53" s="77">
        <f>SUMIFS(CONSOLIDADO!$F:$F,CONSOLIDADO!$E:$E,$A53,CONSOLIDADO!$I:$I,K$3,CONSOLIDADO!$I:$I,K$4,CONSOLIDADO!$K:$K,"&lt;&gt;NOVO")</f>
        <v>0</v>
      </c>
      <c r="M53" s="77">
        <f>SUMIFS(CONSOLIDADO!$F:$F,CONSOLIDADO!$E:$E,$A53,CONSOLIDADO!$I:$I,L$3,CONSOLIDADO!$I:$I,L$4,CONSOLIDADO!$K:$K,"&lt;&gt;NOVO")</f>
        <v>0</v>
      </c>
      <c r="N53" s="79">
        <v>606.47</v>
      </c>
      <c r="O53" s="78">
        <v>0.8</v>
      </c>
      <c r="P53" s="79">
        <f t="shared" si="2"/>
        <v>0</v>
      </c>
      <c r="Q53" s="79">
        <f t="shared" si="2"/>
        <v>0</v>
      </c>
      <c r="R53" s="79">
        <f t="shared" si="2"/>
        <v>0</v>
      </c>
      <c r="S53" s="79">
        <f t="shared" si="2"/>
        <v>0</v>
      </c>
      <c r="T53" s="79">
        <f t="shared" si="2"/>
        <v>0</v>
      </c>
      <c r="U53" s="79">
        <f t="shared" si="2"/>
        <v>0</v>
      </c>
      <c r="V53" s="79">
        <f t="shared" si="2"/>
        <v>0</v>
      </c>
      <c r="W53" s="79">
        <f t="shared" si="2"/>
        <v>0</v>
      </c>
      <c r="X53" s="79">
        <f t="shared" si="2"/>
        <v>0</v>
      </c>
      <c r="Y53" s="79">
        <f t="shared" si="2"/>
        <v>0</v>
      </c>
      <c r="Z53" s="79">
        <f t="shared" si="2"/>
        <v>0</v>
      </c>
      <c r="AA53" s="79">
        <f t="shared" si="2"/>
        <v>0</v>
      </c>
      <c r="AB53" s="37"/>
    </row>
    <row r="54" spans="1:28" x14ac:dyDescent="0.25">
      <c r="A54" s="76" t="s">
        <v>469</v>
      </c>
      <c r="B54" s="77">
        <f>SUMIFS(CONSOLIDADO!$F:$F,CONSOLIDADO!$E:$E,$A54,CONSOLIDADO!$I:$I,A$3,CONSOLIDADO!$I:$I,A$4,CONSOLIDADO!$K:$K,"&lt;&gt;NOVO")</f>
        <v>0</v>
      </c>
      <c r="C54" s="77">
        <f>SUMIFS(CONSOLIDADO!$F:$F,CONSOLIDADO!$E:$E,$A54,CONSOLIDADO!$I:$I,B$3,CONSOLIDADO!$I:$I,B$4,CONSOLIDADO!$K:$K,"&lt;&gt;NOVO")</f>
        <v>0</v>
      </c>
      <c r="D54" s="77">
        <f>SUMIFS(CONSOLIDADO!$F:$F,CONSOLIDADO!$E:$E,$A54,CONSOLIDADO!$I:$I,C$3,CONSOLIDADO!$I:$I,C$4,CONSOLIDADO!$K:$K,"&lt;&gt;NOVO")</f>
        <v>0</v>
      </c>
      <c r="E54" s="77">
        <f>SUMIFS(CONSOLIDADO!$F:$F,CONSOLIDADO!$E:$E,$A54,CONSOLIDADO!$I:$I,D$3,CONSOLIDADO!$I:$I,D$4,CONSOLIDADO!$K:$K,"&lt;&gt;NOVO")</f>
        <v>0</v>
      </c>
      <c r="F54" s="77">
        <f>SUMIFS(CONSOLIDADO!$F:$F,CONSOLIDADO!$E:$E,$A54,CONSOLIDADO!$I:$I,E$3,CONSOLIDADO!$I:$I,E$4,CONSOLIDADO!$K:$K,"&lt;&gt;NOVO")</f>
        <v>0</v>
      </c>
      <c r="G54" s="77">
        <f>SUMIFS(CONSOLIDADO!$F:$F,CONSOLIDADO!$E:$E,$A54,CONSOLIDADO!$I:$I,F$3,CONSOLIDADO!$I:$I,F$4,CONSOLIDADO!$K:$K,"&lt;&gt;NOVO")</f>
        <v>0</v>
      </c>
      <c r="H54" s="77">
        <f>SUMIFS(CONSOLIDADO!$F:$F,CONSOLIDADO!$E:$E,$A54,CONSOLIDADO!$I:$I,G$3,CONSOLIDADO!$I:$I,G$4,CONSOLIDADO!$K:$K,"&lt;&gt;NOVO")</f>
        <v>0</v>
      </c>
      <c r="I54" s="77">
        <f>SUMIFS(CONSOLIDADO!$F:$F,CONSOLIDADO!$E:$E,$A54,CONSOLIDADO!$I:$I,H$3,CONSOLIDADO!$I:$I,H$4,CONSOLIDADO!$K:$K,"&lt;&gt;NOVO")</f>
        <v>0</v>
      </c>
      <c r="J54" s="77">
        <f>SUMIFS(CONSOLIDADO!$F:$F,CONSOLIDADO!$E:$E,$A54,CONSOLIDADO!$I:$I,I$3,CONSOLIDADO!$I:$I,I$4,CONSOLIDADO!$K:$K,"&lt;&gt;NOVO")</f>
        <v>0</v>
      </c>
      <c r="K54" s="77">
        <f>SUMIFS(CONSOLIDADO!$F:$F,CONSOLIDADO!$E:$E,$A54,CONSOLIDADO!$I:$I,J$3,CONSOLIDADO!$I:$I,J$4,CONSOLIDADO!$K:$K,"&lt;&gt;NOVO")</f>
        <v>0</v>
      </c>
      <c r="L54" s="77">
        <f>SUMIFS(CONSOLIDADO!$F:$F,CONSOLIDADO!$E:$E,$A54,CONSOLIDADO!$I:$I,K$3,CONSOLIDADO!$I:$I,K$4,CONSOLIDADO!$K:$K,"&lt;&gt;NOVO")</f>
        <v>0</v>
      </c>
      <c r="M54" s="77">
        <f>SUMIFS(CONSOLIDADO!$F:$F,CONSOLIDADO!$E:$E,$A54,CONSOLIDADO!$I:$I,L$3,CONSOLIDADO!$I:$I,L$4,CONSOLIDADO!$K:$K,"&lt;&gt;NOVO")</f>
        <v>0</v>
      </c>
      <c r="N54" s="79">
        <v>283.75</v>
      </c>
      <c r="O54" s="78">
        <v>0.8</v>
      </c>
      <c r="P54" s="79">
        <f t="shared" si="2"/>
        <v>0</v>
      </c>
      <c r="Q54" s="79">
        <f t="shared" si="2"/>
        <v>0</v>
      </c>
      <c r="R54" s="79">
        <f t="shared" si="2"/>
        <v>0</v>
      </c>
      <c r="S54" s="79">
        <f t="shared" si="2"/>
        <v>0</v>
      </c>
      <c r="T54" s="79">
        <f t="shared" si="2"/>
        <v>0</v>
      </c>
      <c r="U54" s="79">
        <f t="shared" si="2"/>
        <v>0</v>
      </c>
      <c r="V54" s="79">
        <f t="shared" si="2"/>
        <v>0</v>
      </c>
      <c r="W54" s="79">
        <f t="shared" si="2"/>
        <v>0</v>
      </c>
      <c r="X54" s="79">
        <f t="shared" si="2"/>
        <v>0</v>
      </c>
      <c r="Y54" s="79">
        <f t="shared" si="2"/>
        <v>0</v>
      </c>
      <c r="Z54" s="79">
        <f t="shared" si="2"/>
        <v>0</v>
      </c>
      <c r="AA54" s="79">
        <f t="shared" si="2"/>
        <v>0</v>
      </c>
      <c r="AB54" s="37"/>
    </row>
    <row r="55" spans="1:28" x14ac:dyDescent="0.25">
      <c r="A55" s="76" t="s">
        <v>470</v>
      </c>
      <c r="B55" s="77">
        <f>SUMIFS(CONSOLIDADO!$F:$F,CONSOLIDADO!$E:$E,$A55,CONSOLIDADO!$I:$I,A$3,CONSOLIDADO!$I:$I,A$4,CONSOLIDADO!$K:$K,"&lt;&gt;NOVO")</f>
        <v>0</v>
      </c>
      <c r="C55" s="77">
        <f>SUMIFS(CONSOLIDADO!$F:$F,CONSOLIDADO!$E:$E,$A55,CONSOLIDADO!$I:$I,B$3,CONSOLIDADO!$I:$I,B$4,CONSOLIDADO!$K:$K,"&lt;&gt;NOVO")</f>
        <v>0</v>
      </c>
      <c r="D55" s="77">
        <f>SUMIFS(CONSOLIDADO!$F:$F,CONSOLIDADO!$E:$E,$A55,CONSOLIDADO!$I:$I,C$3,CONSOLIDADO!$I:$I,C$4,CONSOLIDADO!$K:$K,"&lt;&gt;NOVO")</f>
        <v>0</v>
      </c>
      <c r="E55" s="77">
        <f>SUMIFS(CONSOLIDADO!$F:$F,CONSOLIDADO!$E:$E,$A55,CONSOLIDADO!$I:$I,D$3,CONSOLIDADO!$I:$I,D$4,CONSOLIDADO!$K:$K,"&lt;&gt;NOVO")</f>
        <v>0</v>
      </c>
      <c r="F55" s="77">
        <f>SUMIFS(CONSOLIDADO!$F:$F,CONSOLIDADO!$E:$E,$A55,CONSOLIDADO!$I:$I,E$3,CONSOLIDADO!$I:$I,E$4,CONSOLIDADO!$K:$K,"&lt;&gt;NOVO")</f>
        <v>0</v>
      </c>
      <c r="G55" s="77">
        <f>SUMIFS(CONSOLIDADO!$F:$F,CONSOLIDADO!$E:$E,$A55,CONSOLIDADO!$I:$I,F$3,CONSOLIDADO!$I:$I,F$4,CONSOLIDADO!$K:$K,"&lt;&gt;NOVO")</f>
        <v>0</v>
      </c>
      <c r="H55" s="77">
        <f>SUMIFS(CONSOLIDADO!$F:$F,CONSOLIDADO!$E:$E,$A55,CONSOLIDADO!$I:$I,G$3,CONSOLIDADO!$I:$I,G$4,CONSOLIDADO!$K:$K,"&lt;&gt;NOVO")</f>
        <v>0</v>
      </c>
      <c r="I55" s="77">
        <f>SUMIFS(CONSOLIDADO!$F:$F,CONSOLIDADO!$E:$E,$A55,CONSOLIDADO!$I:$I,H$3,CONSOLIDADO!$I:$I,H$4,CONSOLIDADO!$K:$K,"&lt;&gt;NOVO")</f>
        <v>0</v>
      </c>
      <c r="J55" s="77">
        <f>SUMIFS(CONSOLIDADO!$F:$F,CONSOLIDADO!$E:$E,$A55,CONSOLIDADO!$I:$I,I$3,CONSOLIDADO!$I:$I,I$4,CONSOLIDADO!$K:$K,"&lt;&gt;NOVO")</f>
        <v>0</v>
      </c>
      <c r="K55" s="77">
        <f>SUMIFS(CONSOLIDADO!$F:$F,CONSOLIDADO!$E:$E,$A55,CONSOLIDADO!$I:$I,J$3,CONSOLIDADO!$I:$I,J$4,CONSOLIDADO!$K:$K,"&lt;&gt;NOVO")</f>
        <v>0</v>
      </c>
      <c r="L55" s="77">
        <f>SUMIFS(CONSOLIDADO!$F:$F,CONSOLIDADO!$E:$E,$A55,CONSOLIDADO!$I:$I,K$3,CONSOLIDADO!$I:$I,K$4,CONSOLIDADO!$K:$K,"&lt;&gt;NOVO")</f>
        <v>0</v>
      </c>
      <c r="M55" s="77">
        <f>SUMIFS(CONSOLIDADO!$F:$F,CONSOLIDADO!$E:$E,$A55,CONSOLIDADO!$I:$I,L$3,CONSOLIDADO!$I:$I,L$4,CONSOLIDADO!$K:$K,"&lt;&gt;NOVO")</f>
        <v>0</v>
      </c>
      <c r="N55" s="79">
        <v>1116.1300000000001</v>
      </c>
      <c r="O55" s="78">
        <v>0.8</v>
      </c>
      <c r="P55" s="79">
        <f t="shared" si="2"/>
        <v>0</v>
      </c>
      <c r="Q55" s="79">
        <f t="shared" si="2"/>
        <v>0</v>
      </c>
      <c r="R55" s="79">
        <f t="shared" si="2"/>
        <v>0</v>
      </c>
      <c r="S55" s="79">
        <f t="shared" si="2"/>
        <v>0</v>
      </c>
      <c r="T55" s="79">
        <f t="shared" si="2"/>
        <v>0</v>
      </c>
      <c r="U55" s="79">
        <f t="shared" si="2"/>
        <v>0</v>
      </c>
      <c r="V55" s="79">
        <f t="shared" si="2"/>
        <v>0</v>
      </c>
      <c r="W55" s="79">
        <f t="shared" si="2"/>
        <v>0</v>
      </c>
      <c r="X55" s="79">
        <f t="shared" si="2"/>
        <v>0</v>
      </c>
      <c r="Y55" s="79">
        <f t="shared" si="2"/>
        <v>0</v>
      </c>
      <c r="Z55" s="79">
        <f t="shared" si="2"/>
        <v>0</v>
      </c>
      <c r="AA55" s="79">
        <f t="shared" si="2"/>
        <v>0</v>
      </c>
      <c r="AB55" s="37"/>
    </row>
    <row r="56" spans="1:28" x14ac:dyDescent="0.25">
      <c r="A56" s="76" t="s">
        <v>471</v>
      </c>
      <c r="B56" s="77">
        <f>SUMIFS(CONSOLIDADO!$F:$F,CONSOLIDADO!$E:$E,$A56,CONSOLIDADO!$I:$I,A$3,CONSOLIDADO!$I:$I,A$4,CONSOLIDADO!$K:$K,"&lt;&gt;NOVO")</f>
        <v>0</v>
      </c>
      <c r="C56" s="77">
        <f>SUMIFS(CONSOLIDADO!$F:$F,CONSOLIDADO!$E:$E,$A56,CONSOLIDADO!$I:$I,B$3,CONSOLIDADO!$I:$I,B$4,CONSOLIDADO!$K:$K,"&lt;&gt;NOVO")</f>
        <v>0</v>
      </c>
      <c r="D56" s="77">
        <f>SUMIFS(CONSOLIDADO!$F:$F,CONSOLIDADO!$E:$E,$A56,CONSOLIDADO!$I:$I,C$3,CONSOLIDADO!$I:$I,C$4,CONSOLIDADO!$K:$K,"&lt;&gt;NOVO")</f>
        <v>0</v>
      </c>
      <c r="E56" s="77">
        <f>SUMIFS(CONSOLIDADO!$F:$F,CONSOLIDADO!$E:$E,$A56,CONSOLIDADO!$I:$I,D$3,CONSOLIDADO!$I:$I,D$4,CONSOLIDADO!$K:$K,"&lt;&gt;NOVO")</f>
        <v>0</v>
      </c>
      <c r="F56" s="77">
        <f>SUMIFS(CONSOLIDADO!$F:$F,CONSOLIDADO!$E:$E,$A56,CONSOLIDADO!$I:$I,E$3,CONSOLIDADO!$I:$I,E$4,CONSOLIDADO!$K:$K,"&lt;&gt;NOVO")</f>
        <v>0</v>
      </c>
      <c r="G56" s="77">
        <f>SUMIFS(CONSOLIDADO!$F:$F,CONSOLIDADO!$E:$E,$A56,CONSOLIDADO!$I:$I,F$3,CONSOLIDADO!$I:$I,F$4,CONSOLIDADO!$K:$K,"&lt;&gt;NOVO")</f>
        <v>0</v>
      </c>
      <c r="H56" s="77">
        <f>SUMIFS(CONSOLIDADO!$F:$F,CONSOLIDADO!$E:$E,$A56,CONSOLIDADO!$I:$I,G$3,CONSOLIDADO!$I:$I,G$4,CONSOLIDADO!$K:$K,"&lt;&gt;NOVO")</f>
        <v>0</v>
      </c>
      <c r="I56" s="77">
        <f>SUMIFS(CONSOLIDADO!$F:$F,CONSOLIDADO!$E:$E,$A56,CONSOLIDADO!$I:$I,H$3,CONSOLIDADO!$I:$I,H$4,CONSOLIDADO!$K:$K,"&lt;&gt;NOVO")</f>
        <v>0</v>
      </c>
      <c r="J56" s="77">
        <f>SUMIFS(CONSOLIDADO!$F:$F,CONSOLIDADO!$E:$E,$A56,CONSOLIDADO!$I:$I,I$3,CONSOLIDADO!$I:$I,I$4,CONSOLIDADO!$K:$K,"&lt;&gt;NOVO")</f>
        <v>0</v>
      </c>
      <c r="K56" s="77">
        <f>SUMIFS(CONSOLIDADO!$F:$F,CONSOLIDADO!$E:$E,$A56,CONSOLIDADO!$I:$I,J$3,CONSOLIDADO!$I:$I,J$4,CONSOLIDADO!$K:$K,"&lt;&gt;NOVO")</f>
        <v>0</v>
      </c>
      <c r="L56" s="77">
        <f>SUMIFS(CONSOLIDADO!$F:$F,CONSOLIDADO!$E:$E,$A56,CONSOLIDADO!$I:$I,K$3,CONSOLIDADO!$I:$I,K$4,CONSOLIDADO!$K:$K,"&lt;&gt;NOVO")</f>
        <v>0</v>
      </c>
      <c r="M56" s="77">
        <f>SUMIFS(CONSOLIDADO!$F:$F,CONSOLIDADO!$E:$E,$A56,CONSOLIDADO!$I:$I,L$3,CONSOLIDADO!$I:$I,L$4,CONSOLIDADO!$K:$K,"&lt;&gt;NOVO")</f>
        <v>0</v>
      </c>
      <c r="N56" s="79">
        <v>1116.1300000000001</v>
      </c>
      <c r="O56" s="78">
        <v>0.8</v>
      </c>
      <c r="P56" s="79">
        <f t="shared" si="2"/>
        <v>0</v>
      </c>
      <c r="Q56" s="79">
        <f t="shared" si="2"/>
        <v>0</v>
      </c>
      <c r="R56" s="79">
        <f t="shared" si="2"/>
        <v>0</v>
      </c>
      <c r="S56" s="79">
        <f t="shared" si="2"/>
        <v>0</v>
      </c>
      <c r="T56" s="79">
        <f t="shared" si="2"/>
        <v>0</v>
      </c>
      <c r="U56" s="79">
        <f t="shared" si="2"/>
        <v>0</v>
      </c>
      <c r="V56" s="79">
        <f t="shared" si="2"/>
        <v>0</v>
      </c>
      <c r="W56" s="79">
        <f t="shared" si="2"/>
        <v>0</v>
      </c>
      <c r="X56" s="79">
        <f t="shared" si="2"/>
        <v>0</v>
      </c>
      <c r="Y56" s="79">
        <f t="shared" si="2"/>
        <v>0</v>
      </c>
      <c r="Z56" s="79">
        <f t="shared" si="2"/>
        <v>0</v>
      </c>
      <c r="AA56" s="79">
        <f t="shared" si="2"/>
        <v>0</v>
      </c>
      <c r="AB56" s="37"/>
    </row>
    <row r="57" spans="1:28" x14ac:dyDescent="0.25">
      <c r="A57" s="76" t="s">
        <v>114</v>
      </c>
      <c r="B57" s="77">
        <f>SUMIFS(CONSOLIDADO!$F:$F,CONSOLIDADO!$E:$E,$A57,CONSOLIDADO!$I:$I,A$3,CONSOLIDADO!$I:$I,A$4,CONSOLIDADO!$K:$K,"&lt;&gt;NOVO")</f>
        <v>4</v>
      </c>
      <c r="C57" s="77">
        <f>SUMIFS(CONSOLIDADO!$F:$F,CONSOLIDADO!$E:$E,$A57,CONSOLIDADO!$I:$I,B$3,CONSOLIDADO!$I:$I,B$4,CONSOLIDADO!$K:$K,"&lt;&gt;NOVO")</f>
        <v>1</v>
      </c>
      <c r="D57" s="77">
        <f>SUMIFS(CONSOLIDADO!$F:$F,CONSOLIDADO!$E:$E,$A57,CONSOLIDADO!$I:$I,C$3,CONSOLIDADO!$I:$I,C$4,CONSOLIDADO!$K:$K,"&lt;&gt;NOVO")</f>
        <v>47</v>
      </c>
      <c r="E57" s="77">
        <f>SUMIFS(CONSOLIDADO!$F:$F,CONSOLIDADO!$E:$E,$A57,CONSOLIDADO!$I:$I,D$3,CONSOLIDADO!$I:$I,D$4,CONSOLIDADO!$K:$K,"&lt;&gt;NOVO")</f>
        <v>0</v>
      </c>
      <c r="F57" s="77">
        <f>SUMIFS(CONSOLIDADO!$F:$F,CONSOLIDADO!$E:$E,$A57,CONSOLIDADO!$I:$I,E$3,CONSOLIDADO!$I:$I,E$4,CONSOLIDADO!$K:$K,"&lt;&gt;NOVO")</f>
        <v>0</v>
      </c>
      <c r="G57" s="77">
        <f>SUMIFS(CONSOLIDADO!$F:$F,CONSOLIDADO!$E:$E,$A57,CONSOLIDADO!$I:$I,F$3,CONSOLIDADO!$I:$I,F$4,CONSOLIDADO!$K:$K,"&lt;&gt;NOVO")</f>
        <v>0</v>
      </c>
      <c r="H57" s="77">
        <f>SUMIFS(CONSOLIDADO!$F:$F,CONSOLIDADO!$E:$E,$A57,CONSOLIDADO!$I:$I,G$3,CONSOLIDADO!$I:$I,G$4,CONSOLIDADO!$K:$K,"&lt;&gt;NOVO")</f>
        <v>0</v>
      </c>
      <c r="I57" s="77">
        <f>SUMIFS(CONSOLIDADO!$F:$F,CONSOLIDADO!$E:$E,$A57,CONSOLIDADO!$I:$I,H$3,CONSOLIDADO!$I:$I,H$4,CONSOLIDADO!$K:$K,"&lt;&gt;NOVO")</f>
        <v>0</v>
      </c>
      <c r="J57" s="77">
        <f>SUMIFS(CONSOLIDADO!$F:$F,CONSOLIDADO!$E:$E,$A57,CONSOLIDADO!$I:$I,I$3,CONSOLIDADO!$I:$I,I$4,CONSOLIDADO!$K:$K,"&lt;&gt;NOVO")</f>
        <v>0</v>
      </c>
      <c r="K57" s="77">
        <f>SUMIFS(CONSOLIDADO!$F:$F,CONSOLIDADO!$E:$E,$A57,CONSOLIDADO!$I:$I,J$3,CONSOLIDADO!$I:$I,J$4,CONSOLIDADO!$K:$K,"&lt;&gt;NOVO")</f>
        <v>0</v>
      </c>
      <c r="L57" s="77">
        <f>SUMIFS(CONSOLIDADO!$F:$F,CONSOLIDADO!$E:$E,$A57,CONSOLIDADO!$I:$I,K$3,CONSOLIDADO!$I:$I,K$4,CONSOLIDADO!$K:$K,"&lt;&gt;NOVO")</f>
        <v>0</v>
      </c>
      <c r="M57" s="77">
        <f>SUMIFS(CONSOLIDADO!$F:$F,CONSOLIDADO!$E:$E,$A57,CONSOLIDADO!$I:$I,L$3,CONSOLIDADO!$I:$I,L$4,CONSOLIDADO!$K:$K,"&lt;&gt;NOVO")</f>
        <v>0</v>
      </c>
      <c r="N57" s="79">
        <v>982.59</v>
      </c>
      <c r="O57" s="78">
        <v>0.8</v>
      </c>
      <c r="P57" s="79">
        <f t="shared" si="2"/>
        <v>786.07199999999989</v>
      </c>
      <c r="Q57" s="79">
        <f t="shared" si="2"/>
        <v>196.51799999999997</v>
      </c>
      <c r="R57" s="79">
        <f t="shared" si="2"/>
        <v>9236.3459999999995</v>
      </c>
      <c r="S57" s="79">
        <f t="shared" si="2"/>
        <v>0</v>
      </c>
      <c r="T57" s="79">
        <f t="shared" si="2"/>
        <v>0</v>
      </c>
      <c r="U57" s="79">
        <f t="shared" si="2"/>
        <v>0</v>
      </c>
      <c r="V57" s="79">
        <f t="shared" si="2"/>
        <v>0</v>
      </c>
      <c r="W57" s="79">
        <f t="shared" si="2"/>
        <v>0</v>
      </c>
      <c r="X57" s="79">
        <f t="shared" si="2"/>
        <v>0</v>
      </c>
      <c r="Y57" s="79">
        <f t="shared" si="2"/>
        <v>0</v>
      </c>
      <c r="Z57" s="79">
        <f t="shared" si="2"/>
        <v>0</v>
      </c>
      <c r="AA57" s="79">
        <f t="shared" si="2"/>
        <v>0</v>
      </c>
      <c r="AB57" s="37"/>
    </row>
    <row r="58" spans="1:28" x14ac:dyDescent="0.25">
      <c r="A58" s="76" t="s">
        <v>472</v>
      </c>
      <c r="B58" s="77">
        <f>SUMIFS(CONSOLIDADO!$F:$F,CONSOLIDADO!$E:$E,$A58,CONSOLIDADO!$I:$I,A$3,CONSOLIDADO!$I:$I,A$4,CONSOLIDADO!$K:$K,"&lt;&gt;NOVO")</f>
        <v>0</v>
      </c>
      <c r="C58" s="77">
        <f>SUMIFS(CONSOLIDADO!$F:$F,CONSOLIDADO!$E:$E,$A58,CONSOLIDADO!$I:$I,B$3,CONSOLIDADO!$I:$I,B$4,CONSOLIDADO!$K:$K,"&lt;&gt;NOVO")</f>
        <v>0</v>
      </c>
      <c r="D58" s="77">
        <f>SUMIFS(CONSOLIDADO!$F:$F,CONSOLIDADO!$E:$E,$A58,CONSOLIDADO!$I:$I,C$3,CONSOLIDADO!$I:$I,C$4,CONSOLIDADO!$K:$K,"&lt;&gt;NOVO")</f>
        <v>0</v>
      </c>
      <c r="E58" s="77">
        <f>SUMIFS(CONSOLIDADO!$F:$F,CONSOLIDADO!$E:$E,$A58,CONSOLIDADO!$I:$I,D$3,CONSOLIDADO!$I:$I,D$4,CONSOLIDADO!$K:$K,"&lt;&gt;NOVO")</f>
        <v>0</v>
      </c>
      <c r="F58" s="77">
        <f>SUMIFS(CONSOLIDADO!$F:$F,CONSOLIDADO!$E:$E,$A58,CONSOLIDADO!$I:$I,E$3,CONSOLIDADO!$I:$I,E$4,CONSOLIDADO!$K:$K,"&lt;&gt;NOVO")</f>
        <v>0</v>
      </c>
      <c r="G58" s="77">
        <f>SUMIFS(CONSOLIDADO!$F:$F,CONSOLIDADO!$E:$E,$A58,CONSOLIDADO!$I:$I,F$3,CONSOLIDADO!$I:$I,F$4,CONSOLIDADO!$K:$K,"&lt;&gt;NOVO")</f>
        <v>0</v>
      </c>
      <c r="H58" s="77">
        <f>SUMIFS(CONSOLIDADO!$F:$F,CONSOLIDADO!$E:$E,$A58,CONSOLIDADO!$I:$I,G$3,CONSOLIDADO!$I:$I,G$4,CONSOLIDADO!$K:$K,"&lt;&gt;NOVO")</f>
        <v>0</v>
      </c>
      <c r="I58" s="77">
        <f>SUMIFS(CONSOLIDADO!$F:$F,CONSOLIDADO!$E:$E,$A58,CONSOLIDADO!$I:$I,H$3,CONSOLIDADO!$I:$I,H$4,CONSOLIDADO!$K:$K,"&lt;&gt;NOVO")</f>
        <v>0</v>
      </c>
      <c r="J58" s="77">
        <f>SUMIFS(CONSOLIDADO!$F:$F,CONSOLIDADO!$E:$E,$A58,CONSOLIDADO!$I:$I,I$3,CONSOLIDADO!$I:$I,I$4,CONSOLIDADO!$K:$K,"&lt;&gt;NOVO")</f>
        <v>0</v>
      </c>
      <c r="K58" s="77">
        <f>SUMIFS(CONSOLIDADO!$F:$F,CONSOLIDADO!$E:$E,$A58,CONSOLIDADO!$I:$I,J$3,CONSOLIDADO!$I:$I,J$4,CONSOLIDADO!$K:$K,"&lt;&gt;NOVO")</f>
        <v>0</v>
      </c>
      <c r="L58" s="77">
        <f>SUMIFS(CONSOLIDADO!$F:$F,CONSOLIDADO!$E:$E,$A58,CONSOLIDADO!$I:$I,K$3,CONSOLIDADO!$I:$I,K$4,CONSOLIDADO!$K:$K,"&lt;&gt;NOVO")</f>
        <v>0</v>
      </c>
      <c r="M58" s="77">
        <f>SUMIFS(CONSOLIDADO!$F:$F,CONSOLIDADO!$E:$E,$A58,CONSOLIDADO!$I:$I,L$3,CONSOLIDADO!$I:$I,L$4,CONSOLIDADO!$K:$K,"&lt;&gt;NOVO")</f>
        <v>0</v>
      </c>
      <c r="N58" s="79">
        <v>1116.1300000000001</v>
      </c>
      <c r="O58" s="78">
        <v>0.8</v>
      </c>
      <c r="P58" s="79">
        <f t="shared" si="2"/>
        <v>0</v>
      </c>
      <c r="Q58" s="79">
        <f t="shared" si="2"/>
        <v>0</v>
      </c>
      <c r="R58" s="79">
        <f t="shared" si="2"/>
        <v>0</v>
      </c>
      <c r="S58" s="79">
        <f t="shared" si="2"/>
        <v>0</v>
      </c>
      <c r="T58" s="79">
        <f t="shared" si="2"/>
        <v>0</v>
      </c>
      <c r="U58" s="79">
        <f t="shared" si="2"/>
        <v>0</v>
      </c>
      <c r="V58" s="79">
        <f t="shared" si="2"/>
        <v>0</v>
      </c>
      <c r="W58" s="79">
        <f t="shared" si="2"/>
        <v>0</v>
      </c>
      <c r="X58" s="79">
        <f t="shared" si="2"/>
        <v>0</v>
      </c>
      <c r="Y58" s="79">
        <f t="shared" si="2"/>
        <v>0</v>
      </c>
      <c r="Z58" s="79">
        <f t="shared" si="2"/>
        <v>0</v>
      </c>
      <c r="AA58" s="79">
        <f t="shared" si="2"/>
        <v>0</v>
      </c>
      <c r="AB58" s="37"/>
    </row>
    <row r="59" spans="1:28" x14ac:dyDescent="0.25">
      <c r="A59" s="76" t="s">
        <v>90</v>
      </c>
      <c r="B59" s="77">
        <f>SUMIFS(CONSOLIDADO!$F:$F,CONSOLIDADO!$E:$E,$A59,CONSOLIDADO!$I:$I,A$3,CONSOLIDADO!$I:$I,A$4,CONSOLIDADO!$K:$K,"&lt;&gt;NOVO")</f>
        <v>1</v>
      </c>
      <c r="C59" s="77">
        <f>SUMIFS(CONSOLIDADO!$F:$F,CONSOLIDADO!$E:$E,$A59,CONSOLIDADO!$I:$I,B$3,CONSOLIDADO!$I:$I,B$4,CONSOLIDADO!$K:$K,"&lt;&gt;NOVO")</f>
        <v>0</v>
      </c>
      <c r="D59" s="77">
        <f>SUMIFS(CONSOLIDADO!$F:$F,CONSOLIDADO!$E:$E,$A59,CONSOLIDADO!$I:$I,C$3,CONSOLIDADO!$I:$I,C$4,CONSOLIDADO!$K:$K,"&lt;&gt;NOVO")</f>
        <v>0</v>
      </c>
      <c r="E59" s="77">
        <f>SUMIFS(CONSOLIDADO!$F:$F,CONSOLIDADO!$E:$E,$A59,CONSOLIDADO!$I:$I,D$3,CONSOLIDADO!$I:$I,D$4,CONSOLIDADO!$K:$K,"&lt;&gt;NOVO")</f>
        <v>0</v>
      </c>
      <c r="F59" s="77">
        <f>SUMIFS(CONSOLIDADO!$F:$F,CONSOLIDADO!$E:$E,$A59,CONSOLIDADO!$I:$I,E$3,CONSOLIDADO!$I:$I,E$4,CONSOLIDADO!$K:$K,"&lt;&gt;NOVO")</f>
        <v>0</v>
      </c>
      <c r="G59" s="77">
        <f>SUMIFS(CONSOLIDADO!$F:$F,CONSOLIDADO!$E:$E,$A59,CONSOLIDADO!$I:$I,F$3,CONSOLIDADO!$I:$I,F$4,CONSOLIDADO!$K:$K,"&lt;&gt;NOVO")</f>
        <v>0</v>
      </c>
      <c r="H59" s="77">
        <f>SUMIFS(CONSOLIDADO!$F:$F,CONSOLIDADO!$E:$E,$A59,CONSOLIDADO!$I:$I,G$3,CONSOLIDADO!$I:$I,G$4,CONSOLIDADO!$K:$K,"&lt;&gt;NOVO")</f>
        <v>0</v>
      </c>
      <c r="I59" s="77">
        <f>SUMIFS(CONSOLIDADO!$F:$F,CONSOLIDADO!$E:$E,$A59,CONSOLIDADO!$I:$I,H$3,CONSOLIDADO!$I:$I,H$4,CONSOLIDADO!$K:$K,"&lt;&gt;NOVO")</f>
        <v>0</v>
      </c>
      <c r="J59" s="77">
        <f>SUMIFS(CONSOLIDADO!$F:$F,CONSOLIDADO!$E:$E,$A59,CONSOLIDADO!$I:$I,I$3,CONSOLIDADO!$I:$I,I$4,CONSOLIDADO!$K:$K,"&lt;&gt;NOVO")</f>
        <v>0</v>
      </c>
      <c r="K59" s="77">
        <f>SUMIFS(CONSOLIDADO!$F:$F,CONSOLIDADO!$E:$E,$A59,CONSOLIDADO!$I:$I,J$3,CONSOLIDADO!$I:$I,J$4,CONSOLIDADO!$K:$K,"&lt;&gt;NOVO")</f>
        <v>0</v>
      </c>
      <c r="L59" s="77">
        <f>SUMIFS(CONSOLIDADO!$F:$F,CONSOLIDADO!$E:$E,$A59,CONSOLIDADO!$I:$I,K$3,CONSOLIDADO!$I:$I,K$4,CONSOLIDADO!$K:$K,"&lt;&gt;NOVO")</f>
        <v>0</v>
      </c>
      <c r="M59" s="77">
        <f>SUMIFS(CONSOLIDADO!$F:$F,CONSOLIDADO!$E:$E,$A59,CONSOLIDADO!$I:$I,L$3,CONSOLIDADO!$I:$I,L$4,CONSOLIDADO!$K:$K,"&lt;&gt;NOVO")</f>
        <v>0</v>
      </c>
      <c r="N59" s="79">
        <v>2340.21</v>
      </c>
      <c r="O59" s="78">
        <v>0.8</v>
      </c>
      <c r="P59" s="79">
        <f t="shared" si="2"/>
        <v>468.04199999999992</v>
      </c>
      <c r="Q59" s="79">
        <f t="shared" si="2"/>
        <v>0</v>
      </c>
      <c r="R59" s="79">
        <f t="shared" si="2"/>
        <v>0</v>
      </c>
      <c r="S59" s="79">
        <f t="shared" si="2"/>
        <v>0</v>
      </c>
      <c r="T59" s="79">
        <f t="shared" si="2"/>
        <v>0</v>
      </c>
      <c r="U59" s="79">
        <f t="shared" si="2"/>
        <v>0</v>
      </c>
      <c r="V59" s="79">
        <f t="shared" si="2"/>
        <v>0</v>
      </c>
      <c r="W59" s="79">
        <f t="shared" si="2"/>
        <v>0</v>
      </c>
      <c r="X59" s="79">
        <f t="shared" si="2"/>
        <v>0</v>
      </c>
      <c r="Y59" s="79">
        <f t="shared" si="2"/>
        <v>0</v>
      </c>
      <c r="Z59" s="79">
        <f t="shared" si="2"/>
        <v>0</v>
      </c>
      <c r="AA59" s="79">
        <f t="shared" si="2"/>
        <v>0</v>
      </c>
      <c r="AB59" s="37"/>
    </row>
    <row r="60" spans="1:28" x14ac:dyDescent="0.25">
      <c r="A60" s="76" t="s">
        <v>47</v>
      </c>
      <c r="B60" s="77">
        <f>SUMIFS(CONSOLIDADO!$F:$F,CONSOLIDADO!$E:$E,$A60,CONSOLIDADO!$I:$I,A$3,CONSOLIDADO!$I:$I,A$4,CONSOLIDADO!$K:$K,"&lt;&gt;NOVO")</f>
        <v>3</v>
      </c>
      <c r="C60" s="77">
        <f>SUMIFS(CONSOLIDADO!$F:$F,CONSOLIDADO!$E:$E,$A60,CONSOLIDADO!$I:$I,B$3,CONSOLIDADO!$I:$I,B$4,CONSOLIDADO!$K:$K,"&lt;&gt;NOVO")</f>
        <v>0</v>
      </c>
      <c r="D60" s="77">
        <f>SUMIFS(CONSOLIDADO!$F:$F,CONSOLIDADO!$E:$E,$A60,CONSOLIDADO!$I:$I,C$3,CONSOLIDADO!$I:$I,C$4,CONSOLIDADO!$K:$K,"&lt;&gt;NOVO")</f>
        <v>2</v>
      </c>
      <c r="E60" s="77">
        <f>SUMIFS(CONSOLIDADO!$F:$F,CONSOLIDADO!$E:$E,$A60,CONSOLIDADO!$I:$I,D$3,CONSOLIDADO!$I:$I,D$4,CONSOLIDADO!$K:$K,"&lt;&gt;NOVO")</f>
        <v>0</v>
      </c>
      <c r="F60" s="77">
        <f>SUMIFS(CONSOLIDADO!$F:$F,CONSOLIDADO!$E:$E,$A60,CONSOLIDADO!$I:$I,E$3,CONSOLIDADO!$I:$I,E$4,CONSOLIDADO!$K:$K,"&lt;&gt;NOVO")</f>
        <v>0</v>
      </c>
      <c r="G60" s="77">
        <f>SUMIFS(CONSOLIDADO!$F:$F,CONSOLIDADO!$E:$E,$A60,CONSOLIDADO!$I:$I,F$3,CONSOLIDADO!$I:$I,F$4,CONSOLIDADO!$K:$K,"&lt;&gt;NOVO")</f>
        <v>0</v>
      </c>
      <c r="H60" s="77">
        <f>SUMIFS(CONSOLIDADO!$F:$F,CONSOLIDADO!$E:$E,$A60,CONSOLIDADO!$I:$I,G$3,CONSOLIDADO!$I:$I,G$4,CONSOLIDADO!$K:$K,"&lt;&gt;NOVO")</f>
        <v>0</v>
      </c>
      <c r="I60" s="77">
        <f>SUMIFS(CONSOLIDADO!$F:$F,CONSOLIDADO!$E:$E,$A60,CONSOLIDADO!$I:$I,H$3,CONSOLIDADO!$I:$I,H$4,CONSOLIDADO!$K:$K,"&lt;&gt;NOVO")</f>
        <v>0</v>
      </c>
      <c r="J60" s="77">
        <f>SUMIFS(CONSOLIDADO!$F:$F,CONSOLIDADO!$E:$E,$A60,CONSOLIDADO!$I:$I,I$3,CONSOLIDADO!$I:$I,I$4,CONSOLIDADO!$K:$K,"&lt;&gt;NOVO")</f>
        <v>0</v>
      </c>
      <c r="K60" s="77">
        <f>SUMIFS(CONSOLIDADO!$F:$F,CONSOLIDADO!$E:$E,$A60,CONSOLIDADO!$I:$I,J$3,CONSOLIDADO!$I:$I,J$4,CONSOLIDADO!$K:$K,"&lt;&gt;NOVO")</f>
        <v>0</v>
      </c>
      <c r="L60" s="77">
        <f>SUMIFS(CONSOLIDADO!$F:$F,CONSOLIDADO!$E:$E,$A60,CONSOLIDADO!$I:$I,K$3,CONSOLIDADO!$I:$I,K$4,CONSOLIDADO!$K:$K,"&lt;&gt;NOVO")</f>
        <v>0</v>
      </c>
      <c r="M60" s="77">
        <f>SUMIFS(CONSOLIDADO!$F:$F,CONSOLIDADO!$E:$E,$A60,CONSOLIDADO!$I:$I,L$3,CONSOLIDADO!$I:$I,L$4,CONSOLIDADO!$K:$K,"&lt;&gt;NOVO")</f>
        <v>0</v>
      </c>
      <c r="N60" s="79">
        <v>4114.01</v>
      </c>
      <c r="O60" s="78">
        <v>0.8</v>
      </c>
      <c r="P60" s="79">
        <f t="shared" si="2"/>
        <v>2468.4059999999999</v>
      </c>
      <c r="Q60" s="79">
        <f t="shared" si="2"/>
        <v>0</v>
      </c>
      <c r="R60" s="79">
        <f t="shared" si="2"/>
        <v>1645.6039999999998</v>
      </c>
      <c r="S60" s="79">
        <f t="shared" si="2"/>
        <v>0</v>
      </c>
      <c r="T60" s="79">
        <f t="shared" si="2"/>
        <v>0</v>
      </c>
      <c r="U60" s="79">
        <f t="shared" si="2"/>
        <v>0</v>
      </c>
      <c r="V60" s="79">
        <f t="shared" si="2"/>
        <v>0</v>
      </c>
      <c r="W60" s="79">
        <f t="shared" si="2"/>
        <v>0</v>
      </c>
      <c r="X60" s="79">
        <f t="shared" si="2"/>
        <v>0</v>
      </c>
      <c r="Y60" s="79">
        <f t="shared" si="2"/>
        <v>0</v>
      </c>
      <c r="Z60" s="79">
        <f t="shared" si="2"/>
        <v>0</v>
      </c>
      <c r="AA60" s="79">
        <f t="shared" si="2"/>
        <v>0</v>
      </c>
      <c r="AB60" s="37"/>
    </row>
    <row r="61" spans="1:28" x14ac:dyDescent="0.25">
      <c r="A61" s="76" t="s">
        <v>473</v>
      </c>
      <c r="B61" s="77">
        <f>SUMIFS(CONSOLIDADO!$F:$F,CONSOLIDADO!$E:$E,$A61,CONSOLIDADO!$I:$I,A$3,CONSOLIDADO!$I:$I,A$4,CONSOLIDADO!$K:$K,"&lt;&gt;NOVO")</f>
        <v>0</v>
      </c>
      <c r="C61" s="77">
        <f>SUMIFS(CONSOLIDADO!$F:$F,CONSOLIDADO!$E:$E,$A61,CONSOLIDADO!$I:$I,B$3,CONSOLIDADO!$I:$I,B$4,CONSOLIDADO!$K:$K,"&lt;&gt;NOVO")</f>
        <v>0</v>
      </c>
      <c r="D61" s="77">
        <f>SUMIFS(CONSOLIDADO!$F:$F,CONSOLIDADO!$E:$E,$A61,CONSOLIDADO!$I:$I,C$3,CONSOLIDADO!$I:$I,C$4,CONSOLIDADO!$K:$K,"&lt;&gt;NOVO")</f>
        <v>0</v>
      </c>
      <c r="E61" s="77">
        <f>SUMIFS(CONSOLIDADO!$F:$F,CONSOLIDADO!$E:$E,$A61,CONSOLIDADO!$I:$I,D$3,CONSOLIDADO!$I:$I,D$4,CONSOLIDADO!$K:$K,"&lt;&gt;NOVO")</f>
        <v>0</v>
      </c>
      <c r="F61" s="77">
        <f>SUMIFS(CONSOLIDADO!$F:$F,CONSOLIDADO!$E:$E,$A61,CONSOLIDADO!$I:$I,E$3,CONSOLIDADO!$I:$I,E$4,CONSOLIDADO!$K:$K,"&lt;&gt;NOVO")</f>
        <v>0</v>
      </c>
      <c r="G61" s="77">
        <f>SUMIFS(CONSOLIDADO!$F:$F,CONSOLIDADO!$E:$E,$A61,CONSOLIDADO!$I:$I,F$3,CONSOLIDADO!$I:$I,F$4,CONSOLIDADO!$K:$K,"&lt;&gt;NOVO")</f>
        <v>0</v>
      </c>
      <c r="H61" s="77">
        <f>SUMIFS(CONSOLIDADO!$F:$F,CONSOLIDADO!$E:$E,$A61,CONSOLIDADO!$I:$I,G$3,CONSOLIDADO!$I:$I,G$4,CONSOLIDADO!$K:$K,"&lt;&gt;NOVO")</f>
        <v>0</v>
      </c>
      <c r="I61" s="77">
        <f>SUMIFS(CONSOLIDADO!$F:$F,CONSOLIDADO!$E:$E,$A61,CONSOLIDADO!$I:$I,H$3,CONSOLIDADO!$I:$I,H$4,CONSOLIDADO!$K:$K,"&lt;&gt;NOVO")</f>
        <v>0</v>
      </c>
      <c r="J61" s="77">
        <f>SUMIFS(CONSOLIDADO!$F:$F,CONSOLIDADO!$E:$E,$A61,CONSOLIDADO!$I:$I,I$3,CONSOLIDADO!$I:$I,I$4,CONSOLIDADO!$K:$K,"&lt;&gt;NOVO")</f>
        <v>0</v>
      </c>
      <c r="K61" s="77">
        <f>SUMIFS(CONSOLIDADO!$F:$F,CONSOLIDADO!$E:$E,$A61,CONSOLIDADO!$I:$I,J$3,CONSOLIDADO!$I:$I,J$4,CONSOLIDADO!$K:$K,"&lt;&gt;NOVO")</f>
        <v>0</v>
      </c>
      <c r="L61" s="77">
        <f>SUMIFS(CONSOLIDADO!$F:$F,CONSOLIDADO!$E:$E,$A61,CONSOLIDADO!$I:$I,K$3,CONSOLIDADO!$I:$I,K$4,CONSOLIDADO!$K:$K,"&lt;&gt;NOVO")</f>
        <v>0</v>
      </c>
      <c r="M61" s="77">
        <f>SUMIFS(CONSOLIDADO!$F:$F,CONSOLIDADO!$E:$E,$A61,CONSOLIDADO!$I:$I,L$3,CONSOLIDADO!$I:$I,L$4,CONSOLIDADO!$K:$K,"&lt;&gt;NOVO")</f>
        <v>0</v>
      </c>
      <c r="N61" s="79">
        <v>3167.57</v>
      </c>
      <c r="O61" s="78">
        <v>0.8</v>
      </c>
      <c r="P61" s="79">
        <f t="shared" si="2"/>
        <v>0</v>
      </c>
      <c r="Q61" s="79">
        <f t="shared" si="2"/>
        <v>0</v>
      </c>
      <c r="R61" s="79">
        <f t="shared" si="2"/>
        <v>0</v>
      </c>
      <c r="S61" s="79">
        <f t="shared" si="2"/>
        <v>0</v>
      </c>
      <c r="T61" s="79">
        <f t="shared" si="2"/>
        <v>0</v>
      </c>
      <c r="U61" s="79">
        <f t="shared" si="2"/>
        <v>0</v>
      </c>
      <c r="V61" s="79">
        <f t="shared" si="2"/>
        <v>0</v>
      </c>
      <c r="W61" s="79">
        <f t="shared" si="2"/>
        <v>0</v>
      </c>
      <c r="X61" s="79">
        <f t="shared" si="2"/>
        <v>0</v>
      </c>
      <c r="Y61" s="79">
        <f t="shared" si="2"/>
        <v>0</v>
      </c>
      <c r="Z61" s="79">
        <f t="shared" si="2"/>
        <v>0</v>
      </c>
      <c r="AA61" s="79">
        <f t="shared" si="2"/>
        <v>0</v>
      </c>
      <c r="AB61" s="37"/>
    </row>
    <row r="62" spans="1:28" x14ac:dyDescent="0.25">
      <c r="A62" s="76" t="s">
        <v>474</v>
      </c>
      <c r="B62" s="77">
        <f>SUMIFS(CONSOLIDADO!$F:$F,CONSOLIDADO!$E:$E,$A62,CONSOLIDADO!$I:$I,A$3,CONSOLIDADO!$I:$I,A$4,CONSOLIDADO!$K:$K,"&lt;&gt;NOVO")</f>
        <v>0</v>
      </c>
      <c r="C62" s="77">
        <f>SUMIFS(CONSOLIDADO!$F:$F,CONSOLIDADO!$E:$E,$A62,CONSOLIDADO!$I:$I,B$3,CONSOLIDADO!$I:$I,B$4,CONSOLIDADO!$K:$K,"&lt;&gt;NOVO")</f>
        <v>0</v>
      </c>
      <c r="D62" s="77">
        <f>SUMIFS(CONSOLIDADO!$F:$F,CONSOLIDADO!$E:$E,$A62,CONSOLIDADO!$I:$I,C$3,CONSOLIDADO!$I:$I,C$4,CONSOLIDADO!$K:$K,"&lt;&gt;NOVO")</f>
        <v>0</v>
      </c>
      <c r="E62" s="77">
        <f>SUMIFS(CONSOLIDADO!$F:$F,CONSOLIDADO!$E:$E,$A62,CONSOLIDADO!$I:$I,D$3,CONSOLIDADO!$I:$I,D$4,CONSOLIDADO!$K:$K,"&lt;&gt;NOVO")</f>
        <v>0</v>
      </c>
      <c r="F62" s="77">
        <f>SUMIFS(CONSOLIDADO!$F:$F,CONSOLIDADO!$E:$E,$A62,CONSOLIDADO!$I:$I,E$3,CONSOLIDADO!$I:$I,E$4,CONSOLIDADO!$K:$K,"&lt;&gt;NOVO")</f>
        <v>0</v>
      </c>
      <c r="G62" s="77">
        <f>SUMIFS(CONSOLIDADO!$F:$F,CONSOLIDADO!$E:$E,$A62,CONSOLIDADO!$I:$I,F$3,CONSOLIDADO!$I:$I,F$4,CONSOLIDADO!$K:$K,"&lt;&gt;NOVO")</f>
        <v>0</v>
      </c>
      <c r="H62" s="77">
        <f>SUMIFS(CONSOLIDADO!$F:$F,CONSOLIDADO!$E:$E,$A62,CONSOLIDADO!$I:$I,G$3,CONSOLIDADO!$I:$I,G$4,CONSOLIDADO!$K:$K,"&lt;&gt;NOVO")</f>
        <v>0</v>
      </c>
      <c r="I62" s="77">
        <f>SUMIFS(CONSOLIDADO!$F:$F,CONSOLIDADO!$E:$E,$A62,CONSOLIDADO!$I:$I,H$3,CONSOLIDADO!$I:$I,H$4,CONSOLIDADO!$K:$K,"&lt;&gt;NOVO")</f>
        <v>0</v>
      </c>
      <c r="J62" s="77">
        <f>SUMIFS(CONSOLIDADO!$F:$F,CONSOLIDADO!$E:$E,$A62,CONSOLIDADO!$I:$I,I$3,CONSOLIDADO!$I:$I,I$4,CONSOLIDADO!$K:$K,"&lt;&gt;NOVO")</f>
        <v>0</v>
      </c>
      <c r="K62" s="77">
        <f>SUMIFS(CONSOLIDADO!$F:$F,CONSOLIDADO!$E:$E,$A62,CONSOLIDADO!$I:$I,J$3,CONSOLIDADO!$I:$I,J$4,CONSOLIDADO!$K:$K,"&lt;&gt;NOVO")</f>
        <v>0</v>
      </c>
      <c r="L62" s="77">
        <f>SUMIFS(CONSOLIDADO!$F:$F,CONSOLIDADO!$E:$E,$A62,CONSOLIDADO!$I:$I,K$3,CONSOLIDADO!$I:$I,K$4,CONSOLIDADO!$K:$K,"&lt;&gt;NOVO")</f>
        <v>0</v>
      </c>
      <c r="M62" s="77">
        <f>SUMIFS(CONSOLIDADO!$F:$F,CONSOLIDADO!$E:$E,$A62,CONSOLIDADO!$I:$I,L$3,CONSOLIDADO!$I:$I,L$4,CONSOLIDADO!$K:$K,"&lt;&gt;NOVO")</f>
        <v>0</v>
      </c>
      <c r="N62" s="79">
        <v>842.38</v>
      </c>
      <c r="O62" s="78">
        <v>0.8</v>
      </c>
      <c r="P62" s="79">
        <f t="shared" si="2"/>
        <v>0</v>
      </c>
      <c r="Q62" s="79">
        <f t="shared" si="2"/>
        <v>0</v>
      </c>
      <c r="R62" s="79">
        <f t="shared" si="2"/>
        <v>0</v>
      </c>
      <c r="S62" s="79">
        <f t="shared" si="2"/>
        <v>0</v>
      </c>
      <c r="T62" s="79">
        <f t="shared" si="2"/>
        <v>0</v>
      </c>
      <c r="U62" s="79">
        <f t="shared" si="2"/>
        <v>0</v>
      </c>
      <c r="V62" s="79">
        <f t="shared" si="2"/>
        <v>0</v>
      </c>
      <c r="W62" s="79">
        <f t="shared" si="2"/>
        <v>0</v>
      </c>
      <c r="X62" s="79">
        <f t="shared" si="2"/>
        <v>0</v>
      </c>
      <c r="Y62" s="79">
        <f t="shared" si="2"/>
        <v>0</v>
      </c>
      <c r="Z62" s="79">
        <f t="shared" si="2"/>
        <v>0</v>
      </c>
      <c r="AA62" s="79">
        <f t="shared" si="2"/>
        <v>0</v>
      </c>
      <c r="AB62" s="37"/>
    </row>
    <row r="63" spans="1:28" x14ac:dyDescent="0.25">
      <c r="A63" s="76" t="s">
        <v>146</v>
      </c>
      <c r="B63" s="77">
        <f>SUMIFS(CONSOLIDADO!$F:$F,CONSOLIDADO!$E:$E,$A63,CONSOLIDADO!$I:$I,A$3,CONSOLIDADO!$I:$I,A$4,CONSOLIDADO!$K:$K,"&lt;&gt;NOVO")</f>
        <v>0</v>
      </c>
      <c r="C63" s="77">
        <f>SUMIFS(CONSOLIDADO!$F:$F,CONSOLIDADO!$E:$E,$A63,CONSOLIDADO!$I:$I,B$3,CONSOLIDADO!$I:$I,B$4,CONSOLIDADO!$K:$K,"&lt;&gt;NOVO")</f>
        <v>2</v>
      </c>
      <c r="D63" s="77">
        <f>SUMIFS(CONSOLIDADO!$F:$F,CONSOLIDADO!$E:$E,$A63,CONSOLIDADO!$I:$I,C$3,CONSOLIDADO!$I:$I,C$4,CONSOLIDADO!$K:$K,"&lt;&gt;NOVO")</f>
        <v>0</v>
      </c>
      <c r="E63" s="77">
        <f>SUMIFS(CONSOLIDADO!$F:$F,CONSOLIDADO!$E:$E,$A63,CONSOLIDADO!$I:$I,D$3,CONSOLIDADO!$I:$I,D$4,CONSOLIDADO!$K:$K,"&lt;&gt;NOVO")</f>
        <v>0</v>
      </c>
      <c r="F63" s="77">
        <f>SUMIFS(CONSOLIDADO!$F:$F,CONSOLIDADO!$E:$E,$A63,CONSOLIDADO!$I:$I,E$3,CONSOLIDADO!$I:$I,E$4,CONSOLIDADO!$K:$K,"&lt;&gt;NOVO")</f>
        <v>0</v>
      </c>
      <c r="G63" s="77">
        <f>SUMIFS(CONSOLIDADO!$F:$F,CONSOLIDADO!$E:$E,$A63,CONSOLIDADO!$I:$I,F$3,CONSOLIDADO!$I:$I,F$4,CONSOLIDADO!$K:$K,"&lt;&gt;NOVO")</f>
        <v>0</v>
      </c>
      <c r="H63" s="77">
        <f>SUMIFS(CONSOLIDADO!$F:$F,CONSOLIDADO!$E:$E,$A63,CONSOLIDADO!$I:$I,G$3,CONSOLIDADO!$I:$I,G$4,CONSOLIDADO!$K:$K,"&lt;&gt;NOVO")</f>
        <v>0</v>
      </c>
      <c r="I63" s="77">
        <f>SUMIFS(CONSOLIDADO!$F:$F,CONSOLIDADO!$E:$E,$A63,CONSOLIDADO!$I:$I,H$3,CONSOLIDADO!$I:$I,H$4,CONSOLIDADO!$K:$K,"&lt;&gt;NOVO")</f>
        <v>0</v>
      </c>
      <c r="J63" s="77">
        <f>SUMIFS(CONSOLIDADO!$F:$F,CONSOLIDADO!$E:$E,$A63,CONSOLIDADO!$I:$I,I$3,CONSOLIDADO!$I:$I,I$4,CONSOLIDADO!$K:$K,"&lt;&gt;NOVO")</f>
        <v>0</v>
      </c>
      <c r="K63" s="77">
        <f>SUMIFS(CONSOLIDADO!$F:$F,CONSOLIDADO!$E:$E,$A63,CONSOLIDADO!$I:$I,J$3,CONSOLIDADO!$I:$I,J$4,CONSOLIDADO!$K:$K,"&lt;&gt;NOVO")</f>
        <v>0</v>
      </c>
      <c r="L63" s="77">
        <f>SUMIFS(CONSOLIDADO!$F:$F,CONSOLIDADO!$E:$E,$A63,CONSOLIDADO!$I:$I,K$3,CONSOLIDADO!$I:$I,K$4,CONSOLIDADO!$K:$K,"&lt;&gt;NOVO")</f>
        <v>0</v>
      </c>
      <c r="M63" s="77">
        <f>SUMIFS(CONSOLIDADO!$F:$F,CONSOLIDADO!$E:$E,$A63,CONSOLIDADO!$I:$I,L$3,CONSOLIDADO!$I:$I,L$4,CONSOLIDADO!$K:$K,"&lt;&gt;NOVO")</f>
        <v>0</v>
      </c>
      <c r="N63" s="79">
        <v>842.38</v>
      </c>
      <c r="O63" s="78">
        <v>0.8</v>
      </c>
      <c r="P63" s="79">
        <f t="shared" si="2"/>
        <v>0</v>
      </c>
      <c r="Q63" s="79">
        <f t="shared" si="2"/>
        <v>336.95199999999994</v>
      </c>
      <c r="R63" s="79">
        <f t="shared" si="2"/>
        <v>0</v>
      </c>
      <c r="S63" s="79">
        <f t="shared" si="2"/>
        <v>0</v>
      </c>
      <c r="T63" s="79">
        <f t="shared" si="2"/>
        <v>0</v>
      </c>
      <c r="U63" s="79">
        <f t="shared" si="2"/>
        <v>0</v>
      </c>
      <c r="V63" s="79">
        <f t="shared" si="2"/>
        <v>0</v>
      </c>
      <c r="W63" s="79">
        <f t="shared" si="2"/>
        <v>0</v>
      </c>
      <c r="X63" s="79">
        <f t="shared" si="2"/>
        <v>0</v>
      </c>
      <c r="Y63" s="79">
        <f t="shared" si="2"/>
        <v>0</v>
      </c>
      <c r="Z63" s="79">
        <f t="shared" si="2"/>
        <v>0</v>
      </c>
      <c r="AA63" s="79">
        <f t="shared" si="2"/>
        <v>0</v>
      </c>
      <c r="AB63" s="37"/>
    </row>
    <row r="64" spans="1:28" x14ac:dyDescent="0.25">
      <c r="A64" s="76" t="s">
        <v>174</v>
      </c>
      <c r="B64" s="77">
        <f>SUMIFS(CONSOLIDADO!$F:$F,CONSOLIDADO!$E:$E,$A64,CONSOLIDADO!$I:$I,A$3,CONSOLIDADO!$I:$I,A$4,CONSOLIDADO!$K:$K,"&lt;&gt;NOVO")</f>
        <v>0</v>
      </c>
      <c r="C64" s="77">
        <f>SUMIFS(CONSOLIDADO!$F:$F,CONSOLIDADO!$E:$E,$A64,CONSOLIDADO!$I:$I,B$3,CONSOLIDADO!$I:$I,B$4,CONSOLIDADO!$K:$K,"&lt;&gt;NOVO")</f>
        <v>1</v>
      </c>
      <c r="D64" s="77">
        <f>SUMIFS(CONSOLIDADO!$F:$F,CONSOLIDADO!$E:$E,$A64,CONSOLIDADO!$I:$I,C$3,CONSOLIDADO!$I:$I,C$4,CONSOLIDADO!$K:$K,"&lt;&gt;NOVO")</f>
        <v>2</v>
      </c>
      <c r="E64" s="77">
        <f>SUMIFS(CONSOLIDADO!$F:$F,CONSOLIDADO!$E:$E,$A64,CONSOLIDADO!$I:$I,D$3,CONSOLIDADO!$I:$I,D$4,CONSOLIDADO!$K:$K,"&lt;&gt;NOVO")</f>
        <v>0</v>
      </c>
      <c r="F64" s="77">
        <f>SUMIFS(CONSOLIDADO!$F:$F,CONSOLIDADO!$E:$E,$A64,CONSOLIDADO!$I:$I,E$3,CONSOLIDADO!$I:$I,E$4,CONSOLIDADO!$K:$K,"&lt;&gt;NOVO")</f>
        <v>0</v>
      </c>
      <c r="G64" s="77">
        <f>SUMIFS(CONSOLIDADO!$F:$F,CONSOLIDADO!$E:$E,$A64,CONSOLIDADO!$I:$I,F$3,CONSOLIDADO!$I:$I,F$4,CONSOLIDADO!$K:$K,"&lt;&gt;NOVO")</f>
        <v>0</v>
      </c>
      <c r="H64" s="77">
        <f>SUMIFS(CONSOLIDADO!$F:$F,CONSOLIDADO!$E:$E,$A64,CONSOLIDADO!$I:$I,G$3,CONSOLIDADO!$I:$I,G$4,CONSOLIDADO!$K:$K,"&lt;&gt;NOVO")</f>
        <v>0</v>
      </c>
      <c r="I64" s="77">
        <f>SUMIFS(CONSOLIDADO!$F:$F,CONSOLIDADO!$E:$E,$A64,CONSOLIDADO!$I:$I,H$3,CONSOLIDADO!$I:$I,H$4,CONSOLIDADO!$K:$K,"&lt;&gt;NOVO")</f>
        <v>0</v>
      </c>
      <c r="J64" s="77">
        <f>SUMIFS(CONSOLIDADO!$F:$F,CONSOLIDADO!$E:$E,$A64,CONSOLIDADO!$I:$I,I$3,CONSOLIDADO!$I:$I,I$4,CONSOLIDADO!$K:$K,"&lt;&gt;NOVO")</f>
        <v>0</v>
      </c>
      <c r="K64" s="77">
        <f>SUMIFS(CONSOLIDADO!$F:$F,CONSOLIDADO!$E:$E,$A64,CONSOLIDADO!$I:$I,J$3,CONSOLIDADO!$I:$I,J$4,CONSOLIDADO!$K:$K,"&lt;&gt;NOVO")</f>
        <v>0</v>
      </c>
      <c r="L64" s="77">
        <f>SUMIFS(CONSOLIDADO!$F:$F,CONSOLIDADO!$E:$E,$A64,CONSOLIDADO!$I:$I,K$3,CONSOLIDADO!$I:$I,K$4,CONSOLIDADO!$K:$K,"&lt;&gt;NOVO")</f>
        <v>0</v>
      </c>
      <c r="M64" s="77">
        <f>SUMIFS(CONSOLIDADO!$F:$F,CONSOLIDADO!$E:$E,$A64,CONSOLIDADO!$I:$I,L$3,CONSOLIDADO!$I:$I,L$4,CONSOLIDADO!$K:$K,"&lt;&gt;NOVO")</f>
        <v>0</v>
      </c>
      <c r="N64" s="79">
        <v>209.75</v>
      </c>
      <c r="O64" s="78">
        <v>0.8</v>
      </c>
      <c r="P64" s="79">
        <f t="shared" si="2"/>
        <v>0</v>
      </c>
      <c r="Q64" s="79">
        <f t="shared" si="2"/>
        <v>41.949999999999989</v>
      </c>
      <c r="R64" s="79">
        <f t="shared" si="2"/>
        <v>83.899999999999977</v>
      </c>
      <c r="S64" s="79">
        <f t="shared" si="2"/>
        <v>0</v>
      </c>
      <c r="T64" s="79">
        <f t="shared" si="2"/>
        <v>0</v>
      </c>
      <c r="U64" s="79">
        <f t="shared" si="2"/>
        <v>0</v>
      </c>
      <c r="V64" s="79">
        <f t="shared" si="2"/>
        <v>0</v>
      </c>
      <c r="W64" s="79">
        <f t="shared" si="2"/>
        <v>0</v>
      </c>
      <c r="X64" s="79">
        <f t="shared" si="2"/>
        <v>0</v>
      </c>
      <c r="Y64" s="79">
        <f t="shared" si="2"/>
        <v>0</v>
      </c>
      <c r="Z64" s="79">
        <f t="shared" si="2"/>
        <v>0</v>
      </c>
      <c r="AA64" s="79">
        <f t="shared" si="2"/>
        <v>0</v>
      </c>
      <c r="AB64" s="37"/>
    </row>
    <row r="65" spans="1:28" x14ac:dyDescent="0.25">
      <c r="A65" s="76" t="s">
        <v>143</v>
      </c>
      <c r="B65" s="77">
        <f>SUMIFS(CONSOLIDADO!$F:$F,CONSOLIDADO!$E:$E,$A65,CONSOLIDADO!$I:$I,A$3,CONSOLIDADO!$I:$I,A$4,CONSOLIDADO!$K:$K,"&lt;&gt;NOVO")</f>
        <v>0</v>
      </c>
      <c r="C65" s="77">
        <f>SUMIFS(CONSOLIDADO!$F:$F,CONSOLIDADO!$E:$E,$A65,CONSOLIDADO!$I:$I,B$3,CONSOLIDADO!$I:$I,B$4,CONSOLIDADO!$K:$K,"&lt;&gt;NOVO")</f>
        <v>1</v>
      </c>
      <c r="D65" s="77">
        <f>SUMIFS(CONSOLIDADO!$F:$F,CONSOLIDADO!$E:$E,$A65,CONSOLIDADO!$I:$I,C$3,CONSOLIDADO!$I:$I,C$4,CONSOLIDADO!$K:$K,"&lt;&gt;NOVO")</f>
        <v>0</v>
      </c>
      <c r="E65" s="77">
        <f>SUMIFS(CONSOLIDADO!$F:$F,CONSOLIDADO!$E:$E,$A65,CONSOLIDADO!$I:$I,D$3,CONSOLIDADO!$I:$I,D$4,CONSOLIDADO!$K:$K,"&lt;&gt;NOVO")</f>
        <v>0</v>
      </c>
      <c r="F65" s="77">
        <f>SUMIFS(CONSOLIDADO!$F:$F,CONSOLIDADO!$E:$E,$A65,CONSOLIDADO!$I:$I,E$3,CONSOLIDADO!$I:$I,E$4,CONSOLIDADO!$K:$K,"&lt;&gt;NOVO")</f>
        <v>0</v>
      </c>
      <c r="G65" s="77">
        <f>SUMIFS(CONSOLIDADO!$F:$F,CONSOLIDADO!$E:$E,$A65,CONSOLIDADO!$I:$I,F$3,CONSOLIDADO!$I:$I,F$4,CONSOLIDADO!$K:$K,"&lt;&gt;NOVO")</f>
        <v>0</v>
      </c>
      <c r="H65" s="77">
        <f>SUMIFS(CONSOLIDADO!$F:$F,CONSOLIDADO!$E:$E,$A65,CONSOLIDADO!$I:$I,G$3,CONSOLIDADO!$I:$I,G$4,CONSOLIDADO!$K:$K,"&lt;&gt;NOVO")</f>
        <v>0</v>
      </c>
      <c r="I65" s="77">
        <f>SUMIFS(CONSOLIDADO!$F:$F,CONSOLIDADO!$E:$E,$A65,CONSOLIDADO!$I:$I,H$3,CONSOLIDADO!$I:$I,H$4,CONSOLIDADO!$K:$K,"&lt;&gt;NOVO")</f>
        <v>0</v>
      </c>
      <c r="J65" s="77">
        <f>SUMIFS(CONSOLIDADO!$F:$F,CONSOLIDADO!$E:$E,$A65,CONSOLIDADO!$I:$I,I$3,CONSOLIDADO!$I:$I,I$4,CONSOLIDADO!$K:$K,"&lt;&gt;NOVO")</f>
        <v>0</v>
      </c>
      <c r="K65" s="77">
        <f>SUMIFS(CONSOLIDADO!$F:$F,CONSOLIDADO!$E:$E,$A65,CONSOLIDADO!$I:$I,J$3,CONSOLIDADO!$I:$I,J$4,CONSOLIDADO!$K:$K,"&lt;&gt;NOVO")</f>
        <v>0</v>
      </c>
      <c r="L65" s="77">
        <f>SUMIFS(CONSOLIDADO!$F:$F,CONSOLIDADO!$E:$E,$A65,CONSOLIDADO!$I:$I,K$3,CONSOLIDADO!$I:$I,K$4,CONSOLIDADO!$K:$K,"&lt;&gt;NOVO")</f>
        <v>0</v>
      </c>
      <c r="M65" s="77">
        <f>SUMIFS(CONSOLIDADO!$F:$F,CONSOLIDADO!$E:$E,$A65,CONSOLIDADO!$I:$I,L$3,CONSOLIDADO!$I:$I,L$4,CONSOLIDADO!$K:$K,"&lt;&gt;NOVO")</f>
        <v>0</v>
      </c>
      <c r="N65" s="79">
        <v>627.61</v>
      </c>
      <c r="O65" s="78">
        <v>0.8</v>
      </c>
      <c r="P65" s="79">
        <f t="shared" si="2"/>
        <v>0</v>
      </c>
      <c r="Q65" s="79">
        <f t="shared" si="2"/>
        <v>125.52199999999998</v>
      </c>
      <c r="R65" s="79">
        <f t="shared" si="2"/>
        <v>0</v>
      </c>
      <c r="S65" s="79">
        <f t="shared" si="2"/>
        <v>0</v>
      </c>
      <c r="T65" s="79">
        <f t="shared" si="2"/>
        <v>0</v>
      </c>
      <c r="U65" s="79">
        <f t="shared" si="2"/>
        <v>0</v>
      </c>
      <c r="V65" s="79">
        <f t="shared" si="2"/>
        <v>0</v>
      </c>
      <c r="W65" s="79">
        <f t="shared" si="2"/>
        <v>0</v>
      </c>
      <c r="X65" s="79">
        <f t="shared" si="2"/>
        <v>0</v>
      </c>
      <c r="Y65" s="79">
        <f t="shared" si="2"/>
        <v>0</v>
      </c>
      <c r="Z65" s="79">
        <f t="shared" si="2"/>
        <v>0</v>
      </c>
      <c r="AA65" s="79">
        <f t="shared" si="2"/>
        <v>0</v>
      </c>
      <c r="AB65" s="37"/>
    </row>
    <row r="66" spans="1:28" x14ac:dyDescent="0.25">
      <c r="A66" t="s">
        <v>467</v>
      </c>
      <c r="B66" s="77">
        <f>SUMIFS(CONSOLIDADO!$F:$F,CONSOLIDADO!$E:$E,$A66,CONSOLIDADO!$I:$I,A$3,CONSOLIDADO!$I:$I,A$4,CONSOLIDADO!$K:$K,"&lt;&gt;NOVO")</f>
        <v>0</v>
      </c>
      <c r="C66" s="77">
        <f>SUMIFS(CONSOLIDADO!$F:$F,CONSOLIDADO!$E:$E,$A66,CONSOLIDADO!$I:$I,B$3,CONSOLIDADO!$I:$I,B$4,CONSOLIDADO!$K:$K,"&lt;&gt;NOVO")</f>
        <v>0</v>
      </c>
      <c r="D66" s="77">
        <f>SUMIFS(CONSOLIDADO!$F:$F,CONSOLIDADO!$E:$E,$A66,CONSOLIDADO!$I:$I,C$3,CONSOLIDADO!$I:$I,C$4,CONSOLIDADO!$K:$K,"&lt;&gt;NOVO")</f>
        <v>0</v>
      </c>
      <c r="E66" s="77">
        <f>SUMIFS(CONSOLIDADO!$F:$F,CONSOLIDADO!$E:$E,$A66,CONSOLIDADO!$I:$I,D$3,CONSOLIDADO!$I:$I,D$4,CONSOLIDADO!$K:$K,"&lt;&gt;NOVO")</f>
        <v>0</v>
      </c>
      <c r="F66" s="77">
        <f>SUMIFS(CONSOLIDADO!$F:$F,CONSOLIDADO!$E:$E,$A66,CONSOLIDADO!$I:$I,E$3,CONSOLIDADO!$I:$I,E$4,CONSOLIDADO!$K:$K,"&lt;&gt;NOVO")</f>
        <v>0</v>
      </c>
      <c r="G66" s="77">
        <f>SUMIFS(CONSOLIDADO!$F:$F,CONSOLIDADO!$E:$E,$A66,CONSOLIDADO!$I:$I,F$3,CONSOLIDADO!$I:$I,F$4,CONSOLIDADO!$K:$K,"&lt;&gt;NOVO")</f>
        <v>0</v>
      </c>
      <c r="H66" s="77">
        <f>SUMIFS(CONSOLIDADO!$F:$F,CONSOLIDADO!$E:$E,$A66,CONSOLIDADO!$I:$I,G$3,CONSOLIDADO!$I:$I,G$4,CONSOLIDADO!$K:$K,"&lt;&gt;NOVO")</f>
        <v>0</v>
      </c>
      <c r="I66" s="77">
        <f>SUMIFS(CONSOLIDADO!$F:$F,CONSOLIDADO!$E:$E,$A66,CONSOLIDADO!$I:$I,H$3,CONSOLIDADO!$I:$I,H$4,CONSOLIDADO!$K:$K,"&lt;&gt;NOVO")</f>
        <v>0</v>
      </c>
      <c r="J66" s="77">
        <f>SUMIFS(CONSOLIDADO!$F:$F,CONSOLIDADO!$E:$E,$A66,CONSOLIDADO!$I:$I,I$3,CONSOLIDADO!$I:$I,I$4,CONSOLIDADO!$K:$K,"&lt;&gt;NOVO")</f>
        <v>0</v>
      </c>
      <c r="K66" s="77">
        <f>SUMIFS(CONSOLIDADO!$F:$F,CONSOLIDADO!$E:$E,$A66,CONSOLIDADO!$I:$I,J$3,CONSOLIDADO!$I:$I,J$4,CONSOLIDADO!$K:$K,"&lt;&gt;NOVO")</f>
        <v>0</v>
      </c>
      <c r="L66" s="77">
        <f>SUMIFS(CONSOLIDADO!$F:$F,CONSOLIDADO!$E:$E,$A66,CONSOLIDADO!$I:$I,K$3,CONSOLIDADO!$I:$I,K$4,CONSOLIDADO!$K:$K,"&lt;&gt;NOVO")</f>
        <v>0</v>
      </c>
      <c r="M66" s="77">
        <f>SUMIFS(CONSOLIDADO!$F:$F,CONSOLIDADO!$E:$E,$A66,CONSOLIDADO!$I:$I,L$3,CONSOLIDADO!$I:$I,L$4,CONSOLIDADO!$K:$K,"&lt;&gt;NOVO")</f>
        <v>0</v>
      </c>
      <c r="N66" s="79">
        <v>653.75</v>
      </c>
      <c r="O66" s="78">
        <v>0.8</v>
      </c>
      <c r="P66" s="79">
        <f t="shared" si="2"/>
        <v>0</v>
      </c>
      <c r="Q66" s="79">
        <f t="shared" si="2"/>
        <v>0</v>
      </c>
      <c r="R66" s="79">
        <f t="shared" si="2"/>
        <v>0</v>
      </c>
      <c r="S66" s="79">
        <f t="shared" ref="S66:AA94" si="3">E66*($N66*(1-$O66))</f>
        <v>0</v>
      </c>
      <c r="T66" s="79">
        <f t="shared" si="3"/>
        <v>0</v>
      </c>
      <c r="U66" s="79">
        <f t="shared" si="3"/>
        <v>0</v>
      </c>
      <c r="V66" s="79">
        <f t="shared" si="3"/>
        <v>0</v>
      </c>
      <c r="W66" s="79">
        <f t="shared" si="3"/>
        <v>0</v>
      </c>
      <c r="X66" s="79">
        <f t="shared" si="3"/>
        <v>0</v>
      </c>
      <c r="Y66" s="79">
        <f t="shared" si="3"/>
        <v>0</v>
      </c>
      <c r="Z66" s="79">
        <f t="shared" si="3"/>
        <v>0</v>
      </c>
      <c r="AA66" s="79">
        <f t="shared" si="3"/>
        <v>0</v>
      </c>
      <c r="AB66" s="37"/>
    </row>
    <row r="67" spans="1:28" x14ac:dyDescent="0.25">
      <c r="A67" s="76" t="s">
        <v>83</v>
      </c>
      <c r="B67" s="77">
        <f>SUMIFS(CONSOLIDADO!$F:$F,CONSOLIDADO!$E:$E,$A67,CONSOLIDADO!$I:$I,A$3,CONSOLIDADO!$I:$I,A$4,CONSOLIDADO!$K:$K,"&lt;&gt;NOVO")</f>
        <v>5</v>
      </c>
      <c r="C67" s="77">
        <f>SUMIFS(CONSOLIDADO!$F:$F,CONSOLIDADO!$E:$E,$A67,CONSOLIDADO!$I:$I,B$3,CONSOLIDADO!$I:$I,B$4,CONSOLIDADO!$K:$K,"&lt;&gt;NOVO")</f>
        <v>5</v>
      </c>
      <c r="D67" s="77">
        <f>SUMIFS(CONSOLIDADO!$F:$F,CONSOLIDADO!$E:$E,$A67,CONSOLIDADO!$I:$I,C$3,CONSOLIDADO!$I:$I,C$4,CONSOLIDADO!$K:$K,"&lt;&gt;NOVO")</f>
        <v>4</v>
      </c>
      <c r="E67" s="77">
        <f>SUMIFS(CONSOLIDADO!$F:$F,CONSOLIDADO!$E:$E,$A67,CONSOLIDADO!$I:$I,D$3,CONSOLIDADO!$I:$I,D$4,CONSOLIDADO!$K:$K,"&lt;&gt;NOVO")</f>
        <v>0</v>
      </c>
      <c r="F67" s="77">
        <f>SUMIFS(CONSOLIDADO!$F:$F,CONSOLIDADO!$E:$E,$A67,CONSOLIDADO!$I:$I,E$3,CONSOLIDADO!$I:$I,E$4,CONSOLIDADO!$K:$K,"&lt;&gt;NOVO")</f>
        <v>0</v>
      </c>
      <c r="G67" s="77">
        <f>SUMIFS(CONSOLIDADO!$F:$F,CONSOLIDADO!$E:$E,$A67,CONSOLIDADO!$I:$I,F$3,CONSOLIDADO!$I:$I,F$4,CONSOLIDADO!$K:$K,"&lt;&gt;NOVO")</f>
        <v>0</v>
      </c>
      <c r="H67" s="77">
        <f>SUMIFS(CONSOLIDADO!$F:$F,CONSOLIDADO!$E:$E,$A67,CONSOLIDADO!$I:$I,G$3,CONSOLIDADO!$I:$I,G$4,CONSOLIDADO!$K:$K,"&lt;&gt;NOVO")</f>
        <v>0</v>
      </c>
      <c r="I67" s="77">
        <f>SUMIFS(CONSOLIDADO!$F:$F,CONSOLIDADO!$E:$E,$A67,CONSOLIDADO!$I:$I,H$3,CONSOLIDADO!$I:$I,H$4,CONSOLIDADO!$K:$K,"&lt;&gt;NOVO")</f>
        <v>0</v>
      </c>
      <c r="J67" s="77">
        <f>SUMIFS(CONSOLIDADO!$F:$F,CONSOLIDADO!$E:$E,$A67,CONSOLIDADO!$I:$I,I$3,CONSOLIDADO!$I:$I,I$4,CONSOLIDADO!$K:$K,"&lt;&gt;NOVO")</f>
        <v>0</v>
      </c>
      <c r="K67" s="77">
        <f>SUMIFS(CONSOLIDADO!$F:$F,CONSOLIDADO!$E:$E,$A67,CONSOLIDADO!$I:$I,J$3,CONSOLIDADO!$I:$I,J$4,CONSOLIDADO!$K:$K,"&lt;&gt;NOVO")</f>
        <v>0</v>
      </c>
      <c r="L67" s="77">
        <f>SUMIFS(CONSOLIDADO!$F:$F,CONSOLIDADO!$E:$E,$A67,CONSOLIDADO!$I:$I,K$3,CONSOLIDADO!$I:$I,K$4,CONSOLIDADO!$K:$K,"&lt;&gt;NOVO")</f>
        <v>0</v>
      </c>
      <c r="M67" s="77">
        <f>SUMIFS(CONSOLIDADO!$F:$F,CONSOLIDADO!$E:$E,$A67,CONSOLIDADO!$I:$I,L$3,CONSOLIDADO!$I:$I,L$4,CONSOLIDADO!$K:$K,"&lt;&gt;NOVO")</f>
        <v>0</v>
      </c>
      <c r="N67" s="79">
        <v>200</v>
      </c>
      <c r="O67" s="78">
        <v>0.8</v>
      </c>
      <c r="P67" s="79">
        <f t="shared" ref="P67:U99" si="4">B67*($N67*(1-$O67))</f>
        <v>199.99999999999997</v>
      </c>
      <c r="Q67" s="79">
        <f t="shared" si="4"/>
        <v>199.99999999999997</v>
      </c>
      <c r="R67" s="79">
        <f t="shared" si="4"/>
        <v>159.99999999999997</v>
      </c>
      <c r="S67" s="79">
        <f t="shared" si="3"/>
        <v>0</v>
      </c>
      <c r="T67" s="79">
        <f t="shared" si="3"/>
        <v>0</v>
      </c>
      <c r="U67" s="79">
        <f t="shared" si="3"/>
        <v>0</v>
      </c>
      <c r="V67" s="79">
        <f t="shared" si="3"/>
        <v>0</v>
      </c>
      <c r="W67" s="79">
        <f t="shared" si="3"/>
        <v>0</v>
      </c>
      <c r="X67" s="79">
        <f t="shared" si="3"/>
        <v>0</v>
      </c>
      <c r="Y67" s="79">
        <f t="shared" si="3"/>
        <v>0</v>
      </c>
      <c r="Z67" s="79">
        <f t="shared" si="3"/>
        <v>0</v>
      </c>
      <c r="AA67" s="79">
        <f t="shared" si="3"/>
        <v>0</v>
      </c>
      <c r="AB67" s="37"/>
    </row>
    <row r="68" spans="1:28" x14ac:dyDescent="0.25">
      <c r="A68" t="s">
        <v>42</v>
      </c>
      <c r="B68" s="77">
        <f>SUMIFS(CONSOLIDADO!$F:$F,CONSOLIDADO!$E:$E,$A68,CONSOLIDADO!$I:$I,A$3,CONSOLIDADO!$I:$I,A$4,CONSOLIDADO!$K:$K,"&lt;&gt;NOVO")</f>
        <v>1</v>
      </c>
      <c r="C68" s="77">
        <f>SUMIFS(CONSOLIDADO!$F:$F,CONSOLIDADO!$E:$E,$A68,CONSOLIDADO!$I:$I,B$3,CONSOLIDADO!$I:$I,B$4,CONSOLIDADO!$K:$K,"&lt;&gt;NOVO")</f>
        <v>0</v>
      </c>
      <c r="D68" s="77">
        <f>SUMIFS(CONSOLIDADO!$F:$F,CONSOLIDADO!$E:$E,$A68,CONSOLIDADO!$I:$I,C$3,CONSOLIDADO!$I:$I,C$4,CONSOLIDADO!$K:$K,"&lt;&gt;NOVO")</f>
        <v>0</v>
      </c>
      <c r="E68" s="77">
        <f>SUMIFS(CONSOLIDADO!$F:$F,CONSOLIDADO!$E:$E,$A68,CONSOLIDADO!$I:$I,D$3,CONSOLIDADO!$I:$I,D$4,CONSOLIDADO!$K:$K,"&lt;&gt;NOVO")</f>
        <v>0</v>
      </c>
      <c r="F68" s="77">
        <f>SUMIFS(CONSOLIDADO!$F:$F,CONSOLIDADO!$E:$E,$A68,CONSOLIDADO!$I:$I,E$3,CONSOLIDADO!$I:$I,E$4,CONSOLIDADO!$K:$K,"&lt;&gt;NOVO")</f>
        <v>0</v>
      </c>
      <c r="G68" s="77">
        <f>SUMIFS(CONSOLIDADO!$F:$F,CONSOLIDADO!$E:$E,$A68,CONSOLIDADO!$I:$I,F$3,CONSOLIDADO!$I:$I,F$4,CONSOLIDADO!$K:$K,"&lt;&gt;NOVO")</f>
        <v>0</v>
      </c>
      <c r="H68" s="77">
        <f>SUMIFS(CONSOLIDADO!$F:$F,CONSOLIDADO!$E:$E,$A68,CONSOLIDADO!$I:$I,G$3,CONSOLIDADO!$I:$I,G$4,CONSOLIDADO!$K:$K,"&lt;&gt;NOVO")</f>
        <v>0</v>
      </c>
      <c r="I68" s="77">
        <f>SUMIFS(CONSOLIDADO!$F:$F,CONSOLIDADO!$E:$E,$A68,CONSOLIDADO!$I:$I,H$3,CONSOLIDADO!$I:$I,H$4,CONSOLIDADO!$K:$K,"&lt;&gt;NOVO")</f>
        <v>0</v>
      </c>
      <c r="J68" s="77">
        <f>SUMIFS(CONSOLIDADO!$F:$F,CONSOLIDADO!$E:$E,$A68,CONSOLIDADO!$I:$I,I$3,CONSOLIDADO!$I:$I,I$4,CONSOLIDADO!$K:$K,"&lt;&gt;NOVO")</f>
        <v>0</v>
      </c>
      <c r="K68" s="77">
        <f>SUMIFS(CONSOLIDADO!$F:$F,CONSOLIDADO!$E:$E,$A68,CONSOLIDADO!$I:$I,J$3,CONSOLIDADO!$I:$I,J$4,CONSOLIDADO!$K:$K,"&lt;&gt;NOVO")</f>
        <v>0</v>
      </c>
      <c r="L68" s="77">
        <f>SUMIFS(CONSOLIDADO!$F:$F,CONSOLIDADO!$E:$E,$A68,CONSOLIDADO!$I:$I,K$3,CONSOLIDADO!$I:$I,K$4,CONSOLIDADO!$K:$K,"&lt;&gt;NOVO")</f>
        <v>0</v>
      </c>
      <c r="M68" s="77">
        <f>SUMIFS(CONSOLIDADO!$F:$F,CONSOLIDADO!$E:$E,$A68,CONSOLIDADO!$I:$I,L$3,CONSOLIDADO!$I:$I,L$4,CONSOLIDADO!$K:$K,"&lt;&gt;NOVO")</f>
        <v>0</v>
      </c>
      <c r="N68" s="79">
        <v>2000</v>
      </c>
      <c r="O68" s="78">
        <v>0.8</v>
      </c>
      <c r="P68" s="79">
        <f t="shared" si="4"/>
        <v>399.99999999999989</v>
      </c>
      <c r="Q68" s="79">
        <f t="shared" si="4"/>
        <v>0</v>
      </c>
      <c r="R68" s="79">
        <f t="shared" si="4"/>
        <v>0</v>
      </c>
      <c r="S68" s="79">
        <f t="shared" si="3"/>
        <v>0</v>
      </c>
      <c r="T68" s="79">
        <f t="shared" si="3"/>
        <v>0</v>
      </c>
      <c r="U68" s="79">
        <f t="shared" si="3"/>
        <v>0</v>
      </c>
      <c r="V68" s="79">
        <f t="shared" si="3"/>
        <v>0</v>
      </c>
      <c r="W68" s="79">
        <f t="shared" si="3"/>
        <v>0</v>
      </c>
      <c r="X68" s="79">
        <f t="shared" si="3"/>
        <v>0</v>
      </c>
      <c r="Y68" s="79">
        <f t="shared" si="3"/>
        <v>0</v>
      </c>
      <c r="Z68" s="79">
        <f t="shared" si="3"/>
        <v>0</v>
      </c>
      <c r="AA68" s="79">
        <f t="shared" si="3"/>
        <v>0</v>
      </c>
      <c r="AB68" s="37"/>
    </row>
    <row r="69" spans="1:28" x14ac:dyDescent="0.25">
      <c r="A69" s="76" t="s">
        <v>104</v>
      </c>
      <c r="B69" s="77">
        <f>SUMIFS(CONSOLIDADO!$F:$F,CONSOLIDADO!$E:$E,$A69,CONSOLIDADO!$I:$I,A$3,CONSOLIDADO!$I:$I,A$4,CONSOLIDADO!$K:$K,"&lt;&gt;NOVO")</f>
        <v>1</v>
      </c>
      <c r="C69" s="77">
        <f>SUMIFS(CONSOLIDADO!$F:$F,CONSOLIDADO!$E:$E,$A69,CONSOLIDADO!$I:$I,B$3,CONSOLIDADO!$I:$I,B$4,CONSOLIDADO!$K:$K,"&lt;&gt;NOVO")</f>
        <v>1</v>
      </c>
      <c r="D69" s="77">
        <f>SUMIFS(CONSOLIDADO!$F:$F,CONSOLIDADO!$E:$E,$A69,CONSOLIDADO!$I:$I,C$3,CONSOLIDADO!$I:$I,C$4,CONSOLIDADO!$K:$K,"&lt;&gt;NOVO")</f>
        <v>6</v>
      </c>
      <c r="E69" s="77">
        <f>SUMIFS(CONSOLIDADO!$F:$F,CONSOLIDADO!$E:$E,$A69,CONSOLIDADO!$I:$I,D$3,CONSOLIDADO!$I:$I,D$4,CONSOLIDADO!$K:$K,"&lt;&gt;NOVO")</f>
        <v>0</v>
      </c>
      <c r="F69" s="77">
        <f>SUMIFS(CONSOLIDADO!$F:$F,CONSOLIDADO!$E:$E,$A69,CONSOLIDADO!$I:$I,E$3,CONSOLIDADO!$I:$I,E$4,CONSOLIDADO!$K:$K,"&lt;&gt;NOVO")</f>
        <v>0</v>
      </c>
      <c r="G69" s="77">
        <f>SUMIFS(CONSOLIDADO!$F:$F,CONSOLIDADO!$E:$E,$A69,CONSOLIDADO!$I:$I,F$3,CONSOLIDADO!$I:$I,F$4,CONSOLIDADO!$K:$K,"&lt;&gt;NOVO")</f>
        <v>0</v>
      </c>
      <c r="H69" s="77">
        <f>SUMIFS(CONSOLIDADO!$F:$F,CONSOLIDADO!$E:$E,$A69,CONSOLIDADO!$I:$I,G$3,CONSOLIDADO!$I:$I,G$4,CONSOLIDADO!$K:$K,"&lt;&gt;NOVO")</f>
        <v>0</v>
      </c>
      <c r="I69" s="77">
        <f>SUMIFS(CONSOLIDADO!$F:$F,CONSOLIDADO!$E:$E,$A69,CONSOLIDADO!$I:$I,H$3,CONSOLIDADO!$I:$I,H$4,CONSOLIDADO!$K:$K,"&lt;&gt;NOVO")</f>
        <v>0</v>
      </c>
      <c r="J69" s="77">
        <f>SUMIFS(CONSOLIDADO!$F:$F,CONSOLIDADO!$E:$E,$A69,CONSOLIDADO!$I:$I,I$3,CONSOLIDADO!$I:$I,I$4,CONSOLIDADO!$K:$K,"&lt;&gt;NOVO")</f>
        <v>0</v>
      </c>
      <c r="K69" s="77">
        <f>SUMIFS(CONSOLIDADO!$F:$F,CONSOLIDADO!$E:$E,$A69,CONSOLIDADO!$I:$I,J$3,CONSOLIDADO!$I:$I,J$4,CONSOLIDADO!$K:$K,"&lt;&gt;NOVO")</f>
        <v>0</v>
      </c>
      <c r="L69" s="77">
        <f>SUMIFS(CONSOLIDADO!$F:$F,CONSOLIDADO!$E:$E,$A69,CONSOLIDADO!$I:$I,K$3,CONSOLIDADO!$I:$I,K$4,CONSOLIDADO!$K:$K,"&lt;&gt;NOVO")</f>
        <v>0</v>
      </c>
      <c r="M69" s="77">
        <f>SUMIFS(CONSOLIDADO!$F:$F,CONSOLIDADO!$E:$E,$A69,CONSOLIDADO!$I:$I,L$3,CONSOLIDADO!$I:$I,L$4,CONSOLIDADO!$K:$K,"&lt;&gt;NOVO")</f>
        <v>0</v>
      </c>
      <c r="N69" s="79">
        <v>982.59</v>
      </c>
      <c r="O69" s="78">
        <v>0.8</v>
      </c>
      <c r="P69" s="79">
        <f t="shared" si="4"/>
        <v>196.51799999999997</v>
      </c>
      <c r="Q69" s="79">
        <f t="shared" si="4"/>
        <v>196.51799999999997</v>
      </c>
      <c r="R69" s="79">
        <f t="shared" si="4"/>
        <v>1179.1079999999997</v>
      </c>
      <c r="S69" s="79">
        <f t="shared" si="3"/>
        <v>0</v>
      </c>
      <c r="T69" s="79">
        <f t="shared" si="3"/>
        <v>0</v>
      </c>
      <c r="U69" s="79">
        <f t="shared" si="3"/>
        <v>0</v>
      </c>
      <c r="V69" s="79">
        <f t="shared" si="3"/>
        <v>0</v>
      </c>
      <c r="W69" s="79">
        <f t="shared" si="3"/>
        <v>0</v>
      </c>
      <c r="X69" s="79">
        <f t="shared" si="3"/>
        <v>0</v>
      </c>
      <c r="Y69" s="79">
        <f t="shared" si="3"/>
        <v>0</v>
      </c>
      <c r="Z69" s="79">
        <f t="shared" si="3"/>
        <v>0</v>
      </c>
      <c r="AA69" s="79">
        <f t="shared" si="3"/>
        <v>0</v>
      </c>
      <c r="AB69" s="37"/>
    </row>
    <row r="70" spans="1:28" x14ac:dyDescent="0.25">
      <c r="A70" s="76" t="s">
        <v>475</v>
      </c>
      <c r="B70" s="77">
        <f>SUMIFS(CONSOLIDADO!$F:$F,CONSOLIDADO!$E:$E,$A70,CONSOLIDADO!$I:$I,A$3,CONSOLIDADO!$I:$I,A$4,CONSOLIDADO!$K:$K,"&lt;&gt;NOVO")</f>
        <v>0</v>
      </c>
      <c r="C70" s="77">
        <f>SUMIFS(CONSOLIDADO!$F:$F,CONSOLIDADO!$E:$E,$A70,CONSOLIDADO!$I:$I,B$3,CONSOLIDADO!$I:$I,B$4,CONSOLIDADO!$K:$K,"&lt;&gt;NOVO")</f>
        <v>0</v>
      </c>
      <c r="D70" s="77">
        <f>SUMIFS(CONSOLIDADO!$F:$F,CONSOLIDADO!$E:$E,$A70,CONSOLIDADO!$I:$I,C$3,CONSOLIDADO!$I:$I,C$4,CONSOLIDADO!$K:$K,"&lt;&gt;NOVO")</f>
        <v>0</v>
      </c>
      <c r="E70" s="77">
        <f>SUMIFS(CONSOLIDADO!$F:$F,CONSOLIDADO!$E:$E,$A70,CONSOLIDADO!$I:$I,D$3,CONSOLIDADO!$I:$I,D$4,CONSOLIDADO!$K:$K,"&lt;&gt;NOVO")</f>
        <v>0</v>
      </c>
      <c r="F70" s="77">
        <f>SUMIFS(CONSOLIDADO!$F:$F,CONSOLIDADO!$E:$E,$A70,CONSOLIDADO!$I:$I,E$3,CONSOLIDADO!$I:$I,E$4,CONSOLIDADO!$K:$K,"&lt;&gt;NOVO")</f>
        <v>0</v>
      </c>
      <c r="G70" s="77">
        <f>SUMIFS(CONSOLIDADO!$F:$F,CONSOLIDADO!$E:$E,$A70,CONSOLIDADO!$I:$I,F$3,CONSOLIDADO!$I:$I,F$4,CONSOLIDADO!$K:$K,"&lt;&gt;NOVO")</f>
        <v>0</v>
      </c>
      <c r="H70" s="77">
        <f>SUMIFS(CONSOLIDADO!$F:$F,CONSOLIDADO!$E:$E,$A70,CONSOLIDADO!$I:$I,G$3,CONSOLIDADO!$I:$I,G$4,CONSOLIDADO!$K:$K,"&lt;&gt;NOVO")</f>
        <v>0</v>
      </c>
      <c r="I70" s="77">
        <f>SUMIFS(CONSOLIDADO!$F:$F,CONSOLIDADO!$E:$E,$A70,CONSOLIDADO!$I:$I,H$3,CONSOLIDADO!$I:$I,H$4,CONSOLIDADO!$K:$K,"&lt;&gt;NOVO")</f>
        <v>0</v>
      </c>
      <c r="J70" s="77">
        <f>SUMIFS(CONSOLIDADO!$F:$F,CONSOLIDADO!$E:$E,$A70,CONSOLIDADO!$I:$I,I$3,CONSOLIDADO!$I:$I,I$4,CONSOLIDADO!$K:$K,"&lt;&gt;NOVO")</f>
        <v>0</v>
      </c>
      <c r="K70" s="77">
        <f>SUMIFS(CONSOLIDADO!$F:$F,CONSOLIDADO!$E:$E,$A70,CONSOLIDADO!$I:$I,J$3,CONSOLIDADO!$I:$I,J$4,CONSOLIDADO!$K:$K,"&lt;&gt;NOVO")</f>
        <v>0</v>
      </c>
      <c r="L70" s="77">
        <f>SUMIFS(CONSOLIDADO!$F:$F,CONSOLIDADO!$E:$E,$A70,CONSOLIDADO!$I:$I,K$3,CONSOLIDADO!$I:$I,K$4,CONSOLIDADO!$K:$K,"&lt;&gt;NOVO")</f>
        <v>0</v>
      </c>
      <c r="M70" s="77">
        <f>SUMIFS(CONSOLIDADO!$F:$F,CONSOLIDADO!$E:$E,$A70,CONSOLIDADO!$I:$I,L$3,CONSOLIDADO!$I:$I,L$4,CONSOLIDADO!$K:$K,"&lt;&gt;NOVO")</f>
        <v>0</v>
      </c>
      <c r="N70" s="79">
        <v>982.59</v>
      </c>
      <c r="O70" s="78">
        <v>0.8</v>
      </c>
      <c r="P70" s="79">
        <f t="shared" si="4"/>
        <v>0</v>
      </c>
      <c r="Q70" s="79">
        <f t="shared" si="4"/>
        <v>0</v>
      </c>
      <c r="R70" s="79">
        <f t="shared" si="4"/>
        <v>0</v>
      </c>
      <c r="S70" s="79">
        <f t="shared" si="3"/>
        <v>0</v>
      </c>
      <c r="T70" s="79">
        <f t="shared" si="3"/>
        <v>0</v>
      </c>
      <c r="U70" s="79">
        <f t="shared" si="3"/>
        <v>0</v>
      </c>
      <c r="V70" s="79">
        <f t="shared" si="3"/>
        <v>0</v>
      </c>
      <c r="W70" s="79">
        <f t="shared" si="3"/>
        <v>0</v>
      </c>
      <c r="X70" s="79">
        <f t="shared" si="3"/>
        <v>0</v>
      </c>
      <c r="Y70" s="79">
        <f t="shared" si="3"/>
        <v>0</v>
      </c>
      <c r="Z70" s="79">
        <f t="shared" si="3"/>
        <v>0</v>
      </c>
      <c r="AA70" s="79">
        <f t="shared" si="3"/>
        <v>0</v>
      </c>
      <c r="AB70" s="37"/>
    </row>
    <row r="71" spans="1:28" x14ac:dyDescent="0.25">
      <c r="A71" s="76" t="s">
        <v>476</v>
      </c>
      <c r="B71" s="77">
        <f>SUMIFS(CONSOLIDADO!$F:$F,CONSOLIDADO!$E:$E,$A71,CONSOLIDADO!$I:$I,A$3,CONSOLIDADO!$I:$I,A$4,CONSOLIDADO!$K:$K,"&lt;&gt;NOVO")</f>
        <v>0</v>
      </c>
      <c r="C71" s="77">
        <f>SUMIFS(CONSOLIDADO!$F:$F,CONSOLIDADO!$E:$E,$A71,CONSOLIDADO!$I:$I,B$3,CONSOLIDADO!$I:$I,B$4,CONSOLIDADO!$K:$K,"&lt;&gt;NOVO")</f>
        <v>0</v>
      </c>
      <c r="D71" s="77">
        <f>SUMIFS(CONSOLIDADO!$F:$F,CONSOLIDADO!$E:$E,$A71,CONSOLIDADO!$I:$I,C$3,CONSOLIDADO!$I:$I,C$4,CONSOLIDADO!$K:$K,"&lt;&gt;NOVO")</f>
        <v>0</v>
      </c>
      <c r="E71" s="77">
        <f>SUMIFS(CONSOLIDADO!$F:$F,CONSOLIDADO!$E:$E,$A71,CONSOLIDADO!$I:$I,D$3,CONSOLIDADO!$I:$I,D$4,CONSOLIDADO!$K:$K,"&lt;&gt;NOVO")</f>
        <v>0</v>
      </c>
      <c r="F71" s="77">
        <f>SUMIFS(CONSOLIDADO!$F:$F,CONSOLIDADO!$E:$E,$A71,CONSOLIDADO!$I:$I,E$3,CONSOLIDADO!$I:$I,E$4,CONSOLIDADO!$K:$K,"&lt;&gt;NOVO")</f>
        <v>0</v>
      </c>
      <c r="G71" s="77">
        <f>SUMIFS(CONSOLIDADO!$F:$F,CONSOLIDADO!$E:$E,$A71,CONSOLIDADO!$I:$I,F$3,CONSOLIDADO!$I:$I,F$4,CONSOLIDADO!$K:$K,"&lt;&gt;NOVO")</f>
        <v>0</v>
      </c>
      <c r="H71" s="77">
        <f>SUMIFS(CONSOLIDADO!$F:$F,CONSOLIDADO!$E:$E,$A71,CONSOLIDADO!$I:$I,G$3,CONSOLIDADO!$I:$I,G$4,CONSOLIDADO!$K:$K,"&lt;&gt;NOVO")</f>
        <v>0</v>
      </c>
      <c r="I71" s="77">
        <f>SUMIFS(CONSOLIDADO!$F:$F,CONSOLIDADO!$E:$E,$A71,CONSOLIDADO!$I:$I,H$3,CONSOLIDADO!$I:$I,H$4,CONSOLIDADO!$K:$K,"&lt;&gt;NOVO")</f>
        <v>0</v>
      </c>
      <c r="J71" s="77">
        <f>SUMIFS(CONSOLIDADO!$F:$F,CONSOLIDADO!$E:$E,$A71,CONSOLIDADO!$I:$I,I$3,CONSOLIDADO!$I:$I,I$4,CONSOLIDADO!$K:$K,"&lt;&gt;NOVO")</f>
        <v>0</v>
      </c>
      <c r="K71" s="77">
        <f>SUMIFS(CONSOLIDADO!$F:$F,CONSOLIDADO!$E:$E,$A71,CONSOLIDADO!$I:$I,J$3,CONSOLIDADO!$I:$I,J$4,CONSOLIDADO!$K:$K,"&lt;&gt;NOVO")</f>
        <v>0</v>
      </c>
      <c r="L71" s="77">
        <f>SUMIFS(CONSOLIDADO!$F:$F,CONSOLIDADO!$E:$E,$A71,CONSOLIDADO!$I:$I,K$3,CONSOLIDADO!$I:$I,K$4,CONSOLIDADO!$K:$K,"&lt;&gt;NOVO")</f>
        <v>0</v>
      </c>
      <c r="M71" s="77">
        <f>SUMIFS(CONSOLIDADO!$F:$F,CONSOLIDADO!$E:$E,$A71,CONSOLIDADO!$I:$I,L$3,CONSOLIDADO!$I:$I,L$4,CONSOLIDADO!$K:$K,"&lt;&gt;NOVO")</f>
        <v>0</v>
      </c>
      <c r="N71" s="79">
        <v>982.59</v>
      </c>
      <c r="O71" s="78">
        <v>0.8</v>
      </c>
      <c r="P71" s="79">
        <f t="shared" si="4"/>
        <v>0</v>
      </c>
      <c r="Q71" s="79">
        <f t="shared" si="4"/>
        <v>0</v>
      </c>
      <c r="R71" s="79">
        <f t="shared" si="4"/>
        <v>0</v>
      </c>
      <c r="S71" s="79">
        <f t="shared" si="3"/>
        <v>0</v>
      </c>
      <c r="T71" s="79">
        <f t="shared" si="3"/>
        <v>0</v>
      </c>
      <c r="U71" s="79">
        <f t="shared" si="3"/>
        <v>0</v>
      </c>
      <c r="V71" s="79">
        <f t="shared" si="3"/>
        <v>0</v>
      </c>
      <c r="W71" s="79">
        <f t="shared" si="3"/>
        <v>0</v>
      </c>
      <c r="X71" s="79">
        <f t="shared" si="3"/>
        <v>0</v>
      </c>
      <c r="Y71" s="79">
        <f t="shared" si="3"/>
        <v>0</v>
      </c>
      <c r="Z71" s="79">
        <f t="shared" si="3"/>
        <v>0</v>
      </c>
      <c r="AA71" s="79">
        <f t="shared" si="3"/>
        <v>0</v>
      </c>
      <c r="AB71" s="37"/>
    </row>
    <row r="72" spans="1:28" x14ac:dyDescent="0.25">
      <c r="A72" s="76" t="s">
        <v>67</v>
      </c>
      <c r="B72" s="77">
        <f>SUMIFS(CONSOLIDADO!$F:$F,CONSOLIDADO!$E:$E,$A72,CONSOLIDADO!$I:$I,A$3,CONSOLIDADO!$I:$I,A$4,CONSOLIDADO!$K:$K,"&lt;&gt;NOVO")</f>
        <v>16</v>
      </c>
      <c r="C72" s="77">
        <f>SUMIFS(CONSOLIDADO!$F:$F,CONSOLIDADO!$E:$E,$A72,CONSOLIDADO!$I:$I,B$3,CONSOLIDADO!$I:$I,B$4,CONSOLIDADO!$K:$K,"&lt;&gt;NOVO")</f>
        <v>9</v>
      </c>
      <c r="D72" s="77">
        <f>SUMIFS(CONSOLIDADO!$F:$F,CONSOLIDADO!$E:$E,$A72,CONSOLIDADO!$I:$I,C$3,CONSOLIDADO!$I:$I,C$4,CONSOLIDADO!$K:$K,"&lt;&gt;NOVO")</f>
        <v>9</v>
      </c>
      <c r="E72" s="77">
        <f>SUMIFS(CONSOLIDADO!$F:$F,CONSOLIDADO!$E:$E,$A72,CONSOLIDADO!$I:$I,D$3,CONSOLIDADO!$I:$I,D$4,CONSOLIDADO!$K:$K,"&lt;&gt;NOVO")</f>
        <v>0</v>
      </c>
      <c r="F72" s="77">
        <f>SUMIFS(CONSOLIDADO!$F:$F,CONSOLIDADO!$E:$E,$A72,CONSOLIDADO!$I:$I,E$3,CONSOLIDADO!$I:$I,E$4,CONSOLIDADO!$K:$K,"&lt;&gt;NOVO")</f>
        <v>0</v>
      </c>
      <c r="G72" s="77">
        <f>SUMIFS(CONSOLIDADO!$F:$F,CONSOLIDADO!$E:$E,$A72,CONSOLIDADO!$I:$I,F$3,CONSOLIDADO!$I:$I,F$4,CONSOLIDADO!$K:$K,"&lt;&gt;NOVO")</f>
        <v>0</v>
      </c>
      <c r="H72" s="77">
        <f>SUMIFS(CONSOLIDADO!$F:$F,CONSOLIDADO!$E:$E,$A72,CONSOLIDADO!$I:$I,G$3,CONSOLIDADO!$I:$I,G$4,CONSOLIDADO!$K:$K,"&lt;&gt;NOVO")</f>
        <v>0</v>
      </c>
      <c r="I72" s="77">
        <f>SUMIFS(CONSOLIDADO!$F:$F,CONSOLIDADO!$E:$E,$A72,CONSOLIDADO!$I:$I,H$3,CONSOLIDADO!$I:$I,H$4,CONSOLIDADO!$K:$K,"&lt;&gt;NOVO")</f>
        <v>0</v>
      </c>
      <c r="J72" s="77">
        <f>SUMIFS(CONSOLIDADO!$F:$F,CONSOLIDADO!$E:$E,$A72,CONSOLIDADO!$I:$I,I$3,CONSOLIDADO!$I:$I,I$4,CONSOLIDADO!$K:$K,"&lt;&gt;NOVO")</f>
        <v>0</v>
      </c>
      <c r="K72" s="77">
        <f>SUMIFS(CONSOLIDADO!$F:$F,CONSOLIDADO!$E:$E,$A72,CONSOLIDADO!$I:$I,J$3,CONSOLIDADO!$I:$I,J$4,CONSOLIDADO!$K:$K,"&lt;&gt;NOVO")</f>
        <v>0</v>
      </c>
      <c r="L72" s="77">
        <f>SUMIFS(CONSOLIDADO!$F:$F,CONSOLIDADO!$E:$E,$A72,CONSOLIDADO!$I:$I,K$3,CONSOLIDADO!$I:$I,K$4,CONSOLIDADO!$K:$K,"&lt;&gt;NOVO")</f>
        <v>0</v>
      </c>
      <c r="M72" s="77">
        <f>SUMIFS(CONSOLIDADO!$F:$F,CONSOLIDADO!$E:$E,$A72,CONSOLIDADO!$I:$I,L$3,CONSOLIDADO!$I:$I,L$4,CONSOLIDADO!$K:$K,"&lt;&gt;NOVO")</f>
        <v>0</v>
      </c>
      <c r="N72" s="79">
        <v>2381.4</v>
      </c>
      <c r="O72" s="78">
        <v>0.8</v>
      </c>
      <c r="P72" s="79">
        <f t="shared" si="4"/>
        <v>7620.4799999999987</v>
      </c>
      <c r="Q72" s="79">
        <f t="shared" si="4"/>
        <v>4286.5199999999995</v>
      </c>
      <c r="R72" s="79">
        <f t="shared" si="4"/>
        <v>4286.5199999999995</v>
      </c>
      <c r="S72" s="79">
        <f t="shared" si="3"/>
        <v>0</v>
      </c>
      <c r="T72" s="79">
        <f t="shared" si="3"/>
        <v>0</v>
      </c>
      <c r="U72" s="79">
        <f t="shared" si="3"/>
        <v>0</v>
      </c>
      <c r="V72" s="79">
        <f t="shared" si="3"/>
        <v>0</v>
      </c>
      <c r="W72" s="79">
        <f t="shared" si="3"/>
        <v>0</v>
      </c>
      <c r="X72" s="79">
        <f t="shared" si="3"/>
        <v>0</v>
      </c>
      <c r="Y72" s="79">
        <f t="shared" si="3"/>
        <v>0</v>
      </c>
      <c r="Z72" s="79">
        <f t="shared" si="3"/>
        <v>0</v>
      </c>
      <c r="AA72" s="79">
        <f t="shared" si="3"/>
        <v>0</v>
      </c>
      <c r="AB72" s="37"/>
    </row>
    <row r="73" spans="1:28" x14ac:dyDescent="0.25">
      <c r="A73" s="76" t="s">
        <v>106</v>
      </c>
      <c r="B73" s="77">
        <f>SUMIFS(CONSOLIDADO!$F:$F,CONSOLIDADO!$E:$E,$A73,CONSOLIDADO!$I:$I,A$3,CONSOLIDADO!$I:$I,A$4,CONSOLIDADO!$K:$K,"&lt;&gt;NOVO")</f>
        <v>23</v>
      </c>
      <c r="C73" s="77">
        <f>SUMIFS(CONSOLIDADO!$F:$F,CONSOLIDADO!$E:$E,$A73,CONSOLIDADO!$I:$I,B$3,CONSOLIDADO!$I:$I,B$4,CONSOLIDADO!$K:$K,"&lt;&gt;NOVO")</f>
        <v>15</v>
      </c>
      <c r="D73" s="77">
        <f>SUMIFS(CONSOLIDADO!$F:$F,CONSOLIDADO!$E:$E,$A73,CONSOLIDADO!$I:$I,C$3,CONSOLIDADO!$I:$I,C$4,CONSOLIDADO!$K:$K,"&lt;&gt;NOVO")</f>
        <v>3</v>
      </c>
      <c r="E73" s="77">
        <f>SUMIFS(CONSOLIDADO!$F:$F,CONSOLIDADO!$E:$E,$A73,CONSOLIDADO!$I:$I,D$3,CONSOLIDADO!$I:$I,D$4,CONSOLIDADO!$K:$K,"&lt;&gt;NOVO")</f>
        <v>0</v>
      </c>
      <c r="F73" s="77">
        <f>SUMIFS(CONSOLIDADO!$F:$F,CONSOLIDADO!$E:$E,$A73,CONSOLIDADO!$I:$I,E$3,CONSOLIDADO!$I:$I,E$4,CONSOLIDADO!$K:$K,"&lt;&gt;NOVO")</f>
        <v>0</v>
      </c>
      <c r="G73" s="77">
        <f>SUMIFS(CONSOLIDADO!$F:$F,CONSOLIDADO!$E:$E,$A73,CONSOLIDADO!$I:$I,F$3,CONSOLIDADO!$I:$I,F$4,CONSOLIDADO!$K:$K,"&lt;&gt;NOVO")</f>
        <v>0</v>
      </c>
      <c r="H73" s="77">
        <f>SUMIFS(CONSOLIDADO!$F:$F,CONSOLIDADO!$E:$E,$A73,CONSOLIDADO!$I:$I,G$3,CONSOLIDADO!$I:$I,G$4,CONSOLIDADO!$K:$K,"&lt;&gt;NOVO")</f>
        <v>0</v>
      </c>
      <c r="I73" s="77">
        <f>SUMIFS(CONSOLIDADO!$F:$F,CONSOLIDADO!$E:$E,$A73,CONSOLIDADO!$I:$I,H$3,CONSOLIDADO!$I:$I,H$4,CONSOLIDADO!$K:$K,"&lt;&gt;NOVO")</f>
        <v>0</v>
      </c>
      <c r="J73" s="77">
        <f>SUMIFS(CONSOLIDADO!$F:$F,CONSOLIDADO!$E:$E,$A73,CONSOLIDADO!$I:$I,I$3,CONSOLIDADO!$I:$I,I$4,CONSOLIDADO!$K:$K,"&lt;&gt;NOVO")</f>
        <v>0</v>
      </c>
      <c r="K73" s="77">
        <f>SUMIFS(CONSOLIDADO!$F:$F,CONSOLIDADO!$E:$E,$A73,CONSOLIDADO!$I:$I,J$3,CONSOLIDADO!$I:$I,J$4,CONSOLIDADO!$K:$K,"&lt;&gt;NOVO")</f>
        <v>0</v>
      </c>
      <c r="L73" s="77">
        <f>SUMIFS(CONSOLIDADO!$F:$F,CONSOLIDADO!$E:$E,$A73,CONSOLIDADO!$I:$I,K$3,CONSOLIDADO!$I:$I,K$4,CONSOLIDADO!$K:$K,"&lt;&gt;NOVO")</f>
        <v>0</v>
      </c>
      <c r="M73" s="77">
        <f>SUMIFS(CONSOLIDADO!$F:$F,CONSOLIDADO!$E:$E,$A73,CONSOLIDADO!$I:$I,L$3,CONSOLIDADO!$I:$I,L$4,CONSOLIDADO!$K:$K,"&lt;&gt;NOVO")</f>
        <v>0</v>
      </c>
      <c r="N73" s="79">
        <v>1861.15</v>
      </c>
      <c r="O73" s="78">
        <v>0.8</v>
      </c>
      <c r="P73" s="79">
        <f t="shared" si="4"/>
        <v>8561.2899999999991</v>
      </c>
      <c r="Q73" s="79">
        <f t="shared" si="4"/>
        <v>5583.45</v>
      </c>
      <c r="R73" s="79">
        <f t="shared" si="4"/>
        <v>1116.6899999999998</v>
      </c>
      <c r="S73" s="79">
        <f t="shared" si="3"/>
        <v>0</v>
      </c>
      <c r="T73" s="79">
        <f t="shared" si="3"/>
        <v>0</v>
      </c>
      <c r="U73" s="79">
        <f t="shared" si="3"/>
        <v>0</v>
      </c>
      <c r="V73" s="79">
        <f t="shared" si="3"/>
        <v>0</v>
      </c>
      <c r="W73" s="79">
        <f t="shared" si="3"/>
        <v>0</v>
      </c>
      <c r="X73" s="79">
        <f t="shared" si="3"/>
        <v>0</v>
      </c>
      <c r="Y73" s="79">
        <f t="shared" si="3"/>
        <v>0</v>
      </c>
      <c r="Z73" s="79">
        <f t="shared" si="3"/>
        <v>0</v>
      </c>
      <c r="AA73" s="79">
        <f t="shared" si="3"/>
        <v>0</v>
      </c>
      <c r="AB73" s="37"/>
    </row>
    <row r="74" spans="1:28" x14ac:dyDescent="0.25">
      <c r="A74" s="76" t="s">
        <v>81</v>
      </c>
      <c r="B74" s="77">
        <f>SUMIFS(CONSOLIDADO!$F:$F,CONSOLIDADO!$E:$E,$A74,CONSOLIDADO!$I:$I,A$3,CONSOLIDADO!$I:$I,A$4,CONSOLIDADO!$K:$K,"&lt;&gt;NOVO")</f>
        <v>4</v>
      </c>
      <c r="C74" s="77">
        <f>SUMIFS(CONSOLIDADO!$F:$F,CONSOLIDADO!$E:$E,$A74,CONSOLIDADO!$I:$I,B$3,CONSOLIDADO!$I:$I,B$4,CONSOLIDADO!$K:$K,"&lt;&gt;NOVO")</f>
        <v>1</v>
      </c>
      <c r="D74" s="77">
        <f>SUMIFS(CONSOLIDADO!$F:$F,CONSOLIDADO!$E:$E,$A74,CONSOLIDADO!$I:$I,C$3,CONSOLIDADO!$I:$I,C$4,CONSOLIDADO!$K:$K,"&lt;&gt;NOVO")</f>
        <v>2</v>
      </c>
      <c r="E74" s="77">
        <f>SUMIFS(CONSOLIDADO!$F:$F,CONSOLIDADO!$E:$E,$A74,CONSOLIDADO!$I:$I,D$3,CONSOLIDADO!$I:$I,D$4,CONSOLIDADO!$K:$K,"&lt;&gt;NOVO")</f>
        <v>0</v>
      </c>
      <c r="F74" s="77">
        <f>SUMIFS(CONSOLIDADO!$F:$F,CONSOLIDADO!$E:$E,$A74,CONSOLIDADO!$I:$I,E$3,CONSOLIDADO!$I:$I,E$4,CONSOLIDADO!$K:$K,"&lt;&gt;NOVO")</f>
        <v>0</v>
      </c>
      <c r="G74" s="77">
        <f>SUMIFS(CONSOLIDADO!$F:$F,CONSOLIDADO!$E:$E,$A74,CONSOLIDADO!$I:$I,F$3,CONSOLIDADO!$I:$I,F$4,CONSOLIDADO!$K:$K,"&lt;&gt;NOVO")</f>
        <v>0</v>
      </c>
      <c r="H74" s="77">
        <f>SUMIFS(CONSOLIDADO!$F:$F,CONSOLIDADO!$E:$E,$A74,CONSOLIDADO!$I:$I,G$3,CONSOLIDADO!$I:$I,G$4,CONSOLIDADO!$K:$K,"&lt;&gt;NOVO")</f>
        <v>0</v>
      </c>
      <c r="I74" s="77">
        <f>SUMIFS(CONSOLIDADO!$F:$F,CONSOLIDADO!$E:$E,$A74,CONSOLIDADO!$I:$I,H$3,CONSOLIDADO!$I:$I,H$4,CONSOLIDADO!$K:$K,"&lt;&gt;NOVO")</f>
        <v>0</v>
      </c>
      <c r="J74" s="77">
        <f>SUMIFS(CONSOLIDADO!$F:$F,CONSOLIDADO!$E:$E,$A74,CONSOLIDADO!$I:$I,I$3,CONSOLIDADO!$I:$I,I$4,CONSOLIDADO!$K:$K,"&lt;&gt;NOVO")</f>
        <v>0</v>
      </c>
      <c r="K74" s="77">
        <f>SUMIFS(CONSOLIDADO!$F:$F,CONSOLIDADO!$E:$E,$A74,CONSOLIDADO!$I:$I,J$3,CONSOLIDADO!$I:$I,J$4,CONSOLIDADO!$K:$K,"&lt;&gt;NOVO")</f>
        <v>0</v>
      </c>
      <c r="L74" s="77">
        <f>SUMIFS(CONSOLIDADO!$F:$F,CONSOLIDADO!$E:$E,$A74,CONSOLIDADO!$I:$I,K$3,CONSOLIDADO!$I:$I,K$4,CONSOLIDADO!$K:$K,"&lt;&gt;NOVO")</f>
        <v>0</v>
      </c>
      <c r="M74" s="77">
        <f>SUMIFS(CONSOLIDADO!$F:$F,CONSOLIDADO!$E:$E,$A74,CONSOLIDADO!$I:$I,L$3,CONSOLIDADO!$I:$I,L$4,CONSOLIDADO!$K:$K,"&lt;&gt;NOVO")</f>
        <v>0</v>
      </c>
      <c r="N74" s="79">
        <v>2600</v>
      </c>
      <c r="O74" s="78">
        <v>0.8</v>
      </c>
      <c r="P74" s="79">
        <f t="shared" si="4"/>
        <v>2079.9999999999995</v>
      </c>
      <c r="Q74" s="79">
        <f t="shared" si="4"/>
        <v>519.99999999999989</v>
      </c>
      <c r="R74" s="79">
        <f t="shared" si="4"/>
        <v>1039.9999999999998</v>
      </c>
      <c r="S74" s="79">
        <f t="shared" si="3"/>
        <v>0</v>
      </c>
      <c r="T74" s="79">
        <f t="shared" si="3"/>
        <v>0</v>
      </c>
      <c r="U74" s="79">
        <f t="shared" si="3"/>
        <v>0</v>
      </c>
      <c r="V74" s="79">
        <f t="shared" si="3"/>
        <v>0</v>
      </c>
      <c r="W74" s="79">
        <f t="shared" si="3"/>
        <v>0</v>
      </c>
      <c r="X74" s="79">
        <f t="shared" si="3"/>
        <v>0</v>
      </c>
      <c r="Y74" s="79">
        <f t="shared" si="3"/>
        <v>0</v>
      </c>
      <c r="Z74" s="79">
        <f t="shared" si="3"/>
        <v>0</v>
      </c>
      <c r="AA74" s="79">
        <f t="shared" si="3"/>
        <v>0</v>
      </c>
      <c r="AB74" s="37"/>
    </row>
    <row r="75" spans="1:28" x14ac:dyDescent="0.25">
      <c r="A75" s="76" t="s">
        <v>45</v>
      </c>
      <c r="B75" s="77">
        <f>SUMIFS(CONSOLIDADO!$F:$F,CONSOLIDADO!$E:$E,$A75,CONSOLIDADO!$I:$I,A$3,CONSOLIDADO!$I:$I,A$4,CONSOLIDADO!$K:$K,"&lt;&gt;NOVO")</f>
        <v>14</v>
      </c>
      <c r="C75" s="77">
        <f>SUMIFS(CONSOLIDADO!$F:$F,CONSOLIDADO!$E:$E,$A75,CONSOLIDADO!$I:$I,B$3,CONSOLIDADO!$I:$I,B$4,CONSOLIDADO!$K:$K,"&lt;&gt;NOVO")</f>
        <v>26</v>
      </c>
      <c r="D75" s="77">
        <f>SUMIFS(CONSOLIDADO!$F:$F,CONSOLIDADO!$E:$E,$A75,CONSOLIDADO!$I:$I,C$3,CONSOLIDADO!$I:$I,C$4,CONSOLIDADO!$K:$K,"&lt;&gt;NOVO")</f>
        <v>42</v>
      </c>
      <c r="E75" s="77">
        <f>SUMIFS(CONSOLIDADO!$F:$F,CONSOLIDADO!$E:$E,$A75,CONSOLIDADO!$I:$I,D$3,CONSOLIDADO!$I:$I,D$4,CONSOLIDADO!$K:$K,"&lt;&gt;NOVO")</f>
        <v>0</v>
      </c>
      <c r="F75" s="77">
        <f>SUMIFS(CONSOLIDADO!$F:$F,CONSOLIDADO!$E:$E,$A75,CONSOLIDADO!$I:$I,E$3,CONSOLIDADO!$I:$I,E$4,CONSOLIDADO!$K:$K,"&lt;&gt;NOVO")</f>
        <v>0</v>
      </c>
      <c r="G75" s="77">
        <f>SUMIFS(CONSOLIDADO!$F:$F,CONSOLIDADO!$E:$E,$A75,CONSOLIDADO!$I:$I,F$3,CONSOLIDADO!$I:$I,F$4,CONSOLIDADO!$K:$K,"&lt;&gt;NOVO")</f>
        <v>0</v>
      </c>
      <c r="H75" s="77">
        <f>SUMIFS(CONSOLIDADO!$F:$F,CONSOLIDADO!$E:$E,$A75,CONSOLIDADO!$I:$I,G$3,CONSOLIDADO!$I:$I,G$4,CONSOLIDADO!$K:$K,"&lt;&gt;NOVO")</f>
        <v>0</v>
      </c>
      <c r="I75" s="77">
        <f>SUMIFS(CONSOLIDADO!$F:$F,CONSOLIDADO!$E:$E,$A75,CONSOLIDADO!$I:$I,H$3,CONSOLIDADO!$I:$I,H$4,CONSOLIDADO!$K:$K,"&lt;&gt;NOVO")</f>
        <v>0</v>
      </c>
      <c r="J75" s="77">
        <f>SUMIFS(CONSOLIDADO!$F:$F,CONSOLIDADO!$E:$E,$A75,CONSOLIDADO!$I:$I,I$3,CONSOLIDADO!$I:$I,I$4,CONSOLIDADO!$K:$K,"&lt;&gt;NOVO")</f>
        <v>0</v>
      </c>
      <c r="K75" s="77">
        <f>SUMIFS(CONSOLIDADO!$F:$F,CONSOLIDADO!$E:$E,$A75,CONSOLIDADO!$I:$I,J$3,CONSOLIDADO!$I:$I,J$4,CONSOLIDADO!$K:$K,"&lt;&gt;NOVO")</f>
        <v>0</v>
      </c>
      <c r="L75" s="77">
        <f>SUMIFS(CONSOLIDADO!$F:$F,CONSOLIDADO!$E:$E,$A75,CONSOLIDADO!$I:$I,K$3,CONSOLIDADO!$I:$I,K$4,CONSOLIDADO!$K:$K,"&lt;&gt;NOVO")</f>
        <v>0</v>
      </c>
      <c r="M75" s="77">
        <f>SUMIFS(CONSOLIDADO!$F:$F,CONSOLIDADO!$E:$E,$A75,CONSOLIDADO!$I:$I,L$3,CONSOLIDADO!$I:$I,L$4,CONSOLIDADO!$K:$K,"&lt;&gt;NOVO")</f>
        <v>1</v>
      </c>
      <c r="N75" s="79">
        <v>1861.15</v>
      </c>
      <c r="O75" s="78">
        <v>0.8</v>
      </c>
      <c r="P75" s="79">
        <f t="shared" si="4"/>
        <v>5211.2199999999993</v>
      </c>
      <c r="Q75" s="79">
        <f t="shared" si="4"/>
        <v>9677.98</v>
      </c>
      <c r="R75" s="79">
        <f t="shared" si="4"/>
        <v>15633.659999999998</v>
      </c>
      <c r="S75" s="79">
        <f t="shared" si="3"/>
        <v>0</v>
      </c>
      <c r="T75" s="79">
        <f t="shared" si="3"/>
        <v>0</v>
      </c>
      <c r="U75" s="79">
        <f t="shared" si="3"/>
        <v>0</v>
      </c>
      <c r="V75" s="79">
        <f t="shared" si="3"/>
        <v>0</v>
      </c>
      <c r="W75" s="79">
        <f t="shared" si="3"/>
        <v>0</v>
      </c>
      <c r="X75" s="79">
        <f t="shared" si="3"/>
        <v>0</v>
      </c>
      <c r="Y75" s="79">
        <f t="shared" si="3"/>
        <v>0</v>
      </c>
      <c r="Z75" s="79">
        <f t="shared" si="3"/>
        <v>0</v>
      </c>
      <c r="AA75" s="79">
        <f t="shared" si="3"/>
        <v>372.22999999999996</v>
      </c>
      <c r="AB75" s="37"/>
    </row>
    <row r="76" spans="1:28" x14ac:dyDescent="0.25">
      <c r="A76" s="76" t="s">
        <v>126</v>
      </c>
      <c r="B76" s="77">
        <f>SUMIFS(CONSOLIDADO!$F:$F,CONSOLIDADO!$E:$E,$A76,CONSOLIDADO!$I:$I,A$3,CONSOLIDADO!$I:$I,A$4,CONSOLIDADO!$K:$K,"&lt;&gt;NOVO")</f>
        <v>1</v>
      </c>
      <c r="C76" s="77">
        <f>SUMIFS(CONSOLIDADO!$F:$F,CONSOLIDADO!$E:$E,$A76,CONSOLIDADO!$I:$I,B$3,CONSOLIDADO!$I:$I,B$4,CONSOLIDADO!$K:$K,"&lt;&gt;NOVO")</f>
        <v>1</v>
      </c>
      <c r="D76" s="77">
        <f>SUMIFS(CONSOLIDADO!$F:$F,CONSOLIDADO!$E:$E,$A76,CONSOLIDADO!$I:$I,C$3,CONSOLIDADO!$I:$I,C$4,CONSOLIDADO!$K:$K,"&lt;&gt;NOVO")</f>
        <v>3</v>
      </c>
      <c r="E76" s="77">
        <f>SUMIFS(CONSOLIDADO!$F:$F,CONSOLIDADO!$E:$E,$A76,CONSOLIDADO!$I:$I,D$3,CONSOLIDADO!$I:$I,D$4,CONSOLIDADO!$K:$K,"&lt;&gt;NOVO")</f>
        <v>0</v>
      </c>
      <c r="F76" s="77">
        <f>SUMIFS(CONSOLIDADO!$F:$F,CONSOLIDADO!$E:$E,$A76,CONSOLIDADO!$I:$I,E$3,CONSOLIDADO!$I:$I,E$4,CONSOLIDADO!$K:$K,"&lt;&gt;NOVO")</f>
        <v>0</v>
      </c>
      <c r="G76" s="77">
        <f>SUMIFS(CONSOLIDADO!$F:$F,CONSOLIDADO!$E:$E,$A76,CONSOLIDADO!$I:$I,F$3,CONSOLIDADO!$I:$I,F$4,CONSOLIDADO!$K:$K,"&lt;&gt;NOVO")</f>
        <v>0</v>
      </c>
      <c r="H76" s="77">
        <f>SUMIFS(CONSOLIDADO!$F:$F,CONSOLIDADO!$E:$E,$A76,CONSOLIDADO!$I:$I,G$3,CONSOLIDADO!$I:$I,G$4,CONSOLIDADO!$K:$K,"&lt;&gt;NOVO")</f>
        <v>0</v>
      </c>
      <c r="I76" s="77">
        <f>SUMIFS(CONSOLIDADO!$F:$F,CONSOLIDADO!$E:$E,$A76,CONSOLIDADO!$I:$I,H$3,CONSOLIDADO!$I:$I,H$4,CONSOLIDADO!$K:$K,"&lt;&gt;NOVO")</f>
        <v>0</v>
      </c>
      <c r="J76" s="77">
        <f>SUMIFS(CONSOLIDADO!$F:$F,CONSOLIDADO!$E:$E,$A76,CONSOLIDADO!$I:$I,I$3,CONSOLIDADO!$I:$I,I$4,CONSOLIDADO!$K:$K,"&lt;&gt;NOVO")</f>
        <v>0</v>
      </c>
      <c r="K76" s="77">
        <f>SUMIFS(CONSOLIDADO!$F:$F,CONSOLIDADO!$E:$E,$A76,CONSOLIDADO!$I:$I,J$3,CONSOLIDADO!$I:$I,J$4,CONSOLIDADO!$K:$K,"&lt;&gt;NOVO")</f>
        <v>0</v>
      </c>
      <c r="L76" s="77">
        <f>SUMIFS(CONSOLIDADO!$F:$F,CONSOLIDADO!$E:$E,$A76,CONSOLIDADO!$I:$I,K$3,CONSOLIDADO!$I:$I,K$4,CONSOLIDADO!$K:$K,"&lt;&gt;NOVO")</f>
        <v>0</v>
      </c>
      <c r="M76" s="77">
        <f>SUMIFS(CONSOLIDADO!$F:$F,CONSOLIDADO!$E:$E,$A76,CONSOLIDADO!$I:$I,L$3,CONSOLIDADO!$I:$I,L$4,CONSOLIDADO!$K:$K,"&lt;&gt;NOVO")</f>
        <v>0</v>
      </c>
      <c r="N76" s="79">
        <v>1000</v>
      </c>
      <c r="O76" s="78">
        <v>0.8</v>
      </c>
      <c r="P76" s="79">
        <f t="shared" si="4"/>
        <v>199.99999999999994</v>
      </c>
      <c r="Q76" s="79">
        <f t="shared" si="4"/>
        <v>199.99999999999994</v>
      </c>
      <c r="R76" s="79">
        <f t="shared" si="4"/>
        <v>599.99999999999977</v>
      </c>
      <c r="S76" s="79">
        <f t="shared" si="3"/>
        <v>0</v>
      </c>
      <c r="T76" s="79">
        <f t="shared" si="3"/>
        <v>0</v>
      </c>
      <c r="U76" s="79">
        <f t="shared" si="3"/>
        <v>0</v>
      </c>
      <c r="V76" s="79">
        <f t="shared" si="3"/>
        <v>0</v>
      </c>
      <c r="W76" s="79">
        <f t="shared" si="3"/>
        <v>0</v>
      </c>
      <c r="X76" s="79">
        <f t="shared" si="3"/>
        <v>0</v>
      </c>
      <c r="Y76" s="79">
        <f t="shared" si="3"/>
        <v>0</v>
      </c>
      <c r="Z76" s="79">
        <f t="shared" si="3"/>
        <v>0</v>
      </c>
      <c r="AA76" s="79">
        <f t="shared" si="3"/>
        <v>0</v>
      </c>
      <c r="AB76" s="37"/>
    </row>
    <row r="77" spans="1:28" x14ac:dyDescent="0.25">
      <c r="A77" t="s">
        <v>287</v>
      </c>
      <c r="B77" s="77">
        <f>SUMIFS(CONSOLIDADO!$F:$F,CONSOLIDADO!$E:$E,$A77,CONSOLIDADO!$I:$I,A$3,CONSOLIDADO!$I:$I,A$4,CONSOLIDADO!$K:$K,"&lt;&gt;NOVO")</f>
        <v>0</v>
      </c>
      <c r="C77" s="77">
        <f>SUMIFS(CONSOLIDADO!$F:$F,CONSOLIDADO!$E:$E,$A77,CONSOLIDADO!$I:$I,B$3,CONSOLIDADO!$I:$I,B$4,CONSOLIDADO!$K:$K,"&lt;&gt;NOVO")</f>
        <v>0</v>
      </c>
      <c r="D77" s="77">
        <f>SUMIFS(CONSOLIDADO!$F:$F,CONSOLIDADO!$E:$E,$A77,CONSOLIDADO!$I:$I,C$3,CONSOLIDADO!$I:$I,C$4,CONSOLIDADO!$K:$K,"&lt;&gt;NOVO")</f>
        <v>2</v>
      </c>
      <c r="E77" s="77">
        <f>SUMIFS(CONSOLIDADO!$F:$F,CONSOLIDADO!$E:$E,$A77,CONSOLIDADO!$I:$I,D$3,CONSOLIDADO!$I:$I,D$4,CONSOLIDADO!$K:$K,"&lt;&gt;NOVO")</f>
        <v>0</v>
      </c>
      <c r="F77" s="77">
        <f>SUMIFS(CONSOLIDADO!$F:$F,CONSOLIDADO!$E:$E,$A77,CONSOLIDADO!$I:$I,E$3,CONSOLIDADO!$I:$I,E$4,CONSOLIDADO!$K:$K,"&lt;&gt;NOVO")</f>
        <v>0</v>
      </c>
      <c r="G77" s="77">
        <f>SUMIFS(CONSOLIDADO!$F:$F,CONSOLIDADO!$E:$E,$A77,CONSOLIDADO!$I:$I,F$3,CONSOLIDADO!$I:$I,F$4,CONSOLIDADO!$K:$K,"&lt;&gt;NOVO")</f>
        <v>0</v>
      </c>
      <c r="H77" s="77">
        <f>SUMIFS(CONSOLIDADO!$F:$F,CONSOLIDADO!$E:$E,$A77,CONSOLIDADO!$I:$I,G$3,CONSOLIDADO!$I:$I,G$4,CONSOLIDADO!$K:$K,"&lt;&gt;NOVO")</f>
        <v>0</v>
      </c>
      <c r="I77" s="77">
        <f>SUMIFS(CONSOLIDADO!$F:$F,CONSOLIDADO!$E:$E,$A77,CONSOLIDADO!$I:$I,H$3,CONSOLIDADO!$I:$I,H$4,CONSOLIDADO!$K:$K,"&lt;&gt;NOVO")</f>
        <v>0</v>
      </c>
      <c r="J77" s="77">
        <f>SUMIFS(CONSOLIDADO!$F:$F,CONSOLIDADO!$E:$E,$A77,CONSOLIDADO!$I:$I,I$3,CONSOLIDADO!$I:$I,I$4,CONSOLIDADO!$K:$K,"&lt;&gt;NOVO")</f>
        <v>0</v>
      </c>
      <c r="K77" s="77">
        <f>SUMIFS(CONSOLIDADO!$F:$F,CONSOLIDADO!$E:$E,$A77,CONSOLIDADO!$I:$I,J$3,CONSOLIDADO!$I:$I,J$4,CONSOLIDADO!$K:$K,"&lt;&gt;NOVO")</f>
        <v>0</v>
      </c>
      <c r="L77" s="77">
        <f>SUMIFS(CONSOLIDADO!$F:$F,CONSOLIDADO!$E:$E,$A77,CONSOLIDADO!$I:$I,K$3,CONSOLIDADO!$I:$I,K$4,CONSOLIDADO!$K:$K,"&lt;&gt;NOVO")</f>
        <v>0</v>
      </c>
      <c r="M77" s="77">
        <f>SUMIFS(CONSOLIDADO!$F:$F,CONSOLIDADO!$E:$E,$A77,CONSOLIDADO!$I:$I,L$3,CONSOLIDADO!$I:$I,L$4,CONSOLIDADO!$K:$K,"&lt;&gt;NOVO")</f>
        <v>0</v>
      </c>
      <c r="N77" s="79">
        <v>1000</v>
      </c>
      <c r="O77" s="78">
        <v>0.8</v>
      </c>
      <c r="P77" s="79">
        <f t="shared" si="4"/>
        <v>0</v>
      </c>
      <c r="Q77" s="79">
        <f t="shared" si="4"/>
        <v>0</v>
      </c>
      <c r="R77" s="79">
        <f t="shared" si="4"/>
        <v>399.99999999999989</v>
      </c>
      <c r="S77" s="79">
        <f t="shared" si="3"/>
        <v>0</v>
      </c>
      <c r="T77" s="79">
        <f t="shared" si="3"/>
        <v>0</v>
      </c>
      <c r="U77" s="79">
        <f t="shared" si="3"/>
        <v>0</v>
      </c>
      <c r="V77" s="79">
        <f t="shared" si="3"/>
        <v>0</v>
      </c>
      <c r="W77" s="79">
        <f t="shared" si="3"/>
        <v>0</v>
      </c>
      <c r="X77" s="79">
        <f t="shared" si="3"/>
        <v>0</v>
      </c>
      <c r="Y77" s="79">
        <f t="shared" si="3"/>
        <v>0</v>
      </c>
      <c r="Z77" s="79">
        <f t="shared" si="3"/>
        <v>0</v>
      </c>
      <c r="AA77" s="79">
        <f t="shared" si="3"/>
        <v>0</v>
      </c>
      <c r="AB77" s="37"/>
    </row>
    <row r="78" spans="1:28" x14ac:dyDescent="0.25">
      <c r="A78" t="s">
        <v>73</v>
      </c>
      <c r="B78" s="77">
        <f>SUMIFS(CONSOLIDADO!$F:$F,CONSOLIDADO!$E:$E,$A78,CONSOLIDADO!$I:$I,A$3,CONSOLIDADO!$I:$I,A$4,CONSOLIDADO!$K:$K,"&lt;&gt;NOVO")</f>
        <v>0</v>
      </c>
      <c r="C78" s="77">
        <f>SUMIFS(CONSOLIDADO!$F:$F,CONSOLIDADO!$E:$E,$A78,CONSOLIDADO!$I:$I,B$3,CONSOLIDADO!$I:$I,B$4,CONSOLIDADO!$K:$K,"&lt;&gt;NOVO")</f>
        <v>0</v>
      </c>
      <c r="D78" s="77">
        <f>SUMIFS(CONSOLIDADO!$F:$F,CONSOLIDADO!$E:$E,$A78,CONSOLIDADO!$I:$I,C$3,CONSOLIDADO!$I:$I,C$4,CONSOLIDADO!$K:$K,"&lt;&gt;NOVO")</f>
        <v>0</v>
      </c>
      <c r="E78" s="77">
        <f>SUMIFS(CONSOLIDADO!$F:$F,CONSOLIDADO!$E:$E,$A78,CONSOLIDADO!$I:$I,D$3,CONSOLIDADO!$I:$I,D$4,CONSOLIDADO!$K:$K,"&lt;&gt;NOVO")</f>
        <v>0</v>
      </c>
      <c r="F78" s="77">
        <f>SUMIFS(CONSOLIDADO!$F:$F,CONSOLIDADO!$E:$E,$A78,CONSOLIDADO!$I:$I,E$3,CONSOLIDADO!$I:$I,E$4,CONSOLIDADO!$K:$K,"&lt;&gt;NOVO")</f>
        <v>0</v>
      </c>
      <c r="G78" s="77">
        <f>SUMIFS(CONSOLIDADO!$F:$F,CONSOLIDADO!$E:$E,$A78,CONSOLIDADO!$I:$I,F$3,CONSOLIDADO!$I:$I,F$4,CONSOLIDADO!$K:$K,"&lt;&gt;NOVO")</f>
        <v>0</v>
      </c>
      <c r="H78" s="77">
        <f>SUMIFS(CONSOLIDADO!$F:$F,CONSOLIDADO!$E:$E,$A78,CONSOLIDADO!$I:$I,G$3,CONSOLIDADO!$I:$I,G$4,CONSOLIDADO!$K:$K,"&lt;&gt;NOVO")</f>
        <v>0</v>
      </c>
      <c r="I78" s="77">
        <f>SUMIFS(CONSOLIDADO!$F:$F,CONSOLIDADO!$E:$E,$A78,CONSOLIDADO!$I:$I,H$3,CONSOLIDADO!$I:$I,H$4,CONSOLIDADO!$K:$K,"&lt;&gt;NOVO")</f>
        <v>0</v>
      </c>
      <c r="J78" s="77">
        <f>SUMIFS(CONSOLIDADO!$F:$F,CONSOLIDADO!$E:$E,$A78,CONSOLIDADO!$I:$I,I$3,CONSOLIDADO!$I:$I,I$4,CONSOLIDADO!$K:$K,"&lt;&gt;NOVO")</f>
        <v>0</v>
      </c>
      <c r="K78" s="77">
        <f>SUMIFS(CONSOLIDADO!$F:$F,CONSOLIDADO!$E:$E,$A78,CONSOLIDADO!$I:$I,J$3,CONSOLIDADO!$I:$I,J$4,CONSOLIDADO!$K:$K,"&lt;&gt;NOVO")</f>
        <v>0</v>
      </c>
      <c r="L78" s="77">
        <f>SUMIFS(CONSOLIDADO!$F:$F,CONSOLIDADO!$E:$E,$A78,CONSOLIDADO!$I:$I,K$3,CONSOLIDADO!$I:$I,K$4,CONSOLIDADO!$K:$K,"&lt;&gt;NOVO")</f>
        <v>0</v>
      </c>
      <c r="M78" s="77">
        <f>SUMIFS(CONSOLIDADO!$F:$F,CONSOLIDADO!$E:$E,$A78,CONSOLIDADO!$I:$I,L$3,CONSOLIDADO!$I:$I,L$4,CONSOLIDADO!$K:$K,"&lt;&gt;NOVO")</f>
        <v>0</v>
      </c>
      <c r="N78" s="79">
        <v>500</v>
      </c>
      <c r="O78" s="78">
        <v>0.8</v>
      </c>
      <c r="P78" s="79">
        <f t="shared" si="4"/>
        <v>0</v>
      </c>
      <c r="Q78" s="79">
        <f t="shared" si="4"/>
        <v>0</v>
      </c>
      <c r="R78" s="79">
        <f t="shared" si="4"/>
        <v>0</v>
      </c>
      <c r="S78" s="79">
        <f t="shared" si="3"/>
        <v>0</v>
      </c>
      <c r="T78" s="79">
        <f t="shared" si="3"/>
        <v>0</v>
      </c>
      <c r="U78" s="79">
        <f t="shared" si="3"/>
        <v>0</v>
      </c>
      <c r="V78" s="79">
        <f t="shared" si="3"/>
        <v>0</v>
      </c>
      <c r="W78" s="79">
        <f t="shared" si="3"/>
        <v>0</v>
      </c>
      <c r="X78" s="79">
        <f t="shared" si="3"/>
        <v>0</v>
      </c>
      <c r="Y78" s="79">
        <f t="shared" si="3"/>
        <v>0</v>
      </c>
      <c r="Z78" s="79">
        <f t="shared" si="3"/>
        <v>0</v>
      </c>
      <c r="AA78" s="79">
        <f t="shared" si="3"/>
        <v>0</v>
      </c>
      <c r="AB78" s="37"/>
    </row>
    <row r="79" spans="1:28" x14ac:dyDescent="0.25">
      <c r="A79" s="76" t="s">
        <v>156</v>
      </c>
      <c r="B79" s="77">
        <f>SUMIFS(CONSOLIDADO!$F:$F,CONSOLIDADO!$E:$E,$A79,CONSOLIDADO!$I:$I,A$3,CONSOLIDADO!$I:$I,A$4,CONSOLIDADO!$K:$K,"&lt;&gt;NOVO")</f>
        <v>0</v>
      </c>
      <c r="C79" s="77">
        <f>SUMIFS(CONSOLIDADO!$F:$F,CONSOLIDADO!$E:$E,$A79,CONSOLIDADO!$I:$I,B$3,CONSOLIDADO!$I:$I,B$4,CONSOLIDADO!$K:$K,"&lt;&gt;NOVO")</f>
        <v>3</v>
      </c>
      <c r="D79" s="77">
        <f>SUMIFS(CONSOLIDADO!$F:$F,CONSOLIDADO!$E:$E,$A79,CONSOLIDADO!$I:$I,C$3,CONSOLIDADO!$I:$I,C$4,CONSOLIDADO!$K:$K,"&lt;&gt;NOVO")</f>
        <v>1</v>
      </c>
      <c r="E79" s="77">
        <f>SUMIFS(CONSOLIDADO!$F:$F,CONSOLIDADO!$E:$E,$A79,CONSOLIDADO!$I:$I,D$3,CONSOLIDADO!$I:$I,D$4,CONSOLIDADO!$K:$K,"&lt;&gt;NOVO")</f>
        <v>0</v>
      </c>
      <c r="F79" s="77">
        <f>SUMIFS(CONSOLIDADO!$F:$F,CONSOLIDADO!$E:$E,$A79,CONSOLIDADO!$I:$I,E$3,CONSOLIDADO!$I:$I,E$4,CONSOLIDADO!$K:$K,"&lt;&gt;NOVO")</f>
        <v>0</v>
      </c>
      <c r="G79" s="77">
        <f>SUMIFS(CONSOLIDADO!$F:$F,CONSOLIDADO!$E:$E,$A79,CONSOLIDADO!$I:$I,F$3,CONSOLIDADO!$I:$I,F$4,CONSOLIDADO!$K:$K,"&lt;&gt;NOVO")</f>
        <v>0</v>
      </c>
      <c r="H79" s="77">
        <f>SUMIFS(CONSOLIDADO!$F:$F,CONSOLIDADO!$E:$E,$A79,CONSOLIDADO!$I:$I,G$3,CONSOLIDADO!$I:$I,G$4,CONSOLIDADO!$K:$K,"&lt;&gt;NOVO")</f>
        <v>0</v>
      </c>
      <c r="I79" s="77">
        <f>SUMIFS(CONSOLIDADO!$F:$F,CONSOLIDADO!$E:$E,$A79,CONSOLIDADO!$I:$I,H$3,CONSOLIDADO!$I:$I,H$4,CONSOLIDADO!$K:$K,"&lt;&gt;NOVO")</f>
        <v>0</v>
      </c>
      <c r="J79" s="77">
        <f>SUMIFS(CONSOLIDADO!$F:$F,CONSOLIDADO!$E:$E,$A79,CONSOLIDADO!$I:$I,I$3,CONSOLIDADO!$I:$I,I$4,CONSOLIDADO!$K:$K,"&lt;&gt;NOVO")</f>
        <v>0</v>
      </c>
      <c r="K79" s="77">
        <f>SUMIFS(CONSOLIDADO!$F:$F,CONSOLIDADO!$E:$E,$A79,CONSOLIDADO!$I:$I,J$3,CONSOLIDADO!$I:$I,J$4,CONSOLIDADO!$K:$K,"&lt;&gt;NOVO")</f>
        <v>0</v>
      </c>
      <c r="L79" s="77">
        <f>SUMIFS(CONSOLIDADO!$F:$F,CONSOLIDADO!$E:$E,$A79,CONSOLIDADO!$I:$I,K$3,CONSOLIDADO!$I:$I,K$4,CONSOLIDADO!$K:$K,"&lt;&gt;NOVO")</f>
        <v>0</v>
      </c>
      <c r="M79" s="77">
        <f>SUMIFS(CONSOLIDADO!$F:$F,CONSOLIDADO!$E:$E,$A79,CONSOLIDADO!$I:$I,L$3,CONSOLIDADO!$I:$I,L$4,CONSOLIDADO!$K:$K,"&lt;&gt;NOVO")</f>
        <v>0</v>
      </c>
      <c r="N79" s="79">
        <v>2888.26</v>
      </c>
      <c r="O79" s="78">
        <v>0.8</v>
      </c>
      <c r="P79" s="79">
        <f t="shared" si="4"/>
        <v>0</v>
      </c>
      <c r="Q79" s="79">
        <f t="shared" si="4"/>
        <v>1732.9559999999997</v>
      </c>
      <c r="R79" s="79">
        <f t="shared" si="4"/>
        <v>577.65199999999993</v>
      </c>
      <c r="S79" s="79">
        <f t="shared" si="3"/>
        <v>0</v>
      </c>
      <c r="T79" s="79">
        <f t="shared" si="3"/>
        <v>0</v>
      </c>
      <c r="U79" s="79">
        <f t="shared" si="3"/>
        <v>0</v>
      </c>
      <c r="V79" s="79">
        <f t="shared" si="3"/>
        <v>0</v>
      </c>
      <c r="W79" s="79">
        <f t="shared" si="3"/>
        <v>0</v>
      </c>
      <c r="X79" s="79">
        <f t="shared" si="3"/>
        <v>0</v>
      </c>
      <c r="Y79" s="79">
        <f t="shared" si="3"/>
        <v>0</v>
      </c>
      <c r="Z79" s="79">
        <f t="shared" si="3"/>
        <v>0</v>
      </c>
      <c r="AA79" s="79">
        <f t="shared" si="3"/>
        <v>0</v>
      </c>
      <c r="AB79" s="37"/>
    </row>
    <row r="80" spans="1:28" x14ac:dyDescent="0.25">
      <c r="A80" t="s">
        <v>301</v>
      </c>
      <c r="B80" s="77">
        <f>SUMIFS(CONSOLIDADO!$F:$F,CONSOLIDADO!$E:$E,$A80,CONSOLIDADO!$I:$I,A$3,CONSOLIDADO!$I:$I,A$4,CONSOLIDADO!$K:$K,"&lt;&gt;NOVO")</f>
        <v>0</v>
      </c>
      <c r="C80" s="77">
        <f>SUMIFS(CONSOLIDADO!$F:$F,CONSOLIDADO!$E:$E,$A80,CONSOLIDADO!$I:$I,B$3,CONSOLIDADO!$I:$I,B$4,CONSOLIDADO!$K:$K,"&lt;&gt;NOVO")</f>
        <v>0</v>
      </c>
      <c r="D80" s="77">
        <f>SUMIFS(CONSOLIDADO!$F:$F,CONSOLIDADO!$E:$E,$A80,CONSOLIDADO!$I:$I,C$3,CONSOLIDADO!$I:$I,C$4,CONSOLIDADO!$K:$K,"&lt;&gt;NOVO")</f>
        <v>0</v>
      </c>
      <c r="E80" s="77">
        <f>SUMIFS(CONSOLIDADO!$F:$F,CONSOLIDADO!$E:$E,$A80,CONSOLIDADO!$I:$I,D$3,CONSOLIDADO!$I:$I,D$4,CONSOLIDADO!$K:$K,"&lt;&gt;NOVO")</f>
        <v>0</v>
      </c>
      <c r="F80" s="77">
        <f>SUMIFS(CONSOLIDADO!$F:$F,CONSOLIDADO!$E:$E,$A80,CONSOLIDADO!$I:$I,E$3,CONSOLIDADO!$I:$I,E$4,CONSOLIDADO!$K:$K,"&lt;&gt;NOVO")</f>
        <v>0</v>
      </c>
      <c r="G80" s="77">
        <f>SUMIFS(CONSOLIDADO!$F:$F,CONSOLIDADO!$E:$E,$A80,CONSOLIDADO!$I:$I,F$3,CONSOLIDADO!$I:$I,F$4,CONSOLIDADO!$K:$K,"&lt;&gt;NOVO")</f>
        <v>0</v>
      </c>
      <c r="H80" s="77">
        <f>SUMIFS(CONSOLIDADO!$F:$F,CONSOLIDADO!$E:$E,$A80,CONSOLIDADO!$I:$I,G$3,CONSOLIDADO!$I:$I,G$4,CONSOLIDADO!$K:$K,"&lt;&gt;NOVO")</f>
        <v>0</v>
      </c>
      <c r="I80" s="77">
        <f>SUMIFS(CONSOLIDADO!$F:$F,CONSOLIDADO!$E:$E,$A80,CONSOLIDADO!$I:$I,H$3,CONSOLIDADO!$I:$I,H$4,CONSOLIDADO!$K:$K,"&lt;&gt;NOVO")</f>
        <v>0</v>
      </c>
      <c r="J80" s="77">
        <f>SUMIFS(CONSOLIDADO!$F:$F,CONSOLIDADO!$E:$E,$A80,CONSOLIDADO!$I:$I,I$3,CONSOLIDADO!$I:$I,I$4,CONSOLIDADO!$K:$K,"&lt;&gt;NOVO")</f>
        <v>0</v>
      </c>
      <c r="K80" s="77">
        <f>SUMIFS(CONSOLIDADO!$F:$F,CONSOLIDADO!$E:$E,$A80,CONSOLIDADO!$I:$I,J$3,CONSOLIDADO!$I:$I,J$4,CONSOLIDADO!$K:$K,"&lt;&gt;NOVO")</f>
        <v>0</v>
      </c>
      <c r="L80" s="77">
        <f>SUMIFS(CONSOLIDADO!$F:$F,CONSOLIDADO!$E:$E,$A80,CONSOLIDADO!$I:$I,K$3,CONSOLIDADO!$I:$I,K$4,CONSOLIDADO!$K:$K,"&lt;&gt;NOVO")</f>
        <v>0</v>
      </c>
      <c r="M80" s="77">
        <f>SUMIFS(CONSOLIDADO!$F:$F,CONSOLIDADO!$E:$E,$A80,CONSOLIDADO!$I:$I,L$3,CONSOLIDADO!$I:$I,L$4,CONSOLIDADO!$K:$K,"&lt;&gt;NOVO")</f>
        <v>0</v>
      </c>
      <c r="N80" s="79">
        <v>600</v>
      </c>
      <c r="O80" s="78">
        <v>0.8</v>
      </c>
      <c r="P80" s="79">
        <f t="shared" si="4"/>
        <v>0</v>
      </c>
      <c r="Q80" s="79">
        <f t="shared" si="4"/>
        <v>0</v>
      </c>
      <c r="R80" s="79">
        <f t="shared" si="4"/>
        <v>0</v>
      </c>
      <c r="S80" s="79">
        <f t="shared" si="3"/>
        <v>0</v>
      </c>
      <c r="T80" s="79">
        <f t="shared" si="3"/>
        <v>0</v>
      </c>
      <c r="U80" s="79">
        <f t="shared" si="3"/>
        <v>0</v>
      </c>
      <c r="V80" s="79">
        <f t="shared" si="3"/>
        <v>0</v>
      </c>
      <c r="W80" s="79">
        <f t="shared" si="3"/>
        <v>0</v>
      </c>
      <c r="X80" s="79">
        <f t="shared" si="3"/>
        <v>0</v>
      </c>
      <c r="Y80" s="79">
        <f t="shared" si="3"/>
        <v>0</v>
      </c>
      <c r="Z80" s="79">
        <f t="shared" si="3"/>
        <v>0</v>
      </c>
      <c r="AA80" s="79">
        <f t="shared" si="3"/>
        <v>0</v>
      </c>
      <c r="AB80" s="37"/>
    </row>
    <row r="81" spans="1:28" x14ac:dyDescent="0.25">
      <c r="A81" s="76" t="s">
        <v>477</v>
      </c>
      <c r="B81" s="77">
        <f>SUMIFS(CONSOLIDADO!$F:$F,CONSOLIDADO!$E:$E,$A81,CONSOLIDADO!$I:$I,A$3,CONSOLIDADO!$I:$I,A$4,CONSOLIDADO!$K:$K,"&lt;&gt;NOVO")</f>
        <v>0</v>
      </c>
      <c r="C81" s="77">
        <f>SUMIFS(CONSOLIDADO!$F:$F,CONSOLIDADO!$E:$E,$A81,CONSOLIDADO!$I:$I,B$3,CONSOLIDADO!$I:$I,B$4,CONSOLIDADO!$K:$K,"&lt;&gt;NOVO")</f>
        <v>0</v>
      </c>
      <c r="D81" s="77">
        <f>SUMIFS(CONSOLIDADO!$F:$F,CONSOLIDADO!$E:$E,$A81,CONSOLIDADO!$I:$I,C$3,CONSOLIDADO!$I:$I,C$4,CONSOLIDADO!$K:$K,"&lt;&gt;NOVO")</f>
        <v>0</v>
      </c>
      <c r="E81" s="77">
        <f>SUMIFS(CONSOLIDADO!$F:$F,CONSOLIDADO!$E:$E,$A81,CONSOLIDADO!$I:$I,D$3,CONSOLIDADO!$I:$I,D$4,CONSOLIDADO!$K:$K,"&lt;&gt;NOVO")</f>
        <v>0</v>
      </c>
      <c r="F81" s="77">
        <f>SUMIFS(CONSOLIDADO!$F:$F,CONSOLIDADO!$E:$E,$A81,CONSOLIDADO!$I:$I,E$3,CONSOLIDADO!$I:$I,E$4,CONSOLIDADO!$K:$K,"&lt;&gt;NOVO")</f>
        <v>0</v>
      </c>
      <c r="G81" s="77">
        <f>SUMIFS(CONSOLIDADO!$F:$F,CONSOLIDADO!$E:$E,$A81,CONSOLIDADO!$I:$I,F$3,CONSOLIDADO!$I:$I,F$4,CONSOLIDADO!$K:$K,"&lt;&gt;NOVO")</f>
        <v>0</v>
      </c>
      <c r="H81" s="77">
        <f>SUMIFS(CONSOLIDADO!$F:$F,CONSOLIDADO!$E:$E,$A81,CONSOLIDADO!$I:$I,G$3,CONSOLIDADO!$I:$I,G$4,CONSOLIDADO!$K:$K,"&lt;&gt;NOVO")</f>
        <v>0</v>
      </c>
      <c r="I81" s="77">
        <f>SUMIFS(CONSOLIDADO!$F:$F,CONSOLIDADO!$E:$E,$A81,CONSOLIDADO!$I:$I,H$3,CONSOLIDADO!$I:$I,H$4,CONSOLIDADO!$K:$K,"&lt;&gt;NOVO")</f>
        <v>0</v>
      </c>
      <c r="J81" s="77">
        <f>SUMIFS(CONSOLIDADO!$F:$F,CONSOLIDADO!$E:$E,$A81,CONSOLIDADO!$I:$I,I$3,CONSOLIDADO!$I:$I,I$4,CONSOLIDADO!$K:$K,"&lt;&gt;NOVO")</f>
        <v>0</v>
      </c>
      <c r="K81" s="77">
        <f>SUMIFS(CONSOLIDADO!$F:$F,CONSOLIDADO!$E:$E,$A81,CONSOLIDADO!$I:$I,J$3,CONSOLIDADO!$I:$I,J$4,CONSOLIDADO!$K:$K,"&lt;&gt;NOVO")</f>
        <v>0</v>
      </c>
      <c r="L81" s="77">
        <f>SUMIFS(CONSOLIDADO!$F:$F,CONSOLIDADO!$E:$E,$A81,CONSOLIDADO!$I:$I,K$3,CONSOLIDADO!$I:$I,K$4,CONSOLIDADO!$K:$K,"&lt;&gt;NOVO")</f>
        <v>0</v>
      </c>
      <c r="M81" s="77">
        <f>SUMIFS(CONSOLIDADO!$F:$F,CONSOLIDADO!$E:$E,$A81,CONSOLIDADO!$I:$I,L$3,CONSOLIDADO!$I:$I,L$4,CONSOLIDADO!$K:$K,"&lt;&gt;NOVO")</f>
        <v>0</v>
      </c>
      <c r="N81" s="79">
        <v>5590.69</v>
      </c>
      <c r="O81" s="78">
        <v>0.8</v>
      </c>
      <c r="P81" s="79">
        <f t="shared" si="4"/>
        <v>0</v>
      </c>
      <c r="Q81" s="79">
        <f t="shared" si="4"/>
        <v>0</v>
      </c>
      <c r="R81" s="79">
        <f t="shared" si="4"/>
        <v>0</v>
      </c>
      <c r="S81" s="79">
        <f t="shared" si="3"/>
        <v>0</v>
      </c>
      <c r="T81" s="79">
        <f t="shared" si="3"/>
        <v>0</v>
      </c>
      <c r="U81" s="79">
        <f t="shared" si="3"/>
        <v>0</v>
      </c>
      <c r="V81" s="79">
        <f t="shared" si="3"/>
        <v>0</v>
      </c>
      <c r="W81" s="79">
        <f t="shared" si="3"/>
        <v>0</v>
      </c>
      <c r="X81" s="79">
        <f t="shared" si="3"/>
        <v>0</v>
      </c>
      <c r="Y81" s="79">
        <f t="shared" si="3"/>
        <v>0</v>
      </c>
      <c r="Z81" s="79">
        <f t="shared" si="3"/>
        <v>0</v>
      </c>
      <c r="AA81" s="79">
        <f t="shared" si="3"/>
        <v>0</v>
      </c>
      <c r="AB81" s="37"/>
    </row>
    <row r="82" spans="1:28" x14ac:dyDescent="0.25">
      <c r="A82" s="76" t="s">
        <v>478</v>
      </c>
      <c r="B82" s="77">
        <f>SUMIFS(CONSOLIDADO!$F:$F,CONSOLIDADO!$E:$E,$A82,CONSOLIDADO!$I:$I,A$3,CONSOLIDADO!$I:$I,A$4,CONSOLIDADO!$K:$K,"&lt;&gt;NOVO")</f>
        <v>0</v>
      </c>
      <c r="C82" s="77">
        <f>SUMIFS(CONSOLIDADO!$F:$F,CONSOLIDADO!$E:$E,$A82,CONSOLIDADO!$I:$I,B$3,CONSOLIDADO!$I:$I,B$4,CONSOLIDADO!$K:$K,"&lt;&gt;NOVO")</f>
        <v>0</v>
      </c>
      <c r="D82" s="77">
        <f>SUMIFS(CONSOLIDADO!$F:$F,CONSOLIDADO!$E:$E,$A82,CONSOLIDADO!$I:$I,C$3,CONSOLIDADO!$I:$I,C$4,CONSOLIDADO!$K:$K,"&lt;&gt;NOVO")</f>
        <v>0</v>
      </c>
      <c r="E82" s="77">
        <f>SUMIFS(CONSOLIDADO!$F:$F,CONSOLIDADO!$E:$E,$A82,CONSOLIDADO!$I:$I,D$3,CONSOLIDADO!$I:$I,D$4,CONSOLIDADO!$K:$K,"&lt;&gt;NOVO")</f>
        <v>0</v>
      </c>
      <c r="F82" s="77">
        <f>SUMIFS(CONSOLIDADO!$F:$F,CONSOLIDADO!$E:$E,$A82,CONSOLIDADO!$I:$I,E$3,CONSOLIDADO!$I:$I,E$4,CONSOLIDADO!$K:$K,"&lt;&gt;NOVO")</f>
        <v>0</v>
      </c>
      <c r="G82" s="77">
        <f>SUMIFS(CONSOLIDADO!$F:$F,CONSOLIDADO!$E:$E,$A82,CONSOLIDADO!$I:$I,F$3,CONSOLIDADO!$I:$I,F$4,CONSOLIDADO!$K:$K,"&lt;&gt;NOVO")</f>
        <v>0</v>
      </c>
      <c r="H82" s="77">
        <f>SUMIFS(CONSOLIDADO!$F:$F,CONSOLIDADO!$E:$E,$A82,CONSOLIDADO!$I:$I,G$3,CONSOLIDADO!$I:$I,G$4,CONSOLIDADO!$K:$K,"&lt;&gt;NOVO")</f>
        <v>0</v>
      </c>
      <c r="I82" s="77">
        <f>SUMIFS(CONSOLIDADO!$F:$F,CONSOLIDADO!$E:$E,$A82,CONSOLIDADO!$I:$I,H$3,CONSOLIDADO!$I:$I,H$4,CONSOLIDADO!$K:$K,"&lt;&gt;NOVO")</f>
        <v>0</v>
      </c>
      <c r="J82" s="77">
        <f>SUMIFS(CONSOLIDADO!$F:$F,CONSOLIDADO!$E:$E,$A82,CONSOLIDADO!$I:$I,I$3,CONSOLIDADO!$I:$I,I$4,CONSOLIDADO!$K:$K,"&lt;&gt;NOVO")</f>
        <v>0</v>
      </c>
      <c r="K82" s="77">
        <f>SUMIFS(CONSOLIDADO!$F:$F,CONSOLIDADO!$E:$E,$A82,CONSOLIDADO!$I:$I,J$3,CONSOLIDADO!$I:$I,J$4,CONSOLIDADO!$K:$K,"&lt;&gt;NOVO")</f>
        <v>0</v>
      </c>
      <c r="L82" s="77">
        <f>SUMIFS(CONSOLIDADO!$F:$F,CONSOLIDADO!$E:$E,$A82,CONSOLIDADO!$I:$I,K$3,CONSOLIDADO!$I:$I,K$4,CONSOLIDADO!$K:$K,"&lt;&gt;NOVO")</f>
        <v>0</v>
      </c>
      <c r="M82" s="77">
        <f>SUMIFS(CONSOLIDADO!$F:$F,CONSOLIDADO!$E:$E,$A82,CONSOLIDADO!$I:$I,L$3,CONSOLIDADO!$I:$I,L$4,CONSOLIDADO!$K:$K,"&lt;&gt;NOVO")</f>
        <v>0</v>
      </c>
      <c r="N82" s="79">
        <v>2317.94</v>
      </c>
      <c r="O82" s="78">
        <v>0.8</v>
      </c>
      <c r="P82" s="79">
        <f t="shared" si="4"/>
        <v>0</v>
      </c>
      <c r="Q82" s="79">
        <f t="shared" si="4"/>
        <v>0</v>
      </c>
      <c r="R82" s="79">
        <f t="shared" si="4"/>
        <v>0</v>
      </c>
      <c r="S82" s="79">
        <f t="shared" si="3"/>
        <v>0</v>
      </c>
      <c r="T82" s="79">
        <f t="shared" si="3"/>
        <v>0</v>
      </c>
      <c r="U82" s="79">
        <f t="shared" si="3"/>
        <v>0</v>
      </c>
      <c r="V82" s="79">
        <f t="shared" si="3"/>
        <v>0</v>
      </c>
      <c r="W82" s="79">
        <f t="shared" si="3"/>
        <v>0</v>
      </c>
      <c r="X82" s="79">
        <f t="shared" si="3"/>
        <v>0</v>
      </c>
      <c r="Y82" s="79">
        <f t="shared" si="3"/>
        <v>0</v>
      </c>
      <c r="Z82" s="79">
        <f t="shared" si="3"/>
        <v>0</v>
      </c>
      <c r="AA82" s="79">
        <f t="shared" si="3"/>
        <v>0</v>
      </c>
      <c r="AB82" s="37"/>
    </row>
    <row r="83" spans="1:28" x14ac:dyDescent="0.25">
      <c r="A83" s="76" t="s">
        <v>123</v>
      </c>
      <c r="B83" s="77">
        <f>SUMIFS(CONSOLIDADO!$F:$F,CONSOLIDADO!$E:$E,$A83,CONSOLIDADO!$I:$I,A$3,CONSOLIDADO!$I:$I,A$4,CONSOLIDADO!$K:$K,"&lt;&gt;NOVO")</f>
        <v>3</v>
      </c>
      <c r="C83" s="77">
        <f>SUMIFS(CONSOLIDADO!$F:$F,CONSOLIDADO!$E:$E,$A83,CONSOLIDADO!$I:$I,B$3,CONSOLIDADO!$I:$I,B$4,CONSOLIDADO!$K:$K,"&lt;&gt;NOVO")</f>
        <v>3</v>
      </c>
      <c r="D83" s="77">
        <f>SUMIFS(CONSOLIDADO!$F:$F,CONSOLIDADO!$E:$E,$A83,CONSOLIDADO!$I:$I,C$3,CONSOLIDADO!$I:$I,C$4,CONSOLIDADO!$K:$K,"&lt;&gt;NOVO")</f>
        <v>2</v>
      </c>
      <c r="E83" s="77">
        <f>SUMIFS(CONSOLIDADO!$F:$F,CONSOLIDADO!$E:$E,$A83,CONSOLIDADO!$I:$I,D$3,CONSOLIDADO!$I:$I,D$4,CONSOLIDADO!$K:$K,"&lt;&gt;NOVO")</f>
        <v>0</v>
      </c>
      <c r="F83" s="77">
        <f>SUMIFS(CONSOLIDADO!$F:$F,CONSOLIDADO!$E:$E,$A83,CONSOLIDADO!$I:$I,E$3,CONSOLIDADO!$I:$I,E$4,CONSOLIDADO!$K:$K,"&lt;&gt;NOVO")</f>
        <v>0</v>
      </c>
      <c r="G83" s="77">
        <f>SUMIFS(CONSOLIDADO!$F:$F,CONSOLIDADO!$E:$E,$A83,CONSOLIDADO!$I:$I,F$3,CONSOLIDADO!$I:$I,F$4,CONSOLIDADO!$K:$K,"&lt;&gt;NOVO")</f>
        <v>0</v>
      </c>
      <c r="H83" s="77">
        <f>SUMIFS(CONSOLIDADO!$F:$F,CONSOLIDADO!$E:$E,$A83,CONSOLIDADO!$I:$I,G$3,CONSOLIDADO!$I:$I,G$4,CONSOLIDADO!$K:$K,"&lt;&gt;NOVO")</f>
        <v>0</v>
      </c>
      <c r="I83" s="77">
        <f>SUMIFS(CONSOLIDADO!$F:$F,CONSOLIDADO!$E:$E,$A83,CONSOLIDADO!$I:$I,H$3,CONSOLIDADO!$I:$I,H$4,CONSOLIDADO!$K:$K,"&lt;&gt;NOVO")</f>
        <v>0</v>
      </c>
      <c r="J83" s="77">
        <f>SUMIFS(CONSOLIDADO!$F:$F,CONSOLIDADO!$E:$E,$A83,CONSOLIDADO!$I:$I,I$3,CONSOLIDADO!$I:$I,I$4,CONSOLIDADO!$K:$K,"&lt;&gt;NOVO")</f>
        <v>0</v>
      </c>
      <c r="K83" s="77">
        <f>SUMIFS(CONSOLIDADO!$F:$F,CONSOLIDADO!$E:$E,$A83,CONSOLIDADO!$I:$I,J$3,CONSOLIDADO!$I:$I,J$4,CONSOLIDADO!$K:$K,"&lt;&gt;NOVO")</f>
        <v>0</v>
      </c>
      <c r="L83" s="77">
        <f>SUMIFS(CONSOLIDADO!$F:$F,CONSOLIDADO!$E:$E,$A83,CONSOLIDADO!$I:$I,K$3,CONSOLIDADO!$I:$I,K$4,CONSOLIDADO!$K:$K,"&lt;&gt;NOVO")</f>
        <v>0</v>
      </c>
      <c r="M83" s="77">
        <f>SUMIFS(CONSOLIDADO!$F:$F,CONSOLIDADO!$E:$E,$A83,CONSOLIDADO!$I:$I,L$3,CONSOLIDADO!$I:$I,L$4,CONSOLIDADO!$K:$K,"&lt;&gt;NOVO")</f>
        <v>0</v>
      </c>
      <c r="N83" s="79">
        <v>4193.58</v>
      </c>
      <c r="O83" s="78">
        <v>0.8</v>
      </c>
      <c r="P83" s="79">
        <f t="shared" si="4"/>
        <v>2516.1479999999992</v>
      </c>
      <c r="Q83" s="79">
        <f t="shared" si="4"/>
        <v>2516.1479999999992</v>
      </c>
      <c r="R83" s="79">
        <f t="shared" si="4"/>
        <v>1677.4319999999996</v>
      </c>
      <c r="S83" s="79">
        <f t="shared" si="3"/>
        <v>0</v>
      </c>
      <c r="T83" s="79">
        <f t="shared" si="3"/>
        <v>0</v>
      </c>
      <c r="U83" s="79">
        <f t="shared" si="3"/>
        <v>0</v>
      </c>
      <c r="V83" s="79">
        <f t="shared" si="3"/>
        <v>0</v>
      </c>
      <c r="W83" s="79">
        <f t="shared" si="3"/>
        <v>0</v>
      </c>
      <c r="X83" s="79">
        <f t="shared" si="3"/>
        <v>0</v>
      </c>
      <c r="Y83" s="79">
        <f t="shared" si="3"/>
        <v>0</v>
      </c>
      <c r="Z83" s="79">
        <f t="shared" si="3"/>
        <v>0</v>
      </c>
      <c r="AA83" s="79">
        <f t="shared" si="3"/>
        <v>0</v>
      </c>
      <c r="AB83" s="37"/>
    </row>
    <row r="84" spans="1:28" x14ac:dyDescent="0.25">
      <c r="A84" s="76" t="s">
        <v>70</v>
      </c>
      <c r="B84" s="77">
        <f>SUMIFS(CONSOLIDADO!$F:$F,CONSOLIDADO!$E:$E,$A84,CONSOLIDADO!$I:$I,A$3,CONSOLIDADO!$I:$I,A$4,CONSOLIDADO!$K:$K,"&lt;&gt;NOVO")</f>
        <v>1</v>
      </c>
      <c r="C84" s="77">
        <f>SUMIFS(CONSOLIDADO!$F:$F,CONSOLIDADO!$E:$E,$A84,CONSOLIDADO!$I:$I,B$3,CONSOLIDADO!$I:$I,B$4,CONSOLIDADO!$K:$K,"&lt;&gt;NOVO")</f>
        <v>0</v>
      </c>
      <c r="D84" s="77">
        <f>SUMIFS(CONSOLIDADO!$F:$F,CONSOLIDADO!$E:$E,$A84,CONSOLIDADO!$I:$I,C$3,CONSOLIDADO!$I:$I,C$4,CONSOLIDADO!$K:$K,"&lt;&gt;NOVO")</f>
        <v>0</v>
      </c>
      <c r="E84" s="77">
        <f>SUMIFS(CONSOLIDADO!$F:$F,CONSOLIDADO!$E:$E,$A84,CONSOLIDADO!$I:$I,D$3,CONSOLIDADO!$I:$I,D$4,CONSOLIDADO!$K:$K,"&lt;&gt;NOVO")</f>
        <v>0</v>
      </c>
      <c r="F84" s="77">
        <f>SUMIFS(CONSOLIDADO!$F:$F,CONSOLIDADO!$E:$E,$A84,CONSOLIDADO!$I:$I,E$3,CONSOLIDADO!$I:$I,E$4,CONSOLIDADO!$K:$K,"&lt;&gt;NOVO")</f>
        <v>0</v>
      </c>
      <c r="G84" s="77">
        <f>SUMIFS(CONSOLIDADO!$F:$F,CONSOLIDADO!$E:$E,$A84,CONSOLIDADO!$I:$I,F$3,CONSOLIDADO!$I:$I,F$4,CONSOLIDADO!$K:$K,"&lt;&gt;NOVO")</f>
        <v>0</v>
      </c>
      <c r="H84" s="77">
        <f>SUMIFS(CONSOLIDADO!$F:$F,CONSOLIDADO!$E:$E,$A84,CONSOLIDADO!$I:$I,G$3,CONSOLIDADO!$I:$I,G$4,CONSOLIDADO!$K:$K,"&lt;&gt;NOVO")</f>
        <v>0</v>
      </c>
      <c r="I84" s="77">
        <f>SUMIFS(CONSOLIDADO!$F:$F,CONSOLIDADO!$E:$E,$A84,CONSOLIDADO!$I:$I,H$3,CONSOLIDADO!$I:$I,H$4,CONSOLIDADO!$K:$K,"&lt;&gt;NOVO")</f>
        <v>0</v>
      </c>
      <c r="J84" s="77">
        <f>SUMIFS(CONSOLIDADO!$F:$F,CONSOLIDADO!$E:$E,$A84,CONSOLIDADO!$I:$I,I$3,CONSOLIDADO!$I:$I,I$4,CONSOLIDADO!$K:$K,"&lt;&gt;NOVO")</f>
        <v>0</v>
      </c>
      <c r="K84" s="77">
        <f>SUMIFS(CONSOLIDADO!$F:$F,CONSOLIDADO!$E:$E,$A84,CONSOLIDADO!$I:$I,J$3,CONSOLIDADO!$I:$I,J$4,CONSOLIDADO!$K:$K,"&lt;&gt;NOVO")</f>
        <v>0</v>
      </c>
      <c r="L84" s="77">
        <f>SUMIFS(CONSOLIDADO!$F:$F,CONSOLIDADO!$E:$E,$A84,CONSOLIDADO!$I:$I,K$3,CONSOLIDADO!$I:$I,K$4,CONSOLIDADO!$K:$K,"&lt;&gt;NOVO")</f>
        <v>0</v>
      </c>
      <c r="M84" s="77">
        <f>SUMIFS(CONSOLIDADO!$F:$F,CONSOLIDADO!$E:$E,$A84,CONSOLIDADO!$I:$I,L$3,CONSOLIDADO!$I:$I,L$4,CONSOLIDADO!$K:$K,"&lt;&gt;NOVO")</f>
        <v>0</v>
      </c>
      <c r="N84" s="79">
        <v>250</v>
      </c>
      <c r="O84" s="78">
        <v>0.8</v>
      </c>
      <c r="P84" s="79">
        <f t="shared" si="4"/>
        <v>49.999999999999986</v>
      </c>
      <c r="Q84" s="79">
        <f t="shared" si="4"/>
        <v>0</v>
      </c>
      <c r="R84" s="79">
        <f t="shared" si="4"/>
        <v>0</v>
      </c>
      <c r="S84" s="79">
        <f t="shared" si="3"/>
        <v>0</v>
      </c>
      <c r="T84" s="79">
        <f t="shared" si="3"/>
        <v>0</v>
      </c>
      <c r="U84" s="79">
        <f t="shared" si="3"/>
        <v>0</v>
      </c>
      <c r="V84" s="79">
        <f t="shared" si="3"/>
        <v>0</v>
      </c>
      <c r="W84" s="79">
        <f t="shared" si="3"/>
        <v>0</v>
      </c>
      <c r="X84" s="79">
        <f t="shared" si="3"/>
        <v>0</v>
      </c>
      <c r="Y84" s="79">
        <f t="shared" si="3"/>
        <v>0</v>
      </c>
      <c r="Z84" s="79">
        <f t="shared" si="3"/>
        <v>0</v>
      </c>
      <c r="AA84" s="79">
        <f t="shared" si="3"/>
        <v>0</v>
      </c>
      <c r="AB84" s="37"/>
    </row>
    <row r="85" spans="1:28" x14ac:dyDescent="0.25">
      <c r="A85" t="s">
        <v>479</v>
      </c>
      <c r="B85" s="77">
        <f>SUMIFS(CONSOLIDADO!$F:$F,CONSOLIDADO!$E:$E,$A85,CONSOLIDADO!$I:$I,A$3,CONSOLIDADO!$I:$I,A$4,CONSOLIDADO!$K:$K,"&lt;&gt;NOVO")</f>
        <v>0</v>
      </c>
      <c r="C85" s="77">
        <f>SUMIFS(CONSOLIDADO!$F:$F,CONSOLIDADO!$E:$E,$A85,CONSOLIDADO!$I:$I,B$3,CONSOLIDADO!$I:$I,B$4,CONSOLIDADO!$K:$K,"&lt;&gt;NOVO")</f>
        <v>0</v>
      </c>
      <c r="D85" s="77">
        <f>SUMIFS(CONSOLIDADO!$F:$F,CONSOLIDADO!$E:$E,$A85,CONSOLIDADO!$I:$I,C$3,CONSOLIDADO!$I:$I,C$4,CONSOLIDADO!$K:$K,"&lt;&gt;NOVO")</f>
        <v>0</v>
      </c>
      <c r="E85" s="77">
        <f>SUMIFS(CONSOLIDADO!$F:$F,CONSOLIDADO!$E:$E,$A85,CONSOLIDADO!$I:$I,D$3,CONSOLIDADO!$I:$I,D$4,CONSOLIDADO!$K:$K,"&lt;&gt;NOVO")</f>
        <v>0</v>
      </c>
      <c r="F85" s="77">
        <f>SUMIFS(CONSOLIDADO!$F:$F,CONSOLIDADO!$E:$E,$A85,CONSOLIDADO!$I:$I,E$3,CONSOLIDADO!$I:$I,E$4,CONSOLIDADO!$K:$K,"&lt;&gt;NOVO")</f>
        <v>0</v>
      </c>
      <c r="G85" s="77">
        <f>SUMIFS(CONSOLIDADO!$F:$F,CONSOLIDADO!$E:$E,$A85,CONSOLIDADO!$I:$I,F$3,CONSOLIDADO!$I:$I,F$4,CONSOLIDADO!$K:$K,"&lt;&gt;NOVO")</f>
        <v>0</v>
      </c>
      <c r="H85" s="77">
        <f>SUMIFS(CONSOLIDADO!$F:$F,CONSOLIDADO!$E:$E,$A85,CONSOLIDADO!$I:$I,G$3,CONSOLIDADO!$I:$I,G$4,CONSOLIDADO!$K:$K,"&lt;&gt;NOVO")</f>
        <v>0</v>
      </c>
      <c r="I85" s="77">
        <f>SUMIFS(CONSOLIDADO!$F:$F,CONSOLIDADO!$E:$E,$A85,CONSOLIDADO!$I:$I,H$3,CONSOLIDADO!$I:$I,H$4,CONSOLIDADO!$K:$K,"&lt;&gt;NOVO")</f>
        <v>0</v>
      </c>
      <c r="J85" s="77">
        <f>SUMIFS(CONSOLIDADO!$F:$F,CONSOLIDADO!$E:$E,$A85,CONSOLIDADO!$I:$I,I$3,CONSOLIDADO!$I:$I,I$4,CONSOLIDADO!$K:$K,"&lt;&gt;NOVO")</f>
        <v>0</v>
      </c>
      <c r="K85" s="77">
        <f>SUMIFS(CONSOLIDADO!$F:$F,CONSOLIDADO!$E:$E,$A85,CONSOLIDADO!$I:$I,J$3,CONSOLIDADO!$I:$I,J$4,CONSOLIDADO!$K:$K,"&lt;&gt;NOVO")</f>
        <v>0</v>
      </c>
      <c r="L85" s="77">
        <f>SUMIFS(CONSOLIDADO!$F:$F,CONSOLIDADO!$E:$E,$A85,CONSOLIDADO!$I:$I,K$3,CONSOLIDADO!$I:$I,K$4,CONSOLIDADO!$K:$K,"&lt;&gt;NOVO")</f>
        <v>0</v>
      </c>
      <c r="M85" s="77">
        <f>SUMIFS(CONSOLIDADO!$F:$F,CONSOLIDADO!$E:$E,$A85,CONSOLIDADO!$I:$I,L$3,CONSOLIDADO!$I:$I,L$4,CONSOLIDADO!$K:$K,"&lt;&gt;NOVO")</f>
        <v>0</v>
      </c>
      <c r="N85" s="79">
        <v>250</v>
      </c>
      <c r="O85" s="78">
        <v>0.8</v>
      </c>
      <c r="P85" s="79">
        <f t="shared" si="4"/>
        <v>0</v>
      </c>
      <c r="Q85" s="79">
        <f t="shared" si="4"/>
        <v>0</v>
      </c>
      <c r="R85" s="79">
        <f t="shared" si="4"/>
        <v>0</v>
      </c>
      <c r="S85" s="79">
        <f t="shared" si="3"/>
        <v>0</v>
      </c>
      <c r="T85" s="79">
        <f t="shared" si="3"/>
        <v>0</v>
      </c>
      <c r="U85" s="79">
        <f t="shared" si="3"/>
        <v>0</v>
      </c>
      <c r="V85" s="79">
        <f t="shared" si="3"/>
        <v>0</v>
      </c>
      <c r="W85" s="79">
        <f t="shared" si="3"/>
        <v>0</v>
      </c>
      <c r="X85" s="79">
        <f t="shared" si="3"/>
        <v>0</v>
      </c>
      <c r="Y85" s="79">
        <f t="shared" si="3"/>
        <v>0</v>
      </c>
      <c r="Z85" s="79">
        <f t="shared" si="3"/>
        <v>0</v>
      </c>
      <c r="AA85" s="79">
        <f t="shared" si="3"/>
        <v>0</v>
      </c>
      <c r="AB85" s="37"/>
    </row>
    <row r="86" spans="1:28" x14ac:dyDescent="0.25">
      <c r="A86" s="76" t="s">
        <v>582</v>
      </c>
      <c r="B86" s="77">
        <f>SUMIFS(CONSOLIDADO!$F:$F,CONSOLIDADO!$E:$E,$A86,CONSOLIDADO!$I:$I,A$3,CONSOLIDADO!$I:$I,A$4,CONSOLIDADO!$K:$K,"&lt;&gt;NOVO")</f>
        <v>0</v>
      </c>
      <c r="C86" s="77">
        <f>SUMIFS(CONSOLIDADO!$F:$F,CONSOLIDADO!$E:$E,$A86,CONSOLIDADO!$I:$I,B$3,CONSOLIDADO!$I:$I,B$4,CONSOLIDADO!$K:$K,"&lt;&gt;NOVO")</f>
        <v>0</v>
      </c>
      <c r="D86" s="77">
        <f>SUMIFS(CONSOLIDADO!$F:$F,CONSOLIDADO!$E:$E,$A86,CONSOLIDADO!$I:$I,C$3,CONSOLIDADO!$I:$I,C$4,CONSOLIDADO!$K:$K,"&lt;&gt;NOVO")</f>
        <v>0</v>
      </c>
      <c r="E86" s="77">
        <f>SUMIFS(CONSOLIDADO!$F:$F,CONSOLIDADO!$E:$E,$A86,CONSOLIDADO!$I:$I,D$3,CONSOLIDADO!$I:$I,D$4,CONSOLIDADO!$K:$K,"&lt;&gt;NOVO")</f>
        <v>0</v>
      </c>
      <c r="F86" s="77">
        <f>SUMIFS(CONSOLIDADO!$F:$F,CONSOLIDADO!$E:$E,$A86,CONSOLIDADO!$I:$I,E$3,CONSOLIDADO!$I:$I,E$4,CONSOLIDADO!$K:$K,"&lt;&gt;NOVO")</f>
        <v>0</v>
      </c>
      <c r="G86" s="77">
        <f>SUMIFS(CONSOLIDADO!$F:$F,CONSOLIDADO!$E:$E,$A86,CONSOLIDADO!$I:$I,F$3,CONSOLIDADO!$I:$I,F$4,CONSOLIDADO!$K:$K,"&lt;&gt;NOVO")</f>
        <v>0</v>
      </c>
      <c r="H86" s="77">
        <f>SUMIFS(CONSOLIDADO!$F:$F,CONSOLIDADO!$E:$E,$A86,CONSOLIDADO!$I:$I,G$3,CONSOLIDADO!$I:$I,G$4,CONSOLIDADO!$K:$K,"&lt;&gt;NOVO")</f>
        <v>0</v>
      </c>
      <c r="I86" s="77">
        <f>SUMIFS(CONSOLIDADO!$F:$F,CONSOLIDADO!$E:$E,$A86,CONSOLIDADO!$I:$I,H$3,CONSOLIDADO!$I:$I,H$4,CONSOLIDADO!$K:$K,"&lt;&gt;NOVO")</f>
        <v>0</v>
      </c>
      <c r="J86" s="77">
        <f>SUMIFS(CONSOLIDADO!$F:$F,CONSOLIDADO!$E:$E,$A86,CONSOLIDADO!$I:$I,I$3,CONSOLIDADO!$I:$I,I$4,CONSOLIDADO!$K:$K,"&lt;&gt;NOVO")</f>
        <v>0</v>
      </c>
      <c r="K86" s="77">
        <f>SUMIFS(CONSOLIDADO!$F:$F,CONSOLIDADO!$E:$E,$A86,CONSOLIDADO!$I:$I,J$3,CONSOLIDADO!$I:$I,J$4,CONSOLIDADO!$K:$K,"&lt;&gt;NOVO")</f>
        <v>0</v>
      </c>
      <c r="L86" s="77">
        <f>SUMIFS(CONSOLIDADO!$F:$F,CONSOLIDADO!$E:$E,$A86,CONSOLIDADO!$I:$I,K$3,CONSOLIDADO!$I:$I,K$4,CONSOLIDADO!$K:$K,"&lt;&gt;NOVO")</f>
        <v>0</v>
      </c>
      <c r="M86" s="77">
        <f>SUMIFS(CONSOLIDADO!$F:$F,CONSOLIDADO!$E:$E,$A86,CONSOLIDADO!$I:$I,L$3,CONSOLIDADO!$I:$I,L$4,CONSOLIDADO!$K:$K,"&lt;&gt;NOVO")</f>
        <v>0</v>
      </c>
      <c r="N86" s="79">
        <v>1300.3</v>
      </c>
      <c r="O86" s="78">
        <v>0.8</v>
      </c>
      <c r="P86" s="79">
        <f t="shared" si="4"/>
        <v>0</v>
      </c>
      <c r="Q86" s="79">
        <f t="shared" si="4"/>
        <v>0</v>
      </c>
      <c r="R86" s="79">
        <f t="shared" si="4"/>
        <v>0</v>
      </c>
      <c r="S86" s="79">
        <f t="shared" si="3"/>
        <v>0</v>
      </c>
      <c r="T86" s="79">
        <f t="shared" si="3"/>
        <v>0</v>
      </c>
      <c r="U86" s="79">
        <f t="shared" si="3"/>
        <v>0</v>
      </c>
      <c r="V86" s="79">
        <f t="shared" si="3"/>
        <v>0</v>
      </c>
      <c r="W86" s="79">
        <f t="shared" si="3"/>
        <v>0</v>
      </c>
      <c r="X86" s="79">
        <f t="shared" si="3"/>
        <v>0</v>
      </c>
      <c r="Y86" s="79">
        <f t="shared" si="3"/>
        <v>0</v>
      </c>
      <c r="Z86" s="79">
        <f t="shared" si="3"/>
        <v>0</v>
      </c>
      <c r="AA86" s="79">
        <f t="shared" si="3"/>
        <v>0</v>
      </c>
      <c r="AB86" s="37"/>
    </row>
    <row r="87" spans="1:28" x14ac:dyDescent="0.25">
      <c r="A87" s="76" t="s">
        <v>105</v>
      </c>
      <c r="B87" s="77">
        <f>SUMIFS(CONSOLIDADO!$F:$F,CONSOLIDADO!$E:$E,$A87,CONSOLIDADO!$I:$I,A$3,CONSOLIDADO!$I:$I,A$4,CONSOLIDADO!$K:$K,"&lt;&gt;NOVO")</f>
        <v>7</v>
      </c>
      <c r="C87" s="77">
        <f>SUMIFS(CONSOLIDADO!$F:$F,CONSOLIDADO!$E:$E,$A87,CONSOLIDADO!$I:$I,B$3,CONSOLIDADO!$I:$I,B$4,CONSOLIDADO!$K:$K,"&lt;&gt;NOVO")</f>
        <v>4</v>
      </c>
      <c r="D87" s="77">
        <f>SUMIFS(CONSOLIDADO!$F:$F,CONSOLIDADO!$E:$E,$A87,CONSOLIDADO!$I:$I,C$3,CONSOLIDADO!$I:$I,C$4,CONSOLIDADO!$K:$K,"&lt;&gt;NOVO")</f>
        <v>4</v>
      </c>
      <c r="E87" s="77">
        <f>SUMIFS(CONSOLIDADO!$F:$F,CONSOLIDADO!$E:$E,$A87,CONSOLIDADO!$I:$I,D$3,CONSOLIDADO!$I:$I,D$4,CONSOLIDADO!$K:$K,"&lt;&gt;NOVO")</f>
        <v>0</v>
      </c>
      <c r="F87" s="77">
        <f>SUMIFS(CONSOLIDADO!$F:$F,CONSOLIDADO!$E:$E,$A87,CONSOLIDADO!$I:$I,E$3,CONSOLIDADO!$I:$I,E$4,CONSOLIDADO!$K:$K,"&lt;&gt;NOVO")</f>
        <v>0</v>
      </c>
      <c r="G87" s="77">
        <f>SUMIFS(CONSOLIDADO!$F:$F,CONSOLIDADO!$E:$E,$A87,CONSOLIDADO!$I:$I,F$3,CONSOLIDADO!$I:$I,F$4,CONSOLIDADO!$K:$K,"&lt;&gt;NOVO")</f>
        <v>0</v>
      </c>
      <c r="H87" s="77">
        <f>SUMIFS(CONSOLIDADO!$F:$F,CONSOLIDADO!$E:$E,$A87,CONSOLIDADO!$I:$I,G$3,CONSOLIDADO!$I:$I,G$4,CONSOLIDADO!$K:$K,"&lt;&gt;NOVO")</f>
        <v>0</v>
      </c>
      <c r="I87" s="77">
        <f>SUMIFS(CONSOLIDADO!$F:$F,CONSOLIDADO!$E:$E,$A87,CONSOLIDADO!$I:$I,H$3,CONSOLIDADO!$I:$I,H$4,CONSOLIDADO!$K:$K,"&lt;&gt;NOVO")</f>
        <v>0</v>
      </c>
      <c r="J87" s="77">
        <f>SUMIFS(CONSOLIDADO!$F:$F,CONSOLIDADO!$E:$E,$A87,CONSOLIDADO!$I:$I,I$3,CONSOLIDADO!$I:$I,I$4,CONSOLIDADO!$K:$K,"&lt;&gt;NOVO")</f>
        <v>0</v>
      </c>
      <c r="K87" s="77">
        <f>SUMIFS(CONSOLIDADO!$F:$F,CONSOLIDADO!$E:$E,$A87,CONSOLIDADO!$I:$I,J$3,CONSOLIDADO!$I:$I,J$4,CONSOLIDADO!$K:$K,"&lt;&gt;NOVO")</f>
        <v>0</v>
      </c>
      <c r="L87" s="77">
        <f>SUMIFS(CONSOLIDADO!$F:$F,CONSOLIDADO!$E:$E,$A87,CONSOLIDADO!$I:$I,K$3,CONSOLIDADO!$I:$I,K$4,CONSOLIDADO!$K:$K,"&lt;&gt;NOVO")</f>
        <v>0</v>
      </c>
      <c r="M87" s="77">
        <f>SUMIFS(CONSOLIDADO!$F:$F,CONSOLIDADO!$E:$E,$A87,CONSOLIDADO!$I:$I,L$3,CONSOLIDADO!$I:$I,L$4,CONSOLIDADO!$K:$K,"&lt;&gt;NOVO")</f>
        <v>0</v>
      </c>
      <c r="N87" s="79">
        <v>188.6</v>
      </c>
      <c r="O87" s="78">
        <v>0.8</v>
      </c>
      <c r="P87" s="79">
        <f t="shared" si="4"/>
        <v>264.03999999999996</v>
      </c>
      <c r="Q87" s="79">
        <f t="shared" si="4"/>
        <v>150.87999999999997</v>
      </c>
      <c r="R87" s="79">
        <f t="shared" si="4"/>
        <v>150.87999999999997</v>
      </c>
      <c r="S87" s="79">
        <f t="shared" si="3"/>
        <v>0</v>
      </c>
      <c r="T87" s="79">
        <f t="shared" si="3"/>
        <v>0</v>
      </c>
      <c r="U87" s="79">
        <f t="shared" si="3"/>
        <v>0</v>
      </c>
      <c r="V87" s="79">
        <f t="shared" si="3"/>
        <v>0</v>
      </c>
      <c r="W87" s="79">
        <f t="shared" si="3"/>
        <v>0</v>
      </c>
      <c r="X87" s="79">
        <f t="shared" si="3"/>
        <v>0</v>
      </c>
      <c r="Y87" s="79">
        <f t="shared" si="3"/>
        <v>0</v>
      </c>
      <c r="Z87" s="79">
        <f t="shared" si="3"/>
        <v>0</v>
      </c>
      <c r="AA87" s="79">
        <f t="shared" si="3"/>
        <v>0</v>
      </c>
      <c r="AB87" s="37"/>
    </row>
    <row r="88" spans="1:28" x14ac:dyDescent="0.25">
      <c r="A88" s="76" t="s">
        <v>480</v>
      </c>
      <c r="B88" s="77">
        <f>SUMIFS(CONSOLIDADO!$F:$F,CONSOLIDADO!$E:$E,$A88,CONSOLIDADO!$I:$I,A$3,CONSOLIDADO!$I:$I,A$4,CONSOLIDADO!$K:$K,"&lt;&gt;NOVO")</f>
        <v>0</v>
      </c>
      <c r="C88" s="77">
        <f>SUMIFS(CONSOLIDADO!$F:$F,CONSOLIDADO!$E:$E,$A88,CONSOLIDADO!$I:$I,B$3,CONSOLIDADO!$I:$I,B$4,CONSOLIDADO!$K:$K,"&lt;&gt;NOVO")</f>
        <v>0</v>
      </c>
      <c r="D88" s="77">
        <f>SUMIFS(CONSOLIDADO!$F:$F,CONSOLIDADO!$E:$E,$A88,CONSOLIDADO!$I:$I,C$3,CONSOLIDADO!$I:$I,C$4,CONSOLIDADO!$K:$K,"&lt;&gt;NOVO")</f>
        <v>0</v>
      </c>
      <c r="E88" s="77">
        <f>SUMIFS(CONSOLIDADO!$F:$F,CONSOLIDADO!$E:$E,$A88,CONSOLIDADO!$I:$I,D$3,CONSOLIDADO!$I:$I,D$4,CONSOLIDADO!$K:$K,"&lt;&gt;NOVO")</f>
        <v>0</v>
      </c>
      <c r="F88" s="77">
        <f>SUMIFS(CONSOLIDADO!$F:$F,CONSOLIDADO!$E:$E,$A88,CONSOLIDADO!$I:$I,E$3,CONSOLIDADO!$I:$I,E$4,CONSOLIDADO!$K:$K,"&lt;&gt;NOVO")</f>
        <v>0</v>
      </c>
      <c r="G88" s="77">
        <f>SUMIFS(CONSOLIDADO!$F:$F,CONSOLIDADO!$E:$E,$A88,CONSOLIDADO!$I:$I,F$3,CONSOLIDADO!$I:$I,F$4,CONSOLIDADO!$K:$K,"&lt;&gt;NOVO")</f>
        <v>0</v>
      </c>
      <c r="H88" s="77">
        <f>SUMIFS(CONSOLIDADO!$F:$F,CONSOLIDADO!$E:$E,$A88,CONSOLIDADO!$I:$I,G$3,CONSOLIDADO!$I:$I,G$4,CONSOLIDADO!$K:$K,"&lt;&gt;NOVO")</f>
        <v>0</v>
      </c>
      <c r="I88" s="77">
        <f>SUMIFS(CONSOLIDADO!$F:$F,CONSOLIDADO!$E:$E,$A88,CONSOLIDADO!$I:$I,H$3,CONSOLIDADO!$I:$I,H$4,CONSOLIDADO!$K:$K,"&lt;&gt;NOVO")</f>
        <v>0</v>
      </c>
      <c r="J88" s="77">
        <f>SUMIFS(CONSOLIDADO!$F:$F,CONSOLIDADO!$E:$E,$A88,CONSOLIDADO!$I:$I,I$3,CONSOLIDADO!$I:$I,I$4,CONSOLIDADO!$K:$K,"&lt;&gt;NOVO")</f>
        <v>0</v>
      </c>
      <c r="K88" s="77">
        <f>SUMIFS(CONSOLIDADO!$F:$F,CONSOLIDADO!$E:$E,$A88,CONSOLIDADO!$I:$I,J$3,CONSOLIDADO!$I:$I,J$4,CONSOLIDADO!$K:$K,"&lt;&gt;NOVO")</f>
        <v>0</v>
      </c>
      <c r="L88" s="77">
        <f>SUMIFS(CONSOLIDADO!$F:$F,CONSOLIDADO!$E:$E,$A88,CONSOLIDADO!$I:$I,K$3,CONSOLIDADO!$I:$I,K$4,CONSOLIDADO!$K:$K,"&lt;&gt;NOVO")</f>
        <v>0</v>
      </c>
      <c r="M88" s="77">
        <f>SUMIFS(CONSOLIDADO!$F:$F,CONSOLIDADO!$E:$E,$A88,CONSOLIDADO!$I:$I,L$3,CONSOLIDADO!$I:$I,L$4,CONSOLIDADO!$K:$K,"&lt;&gt;NOVO")</f>
        <v>0</v>
      </c>
      <c r="N88" s="79">
        <v>188.6</v>
      </c>
      <c r="O88" s="78">
        <v>0.8</v>
      </c>
      <c r="P88" s="79">
        <f t="shared" si="4"/>
        <v>0</v>
      </c>
      <c r="Q88" s="79">
        <f t="shared" si="4"/>
        <v>0</v>
      </c>
      <c r="R88" s="79">
        <f t="shared" si="4"/>
        <v>0</v>
      </c>
      <c r="S88" s="79">
        <f t="shared" si="3"/>
        <v>0</v>
      </c>
      <c r="T88" s="79">
        <f t="shared" si="3"/>
        <v>0</v>
      </c>
      <c r="U88" s="79">
        <f t="shared" si="3"/>
        <v>0</v>
      </c>
      <c r="V88" s="79">
        <f t="shared" si="3"/>
        <v>0</v>
      </c>
      <c r="W88" s="79">
        <f t="shared" si="3"/>
        <v>0</v>
      </c>
      <c r="X88" s="79">
        <f t="shared" si="3"/>
        <v>0</v>
      </c>
      <c r="Y88" s="79">
        <f t="shared" si="3"/>
        <v>0</v>
      </c>
      <c r="Z88" s="79">
        <f t="shared" si="3"/>
        <v>0</v>
      </c>
      <c r="AA88" s="79">
        <f t="shared" si="3"/>
        <v>0</v>
      </c>
      <c r="AB88" s="37"/>
    </row>
    <row r="89" spans="1:28" x14ac:dyDescent="0.25">
      <c r="A89" t="s">
        <v>152</v>
      </c>
      <c r="B89" s="77">
        <f>SUMIFS(CONSOLIDADO!$F:$F,CONSOLIDADO!$E:$E,$A89,CONSOLIDADO!$I:$I,A$3,CONSOLIDADO!$I:$I,A$4,CONSOLIDADO!$K:$K,"&lt;&gt;NOVO")</f>
        <v>3</v>
      </c>
      <c r="C89" s="77">
        <f>SUMIFS(CONSOLIDADO!$F:$F,CONSOLIDADO!$E:$E,$A89,CONSOLIDADO!$I:$I,B$3,CONSOLIDADO!$I:$I,B$4,CONSOLIDADO!$K:$K,"&lt;&gt;NOVO")</f>
        <v>7</v>
      </c>
      <c r="D89" s="77">
        <f>SUMIFS(CONSOLIDADO!$F:$F,CONSOLIDADO!$E:$E,$A89,CONSOLIDADO!$I:$I,C$3,CONSOLIDADO!$I:$I,C$4,CONSOLIDADO!$K:$K,"&lt;&gt;NOVO")</f>
        <v>8</v>
      </c>
      <c r="E89" s="77">
        <f>SUMIFS(CONSOLIDADO!$F:$F,CONSOLIDADO!$E:$E,$A89,CONSOLIDADO!$I:$I,D$3,CONSOLIDADO!$I:$I,D$4,CONSOLIDADO!$K:$K,"&lt;&gt;NOVO")</f>
        <v>0</v>
      </c>
      <c r="F89" s="77">
        <f>SUMIFS(CONSOLIDADO!$F:$F,CONSOLIDADO!$E:$E,$A89,CONSOLIDADO!$I:$I,E$3,CONSOLIDADO!$I:$I,E$4,CONSOLIDADO!$K:$K,"&lt;&gt;NOVO")</f>
        <v>0</v>
      </c>
      <c r="G89" s="77">
        <f>SUMIFS(CONSOLIDADO!$F:$F,CONSOLIDADO!$E:$E,$A89,CONSOLIDADO!$I:$I,F$3,CONSOLIDADO!$I:$I,F$4,CONSOLIDADO!$K:$K,"&lt;&gt;NOVO")</f>
        <v>0</v>
      </c>
      <c r="H89" s="77">
        <f>SUMIFS(CONSOLIDADO!$F:$F,CONSOLIDADO!$E:$E,$A89,CONSOLIDADO!$I:$I,G$3,CONSOLIDADO!$I:$I,G$4,CONSOLIDADO!$K:$K,"&lt;&gt;NOVO")</f>
        <v>0</v>
      </c>
      <c r="I89" s="77">
        <f>SUMIFS(CONSOLIDADO!$F:$F,CONSOLIDADO!$E:$E,$A89,CONSOLIDADO!$I:$I,H$3,CONSOLIDADO!$I:$I,H$4,CONSOLIDADO!$K:$K,"&lt;&gt;NOVO")</f>
        <v>0</v>
      </c>
      <c r="J89" s="77">
        <f>SUMIFS(CONSOLIDADO!$F:$F,CONSOLIDADO!$E:$E,$A89,CONSOLIDADO!$I:$I,I$3,CONSOLIDADO!$I:$I,I$4,CONSOLIDADO!$K:$K,"&lt;&gt;NOVO")</f>
        <v>0</v>
      </c>
      <c r="K89" s="77">
        <f>SUMIFS(CONSOLIDADO!$F:$F,CONSOLIDADO!$E:$E,$A89,CONSOLIDADO!$I:$I,J$3,CONSOLIDADO!$I:$I,J$4,CONSOLIDADO!$K:$K,"&lt;&gt;NOVO")</f>
        <v>0</v>
      </c>
      <c r="L89" s="77">
        <f>SUMIFS(CONSOLIDADO!$F:$F,CONSOLIDADO!$E:$E,$A89,CONSOLIDADO!$I:$I,K$3,CONSOLIDADO!$I:$I,K$4,CONSOLIDADO!$K:$K,"&lt;&gt;NOVO")</f>
        <v>0</v>
      </c>
      <c r="M89" s="77">
        <f>SUMIFS(CONSOLIDADO!$F:$F,CONSOLIDADO!$E:$E,$A89,CONSOLIDADO!$I:$I,L$3,CONSOLIDADO!$I:$I,L$4,CONSOLIDADO!$K:$K,"&lt;&gt;NOVO")</f>
        <v>0</v>
      </c>
      <c r="N89" s="79">
        <v>2000</v>
      </c>
      <c r="O89" s="78">
        <v>0.8</v>
      </c>
      <c r="P89" s="79">
        <f t="shared" si="4"/>
        <v>1199.9999999999995</v>
      </c>
      <c r="Q89" s="79">
        <f t="shared" si="4"/>
        <v>2799.9999999999991</v>
      </c>
      <c r="R89" s="79">
        <f t="shared" si="4"/>
        <v>3199.9999999999991</v>
      </c>
      <c r="S89" s="79">
        <f t="shared" si="3"/>
        <v>0</v>
      </c>
      <c r="T89" s="79">
        <f t="shared" si="3"/>
        <v>0</v>
      </c>
      <c r="U89" s="79">
        <f t="shared" si="3"/>
        <v>0</v>
      </c>
      <c r="V89" s="79">
        <f t="shared" si="3"/>
        <v>0</v>
      </c>
      <c r="W89" s="79">
        <f t="shared" si="3"/>
        <v>0</v>
      </c>
      <c r="X89" s="79">
        <f t="shared" si="3"/>
        <v>0</v>
      </c>
      <c r="Y89" s="79">
        <f t="shared" si="3"/>
        <v>0</v>
      </c>
      <c r="Z89" s="79">
        <f t="shared" si="3"/>
        <v>0</v>
      </c>
      <c r="AA89" s="79">
        <f t="shared" si="3"/>
        <v>0</v>
      </c>
      <c r="AB89" s="37"/>
    </row>
    <row r="90" spans="1:28" x14ac:dyDescent="0.25">
      <c r="A90" s="76" t="s">
        <v>92</v>
      </c>
      <c r="B90" s="77">
        <f>SUMIFS(CONSOLIDADO!$F:$F,CONSOLIDADO!$E:$E,$A90,CONSOLIDADO!$I:$I,A$3,CONSOLIDADO!$I:$I,A$4,CONSOLIDADO!$K:$K,"&lt;&gt;NOVO")</f>
        <v>1</v>
      </c>
      <c r="C90" s="77">
        <f>SUMIFS(CONSOLIDADO!$F:$F,CONSOLIDADO!$E:$E,$A90,CONSOLIDADO!$I:$I,B$3,CONSOLIDADO!$I:$I,B$4,CONSOLIDADO!$K:$K,"&lt;&gt;NOVO")</f>
        <v>0</v>
      </c>
      <c r="D90" s="77">
        <f>SUMIFS(CONSOLIDADO!$F:$F,CONSOLIDADO!$E:$E,$A90,CONSOLIDADO!$I:$I,C$3,CONSOLIDADO!$I:$I,C$4,CONSOLIDADO!$K:$K,"&lt;&gt;NOVO")</f>
        <v>11</v>
      </c>
      <c r="E90" s="77">
        <f>SUMIFS(CONSOLIDADO!$F:$F,CONSOLIDADO!$E:$E,$A90,CONSOLIDADO!$I:$I,D$3,CONSOLIDADO!$I:$I,D$4,CONSOLIDADO!$K:$K,"&lt;&gt;NOVO")</f>
        <v>0</v>
      </c>
      <c r="F90" s="77">
        <f>SUMIFS(CONSOLIDADO!$F:$F,CONSOLIDADO!$E:$E,$A90,CONSOLIDADO!$I:$I,E$3,CONSOLIDADO!$I:$I,E$4,CONSOLIDADO!$K:$K,"&lt;&gt;NOVO")</f>
        <v>0</v>
      </c>
      <c r="G90" s="77">
        <f>SUMIFS(CONSOLIDADO!$F:$F,CONSOLIDADO!$E:$E,$A90,CONSOLIDADO!$I:$I,F$3,CONSOLIDADO!$I:$I,F$4,CONSOLIDADO!$K:$K,"&lt;&gt;NOVO")</f>
        <v>0</v>
      </c>
      <c r="H90" s="77">
        <f>SUMIFS(CONSOLIDADO!$F:$F,CONSOLIDADO!$E:$E,$A90,CONSOLIDADO!$I:$I,G$3,CONSOLIDADO!$I:$I,G$4,CONSOLIDADO!$K:$K,"&lt;&gt;NOVO")</f>
        <v>0</v>
      </c>
      <c r="I90" s="77">
        <f>SUMIFS(CONSOLIDADO!$F:$F,CONSOLIDADO!$E:$E,$A90,CONSOLIDADO!$I:$I,H$3,CONSOLIDADO!$I:$I,H$4,CONSOLIDADO!$K:$K,"&lt;&gt;NOVO")</f>
        <v>0</v>
      </c>
      <c r="J90" s="77">
        <f>SUMIFS(CONSOLIDADO!$F:$F,CONSOLIDADO!$E:$E,$A90,CONSOLIDADO!$I:$I,I$3,CONSOLIDADO!$I:$I,I$4,CONSOLIDADO!$K:$K,"&lt;&gt;NOVO")</f>
        <v>0</v>
      </c>
      <c r="K90" s="77">
        <f>SUMIFS(CONSOLIDADO!$F:$F,CONSOLIDADO!$E:$E,$A90,CONSOLIDADO!$I:$I,J$3,CONSOLIDADO!$I:$I,J$4,CONSOLIDADO!$K:$K,"&lt;&gt;NOVO")</f>
        <v>0</v>
      </c>
      <c r="L90" s="77">
        <f>SUMIFS(CONSOLIDADO!$F:$F,CONSOLIDADO!$E:$E,$A90,CONSOLIDADO!$I:$I,K$3,CONSOLIDADO!$I:$I,K$4,CONSOLIDADO!$K:$K,"&lt;&gt;NOVO")</f>
        <v>0</v>
      </c>
      <c r="M90" s="77">
        <f>SUMIFS(CONSOLIDADO!$F:$F,CONSOLIDADO!$E:$E,$A90,CONSOLIDADO!$I:$I,L$3,CONSOLIDADO!$I:$I,L$4,CONSOLIDADO!$K:$K,"&lt;&gt;NOVO")</f>
        <v>0</v>
      </c>
      <c r="N90" s="79">
        <v>259.27</v>
      </c>
      <c r="O90" s="78">
        <v>0.8</v>
      </c>
      <c r="P90" s="79">
        <f t="shared" si="4"/>
        <v>51.853999999999985</v>
      </c>
      <c r="Q90" s="79">
        <f t="shared" si="4"/>
        <v>0</v>
      </c>
      <c r="R90" s="79">
        <f t="shared" si="4"/>
        <v>570.39399999999978</v>
      </c>
      <c r="S90" s="79">
        <f t="shared" si="3"/>
        <v>0</v>
      </c>
      <c r="T90" s="79">
        <f t="shared" si="3"/>
        <v>0</v>
      </c>
      <c r="U90" s="79">
        <f t="shared" si="3"/>
        <v>0</v>
      </c>
      <c r="V90" s="79">
        <f t="shared" si="3"/>
        <v>0</v>
      </c>
      <c r="W90" s="79">
        <f t="shared" si="3"/>
        <v>0</v>
      </c>
      <c r="X90" s="79">
        <f t="shared" si="3"/>
        <v>0</v>
      </c>
      <c r="Y90" s="79">
        <f t="shared" si="3"/>
        <v>0</v>
      </c>
      <c r="Z90" s="79">
        <f t="shared" si="3"/>
        <v>0</v>
      </c>
      <c r="AA90" s="79">
        <f t="shared" si="3"/>
        <v>0</v>
      </c>
      <c r="AB90" s="37"/>
    </row>
    <row r="91" spans="1:28" x14ac:dyDescent="0.25">
      <c r="A91" s="76" t="s">
        <v>583</v>
      </c>
      <c r="B91" s="77">
        <f>SUMIFS(CONSOLIDADO!$F:$F,CONSOLIDADO!$E:$E,$A91,CONSOLIDADO!$I:$I,A$3,CONSOLIDADO!$I:$I,A$4,CONSOLIDADO!$K:$K,"&lt;&gt;NOVO")</f>
        <v>0</v>
      </c>
      <c r="C91" s="77">
        <f>SUMIFS(CONSOLIDADO!$F:$F,CONSOLIDADO!$E:$E,$A91,CONSOLIDADO!$I:$I,B$3,CONSOLIDADO!$I:$I,B$4,CONSOLIDADO!$K:$K,"&lt;&gt;NOVO")</f>
        <v>0</v>
      </c>
      <c r="D91" s="77">
        <f>SUMIFS(CONSOLIDADO!$F:$F,CONSOLIDADO!$E:$E,$A91,CONSOLIDADO!$I:$I,C$3,CONSOLIDADO!$I:$I,C$4,CONSOLIDADO!$K:$K,"&lt;&gt;NOVO")</f>
        <v>0</v>
      </c>
      <c r="E91" s="77">
        <f>SUMIFS(CONSOLIDADO!$F:$F,CONSOLIDADO!$E:$E,$A91,CONSOLIDADO!$I:$I,D$3,CONSOLIDADO!$I:$I,D$4,CONSOLIDADO!$K:$K,"&lt;&gt;NOVO")</f>
        <v>0</v>
      </c>
      <c r="F91" s="77">
        <f>SUMIFS(CONSOLIDADO!$F:$F,CONSOLIDADO!$E:$E,$A91,CONSOLIDADO!$I:$I,E$3,CONSOLIDADO!$I:$I,E$4,CONSOLIDADO!$K:$K,"&lt;&gt;NOVO")</f>
        <v>0</v>
      </c>
      <c r="G91" s="77">
        <f>SUMIFS(CONSOLIDADO!$F:$F,CONSOLIDADO!$E:$E,$A91,CONSOLIDADO!$I:$I,F$3,CONSOLIDADO!$I:$I,F$4,CONSOLIDADO!$K:$K,"&lt;&gt;NOVO")</f>
        <v>0</v>
      </c>
      <c r="H91" s="77">
        <f>SUMIFS(CONSOLIDADO!$F:$F,CONSOLIDADO!$E:$E,$A91,CONSOLIDADO!$I:$I,G$3,CONSOLIDADO!$I:$I,G$4,CONSOLIDADO!$K:$K,"&lt;&gt;NOVO")</f>
        <v>0</v>
      </c>
      <c r="I91" s="77">
        <f>SUMIFS(CONSOLIDADO!$F:$F,CONSOLIDADO!$E:$E,$A91,CONSOLIDADO!$I:$I,H$3,CONSOLIDADO!$I:$I,H$4,CONSOLIDADO!$K:$K,"&lt;&gt;NOVO")</f>
        <v>0</v>
      </c>
      <c r="J91" s="77">
        <f>SUMIFS(CONSOLIDADO!$F:$F,CONSOLIDADO!$E:$E,$A91,CONSOLIDADO!$I:$I,I$3,CONSOLIDADO!$I:$I,I$4,CONSOLIDADO!$K:$K,"&lt;&gt;NOVO")</f>
        <v>0</v>
      </c>
      <c r="K91" s="77">
        <f>SUMIFS(CONSOLIDADO!$F:$F,CONSOLIDADO!$E:$E,$A91,CONSOLIDADO!$I:$I,J$3,CONSOLIDADO!$I:$I,J$4,CONSOLIDADO!$K:$K,"&lt;&gt;NOVO")</f>
        <v>0</v>
      </c>
      <c r="L91" s="77">
        <f>SUMIFS(CONSOLIDADO!$F:$F,CONSOLIDADO!$E:$E,$A91,CONSOLIDADO!$I:$I,K$3,CONSOLIDADO!$I:$I,K$4,CONSOLIDADO!$K:$K,"&lt;&gt;NOVO")</f>
        <v>0</v>
      </c>
      <c r="M91" s="77">
        <f>SUMIFS(CONSOLIDADO!$F:$F,CONSOLIDADO!$E:$E,$A91,CONSOLIDADO!$I:$I,L$3,CONSOLIDADO!$I:$I,L$4,CONSOLIDADO!$K:$K,"&lt;&gt;NOVO")</f>
        <v>0</v>
      </c>
      <c r="N91" s="79">
        <v>746.48</v>
      </c>
      <c r="O91" s="78">
        <v>0.8</v>
      </c>
      <c r="P91" s="79">
        <f t="shared" si="4"/>
        <v>0</v>
      </c>
      <c r="Q91" s="79">
        <f t="shared" si="4"/>
        <v>0</v>
      </c>
      <c r="R91" s="79">
        <f t="shared" si="4"/>
        <v>0</v>
      </c>
      <c r="S91" s="79">
        <f t="shared" si="3"/>
        <v>0</v>
      </c>
      <c r="T91" s="79">
        <f t="shared" si="3"/>
        <v>0</v>
      </c>
      <c r="U91" s="79">
        <f t="shared" si="3"/>
        <v>0</v>
      </c>
      <c r="V91" s="79">
        <f t="shared" si="3"/>
        <v>0</v>
      </c>
      <c r="W91" s="79">
        <f t="shared" si="3"/>
        <v>0</v>
      </c>
      <c r="X91" s="79">
        <f t="shared" si="3"/>
        <v>0</v>
      </c>
      <c r="Y91" s="79">
        <f t="shared" si="3"/>
        <v>0</v>
      </c>
      <c r="Z91" s="79">
        <f t="shared" si="3"/>
        <v>0</v>
      </c>
      <c r="AA91" s="79">
        <f t="shared" si="3"/>
        <v>0</v>
      </c>
      <c r="AB91" s="37"/>
    </row>
    <row r="92" spans="1:28" x14ac:dyDescent="0.25">
      <c r="A92" s="76" t="s">
        <v>481</v>
      </c>
      <c r="B92" s="77">
        <f>SUMIFS(CONSOLIDADO!$F:$F,CONSOLIDADO!$E:$E,$A92,CONSOLIDADO!$I:$I,A$3,CONSOLIDADO!$I:$I,A$4,CONSOLIDADO!$K:$K,"&lt;&gt;NOVO")</f>
        <v>0</v>
      </c>
      <c r="C92" s="77">
        <f>SUMIFS(CONSOLIDADO!$F:$F,CONSOLIDADO!$E:$E,$A92,CONSOLIDADO!$I:$I,B$3,CONSOLIDADO!$I:$I,B$4,CONSOLIDADO!$K:$K,"&lt;&gt;NOVO")</f>
        <v>0</v>
      </c>
      <c r="D92" s="77">
        <f>SUMIFS(CONSOLIDADO!$F:$F,CONSOLIDADO!$E:$E,$A92,CONSOLIDADO!$I:$I,C$3,CONSOLIDADO!$I:$I,C$4,CONSOLIDADO!$K:$K,"&lt;&gt;NOVO")</f>
        <v>0</v>
      </c>
      <c r="E92" s="77">
        <f>SUMIFS(CONSOLIDADO!$F:$F,CONSOLIDADO!$E:$E,$A92,CONSOLIDADO!$I:$I,D$3,CONSOLIDADO!$I:$I,D$4,CONSOLIDADO!$K:$K,"&lt;&gt;NOVO")</f>
        <v>0</v>
      </c>
      <c r="F92" s="77">
        <f>SUMIFS(CONSOLIDADO!$F:$F,CONSOLIDADO!$E:$E,$A92,CONSOLIDADO!$I:$I,E$3,CONSOLIDADO!$I:$I,E$4,CONSOLIDADO!$K:$K,"&lt;&gt;NOVO")</f>
        <v>0</v>
      </c>
      <c r="G92" s="77">
        <f>SUMIFS(CONSOLIDADO!$F:$F,CONSOLIDADO!$E:$E,$A92,CONSOLIDADO!$I:$I,F$3,CONSOLIDADO!$I:$I,F$4,CONSOLIDADO!$K:$K,"&lt;&gt;NOVO")</f>
        <v>0</v>
      </c>
      <c r="H92" s="77">
        <f>SUMIFS(CONSOLIDADO!$F:$F,CONSOLIDADO!$E:$E,$A92,CONSOLIDADO!$I:$I,G$3,CONSOLIDADO!$I:$I,G$4,CONSOLIDADO!$K:$K,"&lt;&gt;NOVO")</f>
        <v>0</v>
      </c>
      <c r="I92" s="77">
        <f>SUMIFS(CONSOLIDADO!$F:$F,CONSOLIDADO!$E:$E,$A92,CONSOLIDADO!$I:$I,H$3,CONSOLIDADO!$I:$I,H$4,CONSOLIDADO!$K:$K,"&lt;&gt;NOVO")</f>
        <v>0</v>
      </c>
      <c r="J92" s="77">
        <f>SUMIFS(CONSOLIDADO!$F:$F,CONSOLIDADO!$E:$E,$A92,CONSOLIDADO!$I:$I,I$3,CONSOLIDADO!$I:$I,I$4,CONSOLIDADO!$K:$K,"&lt;&gt;NOVO")</f>
        <v>0</v>
      </c>
      <c r="K92" s="77">
        <f>SUMIFS(CONSOLIDADO!$F:$F,CONSOLIDADO!$E:$E,$A92,CONSOLIDADO!$I:$I,J$3,CONSOLIDADO!$I:$I,J$4,CONSOLIDADO!$K:$K,"&lt;&gt;NOVO")</f>
        <v>0</v>
      </c>
      <c r="L92" s="77">
        <f>SUMIFS(CONSOLIDADO!$F:$F,CONSOLIDADO!$E:$E,$A92,CONSOLIDADO!$I:$I,K$3,CONSOLIDADO!$I:$I,K$4,CONSOLIDADO!$K:$K,"&lt;&gt;NOVO")</f>
        <v>0</v>
      </c>
      <c r="M92" s="77">
        <f>SUMIFS(CONSOLIDADO!$F:$F,CONSOLIDADO!$E:$E,$A92,CONSOLIDADO!$I:$I,L$3,CONSOLIDADO!$I:$I,L$4,CONSOLIDADO!$K:$K,"&lt;&gt;NOVO")</f>
        <v>0</v>
      </c>
      <c r="N92" s="79">
        <v>746.48</v>
      </c>
      <c r="O92" s="78">
        <v>0.8</v>
      </c>
      <c r="P92" s="79">
        <f t="shared" si="4"/>
        <v>0</v>
      </c>
      <c r="Q92" s="79">
        <f t="shared" si="4"/>
        <v>0</v>
      </c>
      <c r="R92" s="79">
        <f t="shared" si="4"/>
        <v>0</v>
      </c>
      <c r="S92" s="79">
        <f t="shared" si="3"/>
        <v>0</v>
      </c>
      <c r="T92" s="79">
        <f t="shared" si="3"/>
        <v>0</v>
      </c>
      <c r="U92" s="79">
        <f t="shared" si="3"/>
        <v>0</v>
      </c>
      <c r="V92" s="79">
        <f t="shared" si="3"/>
        <v>0</v>
      </c>
      <c r="W92" s="79">
        <f t="shared" si="3"/>
        <v>0</v>
      </c>
      <c r="X92" s="79">
        <f t="shared" si="3"/>
        <v>0</v>
      </c>
      <c r="Y92" s="79">
        <f t="shared" si="3"/>
        <v>0</v>
      </c>
      <c r="Z92" s="79">
        <f t="shared" si="3"/>
        <v>0</v>
      </c>
      <c r="AA92" s="79">
        <f t="shared" si="3"/>
        <v>0</v>
      </c>
      <c r="AB92" s="37"/>
    </row>
    <row r="93" spans="1:28" x14ac:dyDescent="0.25">
      <c r="A93" s="76" t="s">
        <v>482</v>
      </c>
      <c r="B93" s="77">
        <f>SUMIFS(CONSOLIDADO!$F:$F,CONSOLIDADO!$E:$E,$A93,CONSOLIDADO!$I:$I,A$3,CONSOLIDADO!$I:$I,A$4,CONSOLIDADO!$K:$K,"&lt;&gt;NOVO")</f>
        <v>0</v>
      </c>
      <c r="C93" s="77">
        <f>SUMIFS(CONSOLIDADO!$F:$F,CONSOLIDADO!$E:$E,$A93,CONSOLIDADO!$I:$I,B$3,CONSOLIDADO!$I:$I,B$4,CONSOLIDADO!$K:$K,"&lt;&gt;NOVO")</f>
        <v>0</v>
      </c>
      <c r="D93" s="77">
        <f>SUMIFS(CONSOLIDADO!$F:$F,CONSOLIDADO!$E:$E,$A93,CONSOLIDADO!$I:$I,C$3,CONSOLIDADO!$I:$I,C$4,CONSOLIDADO!$K:$K,"&lt;&gt;NOVO")</f>
        <v>0</v>
      </c>
      <c r="E93" s="77">
        <f>SUMIFS(CONSOLIDADO!$F:$F,CONSOLIDADO!$E:$E,$A93,CONSOLIDADO!$I:$I,D$3,CONSOLIDADO!$I:$I,D$4,CONSOLIDADO!$K:$K,"&lt;&gt;NOVO")</f>
        <v>0</v>
      </c>
      <c r="F93" s="77">
        <f>SUMIFS(CONSOLIDADO!$F:$F,CONSOLIDADO!$E:$E,$A93,CONSOLIDADO!$I:$I,E$3,CONSOLIDADO!$I:$I,E$4,CONSOLIDADO!$K:$K,"&lt;&gt;NOVO")</f>
        <v>0</v>
      </c>
      <c r="G93" s="77">
        <f>SUMIFS(CONSOLIDADO!$F:$F,CONSOLIDADO!$E:$E,$A93,CONSOLIDADO!$I:$I,F$3,CONSOLIDADO!$I:$I,F$4,CONSOLIDADO!$K:$K,"&lt;&gt;NOVO")</f>
        <v>0</v>
      </c>
      <c r="H93" s="77">
        <f>SUMIFS(CONSOLIDADO!$F:$F,CONSOLIDADO!$E:$E,$A93,CONSOLIDADO!$I:$I,G$3,CONSOLIDADO!$I:$I,G$4,CONSOLIDADO!$K:$K,"&lt;&gt;NOVO")</f>
        <v>0</v>
      </c>
      <c r="I93" s="77">
        <f>SUMIFS(CONSOLIDADO!$F:$F,CONSOLIDADO!$E:$E,$A93,CONSOLIDADO!$I:$I,H$3,CONSOLIDADO!$I:$I,H$4,CONSOLIDADO!$K:$K,"&lt;&gt;NOVO")</f>
        <v>0</v>
      </c>
      <c r="J93" s="77">
        <f>SUMIFS(CONSOLIDADO!$F:$F,CONSOLIDADO!$E:$E,$A93,CONSOLIDADO!$I:$I,I$3,CONSOLIDADO!$I:$I,I$4,CONSOLIDADO!$K:$K,"&lt;&gt;NOVO")</f>
        <v>0</v>
      </c>
      <c r="K93" s="77">
        <f>SUMIFS(CONSOLIDADO!$F:$F,CONSOLIDADO!$E:$E,$A93,CONSOLIDADO!$I:$I,J$3,CONSOLIDADO!$I:$I,J$4,CONSOLIDADO!$K:$K,"&lt;&gt;NOVO")</f>
        <v>0</v>
      </c>
      <c r="L93" s="77">
        <f>SUMIFS(CONSOLIDADO!$F:$F,CONSOLIDADO!$E:$E,$A93,CONSOLIDADO!$I:$I,K$3,CONSOLIDADO!$I:$I,K$4,CONSOLIDADO!$K:$K,"&lt;&gt;NOVO")</f>
        <v>0</v>
      </c>
      <c r="M93" s="77">
        <f>SUMIFS(CONSOLIDADO!$F:$F,CONSOLIDADO!$E:$E,$A93,CONSOLIDADO!$I:$I,L$3,CONSOLIDADO!$I:$I,L$4,CONSOLIDADO!$K:$K,"&lt;&gt;NOVO")</f>
        <v>0</v>
      </c>
      <c r="N93" s="79">
        <v>1719.82</v>
      </c>
      <c r="O93" s="78">
        <v>0.8</v>
      </c>
      <c r="P93" s="79">
        <f t="shared" si="4"/>
        <v>0</v>
      </c>
      <c r="Q93" s="79">
        <f t="shared" si="4"/>
        <v>0</v>
      </c>
      <c r="R93" s="79">
        <f t="shared" si="4"/>
        <v>0</v>
      </c>
      <c r="S93" s="79">
        <f t="shared" si="3"/>
        <v>0</v>
      </c>
      <c r="T93" s="79">
        <f t="shared" si="3"/>
        <v>0</v>
      </c>
      <c r="U93" s="79">
        <f t="shared" si="3"/>
        <v>0</v>
      </c>
      <c r="V93" s="79">
        <f t="shared" si="3"/>
        <v>0</v>
      </c>
      <c r="W93" s="79">
        <f t="shared" si="3"/>
        <v>0</v>
      </c>
      <c r="X93" s="79">
        <f t="shared" si="3"/>
        <v>0</v>
      </c>
      <c r="Y93" s="79">
        <f t="shared" si="3"/>
        <v>0</v>
      </c>
      <c r="Z93" s="79">
        <f t="shared" si="3"/>
        <v>0</v>
      </c>
      <c r="AA93" s="79">
        <f t="shared" si="3"/>
        <v>0</v>
      </c>
      <c r="AB93" s="37"/>
    </row>
    <row r="94" spans="1:28" x14ac:dyDescent="0.25">
      <c r="A94" s="76" t="s">
        <v>483</v>
      </c>
      <c r="B94" s="77">
        <f>SUMIFS(CONSOLIDADO!$F:$F,CONSOLIDADO!$E:$E,$A94,CONSOLIDADO!$I:$I,A$3,CONSOLIDADO!$I:$I,A$4,CONSOLIDADO!$K:$K,"&lt;&gt;NOVO")</f>
        <v>0</v>
      </c>
      <c r="C94" s="77">
        <f>SUMIFS(CONSOLIDADO!$F:$F,CONSOLIDADO!$E:$E,$A94,CONSOLIDADO!$I:$I,B$3,CONSOLIDADO!$I:$I,B$4,CONSOLIDADO!$K:$K,"&lt;&gt;NOVO")</f>
        <v>0</v>
      </c>
      <c r="D94" s="77">
        <f>SUMIFS(CONSOLIDADO!$F:$F,CONSOLIDADO!$E:$E,$A94,CONSOLIDADO!$I:$I,C$3,CONSOLIDADO!$I:$I,C$4,CONSOLIDADO!$K:$K,"&lt;&gt;NOVO")</f>
        <v>0</v>
      </c>
      <c r="E94" s="77">
        <f>SUMIFS(CONSOLIDADO!$F:$F,CONSOLIDADO!$E:$E,$A94,CONSOLIDADO!$I:$I,D$3,CONSOLIDADO!$I:$I,D$4,CONSOLIDADO!$K:$K,"&lt;&gt;NOVO")</f>
        <v>0</v>
      </c>
      <c r="F94" s="77">
        <f>SUMIFS(CONSOLIDADO!$F:$F,CONSOLIDADO!$E:$E,$A94,CONSOLIDADO!$I:$I,E$3,CONSOLIDADO!$I:$I,E$4,CONSOLIDADO!$K:$K,"&lt;&gt;NOVO")</f>
        <v>0</v>
      </c>
      <c r="G94" s="77">
        <f>SUMIFS(CONSOLIDADO!$F:$F,CONSOLIDADO!$E:$E,$A94,CONSOLIDADO!$I:$I,F$3,CONSOLIDADO!$I:$I,F$4,CONSOLIDADO!$K:$K,"&lt;&gt;NOVO")</f>
        <v>0</v>
      </c>
      <c r="H94" s="77">
        <f>SUMIFS(CONSOLIDADO!$F:$F,CONSOLIDADO!$E:$E,$A94,CONSOLIDADO!$I:$I,G$3,CONSOLIDADO!$I:$I,G$4,CONSOLIDADO!$K:$K,"&lt;&gt;NOVO")</f>
        <v>0</v>
      </c>
      <c r="I94" s="77">
        <f>SUMIFS(CONSOLIDADO!$F:$F,CONSOLIDADO!$E:$E,$A94,CONSOLIDADO!$I:$I,H$3,CONSOLIDADO!$I:$I,H$4,CONSOLIDADO!$K:$K,"&lt;&gt;NOVO")</f>
        <v>0</v>
      </c>
      <c r="J94" s="77">
        <f>SUMIFS(CONSOLIDADO!$F:$F,CONSOLIDADO!$E:$E,$A94,CONSOLIDADO!$I:$I,I$3,CONSOLIDADO!$I:$I,I$4,CONSOLIDADO!$K:$K,"&lt;&gt;NOVO")</f>
        <v>0</v>
      </c>
      <c r="K94" s="77">
        <f>SUMIFS(CONSOLIDADO!$F:$F,CONSOLIDADO!$E:$E,$A94,CONSOLIDADO!$I:$I,J$3,CONSOLIDADO!$I:$I,J$4,CONSOLIDADO!$K:$K,"&lt;&gt;NOVO")</f>
        <v>0</v>
      </c>
      <c r="L94" s="77">
        <f>SUMIFS(CONSOLIDADO!$F:$F,CONSOLIDADO!$E:$E,$A94,CONSOLIDADO!$I:$I,K$3,CONSOLIDADO!$I:$I,K$4,CONSOLIDADO!$K:$K,"&lt;&gt;NOVO")</f>
        <v>0</v>
      </c>
      <c r="M94" s="77">
        <f>SUMIFS(CONSOLIDADO!$F:$F,CONSOLIDADO!$E:$E,$A94,CONSOLIDADO!$I:$I,L$3,CONSOLIDADO!$I:$I,L$4,CONSOLIDADO!$K:$K,"&lt;&gt;NOVO")</f>
        <v>0</v>
      </c>
      <c r="N94" s="79">
        <v>639.86</v>
      </c>
      <c r="O94" s="78">
        <v>0.8</v>
      </c>
      <c r="P94" s="79">
        <f t="shared" si="4"/>
        <v>0</v>
      </c>
      <c r="Q94" s="79">
        <f t="shared" si="4"/>
        <v>0</v>
      </c>
      <c r="R94" s="79">
        <f t="shared" si="4"/>
        <v>0</v>
      </c>
      <c r="S94" s="79">
        <f t="shared" si="3"/>
        <v>0</v>
      </c>
      <c r="T94" s="79">
        <f t="shared" si="3"/>
        <v>0</v>
      </c>
      <c r="U94" s="79">
        <f t="shared" si="3"/>
        <v>0</v>
      </c>
      <c r="V94" s="79">
        <f t="shared" ref="V94:AA99" si="5">H94*($N94*(1-$O94))</f>
        <v>0</v>
      </c>
      <c r="W94" s="79">
        <f t="shared" si="5"/>
        <v>0</v>
      </c>
      <c r="X94" s="79">
        <f t="shared" si="5"/>
        <v>0</v>
      </c>
      <c r="Y94" s="79">
        <f t="shared" si="5"/>
        <v>0</v>
      </c>
      <c r="Z94" s="79">
        <f t="shared" si="5"/>
        <v>0</v>
      </c>
      <c r="AA94" s="79">
        <f t="shared" si="5"/>
        <v>0</v>
      </c>
      <c r="AB94" s="37"/>
    </row>
    <row r="95" spans="1:28" x14ac:dyDescent="0.25">
      <c r="A95" s="76" t="s">
        <v>82</v>
      </c>
      <c r="B95" s="77">
        <f>SUMIFS(CONSOLIDADO!$F:$F,CONSOLIDADO!$E:$E,$A95,CONSOLIDADO!$I:$I,A$3,CONSOLIDADO!$I:$I,A$4,CONSOLIDADO!$K:$K,"&lt;&gt;NOVO")</f>
        <v>0</v>
      </c>
      <c r="C95" s="77">
        <f>SUMIFS(CONSOLIDADO!$F:$F,CONSOLIDADO!$E:$E,$A95,CONSOLIDADO!$I:$I,B$3,CONSOLIDADO!$I:$I,B$4,CONSOLIDADO!$K:$K,"&lt;&gt;NOVO")</f>
        <v>1</v>
      </c>
      <c r="D95" s="77">
        <f>SUMIFS(CONSOLIDADO!$F:$F,CONSOLIDADO!$E:$E,$A95,CONSOLIDADO!$I:$I,C$3,CONSOLIDADO!$I:$I,C$4,CONSOLIDADO!$K:$K,"&lt;&gt;NOVO")</f>
        <v>1</v>
      </c>
      <c r="E95" s="77">
        <f>SUMIFS(CONSOLIDADO!$F:$F,CONSOLIDADO!$E:$E,$A95,CONSOLIDADO!$I:$I,D$3,CONSOLIDADO!$I:$I,D$4,CONSOLIDADO!$K:$K,"&lt;&gt;NOVO")</f>
        <v>0</v>
      </c>
      <c r="F95" s="77">
        <f>SUMIFS(CONSOLIDADO!$F:$F,CONSOLIDADO!$E:$E,$A95,CONSOLIDADO!$I:$I,E$3,CONSOLIDADO!$I:$I,E$4,CONSOLIDADO!$K:$K,"&lt;&gt;NOVO")</f>
        <v>0</v>
      </c>
      <c r="G95" s="77">
        <f>SUMIFS(CONSOLIDADO!$F:$F,CONSOLIDADO!$E:$E,$A95,CONSOLIDADO!$I:$I,F$3,CONSOLIDADO!$I:$I,F$4,CONSOLIDADO!$K:$K,"&lt;&gt;NOVO")</f>
        <v>0</v>
      </c>
      <c r="H95" s="77">
        <f>SUMIFS(CONSOLIDADO!$F:$F,CONSOLIDADO!$E:$E,$A95,CONSOLIDADO!$I:$I,G$3,CONSOLIDADO!$I:$I,G$4,CONSOLIDADO!$K:$K,"&lt;&gt;NOVO")</f>
        <v>0</v>
      </c>
      <c r="I95" s="77">
        <f>SUMIFS(CONSOLIDADO!$F:$F,CONSOLIDADO!$E:$E,$A95,CONSOLIDADO!$I:$I,H$3,CONSOLIDADO!$I:$I,H$4,CONSOLIDADO!$K:$K,"&lt;&gt;NOVO")</f>
        <v>0</v>
      </c>
      <c r="J95" s="77">
        <f>SUMIFS(CONSOLIDADO!$F:$F,CONSOLIDADO!$E:$E,$A95,CONSOLIDADO!$I:$I,I$3,CONSOLIDADO!$I:$I,I$4,CONSOLIDADO!$K:$K,"&lt;&gt;NOVO")</f>
        <v>0</v>
      </c>
      <c r="K95" s="77">
        <f>SUMIFS(CONSOLIDADO!$F:$F,CONSOLIDADO!$E:$E,$A95,CONSOLIDADO!$I:$I,J$3,CONSOLIDADO!$I:$I,J$4,CONSOLIDADO!$K:$K,"&lt;&gt;NOVO")</f>
        <v>0</v>
      </c>
      <c r="L95" s="77">
        <f>SUMIFS(CONSOLIDADO!$F:$F,CONSOLIDADO!$E:$E,$A95,CONSOLIDADO!$I:$I,K$3,CONSOLIDADO!$I:$I,K$4,CONSOLIDADO!$K:$K,"&lt;&gt;NOVO")</f>
        <v>0</v>
      </c>
      <c r="M95" s="77">
        <f>SUMIFS(CONSOLIDADO!$F:$F,CONSOLIDADO!$E:$E,$A95,CONSOLIDADO!$I:$I,L$3,CONSOLIDADO!$I:$I,L$4,CONSOLIDADO!$K:$K,"&lt;&gt;NOVO")</f>
        <v>0</v>
      </c>
      <c r="N95" s="79">
        <v>2600</v>
      </c>
      <c r="O95" s="78">
        <v>0.8</v>
      </c>
      <c r="P95" s="79">
        <f t="shared" si="4"/>
        <v>0</v>
      </c>
      <c r="Q95" s="79">
        <f t="shared" si="4"/>
        <v>519.99999999999989</v>
      </c>
      <c r="R95" s="79">
        <f t="shared" si="4"/>
        <v>519.99999999999989</v>
      </c>
      <c r="S95" s="79">
        <f t="shared" si="4"/>
        <v>0</v>
      </c>
      <c r="T95" s="79">
        <f t="shared" si="4"/>
        <v>0</v>
      </c>
      <c r="U95" s="79">
        <f t="shared" si="4"/>
        <v>0</v>
      </c>
      <c r="V95" s="79">
        <f t="shared" si="5"/>
        <v>0</v>
      </c>
      <c r="W95" s="79">
        <f t="shared" si="5"/>
        <v>0</v>
      </c>
      <c r="X95" s="79">
        <f t="shared" si="5"/>
        <v>0</v>
      </c>
      <c r="Y95" s="79">
        <f t="shared" si="5"/>
        <v>0</v>
      </c>
      <c r="Z95" s="79">
        <f t="shared" si="5"/>
        <v>0</v>
      </c>
      <c r="AA95" s="79">
        <f t="shared" si="5"/>
        <v>0</v>
      </c>
      <c r="AB95" s="37"/>
    </row>
    <row r="96" spans="1:28" x14ac:dyDescent="0.25">
      <c r="A96" s="76" t="s">
        <v>484</v>
      </c>
      <c r="B96" s="77">
        <f>SUMIFS(CONSOLIDADO!$F:$F,CONSOLIDADO!$E:$E,$A96,CONSOLIDADO!$I:$I,A$3,CONSOLIDADO!$I:$I,A$4,CONSOLIDADO!$K:$K,"&lt;&gt;NOVO")</f>
        <v>0</v>
      </c>
      <c r="C96" s="77">
        <f>SUMIFS(CONSOLIDADO!$F:$F,CONSOLIDADO!$E:$E,$A96,CONSOLIDADO!$I:$I,B$3,CONSOLIDADO!$I:$I,B$4,CONSOLIDADO!$K:$K,"&lt;&gt;NOVO")</f>
        <v>0</v>
      </c>
      <c r="D96" s="77">
        <f>SUMIFS(CONSOLIDADO!$F:$F,CONSOLIDADO!$E:$E,$A96,CONSOLIDADO!$I:$I,C$3,CONSOLIDADO!$I:$I,C$4,CONSOLIDADO!$K:$K,"&lt;&gt;NOVO")</f>
        <v>0</v>
      </c>
      <c r="E96" s="77">
        <f>SUMIFS(CONSOLIDADO!$F:$F,CONSOLIDADO!$E:$E,$A96,CONSOLIDADO!$I:$I,D$3,CONSOLIDADO!$I:$I,D$4,CONSOLIDADO!$K:$K,"&lt;&gt;NOVO")</f>
        <v>0</v>
      </c>
      <c r="F96" s="77">
        <f>SUMIFS(CONSOLIDADO!$F:$F,CONSOLIDADO!$E:$E,$A96,CONSOLIDADO!$I:$I,E$3,CONSOLIDADO!$I:$I,E$4,CONSOLIDADO!$K:$K,"&lt;&gt;NOVO")</f>
        <v>0</v>
      </c>
      <c r="G96" s="77">
        <f>SUMIFS(CONSOLIDADO!$F:$F,CONSOLIDADO!$E:$E,$A96,CONSOLIDADO!$I:$I,F$3,CONSOLIDADO!$I:$I,F$4,CONSOLIDADO!$K:$K,"&lt;&gt;NOVO")</f>
        <v>0</v>
      </c>
      <c r="H96" s="77">
        <f>SUMIFS(CONSOLIDADO!$F:$F,CONSOLIDADO!$E:$E,$A96,CONSOLIDADO!$I:$I,G$3,CONSOLIDADO!$I:$I,G$4,CONSOLIDADO!$K:$K,"&lt;&gt;NOVO")</f>
        <v>0</v>
      </c>
      <c r="I96" s="77">
        <f>SUMIFS(CONSOLIDADO!$F:$F,CONSOLIDADO!$E:$E,$A96,CONSOLIDADO!$I:$I,H$3,CONSOLIDADO!$I:$I,H$4,CONSOLIDADO!$K:$K,"&lt;&gt;NOVO")</f>
        <v>0</v>
      </c>
      <c r="J96" s="77">
        <f>SUMIFS(CONSOLIDADO!$F:$F,CONSOLIDADO!$E:$E,$A96,CONSOLIDADO!$I:$I,I$3,CONSOLIDADO!$I:$I,I$4,CONSOLIDADO!$K:$K,"&lt;&gt;NOVO")</f>
        <v>0</v>
      </c>
      <c r="K96" s="77">
        <f>SUMIFS(CONSOLIDADO!$F:$F,CONSOLIDADO!$E:$E,$A96,CONSOLIDADO!$I:$I,J$3,CONSOLIDADO!$I:$I,J$4,CONSOLIDADO!$K:$K,"&lt;&gt;NOVO")</f>
        <v>0</v>
      </c>
      <c r="L96" s="77">
        <f>SUMIFS(CONSOLIDADO!$F:$F,CONSOLIDADO!$E:$E,$A96,CONSOLIDADO!$I:$I,K$3,CONSOLIDADO!$I:$I,K$4,CONSOLIDADO!$K:$K,"&lt;&gt;NOVO")</f>
        <v>0</v>
      </c>
      <c r="M96" s="77">
        <f>SUMIFS(CONSOLIDADO!$F:$F,CONSOLIDADO!$E:$E,$A96,CONSOLIDADO!$I:$I,L$3,CONSOLIDADO!$I:$I,L$4,CONSOLIDADO!$K:$K,"&lt;&gt;NOVO")</f>
        <v>0</v>
      </c>
      <c r="N96" s="79">
        <v>746.48</v>
      </c>
      <c r="O96" s="78">
        <v>0.8</v>
      </c>
      <c r="P96" s="79">
        <f t="shared" si="4"/>
        <v>0</v>
      </c>
      <c r="Q96" s="79">
        <f t="shared" si="4"/>
        <v>0</v>
      </c>
      <c r="R96" s="79">
        <f t="shared" si="4"/>
        <v>0</v>
      </c>
      <c r="S96" s="79">
        <f t="shared" si="4"/>
        <v>0</v>
      </c>
      <c r="T96" s="79">
        <f t="shared" si="4"/>
        <v>0</v>
      </c>
      <c r="U96" s="79">
        <f t="shared" si="4"/>
        <v>0</v>
      </c>
      <c r="V96" s="79">
        <f t="shared" si="5"/>
        <v>0</v>
      </c>
      <c r="W96" s="79">
        <f t="shared" si="5"/>
        <v>0</v>
      </c>
      <c r="X96" s="79">
        <f t="shared" si="5"/>
        <v>0</v>
      </c>
      <c r="Y96" s="79">
        <f t="shared" si="5"/>
        <v>0</v>
      </c>
      <c r="Z96" s="79">
        <f t="shared" si="5"/>
        <v>0</v>
      </c>
      <c r="AA96" s="79">
        <f t="shared" si="5"/>
        <v>0</v>
      </c>
      <c r="AB96" s="37"/>
    </row>
    <row r="97" spans="1:28" x14ac:dyDescent="0.25">
      <c r="A97" s="76" t="s">
        <v>485</v>
      </c>
      <c r="B97" s="77">
        <f>SUMIFS(CONSOLIDADO!$F:$F,CONSOLIDADO!$E:$E,$A97,CONSOLIDADO!$I:$I,A$3,CONSOLIDADO!$I:$I,A$4,CONSOLIDADO!$K:$K,"&lt;&gt;NOVO")</f>
        <v>0</v>
      </c>
      <c r="C97" s="77">
        <f>SUMIFS(CONSOLIDADO!$F:$F,CONSOLIDADO!$E:$E,$A97,CONSOLIDADO!$I:$I,B$3,CONSOLIDADO!$I:$I,B$4,CONSOLIDADO!$K:$K,"&lt;&gt;NOVO")</f>
        <v>0</v>
      </c>
      <c r="D97" s="77">
        <f>SUMIFS(CONSOLIDADO!$F:$F,CONSOLIDADO!$E:$E,$A97,CONSOLIDADO!$I:$I,C$3,CONSOLIDADO!$I:$I,C$4,CONSOLIDADO!$K:$K,"&lt;&gt;NOVO")</f>
        <v>0</v>
      </c>
      <c r="E97" s="77">
        <f>SUMIFS(CONSOLIDADO!$F:$F,CONSOLIDADO!$E:$E,$A97,CONSOLIDADO!$I:$I,D$3,CONSOLIDADO!$I:$I,D$4,CONSOLIDADO!$K:$K,"&lt;&gt;NOVO")</f>
        <v>0</v>
      </c>
      <c r="F97" s="77">
        <f>SUMIFS(CONSOLIDADO!$F:$F,CONSOLIDADO!$E:$E,$A97,CONSOLIDADO!$I:$I,E$3,CONSOLIDADO!$I:$I,E$4,CONSOLIDADO!$K:$K,"&lt;&gt;NOVO")</f>
        <v>0</v>
      </c>
      <c r="G97" s="77">
        <f>SUMIFS(CONSOLIDADO!$F:$F,CONSOLIDADO!$E:$E,$A97,CONSOLIDADO!$I:$I,F$3,CONSOLIDADO!$I:$I,F$4,CONSOLIDADO!$K:$K,"&lt;&gt;NOVO")</f>
        <v>0</v>
      </c>
      <c r="H97" s="77">
        <f>SUMIFS(CONSOLIDADO!$F:$F,CONSOLIDADO!$E:$E,$A97,CONSOLIDADO!$I:$I,G$3,CONSOLIDADO!$I:$I,G$4,CONSOLIDADO!$K:$K,"&lt;&gt;NOVO")</f>
        <v>0</v>
      </c>
      <c r="I97" s="77">
        <f>SUMIFS(CONSOLIDADO!$F:$F,CONSOLIDADO!$E:$E,$A97,CONSOLIDADO!$I:$I,H$3,CONSOLIDADO!$I:$I,H$4,CONSOLIDADO!$K:$K,"&lt;&gt;NOVO")</f>
        <v>0</v>
      </c>
      <c r="J97" s="77">
        <f>SUMIFS(CONSOLIDADO!$F:$F,CONSOLIDADO!$E:$E,$A97,CONSOLIDADO!$I:$I,I$3,CONSOLIDADO!$I:$I,I$4,CONSOLIDADO!$K:$K,"&lt;&gt;NOVO")</f>
        <v>0</v>
      </c>
      <c r="K97" s="77">
        <f>SUMIFS(CONSOLIDADO!$F:$F,CONSOLIDADO!$E:$E,$A97,CONSOLIDADO!$I:$I,J$3,CONSOLIDADO!$I:$I,J$4,CONSOLIDADO!$K:$K,"&lt;&gt;NOVO")</f>
        <v>0</v>
      </c>
      <c r="L97" s="77">
        <f>SUMIFS(CONSOLIDADO!$F:$F,CONSOLIDADO!$E:$E,$A97,CONSOLIDADO!$I:$I,K$3,CONSOLIDADO!$I:$I,K$4,CONSOLIDADO!$K:$K,"&lt;&gt;NOVO")</f>
        <v>0</v>
      </c>
      <c r="M97" s="77">
        <f>SUMIFS(CONSOLIDADO!$F:$F,CONSOLIDADO!$E:$E,$A97,CONSOLIDADO!$I:$I,L$3,CONSOLIDADO!$I:$I,L$4,CONSOLIDADO!$K:$K,"&lt;&gt;NOVO")</f>
        <v>0</v>
      </c>
      <c r="N97" s="79">
        <v>746.48</v>
      </c>
      <c r="O97" s="78">
        <v>0.8</v>
      </c>
      <c r="P97" s="79">
        <f t="shared" si="4"/>
        <v>0</v>
      </c>
      <c r="Q97" s="79">
        <f t="shared" si="4"/>
        <v>0</v>
      </c>
      <c r="R97" s="79">
        <f t="shared" si="4"/>
        <v>0</v>
      </c>
      <c r="S97" s="79">
        <f t="shared" si="4"/>
        <v>0</v>
      </c>
      <c r="T97" s="79">
        <f t="shared" si="4"/>
        <v>0</v>
      </c>
      <c r="U97" s="79">
        <f t="shared" si="4"/>
        <v>0</v>
      </c>
      <c r="V97" s="79">
        <f t="shared" si="5"/>
        <v>0</v>
      </c>
      <c r="W97" s="79">
        <f t="shared" si="5"/>
        <v>0</v>
      </c>
      <c r="X97" s="79">
        <f t="shared" si="5"/>
        <v>0</v>
      </c>
      <c r="Y97" s="79">
        <f t="shared" si="5"/>
        <v>0</v>
      </c>
      <c r="Z97" s="79">
        <f t="shared" si="5"/>
        <v>0</v>
      </c>
      <c r="AA97" s="79">
        <f t="shared" si="5"/>
        <v>0</v>
      </c>
      <c r="AB97" s="37"/>
    </row>
    <row r="98" spans="1:28" x14ac:dyDescent="0.25">
      <c r="A98" s="76" t="s">
        <v>103</v>
      </c>
      <c r="B98" s="77">
        <f>SUMIFS(CONSOLIDADO!$F:$F,CONSOLIDADO!$E:$E,$A98,CONSOLIDADO!$I:$I,A$3,CONSOLIDADO!$I:$I,A$4,CONSOLIDADO!$K:$K,"&lt;&gt;NOVO")</f>
        <v>2</v>
      </c>
      <c r="C98" s="77">
        <f>SUMIFS(CONSOLIDADO!$F:$F,CONSOLIDADO!$E:$E,$A98,CONSOLIDADO!$I:$I,B$3,CONSOLIDADO!$I:$I,B$4,CONSOLIDADO!$K:$K,"&lt;&gt;NOVO")</f>
        <v>0</v>
      </c>
      <c r="D98" s="77">
        <f>SUMIFS(CONSOLIDADO!$F:$F,CONSOLIDADO!$E:$E,$A98,CONSOLIDADO!$I:$I,C$3,CONSOLIDADO!$I:$I,C$4,CONSOLIDADO!$K:$K,"&lt;&gt;NOVO")</f>
        <v>2</v>
      </c>
      <c r="E98" s="77">
        <f>SUMIFS(CONSOLIDADO!$F:$F,CONSOLIDADO!$E:$E,$A98,CONSOLIDADO!$I:$I,D$3,CONSOLIDADO!$I:$I,D$4,CONSOLIDADO!$K:$K,"&lt;&gt;NOVO")</f>
        <v>0</v>
      </c>
      <c r="F98" s="77">
        <f>SUMIFS(CONSOLIDADO!$F:$F,CONSOLIDADO!$E:$E,$A98,CONSOLIDADO!$I:$I,E$3,CONSOLIDADO!$I:$I,E$4,CONSOLIDADO!$K:$K,"&lt;&gt;NOVO")</f>
        <v>0</v>
      </c>
      <c r="G98" s="77">
        <f>SUMIFS(CONSOLIDADO!$F:$F,CONSOLIDADO!$E:$E,$A98,CONSOLIDADO!$I:$I,F$3,CONSOLIDADO!$I:$I,F$4,CONSOLIDADO!$K:$K,"&lt;&gt;NOVO")</f>
        <v>0</v>
      </c>
      <c r="H98" s="77">
        <f>SUMIFS(CONSOLIDADO!$F:$F,CONSOLIDADO!$E:$E,$A98,CONSOLIDADO!$I:$I,G$3,CONSOLIDADO!$I:$I,G$4,CONSOLIDADO!$K:$K,"&lt;&gt;NOVO")</f>
        <v>0</v>
      </c>
      <c r="I98" s="77">
        <f>SUMIFS(CONSOLIDADO!$F:$F,CONSOLIDADO!$E:$E,$A98,CONSOLIDADO!$I:$I,H$3,CONSOLIDADO!$I:$I,H$4,CONSOLIDADO!$K:$K,"&lt;&gt;NOVO")</f>
        <v>0</v>
      </c>
      <c r="J98" s="77">
        <f>SUMIFS(CONSOLIDADO!$F:$F,CONSOLIDADO!$E:$E,$A98,CONSOLIDADO!$I:$I,I$3,CONSOLIDADO!$I:$I,I$4,CONSOLIDADO!$K:$K,"&lt;&gt;NOVO")</f>
        <v>0</v>
      </c>
      <c r="K98" s="77">
        <f>SUMIFS(CONSOLIDADO!$F:$F,CONSOLIDADO!$E:$E,$A98,CONSOLIDADO!$I:$I,J$3,CONSOLIDADO!$I:$I,J$4,CONSOLIDADO!$K:$K,"&lt;&gt;NOVO")</f>
        <v>0</v>
      </c>
      <c r="L98" s="77">
        <f>SUMIFS(CONSOLIDADO!$F:$F,CONSOLIDADO!$E:$E,$A98,CONSOLIDADO!$I:$I,K$3,CONSOLIDADO!$I:$I,K$4,CONSOLIDADO!$K:$K,"&lt;&gt;NOVO")</f>
        <v>0</v>
      </c>
      <c r="M98" s="77">
        <f>SUMIFS(CONSOLIDADO!$F:$F,CONSOLIDADO!$E:$E,$A98,CONSOLIDADO!$I:$I,L$3,CONSOLIDADO!$I:$I,L$4,CONSOLIDADO!$K:$K,"&lt;&gt;NOVO")</f>
        <v>1</v>
      </c>
      <c r="N98" s="79">
        <v>2000</v>
      </c>
      <c r="O98" s="78">
        <v>0.8</v>
      </c>
      <c r="P98" s="79">
        <f t="shared" si="4"/>
        <v>799.99999999999977</v>
      </c>
      <c r="Q98" s="79">
        <f t="shared" si="4"/>
        <v>0</v>
      </c>
      <c r="R98" s="79">
        <f t="shared" si="4"/>
        <v>799.99999999999977</v>
      </c>
      <c r="S98" s="79">
        <f t="shared" si="4"/>
        <v>0</v>
      </c>
      <c r="T98" s="79">
        <f t="shared" si="4"/>
        <v>0</v>
      </c>
      <c r="U98" s="79">
        <f t="shared" si="4"/>
        <v>0</v>
      </c>
      <c r="V98" s="79">
        <f t="shared" si="5"/>
        <v>0</v>
      </c>
      <c r="W98" s="79">
        <f t="shared" si="5"/>
        <v>0</v>
      </c>
      <c r="X98" s="79">
        <f t="shared" si="5"/>
        <v>0</v>
      </c>
      <c r="Y98" s="79">
        <f t="shared" si="5"/>
        <v>0</v>
      </c>
      <c r="Z98" s="79">
        <f t="shared" si="5"/>
        <v>0</v>
      </c>
      <c r="AA98" s="79">
        <f t="shared" si="5"/>
        <v>399.99999999999989</v>
      </c>
      <c r="AB98" s="37"/>
    </row>
    <row r="99" spans="1:28" x14ac:dyDescent="0.25">
      <c r="A99" s="76" t="s">
        <v>486</v>
      </c>
      <c r="B99" s="77">
        <f>SUMIFS(CONSOLIDADO!$F:$F,CONSOLIDADO!$E:$E,$A99,CONSOLIDADO!$I:$I,A$3,CONSOLIDADO!$I:$I,A$4,CONSOLIDADO!$K:$K,"&lt;&gt;NOVO")</f>
        <v>0</v>
      </c>
      <c r="C99" s="77">
        <f>SUMIFS(CONSOLIDADO!$F:$F,CONSOLIDADO!$E:$E,$A99,CONSOLIDADO!$I:$I,B$3,CONSOLIDADO!$I:$I,B$4,CONSOLIDADO!$K:$K,"&lt;&gt;NOVO")</f>
        <v>0</v>
      </c>
      <c r="D99" s="77">
        <f>SUMIFS(CONSOLIDADO!$F:$F,CONSOLIDADO!$E:$E,$A99,CONSOLIDADO!$I:$I,C$3,CONSOLIDADO!$I:$I,C$4,CONSOLIDADO!$K:$K,"&lt;&gt;NOVO")</f>
        <v>0</v>
      </c>
      <c r="E99" s="77">
        <f>SUMIFS(CONSOLIDADO!$F:$F,CONSOLIDADO!$E:$E,$A99,CONSOLIDADO!$I:$I,D$3,CONSOLIDADO!$I:$I,D$4,CONSOLIDADO!$K:$K,"&lt;&gt;NOVO")</f>
        <v>0</v>
      </c>
      <c r="F99" s="77">
        <f>SUMIFS(CONSOLIDADO!$F:$F,CONSOLIDADO!$E:$E,$A99,CONSOLIDADO!$I:$I,E$3,CONSOLIDADO!$I:$I,E$4,CONSOLIDADO!$K:$K,"&lt;&gt;NOVO")</f>
        <v>0</v>
      </c>
      <c r="G99" s="77">
        <f>SUMIFS(CONSOLIDADO!$F:$F,CONSOLIDADO!$E:$E,$A99,CONSOLIDADO!$I:$I,F$3,CONSOLIDADO!$I:$I,F$4,CONSOLIDADO!$K:$K,"&lt;&gt;NOVO")</f>
        <v>0</v>
      </c>
      <c r="H99" s="77">
        <f>SUMIFS(CONSOLIDADO!$F:$F,CONSOLIDADO!$E:$E,$A99,CONSOLIDADO!$I:$I,G$3,CONSOLIDADO!$I:$I,G$4,CONSOLIDADO!$K:$K,"&lt;&gt;NOVO")</f>
        <v>0</v>
      </c>
      <c r="I99" s="77">
        <f>SUMIFS(CONSOLIDADO!$F:$F,CONSOLIDADO!$E:$E,$A99,CONSOLIDADO!$I:$I,H$3,CONSOLIDADO!$I:$I,H$4,CONSOLIDADO!$K:$K,"&lt;&gt;NOVO")</f>
        <v>0</v>
      </c>
      <c r="J99" s="77">
        <f>SUMIFS(CONSOLIDADO!$F:$F,CONSOLIDADO!$E:$E,$A99,CONSOLIDADO!$I:$I,I$3,CONSOLIDADO!$I:$I,I$4,CONSOLIDADO!$K:$K,"&lt;&gt;NOVO")</f>
        <v>0</v>
      </c>
      <c r="K99" s="77">
        <f>SUMIFS(CONSOLIDADO!$F:$F,CONSOLIDADO!$E:$E,$A99,CONSOLIDADO!$I:$I,J$3,CONSOLIDADO!$I:$I,J$4,CONSOLIDADO!$K:$K,"&lt;&gt;NOVO")</f>
        <v>0</v>
      </c>
      <c r="L99" s="77">
        <f>SUMIFS(CONSOLIDADO!$F:$F,CONSOLIDADO!$E:$E,$A99,CONSOLIDADO!$I:$I,K$3,CONSOLIDADO!$I:$I,K$4,CONSOLIDADO!$K:$K,"&lt;&gt;NOVO")</f>
        <v>0</v>
      </c>
      <c r="M99" s="77">
        <f>SUMIFS(CONSOLIDADO!$F:$F,CONSOLIDADO!$E:$E,$A99,CONSOLIDADO!$I:$I,L$3,CONSOLIDADO!$I:$I,L$4,CONSOLIDADO!$K:$K,"&lt;&gt;NOVO")</f>
        <v>0</v>
      </c>
      <c r="N99" s="79">
        <v>1116.1300000000001</v>
      </c>
      <c r="O99" s="78">
        <v>0.8</v>
      </c>
      <c r="P99" s="79">
        <f t="shared" si="4"/>
        <v>0</v>
      </c>
      <c r="Q99" s="79">
        <f t="shared" si="4"/>
        <v>0</v>
      </c>
      <c r="R99" s="79">
        <f t="shared" si="4"/>
        <v>0</v>
      </c>
      <c r="S99" s="79">
        <f t="shared" si="4"/>
        <v>0</v>
      </c>
      <c r="T99" s="79">
        <f t="shared" si="4"/>
        <v>0</v>
      </c>
      <c r="U99" s="79">
        <f t="shared" si="4"/>
        <v>0</v>
      </c>
      <c r="V99" s="79">
        <f t="shared" si="5"/>
        <v>0</v>
      </c>
      <c r="W99" s="79">
        <f t="shared" si="5"/>
        <v>0</v>
      </c>
      <c r="X99" s="79">
        <f t="shared" si="5"/>
        <v>0</v>
      </c>
      <c r="Y99" s="79">
        <f t="shared" si="5"/>
        <v>0</v>
      </c>
      <c r="Z99" s="79">
        <f t="shared" si="5"/>
        <v>0</v>
      </c>
      <c r="AA99" s="79">
        <f t="shared" si="5"/>
        <v>0</v>
      </c>
      <c r="AB99" s="37"/>
    </row>
    <row r="100" spans="1:28" x14ac:dyDescent="0.25">
      <c r="A100" s="76" t="s">
        <v>584</v>
      </c>
      <c r="B100" s="77">
        <f>SUM(B9:B99)</f>
        <v>188</v>
      </c>
      <c r="C100" s="77">
        <f t="shared" ref="C100:AA100" si="6">SUM(C9:C99)</f>
        <v>195</v>
      </c>
      <c r="D100" s="77">
        <f t="shared" si="6"/>
        <v>414</v>
      </c>
      <c r="E100" s="77">
        <f t="shared" si="6"/>
        <v>0</v>
      </c>
      <c r="F100" s="77">
        <f t="shared" si="6"/>
        <v>0</v>
      </c>
      <c r="G100" s="77">
        <f t="shared" si="6"/>
        <v>0</v>
      </c>
      <c r="H100" s="77">
        <f t="shared" si="6"/>
        <v>0</v>
      </c>
      <c r="I100" s="77">
        <f t="shared" si="6"/>
        <v>0</v>
      </c>
      <c r="J100" s="77">
        <f t="shared" si="6"/>
        <v>0</v>
      </c>
      <c r="K100" s="77">
        <f t="shared" si="6"/>
        <v>0</v>
      </c>
      <c r="L100" s="77">
        <f t="shared" si="6"/>
        <v>0</v>
      </c>
      <c r="M100" s="77">
        <f t="shared" si="6"/>
        <v>4</v>
      </c>
      <c r="N100" s="79">
        <f t="shared" si="6"/>
        <v>120760.30999999997</v>
      </c>
      <c r="O100" s="79"/>
      <c r="P100" s="79">
        <f t="shared" si="6"/>
        <v>70067.09199999999</v>
      </c>
      <c r="Q100" s="79">
        <f t="shared" si="6"/>
        <v>68262.091999999961</v>
      </c>
      <c r="R100" s="79">
        <f t="shared" si="6"/>
        <v>84626.95</v>
      </c>
      <c r="S100" s="79">
        <f t="shared" si="6"/>
        <v>0</v>
      </c>
      <c r="T100" s="79">
        <f t="shared" si="6"/>
        <v>0</v>
      </c>
      <c r="U100" s="79">
        <f t="shared" si="6"/>
        <v>0</v>
      </c>
      <c r="V100" s="79">
        <f t="shared" si="6"/>
        <v>0</v>
      </c>
      <c r="W100" s="79">
        <f t="shared" si="6"/>
        <v>0</v>
      </c>
      <c r="X100" s="79">
        <f t="shared" si="6"/>
        <v>0</v>
      </c>
      <c r="Y100" s="79">
        <f t="shared" si="6"/>
        <v>0</v>
      </c>
      <c r="Z100" s="79">
        <f t="shared" si="6"/>
        <v>0</v>
      </c>
      <c r="AA100" s="79">
        <f t="shared" si="6"/>
        <v>1387.3319999999999</v>
      </c>
      <c r="AB100" s="37"/>
    </row>
    <row r="101" spans="1:28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</row>
    <row r="102" spans="1:28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</row>
    <row r="103" spans="1:28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</row>
    <row r="104" spans="1:28" ht="18.75" x14ac:dyDescent="0.3">
      <c r="A104" s="80" t="s">
        <v>585</v>
      </c>
      <c r="B104" s="80" t="s">
        <v>586</v>
      </c>
      <c r="C104" s="80" t="s">
        <v>599</v>
      </c>
      <c r="D104" s="80" t="s">
        <v>587</v>
      </c>
      <c r="E104" s="37"/>
      <c r="F104" s="81"/>
      <c r="G104" s="81" t="s">
        <v>565</v>
      </c>
      <c r="H104" s="81" t="s">
        <v>566</v>
      </c>
      <c r="I104" s="81" t="s">
        <v>567</v>
      </c>
      <c r="J104" s="81" t="s">
        <v>568</v>
      </c>
      <c r="K104" s="81" t="s">
        <v>569</v>
      </c>
      <c r="L104" s="81" t="s">
        <v>570</v>
      </c>
      <c r="M104" s="81" t="s">
        <v>571</v>
      </c>
      <c r="N104" s="81" t="s">
        <v>572</v>
      </c>
      <c r="O104" s="81" t="s">
        <v>573</v>
      </c>
      <c r="P104" s="81" t="s">
        <v>574</v>
      </c>
      <c r="Q104" s="81" t="s">
        <v>575</v>
      </c>
      <c r="R104" s="81" t="s">
        <v>576</v>
      </c>
      <c r="S104" s="37"/>
      <c r="T104" s="37"/>
      <c r="U104" s="37"/>
      <c r="V104" s="37"/>
      <c r="W104" s="37"/>
      <c r="X104" s="37"/>
      <c r="Y104" s="37"/>
      <c r="Z104" s="37"/>
      <c r="AA104" s="37"/>
      <c r="AB104" s="37"/>
    </row>
    <row r="105" spans="1:28" ht="18.75" x14ac:dyDescent="0.3">
      <c r="A105" s="77" t="s">
        <v>600</v>
      </c>
      <c r="B105" s="79">
        <v>7802.3364523333339</v>
      </c>
      <c r="C105" s="79">
        <v>345</v>
      </c>
      <c r="D105" s="79">
        <v>175</v>
      </c>
      <c r="E105" s="37"/>
      <c r="F105" s="81" t="s">
        <v>588</v>
      </c>
      <c r="G105" s="78">
        <f>(P100-SUM($B$109:$D$109))/SUM($B$109:$D$109)</f>
        <v>1.5546612455636717</v>
      </c>
      <c r="H105" s="78">
        <f t="shared" ref="H105:R105" si="7">(Q100-SUM($B$109:$D$109))/SUM($B$109:$D$109)</f>
        <v>1.4888505573130089</v>
      </c>
      <c r="I105" s="78">
        <f t="shared" si="7"/>
        <v>2.0855168000300996</v>
      </c>
      <c r="J105" s="78">
        <f t="shared" si="7"/>
        <v>-1</v>
      </c>
      <c r="K105" s="78">
        <f t="shared" si="7"/>
        <v>-1</v>
      </c>
      <c r="L105" s="78">
        <f t="shared" si="7"/>
        <v>-1</v>
      </c>
      <c r="M105" s="78">
        <f t="shared" si="7"/>
        <v>-1</v>
      </c>
      <c r="N105" s="78">
        <f t="shared" si="7"/>
        <v>-1</v>
      </c>
      <c r="O105" s="78">
        <f t="shared" si="7"/>
        <v>-1</v>
      </c>
      <c r="P105" s="78">
        <f t="shared" si="7"/>
        <v>-1</v>
      </c>
      <c r="Q105" s="78">
        <f t="shared" si="7"/>
        <v>-1</v>
      </c>
      <c r="R105" s="78">
        <f t="shared" si="7"/>
        <v>-0.94941757686860562</v>
      </c>
      <c r="S105" s="37"/>
      <c r="T105" s="37"/>
      <c r="U105" s="37"/>
      <c r="V105" s="37"/>
      <c r="W105" s="37"/>
      <c r="X105" s="37"/>
      <c r="Y105" s="37"/>
      <c r="Z105" s="37"/>
      <c r="AA105" s="37"/>
      <c r="AB105" s="37"/>
    </row>
    <row r="106" spans="1:28" ht="18.75" x14ac:dyDescent="0.3">
      <c r="A106" s="77" t="s">
        <v>601</v>
      </c>
      <c r="B106" s="79">
        <v>6444.2867593333331</v>
      </c>
      <c r="C106" s="79">
        <v>345</v>
      </c>
      <c r="D106" s="79">
        <v>175</v>
      </c>
      <c r="E106" s="37"/>
      <c r="F106" s="81" t="s">
        <v>497</v>
      </c>
      <c r="G106" s="78">
        <f>(P100-SUM($B$109:$D$109))/$D$117</f>
        <v>1.1524307080900897</v>
      </c>
      <c r="H106" s="78">
        <f t="shared" ref="H106:R106" si="8">(Q100-SUM($B$109:$D$109))/$D$117</f>
        <v>1.1036469243063052</v>
      </c>
      <c r="I106" s="78">
        <f t="shared" si="8"/>
        <v>1.5459403837657657</v>
      </c>
      <c r="J106" s="78">
        <f t="shared" si="8"/>
        <v>-0.7412744810990991</v>
      </c>
      <c r="K106" s="78">
        <f t="shared" si="8"/>
        <v>-0.7412744810990991</v>
      </c>
      <c r="L106" s="78">
        <f t="shared" si="8"/>
        <v>-0.7412744810990991</v>
      </c>
      <c r="M106" s="78">
        <f t="shared" si="8"/>
        <v>-0.7412744810990991</v>
      </c>
      <c r="N106" s="78">
        <f t="shared" si="8"/>
        <v>-0.7412744810990991</v>
      </c>
      <c r="O106" s="78">
        <f t="shared" si="8"/>
        <v>-0.7412744810990991</v>
      </c>
      <c r="P106" s="78">
        <f t="shared" si="8"/>
        <v>-0.7412744810990991</v>
      </c>
      <c r="Q106" s="78">
        <f t="shared" si="8"/>
        <v>-0.7412744810990991</v>
      </c>
      <c r="R106" s="78">
        <f t="shared" si="8"/>
        <v>-0.70377902163963968</v>
      </c>
      <c r="S106" s="37"/>
      <c r="T106" s="37"/>
      <c r="U106" s="37"/>
      <c r="V106" s="37"/>
      <c r="W106" s="37"/>
      <c r="X106" s="37"/>
      <c r="Y106" s="37"/>
      <c r="Z106" s="37"/>
      <c r="AA106" s="37"/>
      <c r="AB106" s="37"/>
    </row>
    <row r="107" spans="1:28" ht="18.75" x14ac:dyDescent="0.3">
      <c r="A107" s="77" t="s">
        <v>63</v>
      </c>
      <c r="B107" s="79">
        <v>6479.8950593333329</v>
      </c>
      <c r="C107" s="79">
        <v>345</v>
      </c>
      <c r="D107" s="79">
        <f>175+750</f>
        <v>925</v>
      </c>
      <c r="E107" s="82" t="s">
        <v>589</v>
      </c>
      <c r="F107" s="81" t="s">
        <v>590</v>
      </c>
      <c r="G107" s="78">
        <v>1.46</v>
      </c>
      <c r="H107" s="78">
        <v>1.46</v>
      </c>
      <c r="I107" s="78">
        <v>1.46</v>
      </c>
      <c r="J107" s="78">
        <v>1.46</v>
      </c>
      <c r="K107" s="78">
        <v>1.46</v>
      </c>
      <c r="L107" s="78">
        <v>1.46</v>
      </c>
      <c r="M107" s="78">
        <v>1.46</v>
      </c>
      <c r="N107" s="78">
        <v>1.46</v>
      </c>
      <c r="O107" s="78">
        <v>1.46</v>
      </c>
      <c r="P107" s="78">
        <v>1.46</v>
      </c>
      <c r="Q107" s="78">
        <v>1.46</v>
      </c>
      <c r="R107" s="78">
        <v>1.46</v>
      </c>
      <c r="S107" s="37"/>
      <c r="T107" s="37"/>
      <c r="U107" s="37"/>
      <c r="V107" s="37"/>
      <c r="W107" s="37"/>
      <c r="X107" s="37"/>
      <c r="Y107" s="37"/>
      <c r="Z107" s="37"/>
      <c r="AA107" s="37"/>
      <c r="AB107" s="37"/>
    </row>
    <row r="108" spans="1:28" x14ac:dyDescent="0.25">
      <c r="A108" s="77" t="s">
        <v>43</v>
      </c>
      <c r="B108" s="79">
        <v>3870.6375296666665</v>
      </c>
      <c r="C108" s="79">
        <v>345</v>
      </c>
      <c r="D108" s="79">
        <v>175</v>
      </c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</row>
    <row r="109" spans="1:28" x14ac:dyDescent="0.25">
      <c r="A109" s="77" t="s">
        <v>584</v>
      </c>
      <c r="B109" s="83">
        <f>SUM(B105:B108)</f>
        <v>24597.155800666667</v>
      </c>
      <c r="C109" s="83">
        <f>SUM(C105:C108)</f>
        <v>1380</v>
      </c>
      <c r="D109" s="83">
        <f>SUM(D105:D108)</f>
        <v>1450</v>
      </c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</row>
    <row r="110" spans="1:28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</row>
    <row r="111" spans="1:28" x14ac:dyDescent="0.25">
      <c r="A111" s="84" t="s">
        <v>602</v>
      </c>
      <c r="B111" s="84" t="s">
        <v>591</v>
      </c>
      <c r="C111" s="84" t="s">
        <v>592</v>
      </c>
      <c r="D111" s="85" t="s">
        <v>593</v>
      </c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</row>
    <row r="112" spans="1:28" x14ac:dyDescent="0.25">
      <c r="A112" s="77" t="s">
        <v>594</v>
      </c>
      <c r="B112" s="79">
        <v>1400</v>
      </c>
      <c r="C112" s="77">
        <v>4</v>
      </c>
      <c r="D112" s="83">
        <f>B112*C112</f>
        <v>5600</v>
      </c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</row>
    <row r="113" spans="1:28" x14ac:dyDescent="0.25">
      <c r="A113" s="77" t="s">
        <v>603</v>
      </c>
      <c r="B113" s="79">
        <v>5000</v>
      </c>
      <c r="C113" s="77">
        <v>4</v>
      </c>
      <c r="D113" s="83">
        <f>B113*C113</f>
        <v>20000</v>
      </c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</row>
    <row r="114" spans="1:28" x14ac:dyDescent="0.25">
      <c r="A114" s="77" t="s">
        <v>595</v>
      </c>
      <c r="B114" s="79">
        <v>1100</v>
      </c>
      <c r="C114" s="77">
        <v>8</v>
      </c>
      <c r="D114" s="83">
        <f>B114*C114</f>
        <v>8800</v>
      </c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</row>
    <row r="115" spans="1:28" x14ac:dyDescent="0.25">
      <c r="A115" s="77" t="s">
        <v>604</v>
      </c>
      <c r="B115" s="79">
        <v>600</v>
      </c>
      <c r="C115" s="77">
        <v>2</v>
      </c>
      <c r="D115" s="83">
        <f>B115*C115</f>
        <v>1200</v>
      </c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</row>
    <row r="116" spans="1:28" x14ac:dyDescent="0.25">
      <c r="A116" s="77" t="s">
        <v>596</v>
      </c>
      <c r="B116" s="79">
        <v>350</v>
      </c>
      <c r="C116" s="77">
        <v>4</v>
      </c>
      <c r="D116" s="83">
        <f>B116*C116</f>
        <v>1400</v>
      </c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</row>
    <row r="117" spans="1:28" x14ac:dyDescent="0.25">
      <c r="A117" s="77" t="s">
        <v>584</v>
      </c>
      <c r="B117" s="86" t="s">
        <v>597</v>
      </c>
      <c r="C117" s="87" t="s">
        <v>597</v>
      </c>
      <c r="D117" s="83">
        <f>SUM(D112:D116)</f>
        <v>37000</v>
      </c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</row>
    <row r="118" spans="1:28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</row>
    <row r="121" spans="1:28" x14ac:dyDescent="0.25">
      <c r="Q121" s="88"/>
    </row>
    <row r="122" spans="1:28" x14ac:dyDescent="0.25">
      <c r="Q122" s="89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sheetPr codeName="Planilha4"/>
  <dimension ref="A1:Q36"/>
  <sheetViews>
    <sheetView workbookViewId="0">
      <selection activeCell="M5" sqref="M5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 x14ac:dyDescent="0.5">
      <c r="A1" s="103" t="s">
        <v>487</v>
      </c>
      <c r="B1" s="103"/>
      <c r="C1" s="103"/>
      <c r="D1" s="103"/>
      <c r="E1" s="103"/>
      <c r="F1" s="103"/>
      <c r="G1" s="103"/>
      <c r="H1" s="103"/>
      <c r="I1" s="36"/>
      <c r="J1" s="103" t="s">
        <v>488</v>
      </c>
      <c r="K1" s="103"/>
      <c r="L1" s="103"/>
      <c r="M1" s="103"/>
      <c r="N1" s="103"/>
      <c r="O1" s="103"/>
      <c r="P1" s="103"/>
      <c r="Q1" s="103"/>
    </row>
    <row r="2" spans="1:17" x14ac:dyDescent="0.25">
      <c r="A2" s="37"/>
      <c r="B2" s="37"/>
      <c r="C2" s="37"/>
      <c r="D2" s="37"/>
      <c r="E2" s="37"/>
      <c r="F2" s="37"/>
      <c r="G2" s="37"/>
      <c r="H2" s="37"/>
      <c r="I2" s="36"/>
      <c r="J2" s="37"/>
      <c r="K2" s="37"/>
      <c r="L2" s="37"/>
      <c r="M2" s="37"/>
      <c r="N2" s="37"/>
      <c r="O2" s="37"/>
      <c r="P2" s="38"/>
      <c r="Q2" s="39"/>
    </row>
    <row r="3" spans="1:17" ht="21" customHeight="1" x14ac:dyDescent="0.25">
      <c r="A3" s="37"/>
      <c r="B3" s="101" t="s">
        <v>489</v>
      </c>
      <c r="C3" s="101"/>
      <c r="D3" s="101"/>
      <c r="E3" s="101"/>
      <c r="F3" s="101"/>
      <c r="G3" s="101"/>
      <c r="H3" s="37"/>
      <c r="I3" s="36"/>
      <c r="J3" s="37"/>
      <c r="K3" s="101" t="s">
        <v>490</v>
      </c>
      <c r="L3" s="101"/>
      <c r="M3" s="101"/>
      <c r="N3" s="101"/>
      <c r="O3" s="101"/>
      <c r="P3" s="101"/>
      <c r="Q3" s="40"/>
    </row>
    <row r="4" spans="1:17" ht="15.75" x14ac:dyDescent="0.25">
      <c r="A4" s="37"/>
      <c r="B4" s="41" t="s">
        <v>491</v>
      </c>
      <c r="C4" s="42" t="s">
        <v>492</v>
      </c>
      <c r="D4" s="42" t="s">
        <v>493</v>
      </c>
      <c r="E4" s="42" t="s">
        <v>494</v>
      </c>
      <c r="F4" s="42" t="s">
        <v>495</v>
      </c>
      <c r="G4" s="42" t="s">
        <v>496</v>
      </c>
      <c r="H4" s="37"/>
      <c r="I4" s="36"/>
      <c r="J4" s="37"/>
      <c r="K4" s="41" t="s">
        <v>491</v>
      </c>
      <c r="L4" s="42" t="s">
        <v>492</v>
      </c>
      <c r="M4" s="42" t="s">
        <v>493</v>
      </c>
      <c r="N4" s="42" t="s">
        <v>494</v>
      </c>
      <c r="O4" s="42" t="s">
        <v>495</v>
      </c>
      <c r="P4" s="42" t="s">
        <v>496</v>
      </c>
      <c r="Q4" s="38"/>
    </row>
    <row r="5" spans="1:17" x14ac:dyDescent="0.25">
      <c r="A5" s="37"/>
      <c r="B5" s="43" t="s">
        <v>497</v>
      </c>
      <c r="C5" s="44">
        <v>0.05</v>
      </c>
      <c r="D5" s="45">
        <v>1.46</v>
      </c>
      <c r="E5" s="46">
        <v>1.0202804378198194</v>
      </c>
      <c r="F5" s="44">
        <f>IF(((E5*C5)/D5)-C5&gt;5%,((E5*C5)/D5)-(((E5*C5)/D5)-C5)+0.05,((E5*C5)/D5))</f>
        <v>3.4941110884240387E-2</v>
      </c>
      <c r="G5" s="47">
        <f t="shared" ref="G5:G17" si="0">F5</f>
        <v>3.4941110884240387E-2</v>
      </c>
      <c r="H5" s="37"/>
      <c r="I5" s="36"/>
      <c r="J5" s="37"/>
      <c r="K5" s="43" t="s">
        <v>497</v>
      </c>
      <c r="L5" s="44">
        <v>0.05</v>
      </c>
      <c r="M5" s="45">
        <v>1.46</v>
      </c>
      <c r="N5" s="46"/>
      <c r="O5" s="44">
        <f>IF(((N5*L5)/M5)-L5&gt;5%,((N5*L5)/M5)-(((N5*L5)/M5)-L5)+0.05,((N5*L5)/M5))</f>
        <v>0</v>
      </c>
      <c r="P5" s="47">
        <f t="shared" ref="P5:P17" si="1">O5</f>
        <v>0</v>
      </c>
      <c r="Q5" s="37"/>
    </row>
    <row r="6" spans="1:17" x14ac:dyDescent="0.25">
      <c r="A6" s="37"/>
      <c r="B6" s="43" t="s">
        <v>15</v>
      </c>
      <c r="C6" s="44">
        <v>0.05</v>
      </c>
      <c r="D6" s="45">
        <v>1</v>
      </c>
      <c r="E6" s="46">
        <v>1</v>
      </c>
      <c r="F6" s="44">
        <f>IF(((E6*C6)/D6)-C6&gt;5%,((E6*C6)/D6)-(((E6*C6)/D6)-C6)+0.05,((E6*C6)/D6))</f>
        <v>0.05</v>
      </c>
      <c r="G6" s="47">
        <f t="shared" si="0"/>
        <v>0.05</v>
      </c>
      <c r="H6" s="37"/>
      <c r="I6" s="36"/>
      <c r="J6" s="37"/>
      <c r="K6" s="43" t="s">
        <v>15</v>
      </c>
      <c r="L6" s="44">
        <v>0.05</v>
      </c>
      <c r="M6" s="45">
        <v>1</v>
      </c>
      <c r="N6" s="46"/>
      <c r="O6" s="44">
        <f>IF(((N6*L6)/M6)-L6&gt;5%,((N6*L6)/M6)-(((N6*L6)/M6)-L6)+0.05,((N6*L6)/M6))</f>
        <v>0</v>
      </c>
      <c r="P6" s="47">
        <f t="shared" si="1"/>
        <v>0</v>
      </c>
      <c r="Q6" s="37"/>
    </row>
    <row r="7" spans="1:17" x14ac:dyDescent="0.25">
      <c r="A7" s="37"/>
      <c r="B7" s="43" t="s">
        <v>498</v>
      </c>
      <c r="C7" s="44">
        <v>0.15</v>
      </c>
      <c r="D7" s="45">
        <v>0.8</v>
      </c>
      <c r="E7" s="46">
        <f>((E8/D8)*C8)+((E9/D9)*C9)</f>
        <v>1.0882352941176472</v>
      </c>
      <c r="F7" s="44">
        <f>IF(((E7*C7)/D7)-C7&gt;5%,((E7*C7)/D7)-(((E7*C7)/D7)-C7)+0.05,((E7*C7)/D7))</f>
        <v>0.2</v>
      </c>
      <c r="G7" s="47">
        <f t="shared" si="0"/>
        <v>0.2</v>
      </c>
      <c r="H7" s="37"/>
      <c r="I7" s="36"/>
      <c r="J7" s="37"/>
      <c r="K7" s="43" t="s">
        <v>498</v>
      </c>
      <c r="L7" s="44">
        <v>0.15</v>
      </c>
      <c r="M7" s="45">
        <v>0.8</v>
      </c>
      <c r="N7" s="46">
        <f>((N8/M8)*L8)+((N9/M9)*L9)</f>
        <v>0</v>
      </c>
      <c r="O7" s="44">
        <f>IF(((N7*L7)/M7)-L7&gt;5%,((N7*L7)/M7)-(((N7*L7)/M7)-L7)+0.05,((N7*L7)/M7))</f>
        <v>0</v>
      </c>
      <c r="P7" s="47">
        <f t="shared" si="1"/>
        <v>0</v>
      </c>
      <c r="Q7" s="37"/>
    </row>
    <row r="8" spans="1:17" x14ac:dyDescent="0.25">
      <c r="A8" s="37"/>
      <c r="B8" s="48" t="s">
        <v>499</v>
      </c>
      <c r="C8" s="49">
        <v>0.5</v>
      </c>
      <c r="D8" s="50">
        <v>1</v>
      </c>
      <c r="E8" s="51">
        <v>1</v>
      </c>
      <c r="F8" s="52">
        <f>(E8*C8)/D8</f>
        <v>0.5</v>
      </c>
      <c r="G8" s="49">
        <f t="shared" si="0"/>
        <v>0.5</v>
      </c>
      <c r="H8" s="37"/>
      <c r="I8" s="36"/>
      <c r="J8" s="37"/>
      <c r="K8" s="48" t="s">
        <v>499</v>
      </c>
      <c r="L8" s="49">
        <v>0.5</v>
      </c>
      <c r="M8" s="50">
        <v>1</v>
      </c>
      <c r="N8" s="51"/>
      <c r="O8" s="52">
        <f>(N8*L8)/M8</f>
        <v>0</v>
      </c>
      <c r="P8" s="49">
        <f t="shared" si="1"/>
        <v>0</v>
      </c>
      <c r="Q8" s="37"/>
    </row>
    <row r="9" spans="1:17" ht="30" x14ac:dyDescent="0.25">
      <c r="A9" s="37"/>
      <c r="B9" s="53" t="s">
        <v>500</v>
      </c>
      <c r="C9" s="54">
        <v>0.5</v>
      </c>
      <c r="D9" s="55">
        <v>0.85</v>
      </c>
      <c r="E9" s="51">
        <v>1</v>
      </c>
      <c r="F9" s="52">
        <f>(E9*C9)/D9</f>
        <v>0.58823529411764708</v>
      </c>
      <c r="G9" s="54">
        <f t="shared" si="0"/>
        <v>0.58823529411764708</v>
      </c>
      <c r="H9" s="37"/>
      <c r="I9" s="36"/>
      <c r="J9" s="37"/>
      <c r="K9" s="53" t="s">
        <v>500</v>
      </c>
      <c r="L9" s="54">
        <v>0.5</v>
      </c>
      <c r="M9" s="55">
        <v>0.85</v>
      </c>
      <c r="N9" s="51"/>
      <c r="O9" s="52">
        <f>(N9*L9)/M9</f>
        <v>0</v>
      </c>
      <c r="P9" s="54">
        <f t="shared" si="1"/>
        <v>0</v>
      </c>
      <c r="Q9" s="37"/>
    </row>
    <row r="10" spans="1:17" x14ac:dyDescent="0.25">
      <c r="A10" s="37"/>
      <c r="B10" s="43" t="s">
        <v>501</v>
      </c>
      <c r="C10" s="44">
        <v>0.15</v>
      </c>
      <c r="D10" s="45">
        <v>0.4</v>
      </c>
      <c r="E10" s="46">
        <v>0.96142014867982573</v>
      </c>
      <c r="F10" s="44">
        <f>IF(((E10*C10)/D10)-C10&gt;5%,((E10*C10)/D10)-(((E10*C10)/D10)-C10)+0.05,((E10*C10)/D10))</f>
        <v>0.2</v>
      </c>
      <c r="G10" s="47">
        <f t="shared" si="0"/>
        <v>0.2</v>
      </c>
      <c r="H10" s="37"/>
      <c r="I10" s="36"/>
      <c r="J10" s="37"/>
      <c r="K10" s="43" t="s">
        <v>501</v>
      </c>
      <c r="L10" s="44">
        <v>0.15</v>
      </c>
      <c r="M10" s="45">
        <v>0.4</v>
      </c>
      <c r="N10" s="46">
        <v>0.96142014867982573</v>
      </c>
      <c r="O10" s="44">
        <f>IF(((N10*L10)/M10)-L10&gt;5%,((N10*L10)/M10)-(((N10*L10)/M10)-L10)+0.05,((N10*L10)/M10))</f>
        <v>0.2</v>
      </c>
      <c r="P10" s="47">
        <f t="shared" si="1"/>
        <v>0.2</v>
      </c>
      <c r="Q10" s="37"/>
    </row>
    <row r="11" spans="1:17" x14ac:dyDescent="0.25">
      <c r="A11" s="37"/>
      <c r="B11" s="48" t="s">
        <v>502</v>
      </c>
      <c r="C11" s="49">
        <v>0.5</v>
      </c>
      <c r="D11" s="50">
        <v>0.47</v>
      </c>
      <c r="E11" s="56">
        <v>0.43373493975903615</v>
      </c>
      <c r="F11" s="52">
        <f>(E11*C11)/D11</f>
        <v>0.46142014867982573</v>
      </c>
      <c r="G11" s="49">
        <f t="shared" si="0"/>
        <v>0.46142014867982573</v>
      </c>
      <c r="H11" s="37"/>
      <c r="I11" s="36"/>
      <c r="J11" s="37"/>
      <c r="K11" s="48" t="s">
        <v>502</v>
      </c>
      <c r="L11" s="49">
        <v>0.5</v>
      </c>
      <c r="M11" s="50">
        <v>0.47</v>
      </c>
      <c r="N11" s="56"/>
      <c r="O11" s="52">
        <f>(N11*L11)/M11</f>
        <v>0</v>
      </c>
      <c r="P11" s="49">
        <f t="shared" si="1"/>
        <v>0</v>
      </c>
      <c r="Q11" s="37"/>
    </row>
    <row r="12" spans="1:17" ht="30" x14ac:dyDescent="0.25">
      <c r="A12" s="37"/>
      <c r="B12" s="57" t="s">
        <v>503</v>
      </c>
      <c r="C12" s="54">
        <v>0.5</v>
      </c>
      <c r="D12" s="55">
        <v>1</v>
      </c>
      <c r="E12" s="56">
        <v>1</v>
      </c>
      <c r="F12" s="52">
        <f>(E12*C12)/D12</f>
        <v>0.5</v>
      </c>
      <c r="G12" s="54">
        <f t="shared" si="0"/>
        <v>0.5</v>
      </c>
      <c r="H12" s="37"/>
      <c r="I12" s="36"/>
      <c r="J12" s="37"/>
      <c r="K12" s="57" t="s">
        <v>503</v>
      </c>
      <c r="L12" s="54">
        <v>0.5</v>
      </c>
      <c r="M12" s="55">
        <v>1</v>
      </c>
      <c r="N12" s="56"/>
      <c r="O12" s="52">
        <f>(N12*L12)/M12</f>
        <v>0</v>
      </c>
      <c r="P12" s="54">
        <f t="shared" si="1"/>
        <v>0</v>
      </c>
      <c r="Q12" s="37"/>
    </row>
    <row r="13" spans="1:17" x14ac:dyDescent="0.25">
      <c r="A13" s="37"/>
      <c r="B13" s="43" t="s">
        <v>504</v>
      </c>
      <c r="C13" s="46">
        <v>0.25</v>
      </c>
      <c r="D13" s="47">
        <v>0.8</v>
      </c>
      <c r="E13" s="46">
        <v>0.51111111111111107</v>
      </c>
      <c r="F13" s="44">
        <f>IF(((E13*C13)/D13)-C13&gt;5%,((E13*C13)/D13)-(((E13*C13)/D13)-C13)+0.05,((E13*C13)/D13))</f>
        <v>0.15972222222222221</v>
      </c>
      <c r="G13" s="47">
        <f t="shared" si="0"/>
        <v>0.15972222222222221</v>
      </c>
      <c r="H13" s="37"/>
      <c r="I13" s="36"/>
      <c r="J13" s="37"/>
      <c r="K13" s="43" t="s">
        <v>504</v>
      </c>
      <c r="L13" s="46">
        <v>0.25</v>
      </c>
      <c r="M13" s="47">
        <v>0.8</v>
      </c>
      <c r="N13" s="46">
        <v>0.51111111111111107</v>
      </c>
      <c r="O13" s="44">
        <f>IF(((N13*L13)/M13)-L13&gt;5%,((N13*L13)/M13)-(((N13*L13)/M13)-L13)+0.05,((N13*L13)/M13))</f>
        <v>0.15972222222222221</v>
      </c>
      <c r="P13" s="47">
        <f t="shared" si="1"/>
        <v>0.15972222222222221</v>
      </c>
      <c r="Q13" s="37"/>
    </row>
    <row r="14" spans="1:17" x14ac:dyDescent="0.25">
      <c r="A14" s="37"/>
      <c r="B14" s="53" t="s">
        <v>505</v>
      </c>
      <c r="C14" s="49">
        <v>0.5</v>
      </c>
      <c r="D14" s="49">
        <v>0.9</v>
      </c>
      <c r="E14" s="51">
        <v>0.92</v>
      </c>
      <c r="F14" s="52">
        <f>(E14*C14)/D14</f>
        <v>0.51111111111111107</v>
      </c>
      <c r="G14" s="49">
        <f t="shared" si="0"/>
        <v>0.51111111111111107</v>
      </c>
      <c r="H14" s="37"/>
      <c r="I14" s="36"/>
      <c r="J14" s="37"/>
      <c r="K14" s="53" t="s">
        <v>505</v>
      </c>
      <c r="L14" s="49">
        <v>0.5</v>
      </c>
      <c r="M14" s="49">
        <v>0.9</v>
      </c>
      <c r="N14" s="51"/>
      <c r="O14" s="52">
        <f>(N14*L14)/M14</f>
        <v>0</v>
      </c>
      <c r="P14" s="49">
        <f t="shared" si="1"/>
        <v>0</v>
      </c>
      <c r="Q14" s="37"/>
    </row>
    <row r="15" spans="1:17" x14ac:dyDescent="0.25">
      <c r="A15" s="37"/>
      <c r="B15" s="53" t="s">
        <v>506</v>
      </c>
      <c r="C15" s="49">
        <v>0.5</v>
      </c>
      <c r="D15" s="49">
        <v>1</v>
      </c>
      <c r="E15" s="51">
        <v>0.67</v>
      </c>
      <c r="F15" s="52">
        <f>(E15*C15)/D15</f>
        <v>0.33500000000000002</v>
      </c>
      <c r="G15" s="49">
        <f t="shared" si="0"/>
        <v>0.33500000000000002</v>
      </c>
      <c r="H15" s="37"/>
      <c r="I15" s="36"/>
      <c r="J15" s="37"/>
      <c r="K15" s="53" t="s">
        <v>506</v>
      </c>
      <c r="L15" s="49">
        <v>0.5</v>
      </c>
      <c r="M15" s="49">
        <v>1</v>
      </c>
      <c r="N15" s="51"/>
      <c r="O15" s="52">
        <f>(N15*L15)/M15</f>
        <v>0</v>
      </c>
      <c r="P15" s="49">
        <f t="shared" si="1"/>
        <v>0</v>
      </c>
      <c r="Q15" s="37"/>
    </row>
    <row r="16" spans="1:17" x14ac:dyDescent="0.25">
      <c r="A16" s="37"/>
      <c r="B16" s="43" t="s">
        <v>507</v>
      </c>
      <c r="C16" s="44">
        <v>0.25</v>
      </c>
      <c r="D16" s="45">
        <v>1</v>
      </c>
      <c r="E16" s="46">
        <v>0</v>
      </c>
      <c r="F16" s="44">
        <f>IF(((E16*C16)/D16)-C16&gt;5%,((E16*C16)/D16)-(((E16*C16)/D16)-C16)+0.05,((E16*C16)/D16))</f>
        <v>0</v>
      </c>
      <c r="G16" s="47">
        <f t="shared" si="0"/>
        <v>0</v>
      </c>
      <c r="H16" s="37"/>
      <c r="I16" s="36"/>
      <c r="J16" s="37"/>
      <c r="K16" s="43" t="s">
        <v>507</v>
      </c>
      <c r="L16" s="44">
        <v>0.25</v>
      </c>
      <c r="M16" s="45">
        <v>1</v>
      </c>
      <c r="N16" s="46"/>
      <c r="O16" s="44">
        <f>IF(((N16*L16)/M16)-L16&gt;5%,((N16*L16)/M16)-(((N16*L16)/M16)-L16)+0.05,((N16*L16)/M16))</f>
        <v>0</v>
      </c>
      <c r="P16" s="47">
        <f t="shared" si="1"/>
        <v>0</v>
      </c>
      <c r="Q16" s="37"/>
    </row>
    <row r="17" spans="1:17" ht="30" x14ac:dyDescent="0.25">
      <c r="A17" s="37"/>
      <c r="B17" s="58" t="s">
        <v>508</v>
      </c>
      <c r="C17" s="44">
        <v>0.1</v>
      </c>
      <c r="D17" s="44">
        <v>0.7</v>
      </c>
      <c r="E17" s="46">
        <v>1</v>
      </c>
      <c r="F17" s="44">
        <f>IF(((E17*C17)/D17)-C17&gt;5%,((E17*C17)/D17)-(((E17*C17)/D17)-C17)+0.05,((E17*C17)/D17))</f>
        <v>0.14285714285714288</v>
      </c>
      <c r="G17" s="46">
        <f t="shared" si="0"/>
        <v>0.14285714285714288</v>
      </c>
      <c r="H17" s="37"/>
      <c r="I17" s="36"/>
      <c r="J17" s="37"/>
      <c r="K17" s="58" t="s">
        <v>508</v>
      </c>
      <c r="L17" s="44">
        <v>0.1</v>
      </c>
      <c r="M17" s="44">
        <v>0.7</v>
      </c>
      <c r="N17" s="46"/>
      <c r="O17" s="44">
        <f>IF(((N17*L17)/M17)-L17&gt;5%,((N17*L17)/M17)-(((N17*L17)/M17)-L17)+0.05,((N17*L17)/M17))</f>
        <v>0</v>
      </c>
      <c r="P17" s="46">
        <f t="shared" si="1"/>
        <v>0</v>
      </c>
      <c r="Q17" s="37"/>
    </row>
    <row r="18" spans="1:17" ht="21" customHeight="1" x14ac:dyDescent="0.35">
      <c r="A18" s="37"/>
      <c r="B18" s="102" t="s">
        <v>509</v>
      </c>
      <c r="C18" s="102"/>
      <c r="D18" s="102"/>
      <c r="E18" s="102"/>
      <c r="F18" s="59">
        <f>SUM(F5:F7,F10,F13,F16,F17)</f>
        <v>0.78752047596360553</v>
      </c>
      <c r="G18" s="59">
        <f>SUM(G5:G7,G10,G13,G16,G17)</f>
        <v>0.78752047596360553</v>
      </c>
      <c r="H18" s="37"/>
      <c r="I18" s="36"/>
      <c r="J18" s="37"/>
      <c r="K18" s="102" t="s">
        <v>509</v>
      </c>
      <c r="L18" s="102"/>
      <c r="M18" s="102"/>
      <c r="N18" s="102"/>
      <c r="O18" s="59">
        <f>SUM(O5:O7,O10,O13,O16,O17)</f>
        <v>0.35972222222222222</v>
      </c>
      <c r="P18" s="59">
        <f>SUM(P5:P7,P10,P13,P16,P17)</f>
        <v>0.35972222222222222</v>
      </c>
      <c r="Q18" s="37"/>
    </row>
    <row r="19" spans="1:17" x14ac:dyDescent="0.25">
      <c r="A19" s="37"/>
      <c r="B19" s="37"/>
      <c r="C19" s="37"/>
      <c r="D19" s="37"/>
      <c r="E19" s="37"/>
      <c r="F19" s="37"/>
      <c r="G19" s="37"/>
      <c r="H19" s="37"/>
      <c r="I19" s="36"/>
      <c r="J19" s="37"/>
      <c r="K19" s="37"/>
      <c r="L19" s="37"/>
      <c r="M19" s="37"/>
      <c r="N19" s="37"/>
      <c r="O19" s="37"/>
      <c r="P19" s="37"/>
      <c r="Q19" s="37"/>
    </row>
    <row r="20" spans="1:17" ht="21" customHeight="1" x14ac:dyDescent="0.25">
      <c r="A20" s="37"/>
      <c r="B20" s="101" t="s">
        <v>510</v>
      </c>
      <c r="C20" s="101"/>
      <c r="D20" s="101"/>
      <c r="E20" s="101"/>
      <c r="F20" s="101"/>
      <c r="G20" s="101"/>
      <c r="H20" s="37"/>
      <c r="I20" s="36"/>
      <c r="J20" s="37"/>
      <c r="K20" s="37"/>
      <c r="L20" s="37"/>
      <c r="M20" s="37"/>
      <c r="N20" s="37"/>
      <c r="O20" s="37"/>
      <c r="P20" s="37"/>
      <c r="Q20" s="37"/>
    </row>
    <row r="21" spans="1:17" ht="15.75" x14ac:dyDescent="0.25">
      <c r="A21" s="37"/>
      <c r="B21" s="41" t="s">
        <v>491</v>
      </c>
      <c r="C21" s="42" t="s">
        <v>492</v>
      </c>
      <c r="D21" s="42" t="s">
        <v>493</v>
      </c>
      <c r="E21" s="42" t="s">
        <v>494</v>
      </c>
      <c r="F21" s="42" t="s">
        <v>495</v>
      </c>
      <c r="G21" s="42" t="s">
        <v>496</v>
      </c>
      <c r="H21" s="37"/>
      <c r="I21" s="36"/>
      <c r="J21" s="37"/>
      <c r="K21" s="37"/>
      <c r="L21" s="37"/>
      <c r="M21" s="37"/>
      <c r="N21" s="37"/>
      <c r="O21" s="37"/>
      <c r="P21" s="37"/>
      <c r="Q21" s="37"/>
    </row>
    <row r="22" spans="1:17" x14ac:dyDescent="0.25">
      <c r="A22" s="37"/>
      <c r="B22" s="43" t="s">
        <v>497</v>
      </c>
      <c r="C22" s="44">
        <v>0.05</v>
      </c>
      <c r="D22" s="45">
        <v>1.46</v>
      </c>
      <c r="E22" s="46">
        <v>1.5744608702522518</v>
      </c>
      <c r="F22" s="44">
        <f>IF(((E22*C22)/D22)-C22&gt;5%,((E22*C22)/D22)-(((E22*C22)/D22)-C22)+0.05,((E22*C22)/D22))</f>
        <v>5.3919892816857946E-2</v>
      </c>
      <c r="G22" s="47">
        <f t="shared" ref="G22:G34" si="2">AVERAGE(F5,F22)</f>
        <v>4.443050185054917E-2</v>
      </c>
      <c r="H22" s="37"/>
      <c r="I22" s="36"/>
      <c r="J22" s="37"/>
      <c r="K22" s="37"/>
      <c r="L22" s="37"/>
      <c r="M22" s="37"/>
      <c r="N22" s="37"/>
      <c r="O22" s="37"/>
      <c r="P22" s="37"/>
      <c r="Q22" s="37"/>
    </row>
    <row r="23" spans="1:17" x14ac:dyDescent="0.25">
      <c r="A23" s="37"/>
      <c r="B23" s="43" t="s">
        <v>15</v>
      </c>
      <c r="C23" s="44">
        <v>0.05</v>
      </c>
      <c r="D23" s="45">
        <v>1</v>
      </c>
      <c r="E23" s="46">
        <v>1</v>
      </c>
      <c r="F23" s="44">
        <f>IF(((E23*C23)/D23)-C23&gt;5%,((E23*C23)/D23)-(((E23*C23)/D23)-C23)+0.05,((E23*C23)/D23))</f>
        <v>0.05</v>
      </c>
      <c r="G23" s="47">
        <f t="shared" si="2"/>
        <v>0.05</v>
      </c>
      <c r="H23" s="37"/>
      <c r="I23" s="36"/>
      <c r="J23" s="37"/>
      <c r="K23" s="37"/>
      <c r="L23" s="37"/>
      <c r="M23" s="37"/>
      <c r="N23" s="37"/>
      <c r="O23" s="37"/>
      <c r="P23" s="37"/>
      <c r="Q23" s="37"/>
    </row>
    <row r="24" spans="1:17" x14ac:dyDescent="0.25">
      <c r="A24" s="37"/>
      <c r="B24" s="43" t="s">
        <v>498</v>
      </c>
      <c r="C24" s="44">
        <v>0.15</v>
      </c>
      <c r="D24" s="45">
        <v>0.8</v>
      </c>
      <c r="E24" s="46">
        <v>1.0176470588235293</v>
      </c>
      <c r="F24" s="44">
        <f>IF(((E24*C24)/D24)-C24&gt;5%,((E24*C24)/D24)-(((E24*C24)/D24)-C24)+0.05,((E24*C24)/D24))</f>
        <v>0.19080882352941173</v>
      </c>
      <c r="G24" s="47">
        <f t="shared" si="2"/>
        <v>0.19540441176470585</v>
      </c>
      <c r="H24" s="37"/>
      <c r="I24" s="36"/>
      <c r="J24" s="37"/>
      <c r="K24" s="37"/>
      <c r="L24" s="37"/>
      <c r="M24" s="37"/>
      <c r="N24" s="37"/>
      <c r="O24" s="37"/>
      <c r="P24" s="37"/>
      <c r="Q24" s="37"/>
    </row>
    <row r="25" spans="1:17" x14ac:dyDescent="0.25">
      <c r="A25" s="37"/>
      <c r="B25" s="48" t="s">
        <v>499</v>
      </c>
      <c r="C25" s="49">
        <v>0.5</v>
      </c>
      <c r="D25" s="50">
        <v>1</v>
      </c>
      <c r="E25" s="51">
        <v>1</v>
      </c>
      <c r="F25" s="52">
        <f>(E25*C25)/D25</f>
        <v>0.5</v>
      </c>
      <c r="G25" s="49">
        <f t="shared" si="2"/>
        <v>0.5</v>
      </c>
      <c r="H25" s="37"/>
      <c r="I25" s="36"/>
      <c r="J25" s="37"/>
      <c r="K25" s="37"/>
      <c r="L25" s="37"/>
      <c r="M25" s="37"/>
      <c r="N25" s="37"/>
      <c r="O25" s="37"/>
      <c r="P25" s="37"/>
      <c r="Q25" s="37"/>
    </row>
    <row r="26" spans="1:17" ht="24.75" customHeight="1" x14ac:dyDescent="0.25">
      <c r="A26" s="37"/>
      <c r="B26" s="53" t="s">
        <v>500</v>
      </c>
      <c r="C26" s="54">
        <v>0.5</v>
      </c>
      <c r="D26" s="55">
        <v>0.85</v>
      </c>
      <c r="E26" s="51">
        <v>0.88</v>
      </c>
      <c r="F26" s="52">
        <f>(E26*C26)/D26</f>
        <v>0.51764705882352946</v>
      </c>
      <c r="G26" s="49">
        <f t="shared" si="2"/>
        <v>0.55294117647058827</v>
      </c>
      <c r="H26" s="37"/>
      <c r="I26" s="36"/>
      <c r="J26" s="37"/>
      <c r="K26" s="37"/>
      <c r="L26" s="37"/>
      <c r="M26" s="37"/>
      <c r="N26" s="37"/>
      <c r="O26" s="37"/>
      <c r="P26" s="37"/>
      <c r="Q26" s="37"/>
    </row>
    <row r="27" spans="1:17" x14ac:dyDescent="0.25">
      <c r="A27" s="37"/>
      <c r="B27" s="43" t="s">
        <v>501</v>
      </c>
      <c r="C27" s="44">
        <v>0.15</v>
      </c>
      <c r="D27" s="45">
        <v>0.4</v>
      </c>
      <c r="E27" s="46">
        <v>1.139897616381379</v>
      </c>
      <c r="F27" s="44">
        <f>IF(((E27*C27)/D27)-C27&gt;5%,((E27*C27)/D27)-(((E27*C27)/D27)-C27)+0.05,((E27*C27)/D27))</f>
        <v>0.2</v>
      </c>
      <c r="G27" s="47">
        <f t="shared" si="2"/>
        <v>0.2</v>
      </c>
      <c r="H27" s="37"/>
      <c r="I27" s="36"/>
      <c r="J27" s="37"/>
      <c r="K27" s="37"/>
      <c r="L27" s="37"/>
      <c r="M27" s="37"/>
      <c r="N27" s="37"/>
      <c r="O27" s="37"/>
      <c r="P27" s="37"/>
      <c r="Q27" s="37"/>
    </row>
    <row r="28" spans="1:17" x14ac:dyDescent="0.25">
      <c r="A28" s="37"/>
      <c r="B28" s="48" t="s">
        <v>502</v>
      </c>
      <c r="C28" s="49">
        <v>0.5</v>
      </c>
      <c r="D28" s="50">
        <v>0.47</v>
      </c>
      <c r="E28" s="56">
        <v>0.60150375939849621</v>
      </c>
      <c r="F28" s="52">
        <f>(E28*C28)/D28</f>
        <v>0.63989761638137899</v>
      </c>
      <c r="G28" s="49">
        <f t="shared" si="2"/>
        <v>0.55065888253060236</v>
      </c>
      <c r="H28" s="37"/>
      <c r="I28" s="36"/>
      <c r="J28" s="37"/>
      <c r="K28" s="37"/>
      <c r="L28" s="37"/>
      <c r="M28" s="37"/>
      <c r="N28" s="37"/>
      <c r="O28" s="37"/>
      <c r="P28" s="37"/>
      <c r="Q28" s="37"/>
    </row>
    <row r="29" spans="1:17" ht="30" x14ac:dyDescent="0.25">
      <c r="A29" s="37"/>
      <c r="B29" s="57" t="s">
        <v>503</v>
      </c>
      <c r="C29" s="54">
        <v>0.5</v>
      </c>
      <c r="D29" s="55">
        <v>1</v>
      </c>
      <c r="E29" s="56">
        <v>1</v>
      </c>
      <c r="F29" s="52">
        <f>(E29*C29)/D29</f>
        <v>0.5</v>
      </c>
      <c r="G29" s="49">
        <f t="shared" si="2"/>
        <v>0.5</v>
      </c>
      <c r="H29" s="37"/>
      <c r="I29" s="36"/>
      <c r="J29" s="37"/>
      <c r="K29" s="37"/>
      <c r="L29" s="37"/>
      <c r="M29" s="37"/>
      <c r="N29" s="37"/>
      <c r="O29" s="37"/>
      <c r="P29" s="37"/>
      <c r="Q29" s="37"/>
    </row>
    <row r="30" spans="1:17" x14ac:dyDescent="0.25">
      <c r="A30" s="37"/>
      <c r="B30" s="43" t="s">
        <v>504</v>
      </c>
      <c r="C30" s="46">
        <v>0.25</v>
      </c>
      <c r="D30" s="47">
        <v>0.8</v>
      </c>
      <c r="E30" s="46">
        <v>0.97611111111111115</v>
      </c>
      <c r="F30" s="44">
        <f>IF(((E30*C30)/D30)-C30&gt;5%,((E30*C30)/D30)-(((E30*C30)/D30)-C30)+0.05,((E30*C30)/D30))</f>
        <v>0.3</v>
      </c>
      <c r="G30" s="47">
        <f t="shared" si="2"/>
        <v>0.2298611111111111</v>
      </c>
      <c r="H30" s="37"/>
      <c r="I30" s="36"/>
      <c r="J30" s="37"/>
      <c r="K30" s="37"/>
      <c r="L30" s="37"/>
      <c r="M30" s="37"/>
      <c r="N30" s="37"/>
      <c r="O30" s="37"/>
      <c r="P30" s="37"/>
      <c r="Q30" s="37"/>
    </row>
    <row r="31" spans="1:17" x14ac:dyDescent="0.25">
      <c r="A31" s="37"/>
      <c r="B31" s="53" t="s">
        <v>505</v>
      </c>
      <c r="C31" s="49">
        <v>0.5</v>
      </c>
      <c r="D31" s="49">
        <v>0.9</v>
      </c>
      <c r="E31" s="51">
        <v>1.46</v>
      </c>
      <c r="F31" s="52">
        <f>(E31*C31)/D31</f>
        <v>0.81111111111111112</v>
      </c>
      <c r="G31" s="49">
        <f t="shared" si="2"/>
        <v>0.66111111111111109</v>
      </c>
      <c r="H31" s="37"/>
      <c r="I31" s="36"/>
      <c r="J31" s="37"/>
      <c r="K31" s="37"/>
      <c r="L31" s="37"/>
      <c r="M31" s="37"/>
      <c r="N31" s="37"/>
      <c r="O31" s="37"/>
      <c r="P31" s="37"/>
      <c r="Q31" s="37"/>
    </row>
    <row r="32" spans="1:17" x14ac:dyDescent="0.25">
      <c r="A32" s="37"/>
      <c r="B32" s="53" t="s">
        <v>506</v>
      </c>
      <c r="C32" s="49">
        <v>0.5</v>
      </c>
      <c r="D32" s="49">
        <v>1</v>
      </c>
      <c r="E32" s="51">
        <v>0.33</v>
      </c>
      <c r="F32" s="52">
        <f>(E32*C32)/D32</f>
        <v>0.16500000000000001</v>
      </c>
      <c r="G32" s="49">
        <f t="shared" si="2"/>
        <v>0.25</v>
      </c>
      <c r="H32" s="37"/>
      <c r="I32" s="36"/>
      <c r="J32" s="37"/>
      <c r="K32" s="37"/>
      <c r="L32" s="37"/>
      <c r="M32" s="37"/>
      <c r="N32" s="37"/>
      <c r="O32" s="37"/>
      <c r="P32" s="37"/>
      <c r="Q32" s="37"/>
    </row>
    <row r="33" spans="1:17" x14ac:dyDescent="0.25">
      <c r="A33" s="37"/>
      <c r="B33" s="43" t="s">
        <v>507</v>
      </c>
      <c r="C33" s="44">
        <v>0.25</v>
      </c>
      <c r="D33" s="45">
        <v>1</v>
      </c>
      <c r="E33" s="46">
        <v>0</v>
      </c>
      <c r="F33" s="44">
        <f>IF(((E33*C33)/D33)-C33&gt;5%,((E33*C33)/D33)-(((E33*C33)/D33)-C33)+0.05,((E33*C33)/D33))</f>
        <v>0</v>
      </c>
      <c r="G33" s="47">
        <f t="shared" si="2"/>
        <v>0</v>
      </c>
      <c r="H33" s="37"/>
      <c r="I33" s="36"/>
      <c r="J33" s="37"/>
      <c r="K33" s="37"/>
      <c r="L33" s="37"/>
      <c r="M33" s="37"/>
      <c r="N33" s="37"/>
      <c r="O33" s="37"/>
      <c r="P33" s="37"/>
      <c r="Q33" s="37"/>
    </row>
    <row r="34" spans="1:17" ht="30" x14ac:dyDescent="0.25">
      <c r="A34" s="37"/>
      <c r="B34" s="58" t="s">
        <v>508</v>
      </c>
      <c r="C34" s="44">
        <v>0.1</v>
      </c>
      <c r="D34" s="44">
        <v>1</v>
      </c>
      <c r="E34" s="46">
        <v>1</v>
      </c>
      <c r="F34" s="44">
        <f>IF(((E34*C34)/D34)-C34&gt;5%,((E34*C34)/D34)-(((E34*C34)/D34)-C34)+0.05,((E34*C34)/D34))</f>
        <v>0.1</v>
      </c>
      <c r="G34" s="47">
        <f t="shared" si="2"/>
        <v>0.12142857142857144</v>
      </c>
      <c r="H34" s="37"/>
      <c r="I34" s="36"/>
      <c r="J34" s="37"/>
      <c r="K34" s="37"/>
      <c r="L34" s="37"/>
      <c r="M34" s="37"/>
      <c r="N34" s="37"/>
      <c r="O34" s="37"/>
      <c r="P34" s="37"/>
      <c r="Q34" s="37"/>
    </row>
    <row r="35" spans="1:17" ht="21" customHeight="1" x14ac:dyDescent="0.35">
      <c r="A35" s="37"/>
      <c r="B35" s="102" t="s">
        <v>509</v>
      </c>
      <c r="C35" s="102"/>
      <c r="D35" s="102"/>
      <c r="E35" s="102"/>
      <c r="F35" s="59">
        <f>SUM(F22:F24,F27,F30,F33,F34)</f>
        <v>0.89472871634626971</v>
      </c>
      <c r="G35" s="59">
        <f>SUM(G22:G24,G27,G30,G33,G34)</f>
        <v>0.84112459615493762</v>
      </c>
      <c r="H35" s="37"/>
      <c r="I35" s="36"/>
      <c r="J35" s="37"/>
      <c r="K35" s="37"/>
      <c r="L35" s="37"/>
      <c r="M35" s="37"/>
      <c r="N35" s="37"/>
      <c r="O35" s="37"/>
      <c r="P35" s="37"/>
      <c r="Q35" s="37"/>
    </row>
    <row r="36" spans="1:17" x14ac:dyDescent="0.25">
      <c r="A36" s="37"/>
      <c r="B36" s="37"/>
      <c r="C36" s="37"/>
      <c r="D36" s="37"/>
      <c r="E36" s="37"/>
      <c r="F36" s="37"/>
      <c r="G36" s="37"/>
      <c r="H36" s="37"/>
      <c r="I36" s="36"/>
      <c r="J36" s="37"/>
      <c r="K36" s="37"/>
      <c r="L36" s="37"/>
      <c r="M36" s="37"/>
      <c r="N36" s="37"/>
      <c r="O36" s="37"/>
      <c r="P36" s="37"/>
      <c r="Q36" s="37"/>
    </row>
  </sheetData>
  <mergeCells count="8">
    <mergeCell ref="B20:G20"/>
    <mergeCell ref="B35:E35"/>
    <mergeCell ref="A1:H1"/>
    <mergeCell ref="J1:Q1"/>
    <mergeCell ref="B3:G3"/>
    <mergeCell ref="K3:P3"/>
    <mergeCell ref="B18:E18"/>
    <mergeCell ref="K18:N18"/>
  </mergeCells>
  <conditionalFormatting sqref="P2">
    <cfRule type="cellIs" dxfId="706" priority="107" operator="equal">
      <formula>2020</formula>
    </cfRule>
    <cfRule type="cellIs" dxfId="705" priority="108" operator="equal">
      <formula>2019</formula>
    </cfRule>
    <cfRule type="cellIs" dxfId="704" priority="109" operator="equal">
      <formula>2018</formula>
    </cfRule>
  </conditionalFormatting>
  <conditionalFormatting sqref="Q2">
    <cfRule type="cellIs" dxfId="703" priority="104" operator="equal">
      <formula>2020</formula>
    </cfRule>
    <cfRule type="cellIs" dxfId="702" priority="105" operator="equal">
      <formula>2019</formula>
    </cfRule>
    <cfRule type="cellIs" dxfId="701" priority="106" operator="equal">
      <formula>2018</formula>
    </cfRule>
  </conditionalFormatting>
  <conditionalFormatting sqref="N17">
    <cfRule type="iconSet" priority="99">
      <iconSet iconSet="3Symbols">
        <cfvo type="percent" val="0"/>
        <cfvo type="formula" val="$M$17*0.9"/>
        <cfvo type="formula" val="$M$17"/>
      </iconSet>
    </cfRule>
    <cfRule type="expression" dxfId="700" priority="100">
      <formula>$N$17&lt;$M$17</formula>
    </cfRule>
  </conditionalFormatting>
  <conditionalFormatting sqref="M5:M6">
    <cfRule type="cellIs" dxfId="699" priority="102" operator="lessThan">
      <formula>0</formula>
    </cfRule>
  </conditionalFormatting>
  <conditionalFormatting sqref="M7">
    <cfRule type="cellIs" dxfId="698" priority="101" operator="lessThan">
      <formula>#REF!</formula>
    </cfRule>
  </conditionalFormatting>
  <conditionalFormatting sqref="N20">
    <cfRule type="iconSet" priority="97">
      <iconSet iconSet="3Symbols2">
        <cfvo type="percent" val="0"/>
        <cfvo type="formula" val="#REF!*0.9"/>
        <cfvo type="formula" val="#REF!"/>
      </iconSet>
    </cfRule>
    <cfRule type="cellIs" dxfId="697" priority="98" operator="lessThan">
      <formula>$M$20</formula>
    </cfRule>
  </conditionalFormatting>
  <conditionalFormatting sqref="N21">
    <cfRule type="iconSet" priority="95">
      <iconSet iconSet="3Symbols2">
        <cfvo type="percent" val="0"/>
        <cfvo type="formula" val="#REF!*0.9"/>
        <cfvo type="formula" val="#REF!"/>
      </iconSet>
    </cfRule>
    <cfRule type="cellIs" dxfId="696" priority="96" operator="lessThan">
      <formula>$M$21</formula>
    </cfRule>
  </conditionalFormatting>
  <conditionalFormatting sqref="N16">
    <cfRule type="iconSet" priority="93">
      <iconSet iconSet="3Symbols">
        <cfvo type="percent" val="0"/>
        <cfvo type="formula" val="$M$16*0.9"/>
        <cfvo type="formula" val="$M$16"/>
      </iconSet>
    </cfRule>
    <cfRule type="cellIs" dxfId="695" priority="94" operator="lessThan">
      <formula>$M$16</formula>
    </cfRule>
  </conditionalFormatting>
  <conditionalFormatting sqref="N8:N9">
    <cfRule type="iconSet" priority="112">
      <iconSet iconSet="3Symbols2">
        <cfvo type="percent" val="0"/>
        <cfvo type="formula" val="$M$8*0.9"/>
        <cfvo type="formula" val="$M$8"/>
      </iconSet>
    </cfRule>
    <cfRule type="expression" dxfId="694" priority="113">
      <formula>$N$8&lt;$M$8</formula>
    </cfRule>
  </conditionalFormatting>
  <conditionalFormatting sqref="N11">
    <cfRule type="expression" dxfId="693" priority="68">
      <formula>$N$11&lt;$M$11</formula>
    </cfRule>
    <cfRule type="iconSet" priority="92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91">
      <iconSet iconSet="3Symbols2">
        <cfvo type="percent" val="0"/>
        <cfvo type="formula" val="$M$12*0.9"/>
        <cfvo type="formula" val="$M$12"/>
      </iconSet>
    </cfRule>
  </conditionalFormatting>
  <conditionalFormatting sqref="N10">
    <cfRule type="iconSet" priority="89">
      <iconSet iconSet="3Symbols">
        <cfvo type="percent" val="0"/>
        <cfvo type="formula" val="$M$10*0.9"/>
        <cfvo type="formula" val="$M$10"/>
      </iconSet>
    </cfRule>
    <cfRule type="expression" dxfId="692" priority="90">
      <formula>$N$10&lt;$M$10</formula>
    </cfRule>
  </conditionalFormatting>
  <conditionalFormatting sqref="N13">
    <cfRule type="iconSet" priority="87">
      <iconSet iconSet="3Symbols">
        <cfvo type="percent" val="0"/>
        <cfvo type="formula" val="$M$13*0.9"/>
        <cfvo type="formula" val="$M$13"/>
      </iconSet>
    </cfRule>
    <cfRule type="expression" dxfId="691" priority="88">
      <formula>$N$13&lt;$M$13</formula>
    </cfRule>
  </conditionalFormatting>
  <conditionalFormatting sqref="E17">
    <cfRule type="iconSet" priority="79">
      <iconSet iconSet="3Symbols">
        <cfvo type="percent" val="0"/>
        <cfvo type="formula" val="$M$17*0.9"/>
        <cfvo type="formula" val="$M$17"/>
      </iconSet>
    </cfRule>
    <cfRule type="expression" dxfId="690" priority="81">
      <formula>$N$17&lt;$M$17</formula>
    </cfRule>
  </conditionalFormatting>
  <conditionalFormatting sqref="D5:D6">
    <cfRule type="cellIs" dxfId="689" priority="84" operator="lessThan">
      <formula>0</formula>
    </cfRule>
  </conditionalFormatting>
  <conditionalFormatting sqref="E5">
    <cfRule type="iconSet" priority="80">
      <iconSet iconSet="3Symbols">
        <cfvo type="percent" val="0"/>
        <cfvo type="formula" val="$M$5*0.9"/>
        <cfvo type="formula" val="$M$5"/>
      </iconSet>
    </cfRule>
    <cfRule type="cellIs" dxfId="688" priority="83" operator="lessThan">
      <formula>$M$5</formula>
    </cfRule>
  </conditionalFormatting>
  <conditionalFormatting sqref="D7">
    <cfRule type="cellIs" dxfId="687" priority="82" operator="lessThan">
      <formula>#REF!</formula>
    </cfRule>
  </conditionalFormatting>
  <conditionalFormatting sqref="E8:E9">
    <cfRule type="iconSet" priority="85">
      <iconSet iconSet="3Symbols2">
        <cfvo type="percent" val="0"/>
        <cfvo type="formula" val="$M$8*0.9"/>
        <cfvo type="formula" val="$M$8"/>
      </iconSet>
    </cfRule>
    <cfRule type="expression" dxfId="686" priority="86">
      <formula>$N$8&lt;$M$8</formula>
    </cfRule>
  </conditionalFormatting>
  <conditionalFormatting sqref="E10">
    <cfRule type="iconSet" priority="77">
      <iconSet iconSet="3Symbols">
        <cfvo type="percent" val="0"/>
        <cfvo type="formula" val="$M$10*0.9"/>
        <cfvo type="formula" val="$M$10"/>
      </iconSet>
    </cfRule>
    <cfRule type="expression" dxfId="685" priority="78">
      <formula>$N$10&lt;$M$10</formula>
    </cfRule>
  </conditionalFormatting>
  <conditionalFormatting sqref="E13">
    <cfRule type="iconSet" priority="75">
      <iconSet iconSet="3Symbols">
        <cfvo type="percent" val="0"/>
        <cfvo type="formula" val="$M$13*0.9"/>
        <cfvo type="formula" val="$M$13"/>
      </iconSet>
    </cfRule>
    <cfRule type="expression" dxfId="684" priority="76">
      <formula>$N$13&lt;$M$13</formula>
    </cfRule>
  </conditionalFormatting>
  <conditionalFormatting sqref="N5">
    <cfRule type="iconSet" priority="73">
      <iconSet iconSet="3Symbols">
        <cfvo type="percent" val="0"/>
        <cfvo type="formula" val="$M$5*0.99"/>
        <cfvo type="formula" val="$M$5"/>
      </iconSet>
    </cfRule>
    <cfRule type="expression" dxfId="683" priority="74">
      <formula>$N$5&lt;$M$5</formula>
    </cfRule>
  </conditionalFormatting>
  <conditionalFormatting sqref="N6">
    <cfRule type="iconSet" priority="71">
      <iconSet iconSet="3Symbols">
        <cfvo type="percent" val="0"/>
        <cfvo type="formula" val="$M$6*0.99"/>
        <cfvo type="formula" val="$M$6"/>
      </iconSet>
    </cfRule>
    <cfRule type="expression" dxfId="682" priority="72">
      <formula>$N$6&lt;$M$6</formula>
    </cfRule>
  </conditionalFormatting>
  <conditionalFormatting sqref="N7">
    <cfRule type="iconSet" priority="69">
      <iconSet iconSet="3Symbols">
        <cfvo type="percent" val="0"/>
        <cfvo type="formula" val="$M$7*0.99"/>
        <cfvo type="formula" val="$M$7"/>
      </iconSet>
    </cfRule>
    <cfRule type="expression" dxfId="681" priority="70">
      <formula>$N$7&lt;$M$7</formula>
    </cfRule>
  </conditionalFormatting>
  <conditionalFormatting sqref="N14">
    <cfRule type="iconSet" priority="66">
      <iconSet iconSet="3Symbols">
        <cfvo type="percent" val="0"/>
        <cfvo type="percent" val="33"/>
        <cfvo type="percent" val="67"/>
      </iconSet>
    </cfRule>
    <cfRule type="expression" dxfId="680" priority="67">
      <formula>$N$14&lt;$M$14</formula>
    </cfRule>
  </conditionalFormatting>
  <conditionalFormatting sqref="N15">
    <cfRule type="iconSet" priority="64">
      <iconSet iconSet="3Symbols">
        <cfvo type="percent" val="0"/>
        <cfvo type="formula" val="$M$15*0.99"/>
        <cfvo type="formula" val="$M$15"/>
      </iconSet>
    </cfRule>
    <cfRule type="expression" dxfId="679" priority="65">
      <formula>$N$15&lt;$M$15</formula>
    </cfRule>
  </conditionalFormatting>
  <conditionalFormatting sqref="E11">
    <cfRule type="expression" dxfId="678" priority="61">
      <formula>$N$11&lt;$M$11</formula>
    </cfRule>
    <cfRule type="iconSet" priority="63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62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59">
      <iconSet iconSet="3Symbols">
        <cfvo type="percent" val="0"/>
        <cfvo type="formula" val="$M$6*0.99"/>
        <cfvo type="formula" val="$M$6"/>
      </iconSet>
    </cfRule>
    <cfRule type="expression" dxfId="677" priority="60">
      <formula>$N$6&lt;$M$6</formula>
    </cfRule>
  </conditionalFormatting>
  <conditionalFormatting sqref="E7">
    <cfRule type="iconSet" priority="57">
      <iconSet iconSet="3Symbols">
        <cfvo type="percent" val="0"/>
        <cfvo type="formula" val="$M$7*0.99"/>
        <cfvo type="formula" val="$M$7"/>
      </iconSet>
    </cfRule>
    <cfRule type="expression" dxfId="676" priority="58">
      <formula>$N$7&lt;$M$7</formula>
    </cfRule>
  </conditionalFormatting>
  <conditionalFormatting sqref="E16">
    <cfRule type="iconSet" priority="55">
      <iconSet iconSet="3Symbols">
        <cfvo type="percent" val="0"/>
        <cfvo type="formula" val="$M$16*0.9"/>
        <cfvo type="formula" val="$M$16"/>
      </iconSet>
    </cfRule>
    <cfRule type="cellIs" dxfId="675" priority="56" operator="lessThan">
      <formula>$M$16</formula>
    </cfRule>
  </conditionalFormatting>
  <conditionalFormatting sqref="E14">
    <cfRule type="iconSet" priority="53">
      <iconSet iconSet="3Symbols">
        <cfvo type="percent" val="0"/>
        <cfvo type="percent" val="33"/>
        <cfvo type="percent" val="67"/>
      </iconSet>
    </cfRule>
    <cfRule type="expression" dxfId="674" priority="54">
      <formula>$N$14&lt;$M$14</formula>
    </cfRule>
  </conditionalFormatting>
  <conditionalFormatting sqref="E15">
    <cfRule type="iconSet" priority="51">
      <iconSet iconSet="3Symbols">
        <cfvo type="percent" val="0"/>
        <cfvo type="formula" val="$M$15*0.99"/>
        <cfvo type="formula" val="$M$15"/>
      </iconSet>
    </cfRule>
    <cfRule type="expression" dxfId="673" priority="52">
      <formula>$N$15&lt;$M$15</formula>
    </cfRule>
  </conditionalFormatting>
  <conditionalFormatting sqref="E34">
    <cfRule type="iconSet" priority="20">
      <iconSet iconSet="3Symbols">
        <cfvo type="percent" val="0"/>
        <cfvo type="formula" val="$M$17*0.9"/>
        <cfvo type="formula" val="$M$17"/>
      </iconSet>
    </cfRule>
    <cfRule type="expression" dxfId="672" priority="21">
      <formula>$E$34&lt;$D$34</formula>
    </cfRule>
  </conditionalFormatting>
  <conditionalFormatting sqref="D22:D23">
    <cfRule type="cellIs" dxfId="671" priority="23" operator="lessThan">
      <formula>0</formula>
    </cfRule>
  </conditionalFormatting>
  <conditionalFormatting sqref="D24">
    <cfRule type="cellIs" dxfId="670" priority="22" operator="lessThan">
      <formula>#REF!</formula>
    </cfRule>
  </conditionalFormatting>
  <conditionalFormatting sqref="E33">
    <cfRule type="iconSet" priority="18">
      <iconSet iconSet="3Symbols">
        <cfvo type="percent" val="0"/>
        <cfvo type="formula" val="$M$16*0.9"/>
        <cfvo type="formula" val="$M$16"/>
      </iconSet>
    </cfRule>
    <cfRule type="cellIs" dxfId="669" priority="19" operator="lessThan">
      <formula>$M$16</formula>
    </cfRule>
  </conditionalFormatting>
  <conditionalFormatting sqref="E25:E26">
    <cfRule type="iconSet" priority="24">
      <iconSet iconSet="3Symbols2">
        <cfvo type="percent" val="0"/>
        <cfvo type="formula" val="$D$26"/>
        <cfvo type="formula" val="$D$26*0.99"/>
      </iconSet>
    </cfRule>
    <cfRule type="expression" dxfId="668" priority="25">
      <formula>$E$26&lt;$D$26</formula>
    </cfRule>
  </conditionalFormatting>
  <conditionalFormatting sqref="E28">
    <cfRule type="expression" dxfId="667" priority="5">
      <formula>$E$28&lt;$D$28</formula>
    </cfRule>
    <cfRule type="iconSet" priority="17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16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14">
      <iconSet iconSet="3Symbols">
        <cfvo type="percent" val="0"/>
        <cfvo type="formula" val="$M$10*0.9"/>
        <cfvo type="formula" val="$M$10"/>
      </iconSet>
    </cfRule>
    <cfRule type="expression" dxfId="666" priority="15">
      <formula>$N$10&lt;$M$10</formula>
    </cfRule>
  </conditionalFormatting>
  <conditionalFormatting sqref="E30">
    <cfRule type="iconSet" priority="12">
      <iconSet iconSet="3Symbols">
        <cfvo type="percent" val="0"/>
        <cfvo type="formula" val="$M$13*0.9"/>
        <cfvo type="formula" val="$M$13"/>
      </iconSet>
    </cfRule>
    <cfRule type="expression" dxfId="665" priority="13">
      <formula>$E$30&lt;$D$30</formula>
    </cfRule>
  </conditionalFormatting>
  <conditionalFormatting sqref="E22">
    <cfRule type="iconSet" priority="10">
      <iconSet iconSet="3Symbols">
        <cfvo type="percent" val="0"/>
        <cfvo type="formula" val="$M$5*0.99"/>
        <cfvo type="formula" val="$M$5"/>
      </iconSet>
    </cfRule>
    <cfRule type="expression" dxfId="664" priority="11">
      <formula>$E$22&lt;$D$22</formula>
    </cfRule>
  </conditionalFormatting>
  <conditionalFormatting sqref="E23">
    <cfRule type="iconSet" priority="8">
      <iconSet iconSet="3Symbols">
        <cfvo type="percent" val="0"/>
        <cfvo type="formula" val="$M$6*0.99"/>
        <cfvo type="formula" val="$M$6"/>
      </iconSet>
    </cfRule>
    <cfRule type="expression" dxfId="663" priority="9">
      <formula>$E$23&lt;$D$23</formula>
    </cfRule>
  </conditionalFormatting>
  <conditionalFormatting sqref="E24">
    <cfRule type="iconSet" priority="6">
      <iconSet iconSet="3Symbols">
        <cfvo type="percent" val="0"/>
        <cfvo type="formula" val="$M$7*0.99"/>
        <cfvo type="formula" val="$M$7"/>
      </iconSet>
    </cfRule>
    <cfRule type="expression" dxfId="662" priority="7">
      <formula>$E$24&lt;$D$24</formula>
    </cfRule>
  </conditionalFormatting>
  <conditionalFormatting sqref="E31">
    <cfRule type="iconSet" priority="3">
      <iconSet iconSet="3Symbols">
        <cfvo type="percent" val="0"/>
        <cfvo type="percent" val="33"/>
        <cfvo type="percent" val="67"/>
      </iconSet>
    </cfRule>
    <cfRule type="expression" dxfId="661" priority="4">
      <formula>$E$31&lt;$D$31</formula>
    </cfRule>
  </conditionalFormatting>
  <conditionalFormatting sqref="E32">
    <cfRule type="iconSet" priority="1">
      <iconSet iconSet="3Symbols">
        <cfvo type="percent" val="0"/>
        <cfvo type="formula" val="$M$15*0.99"/>
        <cfvo type="formula" val="$M$15"/>
      </iconSet>
    </cfRule>
    <cfRule type="expression" dxfId="660" priority="2">
      <formula>$E$32&lt;$D$32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sheetPr codeName="Planilha5"/>
  <dimension ref="A1:R76"/>
  <sheetViews>
    <sheetView workbookViewId="0">
      <selection activeCell="E13" sqref="E13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>
        <v>44221</v>
      </c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 x14ac:dyDescent="0.25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 x14ac:dyDescent="0.25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 x14ac:dyDescent="0.25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 x14ac:dyDescent="0.25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 x14ac:dyDescent="0.25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 x14ac:dyDescent="0.25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 x14ac:dyDescent="0.25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 x14ac:dyDescent="0.25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 x14ac:dyDescent="0.25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 x14ac:dyDescent="0.25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 x14ac:dyDescent="0.25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 x14ac:dyDescent="0.25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 x14ac:dyDescent="0.25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 x14ac:dyDescent="0.25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 x14ac:dyDescent="0.25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 x14ac:dyDescent="0.25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 x14ac:dyDescent="0.25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 x14ac:dyDescent="0.25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 x14ac:dyDescent="0.25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 x14ac:dyDescent="0.25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 x14ac:dyDescent="0.25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 x14ac:dyDescent="0.25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 x14ac:dyDescent="0.25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 x14ac:dyDescent="0.25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 x14ac:dyDescent="0.25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 x14ac:dyDescent="0.25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 x14ac:dyDescent="0.25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 x14ac:dyDescent="0.25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 x14ac:dyDescent="0.25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 x14ac:dyDescent="0.25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 x14ac:dyDescent="0.25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 x14ac:dyDescent="0.25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 x14ac:dyDescent="0.25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 x14ac:dyDescent="0.25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 x14ac:dyDescent="0.25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 x14ac:dyDescent="0.25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 x14ac:dyDescent="0.25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 x14ac:dyDescent="0.25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 x14ac:dyDescent="0.25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 x14ac:dyDescent="0.25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 x14ac:dyDescent="0.25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 x14ac:dyDescent="0.25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 x14ac:dyDescent="0.25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 x14ac:dyDescent="0.25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 x14ac:dyDescent="0.25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 x14ac:dyDescent="0.25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 x14ac:dyDescent="0.25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 x14ac:dyDescent="0.25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 x14ac:dyDescent="0.25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 x14ac:dyDescent="0.25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 x14ac:dyDescent="0.25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 x14ac:dyDescent="0.25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 x14ac:dyDescent="0.25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 x14ac:dyDescent="0.25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 x14ac:dyDescent="0.25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 x14ac:dyDescent="0.25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 x14ac:dyDescent="0.25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36:R76 A2:R34">
    <cfRule type="expression" dxfId="659" priority="66">
      <formula>$K2="CANCELADO"</formula>
    </cfRule>
    <cfRule type="expression" dxfId="658" priority="67">
      <formula>$K2="STAND-BY"</formula>
    </cfRule>
    <cfRule type="expression" dxfId="657" priority="68">
      <formula>$K2="AGUARDANDO APROVAÇÃO"</formula>
    </cfRule>
    <cfRule type="expression" dxfId="656" priority="69">
      <formula>$K2="OK"</formula>
    </cfRule>
    <cfRule type="expression" dxfId="655" priority="70">
      <formula>AND((TODAY()-$H2)&gt;0,$H2&lt;&gt;"",$I2="")=TRUE</formula>
    </cfRule>
  </conditionalFormatting>
  <conditionalFormatting sqref="A35:R35">
    <cfRule type="expression" dxfId="654" priority="1">
      <formula>$K35="CANCELADO"</formula>
    </cfRule>
    <cfRule type="expression" dxfId="653" priority="2">
      <formula>$K35="STAND-BY"</formula>
    </cfRule>
    <cfRule type="expression" dxfId="652" priority="3">
      <formula>$K35="AGUARDANDO APROVAÇÃO"</formula>
    </cfRule>
    <cfRule type="expression" dxfId="651" priority="4">
      <formula>$K35="OK"</formula>
    </cfRule>
    <cfRule type="expression" dxfId="650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sheetPr codeName="Planilha6"/>
  <dimension ref="A1:R168"/>
  <sheetViews>
    <sheetView topLeftCell="A16" workbookViewId="0">
      <selection activeCell="I9" sqref="I9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 x14ac:dyDescent="0.25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 x14ac:dyDescent="0.25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 x14ac:dyDescent="0.25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customHeight="1" x14ac:dyDescent="0.25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customHeight="1" x14ac:dyDescent="0.25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 x14ac:dyDescent="0.25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 x14ac:dyDescent="0.25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 x14ac:dyDescent="0.25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 x14ac:dyDescent="0.25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 x14ac:dyDescent="0.25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 x14ac:dyDescent="0.25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customHeight="1" x14ac:dyDescent="0.25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customHeight="1" x14ac:dyDescent="0.25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 x14ac:dyDescent="0.25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customHeight="1" x14ac:dyDescent="0.25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 x14ac:dyDescent="0.25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 x14ac:dyDescent="0.25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 x14ac:dyDescent="0.25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customHeight="1" x14ac:dyDescent="0.25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 x14ac:dyDescent="0.25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 x14ac:dyDescent="0.25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 x14ac:dyDescent="0.25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 x14ac:dyDescent="0.25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customHeight="1" x14ac:dyDescent="0.25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 x14ac:dyDescent="0.25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 x14ac:dyDescent="0.25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 x14ac:dyDescent="0.25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 x14ac:dyDescent="0.25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 x14ac:dyDescent="0.25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 x14ac:dyDescent="0.25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 x14ac:dyDescent="0.25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 x14ac:dyDescent="0.25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 x14ac:dyDescent="0.25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 x14ac:dyDescent="0.25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 x14ac:dyDescent="0.25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 x14ac:dyDescent="0.25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customHeight="1" x14ac:dyDescent="0.25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customHeight="1" x14ac:dyDescent="0.25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customHeight="1" x14ac:dyDescent="0.25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customHeight="1" x14ac:dyDescent="0.25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customHeight="1" x14ac:dyDescent="0.25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customHeight="1" x14ac:dyDescent="0.25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customHeight="1" x14ac:dyDescent="0.25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customHeight="1" x14ac:dyDescent="0.25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 x14ac:dyDescent="0.25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customHeight="1" x14ac:dyDescent="0.25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customHeight="1" x14ac:dyDescent="0.25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customHeight="1" x14ac:dyDescent="0.25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customHeight="1" x14ac:dyDescent="0.25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customHeight="1" x14ac:dyDescent="0.25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customHeight="1" x14ac:dyDescent="0.25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 x14ac:dyDescent="0.25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 x14ac:dyDescent="0.25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 x14ac:dyDescent="0.25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 x14ac:dyDescent="0.25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 x14ac:dyDescent="0.25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 x14ac:dyDescent="0.25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 x14ac:dyDescent="0.25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customHeight="1" x14ac:dyDescent="0.25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customHeight="1" x14ac:dyDescent="0.25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customHeight="1" x14ac:dyDescent="0.25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 x14ac:dyDescent="0.25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 x14ac:dyDescent="0.25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 x14ac:dyDescent="0.25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 x14ac:dyDescent="0.25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 x14ac:dyDescent="0.25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 x14ac:dyDescent="0.25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 x14ac:dyDescent="0.25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 x14ac:dyDescent="0.25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 x14ac:dyDescent="0.25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 x14ac:dyDescent="0.25">
      <c r="A82" s="17" t="s">
        <v>131</v>
      </c>
      <c r="B82" s="18">
        <v>213775</v>
      </c>
      <c r="C82" s="19" t="s">
        <v>139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 x14ac:dyDescent="0.25">
      <c r="A83" s="17" t="s">
        <v>131</v>
      </c>
      <c r="B83" s="18">
        <v>213775</v>
      </c>
      <c r="C83" s="19" t="s">
        <v>139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 x14ac:dyDescent="0.25">
      <c r="A84" s="17" t="s">
        <v>131</v>
      </c>
      <c r="B84" s="18">
        <v>213775</v>
      </c>
      <c r="C84" s="19" t="s">
        <v>139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 x14ac:dyDescent="0.25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 x14ac:dyDescent="0.25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 x14ac:dyDescent="0.25">
      <c r="A87" s="17" t="s">
        <v>29</v>
      </c>
      <c r="B87" s="18">
        <v>214435</v>
      </c>
      <c r="C87" s="19" t="s">
        <v>139</v>
      </c>
      <c r="D87" s="20" t="s">
        <v>206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 x14ac:dyDescent="0.25">
      <c r="A88" s="17" t="s">
        <v>29</v>
      </c>
      <c r="B88" s="18">
        <v>214435</v>
      </c>
      <c r="C88" s="19" t="s">
        <v>139</v>
      </c>
      <c r="D88" s="20" t="s">
        <v>206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 x14ac:dyDescent="0.25">
      <c r="A89" s="17" t="s">
        <v>75</v>
      </c>
      <c r="B89" s="18">
        <v>217958</v>
      </c>
      <c r="C89" s="19" t="s">
        <v>19</v>
      </c>
      <c r="D89" s="20" t="s">
        <v>207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 x14ac:dyDescent="0.25">
      <c r="A90" s="17" t="s">
        <v>75</v>
      </c>
      <c r="B90" s="18">
        <v>217958</v>
      </c>
      <c r="C90" s="19" t="s">
        <v>19</v>
      </c>
      <c r="D90" s="20" t="s">
        <v>207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 x14ac:dyDescent="0.25">
      <c r="A91" s="17" t="s">
        <v>75</v>
      </c>
      <c r="B91" s="18">
        <v>217958</v>
      </c>
      <c r="C91" s="19" t="s">
        <v>19</v>
      </c>
      <c r="D91" s="20" t="s">
        <v>207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 x14ac:dyDescent="0.25">
      <c r="A92" s="17" t="s">
        <v>75</v>
      </c>
      <c r="B92" s="18">
        <v>217958</v>
      </c>
      <c r="C92" s="19" t="s">
        <v>19</v>
      </c>
      <c r="D92" s="20" t="s">
        <v>207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customHeight="1" x14ac:dyDescent="0.25">
      <c r="A93" s="17" t="s">
        <v>51</v>
      </c>
      <c r="B93" s="18">
        <v>194539</v>
      </c>
      <c r="C93" s="19" t="s">
        <v>139</v>
      </c>
      <c r="D93" s="20" t="s">
        <v>208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209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customHeight="1" x14ac:dyDescent="0.25">
      <c r="A94" s="17" t="s">
        <v>51</v>
      </c>
      <c r="B94" s="18">
        <v>194539</v>
      </c>
      <c r="C94" s="19" t="s">
        <v>139</v>
      </c>
      <c r="D94" s="20" t="s">
        <v>208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209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customHeight="1" x14ac:dyDescent="0.25">
      <c r="A95" s="17" t="s">
        <v>51</v>
      </c>
      <c r="B95" s="18">
        <v>194539</v>
      </c>
      <c r="C95" s="19" t="s">
        <v>139</v>
      </c>
      <c r="D95" s="20" t="s">
        <v>208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209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customHeight="1" x14ac:dyDescent="0.25">
      <c r="A96" s="17" t="s">
        <v>51</v>
      </c>
      <c r="B96" s="18">
        <v>194539</v>
      </c>
      <c r="C96" s="19" t="s">
        <v>139</v>
      </c>
      <c r="D96" s="20" t="s">
        <v>208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209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 x14ac:dyDescent="0.25">
      <c r="A97" s="17" t="s">
        <v>38</v>
      </c>
      <c r="B97" s="18">
        <v>217854</v>
      </c>
      <c r="C97" s="19" t="s">
        <v>19</v>
      </c>
      <c r="D97" s="20" t="s">
        <v>210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 x14ac:dyDescent="0.25">
      <c r="A98" s="17" t="s">
        <v>38</v>
      </c>
      <c r="B98" s="18">
        <v>217854</v>
      </c>
      <c r="C98" s="19" t="s">
        <v>19</v>
      </c>
      <c r="D98" s="20" t="s">
        <v>210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 x14ac:dyDescent="0.25">
      <c r="A99" s="17" t="s">
        <v>38</v>
      </c>
      <c r="B99" s="18">
        <v>217962</v>
      </c>
      <c r="C99" s="19" t="s">
        <v>19</v>
      </c>
      <c r="D99" s="20" t="s">
        <v>211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212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 x14ac:dyDescent="0.25">
      <c r="A100" s="17" t="s">
        <v>38</v>
      </c>
      <c r="B100" s="18">
        <v>217962</v>
      </c>
      <c r="C100" s="19" t="s">
        <v>19</v>
      </c>
      <c r="D100" s="20" t="s">
        <v>211</v>
      </c>
      <c r="E100" s="21" t="s">
        <v>45</v>
      </c>
      <c r="F100" s="21">
        <v>1</v>
      </c>
      <c r="G100" s="22">
        <v>44228</v>
      </c>
      <c r="H100" s="22">
        <v>44237</v>
      </c>
      <c r="I100" s="22">
        <v>44237</v>
      </c>
      <c r="J100" s="23"/>
      <c r="K100" s="19" t="s">
        <v>23</v>
      </c>
      <c r="L100" s="25" t="s">
        <v>44</v>
      </c>
      <c r="M100" s="19" t="s">
        <v>212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 x14ac:dyDescent="0.25">
      <c r="A101" s="17" t="s">
        <v>38</v>
      </c>
      <c r="B101" s="18">
        <v>217962</v>
      </c>
      <c r="C101" s="19" t="s">
        <v>19</v>
      </c>
      <c r="D101" s="20" t="s">
        <v>211</v>
      </c>
      <c r="E101" s="21" t="s">
        <v>123</v>
      </c>
      <c r="F101" s="21">
        <v>1</v>
      </c>
      <c r="G101" s="22">
        <v>44228</v>
      </c>
      <c r="H101" s="22">
        <v>44237</v>
      </c>
      <c r="I101" s="22">
        <v>44237</v>
      </c>
      <c r="J101" s="23"/>
      <c r="K101" s="19" t="s">
        <v>23</v>
      </c>
      <c r="L101" s="25" t="s">
        <v>24</v>
      </c>
      <c r="M101" s="19" t="s">
        <v>212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 x14ac:dyDescent="0.25">
      <c r="A102" s="17" t="s">
        <v>181</v>
      </c>
      <c r="B102" s="18">
        <v>218138</v>
      </c>
      <c r="C102" s="19" t="s">
        <v>139</v>
      </c>
      <c r="D102" s="20" t="s">
        <v>213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 x14ac:dyDescent="0.25">
      <c r="A103" s="17" t="s">
        <v>181</v>
      </c>
      <c r="B103" s="18">
        <v>218138</v>
      </c>
      <c r="C103" s="19" t="s">
        <v>139</v>
      </c>
      <c r="D103" s="20" t="s">
        <v>213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 x14ac:dyDescent="0.25">
      <c r="A104" s="17" t="s">
        <v>129</v>
      </c>
      <c r="B104" s="18">
        <v>218164</v>
      </c>
      <c r="C104" s="19" t="s">
        <v>76</v>
      </c>
      <c r="D104" s="20" t="s">
        <v>214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 x14ac:dyDescent="0.25">
      <c r="A105" s="17" t="s">
        <v>75</v>
      </c>
      <c r="B105" s="18">
        <v>218168</v>
      </c>
      <c r="C105" s="19" t="s">
        <v>139</v>
      </c>
      <c r="D105" s="20" t="s">
        <v>215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216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 x14ac:dyDescent="0.25">
      <c r="A106" s="17" t="s">
        <v>75</v>
      </c>
      <c r="B106" s="18">
        <v>218168</v>
      </c>
      <c r="C106" s="19" t="s">
        <v>139</v>
      </c>
      <c r="D106" s="20" t="s">
        <v>215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216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 x14ac:dyDescent="0.25">
      <c r="A107" s="17" t="s">
        <v>75</v>
      </c>
      <c r="B107" s="18">
        <v>218168</v>
      </c>
      <c r="C107" s="19" t="s">
        <v>139</v>
      </c>
      <c r="D107" s="20" t="s">
        <v>215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216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 x14ac:dyDescent="0.25">
      <c r="A108" s="17" t="s">
        <v>86</v>
      </c>
      <c r="B108" s="18">
        <v>218298</v>
      </c>
      <c r="C108" s="19" t="s">
        <v>139</v>
      </c>
      <c r="D108" s="20" t="s">
        <v>217</v>
      </c>
      <c r="E108" s="21" t="s">
        <v>218</v>
      </c>
      <c r="F108" s="21">
        <v>1</v>
      </c>
      <c r="G108" s="22">
        <v>44229</v>
      </c>
      <c r="H108" s="22"/>
      <c r="I108" s="22">
        <v>44236</v>
      </c>
      <c r="J108" s="23" t="s">
        <v>219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 x14ac:dyDescent="0.25">
      <c r="A109" s="17" t="s">
        <v>86</v>
      </c>
      <c r="B109" s="18">
        <v>218298</v>
      </c>
      <c r="C109" s="19" t="s">
        <v>139</v>
      </c>
      <c r="D109" s="20" t="s">
        <v>217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 x14ac:dyDescent="0.25">
      <c r="A110" s="17" t="s">
        <v>86</v>
      </c>
      <c r="B110" s="18">
        <v>218298</v>
      </c>
      <c r="C110" s="19" t="s">
        <v>139</v>
      </c>
      <c r="D110" s="20" t="s">
        <v>217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 x14ac:dyDescent="0.25">
      <c r="A111" s="17" t="s">
        <v>86</v>
      </c>
      <c r="B111" s="18">
        <v>218298</v>
      </c>
      <c r="C111" s="19" t="s">
        <v>139</v>
      </c>
      <c r="D111" s="20" t="s">
        <v>217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220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 x14ac:dyDescent="0.25">
      <c r="A112" s="17" t="s">
        <v>86</v>
      </c>
      <c r="B112" s="18">
        <v>218298</v>
      </c>
      <c r="C112" s="19" t="s">
        <v>139</v>
      </c>
      <c r="D112" s="20" t="s">
        <v>217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221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 x14ac:dyDescent="0.25">
      <c r="A113" s="17" t="s">
        <v>86</v>
      </c>
      <c r="B113" s="18">
        <v>218298</v>
      </c>
      <c r="C113" s="19" t="s">
        <v>139</v>
      </c>
      <c r="D113" s="20" t="s">
        <v>217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 x14ac:dyDescent="0.25">
      <c r="A114" s="17" t="s">
        <v>131</v>
      </c>
      <c r="B114" s="18">
        <v>218244</v>
      </c>
      <c r="C114" s="19" t="s">
        <v>139</v>
      </c>
      <c r="D114" s="20" t="s">
        <v>222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223</v>
      </c>
      <c r="K114" s="19" t="s">
        <v>23</v>
      </c>
      <c r="L114" s="25" t="s">
        <v>57</v>
      </c>
      <c r="M114" s="19" t="s">
        <v>25</v>
      </c>
      <c r="N114" s="19"/>
      <c r="O114" s="19" t="s">
        <v>37</v>
      </c>
      <c r="P114" s="23" t="s">
        <v>224</v>
      </c>
      <c r="Q114" s="19" t="s">
        <v>53</v>
      </c>
      <c r="R114" s="24" t="s">
        <v>53</v>
      </c>
    </row>
    <row r="115" spans="1:18" ht="30" customHeight="1" x14ac:dyDescent="0.25">
      <c r="A115" s="17" t="s">
        <v>131</v>
      </c>
      <c r="B115" s="18">
        <v>218244</v>
      </c>
      <c r="C115" s="19" t="s">
        <v>139</v>
      </c>
      <c r="D115" s="20" t="s">
        <v>222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223</v>
      </c>
      <c r="K115" s="19" t="s">
        <v>23</v>
      </c>
      <c r="L115" s="25" t="s">
        <v>57</v>
      </c>
      <c r="M115" s="19" t="s">
        <v>25</v>
      </c>
      <c r="N115" s="19"/>
      <c r="O115" s="19" t="s">
        <v>37</v>
      </c>
      <c r="P115" s="23" t="s">
        <v>224</v>
      </c>
      <c r="Q115" s="19" t="s">
        <v>53</v>
      </c>
      <c r="R115" s="24" t="s">
        <v>53</v>
      </c>
    </row>
    <row r="116" spans="1:18" ht="30" customHeight="1" x14ac:dyDescent="0.25">
      <c r="A116" s="17" t="s">
        <v>131</v>
      </c>
      <c r="B116" s="18">
        <v>218244</v>
      </c>
      <c r="C116" s="19" t="s">
        <v>139</v>
      </c>
      <c r="D116" s="20" t="s">
        <v>222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223</v>
      </c>
      <c r="K116" s="19" t="s">
        <v>23</v>
      </c>
      <c r="L116" s="25" t="s">
        <v>57</v>
      </c>
      <c r="M116" s="19" t="s">
        <v>25</v>
      </c>
      <c r="N116" s="19"/>
      <c r="O116" s="19" t="s">
        <v>37</v>
      </c>
      <c r="P116" s="23" t="s">
        <v>224</v>
      </c>
      <c r="Q116" s="19" t="s">
        <v>53</v>
      </c>
      <c r="R116" s="24" t="s">
        <v>53</v>
      </c>
    </row>
    <row r="117" spans="1:18" ht="30" customHeight="1" x14ac:dyDescent="0.25">
      <c r="A117" s="17" t="s">
        <v>38</v>
      </c>
      <c r="B117" s="18">
        <v>218560</v>
      </c>
      <c r="C117" s="19" t="s">
        <v>139</v>
      </c>
      <c r="D117" s="20" t="s">
        <v>225</v>
      </c>
      <c r="E117" s="21" t="s">
        <v>226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 x14ac:dyDescent="0.25">
      <c r="A118" s="17" t="s">
        <v>38</v>
      </c>
      <c r="B118" s="18">
        <v>218747</v>
      </c>
      <c r="C118" s="19" t="s">
        <v>19</v>
      </c>
      <c r="D118" s="20" t="s">
        <v>227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 x14ac:dyDescent="0.25">
      <c r="A119" s="17" t="s">
        <v>38</v>
      </c>
      <c r="B119" s="18">
        <v>218747</v>
      </c>
      <c r="C119" s="19" t="s">
        <v>19</v>
      </c>
      <c r="D119" s="20" t="s">
        <v>227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 x14ac:dyDescent="0.25">
      <c r="A120" s="17" t="s">
        <v>38</v>
      </c>
      <c r="B120" s="18">
        <v>218654</v>
      </c>
      <c r="C120" s="19" t="s">
        <v>19</v>
      </c>
      <c r="D120" s="20" t="s">
        <v>228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 x14ac:dyDescent="0.25">
      <c r="A121" s="17" t="s">
        <v>38</v>
      </c>
      <c r="B121" s="18">
        <v>218654</v>
      </c>
      <c r="C121" s="19" t="s">
        <v>19</v>
      </c>
      <c r="D121" s="20" t="s">
        <v>228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 x14ac:dyDescent="0.25">
      <c r="A122" s="17" t="s">
        <v>129</v>
      </c>
      <c r="B122" s="18">
        <v>218655</v>
      </c>
      <c r="C122" s="19" t="s">
        <v>76</v>
      </c>
      <c r="D122" s="20" t="s">
        <v>229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212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 x14ac:dyDescent="0.25">
      <c r="A123" s="17" t="s">
        <v>48</v>
      </c>
      <c r="B123" s="18">
        <v>218585</v>
      </c>
      <c r="C123" s="19" t="s">
        <v>139</v>
      </c>
      <c r="D123" s="20" t="s">
        <v>230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38</v>
      </c>
      <c r="B124" s="18">
        <v>218878</v>
      </c>
      <c r="C124" s="19" t="s">
        <v>139</v>
      </c>
      <c r="D124" s="20" t="s">
        <v>231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232</v>
      </c>
      <c r="K124" s="19" t="s">
        <v>23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17" t="s">
        <v>71</v>
      </c>
      <c r="B125" s="18">
        <v>215614</v>
      </c>
      <c r="C125" s="19" t="s">
        <v>139</v>
      </c>
      <c r="D125" s="20" t="s">
        <v>233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 x14ac:dyDescent="0.25">
      <c r="A126" s="17" t="s">
        <v>48</v>
      </c>
      <c r="B126" s="18">
        <v>219301</v>
      </c>
      <c r="C126" s="19" t="s">
        <v>139</v>
      </c>
      <c r="D126" s="20" t="s">
        <v>234</v>
      </c>
      <c r="E126" s="21" t="s">
        <v>235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 x14ac:dyDescent="0.25">
      <c r="A127" s="17" t="s">
        <v>86</v>
      </c>
      <c r="B127" s="18">
        <v>219145</v>
      </c>
      <c r="C127" s="19" t="s">
        <v>61</v>
      </c>
      <c r="D127" s="20" t="s">
        <v>236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237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 x14ac:dyDescent="0.25">
      <c r="A128" s="17" t="s">
        <v>75</v>
      </c>
      <c r="B128" s="18">
        <v>219270</v>
      </c>
      <c r="C128" s="19" t="s">
        <v>19</v>
      </c>
      <c r="D128" s="20" t="s">
        <v>238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 x14ac:dyDescent="0.25">
      <c r="A129" s="17" t="s">
        <v>75</v>
      </c>
      <c r="B129" s="18">
        <v>219270</v>
      </c>
      <c r="C129" s="19" t="s">
        <v>19</v>
      </c>
      <c r="D129" s="20" t="s">
        <v>238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 x14ac:dyDescent="0.25">
      <c r="A130" s="17" t="s">
        <v>75</v>
      </c>
      <c r="B130" s="18">
        <v>219270</v>
      </c>
      <c r="C130" s="19" t="s">
        <v>19</v>
      </c>
      <c r="D130" s="20" t="s">
        <v>238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 x14ac:dyDescent="0.25">
      <c r="A131" s="17" t="s">
        <v>75</v>
      </c>
      <c r="B131" s="18">
        <v>219270</v>
      </c>
      <c r="C131" s="19" t="s">
        <v>139</v>
      </c>
      <c r="D131" s="20" t="s">
        <v>238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 x14ac:dyDescent="0.25">
      <c r="A132" s="17" t="s">
        <v>38</v>
      </c>
      <c r="B132" s="18">
        <v>219580</v>
      </c>
      <c r="C132" s="19" t="s">
        <v>139</v>
      </c>
      <c r="D132" s="20" t="s">
        <v>239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29</v>
      </c>
      <c r="B133" s="18">
        <v>219533</v>
      </c>
      <c r="C133" s="19" t="s">
        <v>139</v>
      </c>
      <c r="D133" s="20" t="s">
        <v>240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241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 x14ac:dyDescent="0.25">
      <c r="A134" s="17" t="s">
        <v>75</v>
      </c>
      <c r="B134" s="18">
        <v>220060</v>
      </c>
      <c r="C134" s="19" t="s">
        <v>139</v>
      </c>
      <c r="D134" s="20" t="s">
        <v>242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 x14ac:dyDescent="0.25">
      <c r="A135" s="17" t="s">
        <v>75</v>
      </c>
      <c r="B135" s="18">
        <v>220060</v>
      </c>
      <c r="C135" s="19" t="s">
        <v>139</v>
      </c>
      <c r="D135" s="20" t="s">
        <v>242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 x14ac:dyDescent="0.25">
      <c r="A136" s="17" t="s">
        <v>71</v>
      </c>
      <c r="B136" s="18">
        <v>219834</v>
      </c>
      <c r="C136" s="19" t="s">
        <v>19</v>
      </c>
      <c r="D136" s="20" t="s">
        <v>243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 x14ac:dyDescent="0.25">
      <c r="A137" s="17" t="s">
        <v>71</v>
      </c>
      <c r="B137" s="18">
        <v>219834</v>
      </c>
      <c r="C137" s="19" t="s">
        <v>19</v>
      </c>
      <c r="D137" s="20" t="s">
        <v>243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 x14ac:dyDescent="0.25">
      <c r="A138" s="17" t="s">
        <v>71</v>
      </c>
      <c r="B138" s="18">
        <v>219834</v>
      </c>
      <c r="C138" s="19" t="s">
        <v>19</v>
      </c>
      <c r="D138" s="20" t="s">
        <v>243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 x14ac:dyDescent="0.25">
      <c r="A139" s="17" t="s">
        <v>71</v>
      </c>
      <c r="B139" s="18">
        <v>219834</v>
      </c>
      <c r="C139" s="19" t="s">
        <v>19</v>
      </c>
      <c r="D139" s="20" t="s">
        <v>243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 x14ac:dyDescent="0.25">
      <c r="A140" s="17" t="s">
        <v>71</v>
      </c>
      <c r="B140" s="18">
        <v>219834</v>
      </c>
      <c r="C140" s="19" t="s">
        <v>19</v>
      </c>
      <c r="D140" s="20" t="s">
        <v>243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 x14ac:dyDescent="0.25">
      <c r="A141" s="17" t="s">
        <v>75</v>
      </c>
      <c r="B141" s="18">
        <v>220270</v>
      </c>
      <c r="C141" s="19" t="s">
        <v>139</v>
      </c>
      <c r="D141" s="20" t="s">
        <v>244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245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 x14ac:dyDescent="0.25">
      <c r="A142" s="17" t="s">
        <v>38</v>
      </c>
      <c r="B142" s="18" t="s">
        <v>246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131</v>
      </c>
      <c r="B143" s="18">
        <v>220677</v>
      </c>
      <c r="C143" s="19" t="s">
        <v>139</v>
      </c>
      <c r="D143" s="20" t="s">
        <v>247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 x14ac:dyDescent="0.25">
      <c r="A144" s="17" t="s">
        <v>38</v>
      </c>
      <c r="B144" s="18">
        <v>220471</v>
      </c>
      <c r="C144" s="19" t="s">
        <v>139</v>
      </c>
      <c r="D144" s="20" t="s">
        <v>248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131</v>
      </c>
      <c r="B145" s="18">
        <v>220400</v>
      </c>
      <c r="C145" s="19" t="s">
        <v>139</v>
      </c>
      <c r="D145" s="20" t="s">
        <v>249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51</v>
      </c>
      <c r="B146" s="18">
        <v>220530</v>
      </c>
      <c r="C146" s="19" t="s">
        <v>76</v>
      </c>
      <c r="D146" s="20" t="s">
        <v>250</v>
      </c>
      <c r="E146" s="21"/>
      <c r="F146" s="21">
        <v>1</v>
      </c>
      <c r="G146" s="22">
        <v>44237</v>
      </c>
      <c r="H146" s="22">
        <v>44253</v>
      </c>
      <c r="I146" s="22">
        <v>44253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 x14ac:dyDescent="0.25">
      <c r="A147" s="17" t="s">
        <v>38</v>
      </c>
      <c r="B147" s="18" t="s">
        <v>246</v>
      </c>
      <c r="C147" s="19" t="s">
        <v>19</v>
      </c>
      <c r="D147" s="20" t="s">
        <v>251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 x14ac:dyDescent="0.25">
      <c r="A148" s="17" t="s">
        <v>38</v>
      </c>
      <c r="B148" s="18" t="s">
        <v>246</v>
      </c>
      <c r="C148" s="19" t="s">
        <v>19</v>
      </c>
      <c r="D148" s="20" t="s">
        <v>251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 x14ac:dyDescent="0.25">
      <c r="A149" s="17" t="s">
        <v>38</v>
      </c>
      <c r="B149" s="18" t="s">
        <v>246</v>
      </c>
      <c r="C149" s="19" t="s">
        <v>19</v>
      </c>
      <c r="D149" s="20" t="s">
        <v>252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 x14ac:dyDescent="0.25">
      <c r="A150" s="17" t="s">
        <v>86</v>
      </c>
      <c r="B150" s="18">
        <v>220687</v>
      </c>
      <c r="C150" s="19" t="s">
        <v>139</v>
      </c>
      <c r="D150" s="20" t="s">
        <v>253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71</v>
      </c>
      <c r="B151" s="18">
        <v>221109</v>
      </c>
      <c r="C151" s="19" t="s">
        <v>139</v>
      </c>
      <c r="D151" s="20" t="s">
        <v>254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 x14ac:dyDescent="0.25">
      <c r="A152" s="17" t="s">
        <v>255</v>
      </c>
      <c r="B152" s="18">
        <v>221137</v>
      </c>
      <c r="C152" s="19" t="s">
        <v>139</v>
      </c>
      <c r="D152" s="20" t="s">
        <v>256</v>
      </c>
      <c r="E152" s="21" t="s">
        <v>235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 x14ac:dyDescent="0.25">
      <c r="A153" s="17" t="s">
        <v>38</v>
      </c>
      <c r="B153" s="18" t="s">
        <v>246</v>
      </c>
      <c r="C153" s="19" t="s">
        <v>139</v>
      </c>
      <c r="D153" s="20" t="s">
        <v>257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 x14ac:dyDescent="0.25">
      <c r="A154" s="17" t="s">
        <v>158</v>
      </c>
      <c r="B154" s="18">
        <v>221219</v>
      </c>
      <c r="C154" s="19" t="s">
        <v>139</v>
      </c>
      <c r="D154" s="20" t="s">
        <v>258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 x14ac:dyDescent="0.25">
      <c r="A155" s="17" t="s">
        <v>38</v>
      </c>
      <c r="B155" s="18">
        <v>221305</v>
      </c>
      <c r="C155" s="19" t="s">
        <v>139</v>
      </c>
      <c r="D155" s="20" t="s">
        <v>259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 x14ac:dyDescent="0.25">
      <c r="A156" s="17" t="s">
        <v>38</v>
      </c>
      <c r="B156" s="18" t="s">
        <v>246</v>
      </c>
      <c r="C156" s="19" t="s">
        <v>139</v>
      </c>
      <c r="D156" s="20" t="s">
        <v>260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261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38</v>
      </c>
      <c r="B157" s="18" t="s">
        <v>246</v>
      </c>
      <c r="C157" s="19" t="s">
        <v>19</v>
      </c>
      <c r="D157" s="20" t="s">
        <v>262</v>
      </c>
      <c r="E157" s="21" t="s">
        <v>226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 x14ac:dyDescent="0.25">
      <c r="A158" s="17" t="s">
        <v>51</v>
      </c>
      <c r="B158" s="18">
        <v>222057</v>
      </c>
      <c r="C158" s="19" t="s">
        <v>139</v>
      </c>
      <c r="D158" s="20" t="s">
        <v>263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 x14ac:dyDescent="0.25">
      <c r="A159" s="17" t="s">
        <v>38</v>
      </c>
      <c r="B159" s="18">
        <v>222064</v>
      </c>
      <c r="C159" s="19" t="s">
        <v>19</v>
      </c>
      <c r="D159" s="20" t="s">
        <v>264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 x14ac:dyDescent="0.25">
      <c r="A160" s="17" t="s">
        <v>38</v>
      </c>
      <c r="B160" s="18">
        <v>222064</v>
      </c>
      <c r="C160" s="19" t="s">
        <v>19</v>
      </c>
      <c r="D160" s="20" t="s">
        <v>264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 x14ac:dyDescent="0.25">
      <c r="A161" s="17" t="s">
        <v>38</v>
      </c>
      <c r="B161" s="18">
        <v>222064</v>
      </c>
      <c r="C161" s="19" t="s">
        <v>19</v>
      </c>
      <c r="D161" s="20" t="s">
        <v>264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 x14ac:dyDescent="0.25">
      <c r="A162" s="17" t="s">
        <v>158</v>
      </c>
      <c r="B162" s="18">
        <v>222194</v>
      </c>
      <c r="C162" s="19" t="s">
        <v>139</v>
      </c>
      <c r="D162" s="20" t="s">
        <v>265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 x14ac:dyDescent="0.25">
      <c r="A163" s="17" t="s">
        <v>158</v>
      </c>
      <c r="B163" s="18">
        <v>222194</v>
      </c>
      <c r="C163" s="19" t="s">
        <v>139</v>
      </c>
      <c r="D163" s="20" t="s">
        <v>265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 x14ac:dyDescent="0.25">
      <c r="A164" s="17" t="s">
        <v>158</v>
      </c>
      <c r="B164" s="18">
        <v>222194</v>
      </c>
      <c r="C164" s="19" t="s">
        <v>139</v>
      </c>
      <c r="D164" s="20" t="s">
        <v>265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 x14ac:dyDescent="0.25">
      <c r="A165" s="17" t="s">
        <v>158</v>
      </c>
      <c r="B165" s="18">
        <v>222194</v>
      </c>
      <c r="C165" s="19" t="s">
        <v>139</v>
      </c>
      <c r="D165" s="20" t="s">
        <v>265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 x14ac:dyDescent="0.25">
      <c r="A166" s="17" t="s">
        <v>38</v>
      </c>
      <c r="B166" s="18" t="s">
        <v>246</v>
      </c>
      <c r="C166" s="19" t="s">
        <v>139</v>
      </c>
      <c r="D166" s="20" t="s">
        <v>257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266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 x14ac:dyDescent="0.25">
      <c r="A167" s="17" t="s">
        <v>75</v>
      </c>
      <c r="B167" s="18">
        <v>222575</v>
      </c>
      <c r="C167" s="19" t="s">
        <v>19</v>
      </c>
      <c r="D167" s="20" t="s">
        <v>267</v>
      </c>
      <c r="E167" s="21" t="s">
        <v>268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 x14ac:dyDescent="0.25">
      <c r="A168" s="17" t="s">
        <v>48</v>
      </c>
      <c r="B168" s="18">
        <v>222682</v>
      </c>
      <c r="C168" s="19" t="s">
        <v>139</v>
      </c>
      <c r="D168" s="20" t="s">
        <v>269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270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phoneticPr fontId="18" type="noConversion"/>
  <conditionalFormatting sqref="A2:R168">
    <cfRule type="expression" dxfId="649" priority="76">
      <formula>$K2="CANCELADO"</formula>
    </cfRule>
    <cfRule type="expression" dxfId="648" priority="77">
      <formula>$K2="STAND-BY"</formula>
    </cfRule>
    <cfRule type="expression" dxfId="647" priority="78">
      <formula>$K2="AGUARDANDO APROVAÇÃO"</formula>
    </cfRule>
    <cfRule type="expression" dxfId="646" priority="79">
      <formula>$K2="OK"</formula>
    </cfRule>
    <cfRule type="expression" dxfId="645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6D8374C6-72BF-402D-A89C-E6F3243A2BF3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sheetPr codeName="Planilha7"/>
  <dimension ref="A1:AI157"/>
  <sheetViews>
    <sheetView topLeftCell="A149" workbookViewId="0">
      <selection activeCell="F166" sqref="F16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29</v>
      </c>
      <c r="B2" s="18">
        <v>204406</v>
      </c>
      <c r="C2" s="19" t="s">
        <v>19</v>
      </c>
      <c r="D2" s="20" t="s">
        <v>271</v>
      </c>
      <c r="E2" s="21" t="s">
        <v>32</v>
      </c>
      <c r="F2" s="21">
        <v>2</v>
      </c>
      <c r="G2" s="22">
        <v>44526</v>
      </c>
      <c r="H2" s="22">
        <v>44221</v>
      </c>
      <c r="I2" s="22">
        <v>44266</v>
      </c>
      <c r="J2" s="23" t="s">
        <v>272</v>
      </c>
      <c r="K2" s="19" t="s">
        <v>23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 x14ac:dyDescent="0.25">
      <c r="A3" s="17" t="s">
        <v>29</v>
      </c>
      <c r="B3" s="18">
        <v>204405</v>
      </c>
      <c r="C3" s="19" t="s">
        <v>19</v>
      </c>
      <c r="D3" s="20" t="s">
        <v>273</v>
      </c>
      <c r="E3" s="21" t="s">
        <v>32</v>
      </c>
      <c r="F3" s="21">
        <v>0</v>
      </c>
      <c r="G3" s="22">
        <v>44168</v>
      </c>
      <c r="H3" s="22">
        <v>44226</v>
      </c>
      <c r="I3" s="22">
        <v>44266</v>
      </c>
      <c r="J3" s="23" t="s">
        <v>274</v>
      </c>
      <c r="K3" s="19" t="s">
        <v>23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 x14ac:dyDescent="0.25">
      <c r="A4" s="17" t="s">
        <v>38</v>
      </c>
      <c r="B4" s="18">
        <v>214857</v>
      </c>
      <c r="C4" s="19" t="s">
        <v>19</v>
      </c>
      <c r="D4" s="20" t="s">
        <v>153</v>
      </c>
      <c r="E4" s="21" t="s">
        <v>21</v>
      </c>
      <c r="F4" s="21">
        <v>5</v>
      </c>
      <c r="G4" s="22">
        <v>44214</v>
      </c>
      <c r="H4" s="22">
        <v>44256</v>
      </c>
      <c r="I4" s="22">
        <v>44277</v>
      </c>
      <c r="J4" s="23"/>
      <c r="K4" s="19" t="s">
        <v>23</v>
      </c>
      <c r="L4" s="25" t="s">
        <v>24</v>
      </c>
      <c r="M4" s="19" t="s">
        <v>25</v>
      </c>
      <c r="N4" s="19">
        <v>2</v>
      </c>
      <c r="O4" s="19" t="s">
        <v>26</v>
      </c>
      <c r="P4" s="23" t="s">
        <v>26</v>
      </c>
      <c r="Q4" s="19" t="s">
        <v>53</v>
      </c>
      <c r="R4" s="24" t="s">
        <v>53</v>
      </c>
    </row>
    <row r="5" spans="1:18" ht="30" customHeight="1" x14ac:dyDescent="0.25">
      <c r="A5" s="17" t="s">
        <v>38</v>
      </c>
      <c r="B5" s="18">
        <v>214857</v>
      </c>
      <c r="C5" s="19" t="s">
        <v>19</v>
      </c>
      <c r="D5" s="20" t="s">
        <v>153</v>
      </c>
      <c r="E5" s="21" t="s">
        <v>45</v>
      </c>
      <c r="F5" s="21">
        <v>5</v>
      </c>
      <c r="G5" s="22">
        <v>44214</v>
      </c>
      <c r="H5" s="22">
        <v>44256</v>
      </c>
      <c r="I5" s="22">
        <v>44277</v>
      </c>
      <c r="J5" s="23"/>
      <c r="K5" s="19" t="s">
        <v>23</v>
      </c>
      <c r="L5" s="25" t="s">
        <v>44</v>
      </c>
      <c r="M5" s="19" t="s">
        <v>25</v>
      </c>
      <c r="N5" s="19">
        <v>2</v>
      </c>
      <c r="O5" s="19" t="s">
        <v>26</v>
      </c>
      <c r="P5" s="23" t="s">
        <v>26</v>
      </c>
      <c r="Q5" s="19" t="s">
        <v>53</v>
      </c>
      <c r="R5" s="24" t="s">
        <v>53</v>
      </c>
    </row>
    <row r="6" spans="1:18" ht="30" customHeight="1" x14ac:dyDescent="0.25">
      <c r="A6" s="17" t="s">
        <v>38</v>
      </c>
      <c r="B6" s="18">
        <v>214857</v>
      </c>
      <c r="C6" s="19" t="s">
        <v>19</v>
      </c>
      <c r="D6" s="20" t="s">
        <v>153</v>
      </c>
      <c r="E6" s="21" t="s">
        <v>176</v>
      </c>
      <c r="F6" s="21">
        <v>5</v>
      </c>
      <c r="G6" s="22">
        <v>44214</v>
      </c>
      <c r="H6" s="22">
        <v>44256</v>
      </c>
      <c r="I6" s="22">
        <v>44277</v>
      </c>
      <c r="J6" s="23"/>
      <c r="K6" s="19" t="s">
        <v>23</v>
      </c>
      <c r="L6" s="25" t="s">
        <v>44</v>
      </c>
      <c r="M6" s="19" t="s">
        <v>25</v>
      </c>
      <c r="N6" s="19">
        <v>2</v>
      </c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 x14ac:dyDescent="0.25">
      <c r="A7" s="17" t="s">
        <v>38</v>
      </c>
      <c r="B7" s="18">
        <v>214857</v>
      </c>
      <c r="C7" s="19" t="s">
        <v>19</v>
      </c>
      <c r="D7" s="20" t="s">
        <v>153</v>
      </c>
      <c r="E7" s="21" t="s">
        <v>126</v>
      </c>
      <c r="F7" s="21">
        <v>1</v>
      </c>
      <c r="G7" s="22">
        <v>44214</v>
      </c>
      <c r="H7" s="22">
        <v>44256</v>
      </c>
      <c r="I7" s="22">
        <v>44277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 x14ac:dyDescent="0.25">
      <c r="A8" s="17" t="s">
        <v>38</v>
      </c>
      <c r="B8" s="18">
        <v>214857</v>
      </c>
      <c r="C8" s="19" t="s">
        <v>19</v>
      </c>
      <c r="D8" s="20" t="s">
        <v>153</v>
      </c>
      <c r="E8" s="21" t="s">
        <v>54</v>
      </c>
      <c r="F8" s="21">
        <v>1</v>
      </c>
      <c r="G8" s="22">
        <v>44214</v>
      </c>
      <c r="H8" s="22">
        <v>44256</v>
      </c>
      <c r="I8" s="22">
        <v>44277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 x14ac:dyDescent="0.25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174</v>
      </c>
      <c r="F9" s="21">
        <v>1</v>
      </c>
      <c r="G9" s="22">
        <v>44214</v>
      </c>
      <c r="H9" s="22">
        <v>44256</v>
      </c>
      <c r="I9" s="22">
        <v>44277</v>
      </c>
      <c r="J9" s="23" t="s">
        <v>275</v>
      </c>
      <c r="K9" s="19" t="s">
        <v>23</v>
      </c>
      <c r="L9" s="25" t="s">
        <v>44</v>
      </c>
      <c r="M9" s="19" t="s">
        <v>25</v>
      </c>
      <c r="N9" s="19">
        <v>2</v>
      </c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 x14ac:dyDescent="0.25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123</v>
      </c>
      <c r="F10" s="21">
        <v>1</v>
      </c>
      <c r="G10" s="22">
        <v>44214</v>
      </c>
      <c r="H10" s="22">
        <v>44223</v>
      </c>
      <c r="I10" s="22">
        <v>44223</v>
      </c>
      <c r="J10" s="23"/>
      <c r="K10" s="19" t="s">
        <v>23</v>
      </c>
      <c r="L10" s="25" t="s">
        <v>44</v>
      </c>
      <c r="M10" s="19" t="s">
        <v>25</v>
      </c>
      <c r="N10" s="19">
        <v>1</v>
      </c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 x14ac:dyDescent="0.25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110</v>
      </c>
      <c r="F11" s="21"/>
      <c r="G11" s="22">
        <v>44214</v>
      </c>
      <c r="H11" s="22">
        <v>44223</v>
      </c>
      <c r="I11" s="22">
        <v>44223</v>
      </c>
      <c r="J11" s="23" t="s">
        <v>276</v>
      </c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 x14ac:dyDescent="0.25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277</v>
      </c>
      <c r="F12" s="21"/>
      <c r="G12" s="22">
        <v>44214</v>
      </c>
      <c r="H12" s="22">
        <v>44223</v>
      </c>
      <c r="I12" s="22">
        <v>44277</v>
      </c>
      <c r="J12" s="23"/>
      <c r="K12" s="19" t="s">
        <v>23</v>
      </c>
      <c r="L12" s="25" t="s">
        <v>24</v>
      </c>
      <c r="M12" s="19" t="s">
        <v>33</v>
      </c>
      <c r="N12" s="19"/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 x14ac:dyDescent="0.25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126</v>
      </c>
      <c r="F13" s="21"/>
      <c r="G13" s="22">
        <v>44271</v>
      </c>
      <c r="H13" s="22">
        <v>44271</v>
      </c>
      <c r="I13" s="22">
        <v>44277</v>
      </c>
      <c r="J13" s="23" t="s">
        <v>275</v>
      </c>
      <c r="K13" s="19" t="s">
        <v>23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 x14ac:dyDescent="0.25">
      <c r="A14" s="17" t="s">
        <v>38</v>
      </c>
      <c r="B14" s="18">
        <v>214139</v>
      </c>
      <c r="C14" s="19" t="s">
        <v>19</v>
      </c>
      <c r="D14" s="20" t="s">
        <v>278</v>
      </c>
      <c r="E14" s="21" t="s">
        <v>97</v>
      </c>
      <c r="F14" s="21">
        <v>31</v>
      </c>
      <c r="G14" s="22">
        <v>44209</v>
      </c>
      <c r="H14" s="22">
        <v>44245</v>
      </c>
      <c r="I14" s="22"/>
      <c r="J14" s="23" t="s">
        <v>279</v>
      </c>
      <c r="K14" s="19" t="s">
        <v>280</v>
      </c>
      <c r="L14" s="25" t="s">
        <v>24</v>
      </c>
      <c r="M14" s="19" t="s">
        <v>25</v>
      </c>
      <c r="N14" s="19"/>
      <c r="O14" s="19" t="s">
        <v>26</v>
      </c>
      <c r="P14" s="23" t="s">
        <v>26</v>
      </c>
      <c r="Q14" s="19" t="s">
        <v>28</v>
      </c>
      <c r="R14" s="24" t="s">
        <v>28</v>
      </c>
    </row>
    <row r="15" spans="1:18" ht="30" customHeight="1" x14ac:dyDescent="0.25">
      <c r="A15" s="17" t="s">
        <v>38</v>
      </c>
      <c r="B15" s="18">
        <v>214139</v>
      </c>
      <c r="C15" s="19" t="s">
        <v>19</v>
      </c>
      <c r="D15" s="20" t="s">
        <v>278</v>
      </c>
      <c r="E15" s="21" t="s">
        <v>97</v>
      </c>
      <c r="F15" s="21">
        <v>27</v>
      </c>
      <c r="G15" s="22">
        <v>44249</v>
      </c>
      <c r="H15" s="22">
        <v>44251</v>
      </c>
      <c r="I15" s="22"/>
      <c r="J15" s="23" t="s">
        <v>281</v>
      </c>
      <c r="K15" s="19" t="s">
        <v>23</v>
      </c>
      <c r="L15" s="25" t="s">
        <v>24</v>
      </c>
      <c r="M15" s="19" t="s">
        <v>25</v>
      </c>
      <c r="N15" s="19"/>
      <c r="O15" s="19" t="s">
        <v>26</v>
      </c>
      <c r="P15" s="23" t="s">
        <v>26</v>
      </c>
      <c r="Q15" s="19" t="s">
        <v>28</v>
      </c>
      <c r="R15" s="24" t="s">
        <v>28</v>
      </c>
    </row>
    <row r="16" spans="1:18" ht="30" customHeight="1" x14ac:dyDescent="0.25">
      <c r="A16" s="17" t="s">
        <v>29</v>
      </c>
      <c r="B16" s="18">
        <v>213697</v>
      </c>
      <c r="C16" s="19" t="s">
        <v>19</v>
      </c>
      <c r="D16" s="20" t="s">
        <v>282</v>
      </c>
      <c r="E16" s="21" t="s">
        <v>110</v>
      </c>
      <c r="F16" s="21">
        <v>10</v>
      </c>
      <c r="G16" s="22">
        <v>44207</v>
      </c>
      <c r="H16" s="22">
        <v>44230</v>
      </c>
      <c r="I16" s="22">
        <v>44265</v>
      </c>
      <c r="J16" s="23" t="s">
        <v>283</v>
      </c>
      <c r="K16" s="19" t="s">
        <v>23</v>
      </c>
      <c r="L16" s="25" t="s">
        <v>24</v>
      </c>
      <c r="M16" s="19" t="s">
        <v>33</v>
      </c>
      <c r="N16" s="19"/>
      <c r="O16" s="19" t="s">
        <v>26</v>
      </c>
      <c r="P16" s="23" t="s">
        <v>26</v>
      </c>
      <c r="Q16" s="19" t="s">
        <v>28</v>
      </c>
      <c r="R16" s="24" t="s">
        <v>184</v>
      </c>
    </row>
    <row r="17" spans="1:18" ht="30" customHeight="1" x14ac:dyDescent="0.25">
      <c r="A17" s="17" t="s">
        <v>29</v>
      </c>
      <c r="B17" s="18">
        <v>213697</v>
      </c>
      <c r="C17" s="19" t="s">
        <v>19</v>
      </c>
      <c r="D17" s="20" t="s">
        <v>282</v>
      </c>
      <c r="E17" s="21" t="s">
        <v>114</v>
      </c>
      <c r="F17" s="21">
        <v>14</v>
      </c>
      <c r="G17" s="22">
        <v>44207</v>
      </c>
      <c r="H17" s="22">
        <v>44230</v>
      </c>
      <c r="I17" s="22">
        <v>44265</v>
      </c>
      <c r="J17" s="23"/>
      <c r="K17" s="19" t="s">
        <v>23</v>
      </c>
      <c r="L17" s="25" t="s">
        <v>24</v>
      </c>
      <c r="M17" s="19" t="s">
        <v>33</v>
      </c>
      <c r="N17" s="19"/>
      <c r="O17" s="19" t="s">
        <v>26</v>
      </c>
      <c r="P17" s="23" t="s">
        <v>26</v>
      </c>
      <c r="Q17" s="19" t="s">
        <v>28</v>
      </c>
      <c r="R17" s="24" t="s">
        <v>184</v>
      </c>
    </row>
    <row r="18" spans="1:18" ht="30" customHeight="1" x14ac:dyDescent="0.25">
      <c r="A18" s="17" t="s">
        <v>29</v>
      </c>
      <c r="B18" s="18">
        <v>213697</v>
      </c>
      <c r="C18" s="19" t="s">
        <v>19</v>
      </c>
      <c r="D18" s="20" t="s">
        <v>282</v>
      </c>
      <c r="E18" s="21" t="s">
        <v>235</v>
      </c>
      <c r="F18" s="21">
        <v>2</v>
      </c>
      <c r="G18" s="22">
        <v>44207</v>
      </c>
      <c r="H18" s="22">
        <v>44230</v>
      </c>
      <c r="I18" s="22">
        <v>44265</v>
      </c>
      <c r="J18" s="23"/>
      <c r="K18" s="19" t="s">
        <v>23</v>
      </c>
      <c r="L18" s="25" t="s">
        <v>24</v>
      </c>
      <c r="M18" s="19" t="s">
        <v>33</v>
      </c>
      <c r="N18" s="19"/>
      <c r="O18" s="19" t="s">
        <v>26</v>
      </c>
      <c r="P18" s="23" t="s">
        <v>26</v>
      </c>
      <c r="Q18" s="19" t="s">
        <v>28</v>
      </c>
      <c r="R18" s="24" t="s">
        <v>184</v>
      </c>
    </row>
    <row r="19" spans="1:18" ht="30" customHeight="1" x14ac:dyDescent="0.25">
      <c r="A19" s="17" t="s">
        <v>29</v>
      </c>
      <c r="B19" s="18">
        <v>213697</v>
      </c>
      <c r="C19" s="19" t="s">
        <v>19</v>
      </c>
      <c r="D19" s="20" t="s">
        <v>282</v>
      </c>
      <c r="E19" s="21" t="s">
        <v>83</v>
      </c>
      <c r="F19" s="21">
        <v>1</v>
      </c>
      <c r="G19" s="22">
        <v>44207</v>
      </c>
      <c r="H19" s="22">
        <v>44232</v>
      </c>
      <c r="I19" s="22">
        <v>44265</v>
      </c>
      <c r="J19" s="23"/>
      <c r="K19" s="19" t="s">
        <v>23</v>
      </c>
      <c r="L19" s="25" t="s">
        <v>24</v>
      </c>
      <c r="M19" s="19" t="s">
        <v>33</v>
      </c>
      <c r="N19" s="19"/>
      <c r="O19" s="19" t="s">
        <v>26</v>
      </c>
      <c r="P19" s="23" t="s">
        <v>26</v>
      </c>
      <c r="Q19" s="19" t="s">
        <v>28</v>
      </c>
      <c r="R19" s="24" t="s">
        <v>184</v>
      </c>
    </row>
    <row r="20" spans="1:18" ht="30" customHeight="1" x14ac:dyDescent="0.25">
      <c r="A20" s="17" t="s">
        <v>29</v>
      </c>
      <c r="B20" s="18">
        <v>213697</v>
      </c>
      <c r="C20" s="19" t="s">
        <v>19</v>
      </c>
      <c r="D20" s="20" t="s">
        <v>282</v>
      </c>
      <c r="E20" s="21" t="s">
        <v>78</v>
      </c>
      <c r="F20" s="21">
        <v>2</v>
      </c>
      <c r="G20" s="22">
        <v>44207</v>
      </c>
      <c r="H20" s="22">
        <v>44230</v>
      </c>
      <c r="I20" s="22">
        <v>44265</v>
      </c>
      <c r="J20" s="23"/>
      <c r="K20" s="19" t="s">
        <v>23</v>
      </c>
      <c r="L20" s="25" t="s">
        <v>24</v>
      </c>
      <c r="M20" s="19" t="s">
        <v>33</v>
      </c>
      <c r="N20" s="19"/>
      <c r="O20" s="19" t="s">
        <v>26</v>
      </c>
      <c r="P20" s="23" t="s">
        <v>26</v>
      </c>
      <c r="Q20" s="19" t="s">
        <v>28</v>
      </c>
      <c r="R20" s="24" t="s">
        <v>184</v>
      </c>
    </row>
    <row r="21" spans="1:18" ht="30" customHeight="1" x14ac:dyDescent="0.25">
      <c r="A21" s="17" t="s">
        <v>38</v>
      </c>
      <c r="B21" s="18">
        <v>218050</v>
      </c>
      <c r="C21" s="19" t="s">
        <v>19</v>
      </c>
      <c r="D21" s="20" t="s">
        <v>284</v>
      </c>
      <c r="E21" s="21" t="s">
        <v>156</v>
      </c>
      <c r="F21" s="21">
        <v>1</v>
      </c>
      <c r="G21" s="22">
        <v>44228</v>
      </c>
      <c r="H21" s="22">
        <v>44246</v>
      </c>
      <c r="I21" s="22">
        <v>44267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285</v>
      </c>
      <c r="R21" s="24" t="s">
        <v>285</v>
      </c>
    </row>
    <row r="22" spans="1:18" ht="30" customHeight="1" x14ac:dyDescent="0.25">
      <c r="A22" s="17" t="s">
        <v>51</v>
      </c>
      <c r="B22" s="18">
        <v>212488</v>
      </c>
      <c r="C22" s="19" t="s">
        <v>19</v>
      </c>
      <c r="D22" s="20" t="s">
        <v>52</v>
      </c>
      <c r="E22" s="21" t="s">
        <v>54</v>
      </c>
      <c r="F22" s="21">
        <v>6</v>
      </c>
      <c r="G22" s="22">
        <v>44229</v>
      </c>
      <c r="H22" s="22">
        <v>44229</v>
      </c>
      <c r="I22" s="22">
        <v>44267</v>
      </c>
      <c r="J22" s="23"/>
      <c r="K22" s="19" t="s">
        <v>23</v>
      </c>
      <c r="L22" s="25" t="s">
        <v>44</v>
      </c>
      <c r="M22" s="19" t="s">
        <v>25</v>
      </c>
      <c r="N22" s="19"/>
      <c r="O22" s="19" t="s">
        <v>26</v>
      </c>
      <c r="P22" s="23" t="s">
        <v>26</v>
      </c>
      <c r="Q22" s="19" t="s">
        <v>184</v>
      </c>
      <c r="R22" s="69" t="s">
        <v>285</v>
      </c>
    </row>
    <row r="23" spans="1:18" ht="30" customHeight="1" x14ac:dyDescent="0.25">
      <c r="A23" s="17" t="s">
        <v>71</v>
      </c>
      <c r="B23" s="18">
        <v>218831</v>
      </c>
      <c r="C23" s="19" t="s">
        <v>19</v>
      </c>
      <c r="D23" s="20" t="s">
        <v>286</v>
      </c>
      <c r="E23" s="21" t="s">
        <v>93</v>
      </c>
      <c r="F23" s="21">
        <v>2</v>
      </c>
      <c r="G23" s="22">
        <v>44230</v>
      </c>
      <c r="H23" s="22">
        <v>44265</v>
      </c>
      <c r="I23" s="22">
        <v>44267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37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218831</v>
      </c>
      <c r="C24" s="19" t="s">
        <v>19</v>
      </c>
      <c r="D24" s="20" t="s">
        <v>286</v>
      </c>
      <c r="E24" s="21" t="s">
        <v>287</v>
      </c>
      <c r="F24" s="21">
        <v>2</v>
      </c>
      <c r="G24" s="22">
        <v>44230</v>
      </c>
      <c r="H24" s="22">
        <v>44265</v>
      </c>
      <c r="I24" s="22">
        <v>44267</v>
      </c>
      <c r="J24" s="23"/>
      <c r="K24" s="19" t="s">
        <v>23</v>
      </c>
      <c r="L24" s="25" t="s">
        <v>57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218831</v>
      </c>
      <c r="C25" s="19" t="s">
        <v>19</v>
      </c>
      <c r="D25" s="20" t="s">
        <v>286</v>
      </c>
      <c r="E25" s="21" t="s">
        <v>114</v>
      </c>
      <c r="F25" s="21">
        <v>15</v>
      </c>
      <c r="G25" s="22">
        <v>44230</v>
      </c>
      <c r="H25" s="22">
        <v>44265</v>
      </c>
      <c r="I25" s="22">
        <v>44267</v>
      </c>
      <c r="J25" s="23"/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53</v>
      </c>
      <c r="R25" s="24" t="s">
        <v>28</v>
      </c>
    </row>
    <row r="26" spans="1:18" ht="30" customHeight="1" x14ac:dyDescent="0.25">
      <c r="A26" s="17" t="s">
        <v>71</v>
      </c>
      <c r="B26" s="18">
        <v>218831</v>
      </c>
      <c r="C26" s="19" t="s">
        <v>19</v>
      </c>
      <c r="D26" s="20" t="s">
        <v>286</v>
      </c>
      <c r="E26" s="21" t="s">
        <v>78</v>
      </c>
      <c r="F26" s="21">
        <v>1</v>
      </c>
      <c r="G26" s="22">
        <v>44230</v>
      </c>
      <c r="H26" s="22">
        <v>44265</v>
      </c>
      <c r="I26" s="22">
        <v>44267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53</v>
      </c>
      <c r="R26" s="24" t="s">
        <v>28</v>
      </c>
    </row>
    <row r="27" spans="1:18" ht="30" customHeight="1" x14ac:dyDescent="0.25">
      <c r="A27" s="17" t="s">
        <v>158</v>
      </c>
      <c r="B27" s="18">
        <v>219310</v>
      </c>
      <c r="C27" s="19" t="s">
        <v>139</v>
      </c>
      <c r="D27" s="20" t="s">
        <v>288</v>
      </c>
      <c r="E27" s="21" t="s">
        <v>226</v>
      </c>
      <c r="F27" s="21">
        <v>1</v>
      </c>
      <c r="G27" s="22">
        <v>44231</v>
      </c>
      <c r="H27" s="22">
        <v>44257</v>
      </c>
      <c r="I27" s="22">
        <v>44257</v>
      </c>
      <c r="J27" s="23" t="s">
        <v>289</v>
      </c>
      <c r="K27" s="19" t="s">
        <v>23</v>
      </c>
      <c r="L27" s="25" t="s">
        <v>57</v>
      </c>
      <c r="M27" s="19" t="s">
        <v>25</v>
      </c>
      <c r="N27" s="19">
        <v>1</v>
      </c>
      <c r="O27" s="19" t="s">
        <v>37</v>
      </c>
      <c r="P27" s="23" t="s">
        <v>37</v>
      </c>
      <c r="Q27" s="19" t="s">
        <v>53</v>
      </c>
      <c r="R27" s="24" t="s">
        <v>53</v>
      </c>
    </row>
    <row r="28" spans="1:18" ht="30" customHeight="1" x14ac:dyDescent="0.25">
      <c r="A28" s="17" t="s">
        <v>38</v>
      </c>
      <c r="B28" s="18">
        <v>220651</v>
      </c>
      <c r="C28" s="19" t="s">
        <v>19</v>
      </c>
      <c r="D28" s="20" t="s">
        <v>251</v>
      </c>
      <c r="E28" s="21" t="s">
        <v>78</v>
      </c>
      <c r="F28" s="21">
        <v>1</v>
      </c>
      <c r="G28" s="22">
        <v>44237</v>
      </c>
      <c r="H28" s="22">
        <v>44238</v>
      </c>
      <c r="I28" s="22"/>
      <c r="J28" s="23"/>
      <c r="K28" s="19" t="s">
        <v>23</v>
      </c>
      <c r="L28" s="25" t="s">
        <v>36</v>
      </c>
      <c r="M28" s="19" t="s">
        <v>33</v>
      </c>
      <c r="N28" s="19"/>
      <c r="O28" s="19" t="s">
        <v>37</v>
      </c>
      <c r="P28" s="23" t="s">
        <v>37</v>
      </c>
      <c r="Q28" s="19" t="s">
        <v>27</v>
      </c>
      <c r="R28" s="24" t="s">
        <v>53</v>
      </c>
    </row>
    <row r="29" spans="1:18" ht="30" customHeight="1" x14ac:dyDescent="0.25">
      <c r="A29" s="17" t="s">
        <v>38</v>
      </c>
      <c r="B29" s="18">
        <v>220651</v>
      </c>
      <c r="C29" s="19" t="s">
        <v>19</v>
      </c>
      <c r="D29" s="20" t="s">
        <v>251</v>
      </c>
      <c r="E29" s="21" t="s">
        <v>21</v>
      </c>
      <c r="F29" s="21">
        <v>1</v>
      </c>
      <c r="G29" s="22">
        <v>44237</v>
      </c>
      <c r="H29" s="22">
        <v>44246</v>
      </c>
      <c r="I29" s="22"/>
      <c r="J29" s="23"/>
      <c r="K29" s="19" t="s">
        <v>23</v>
      </c>
      <c r="L29" s="25" t="s">
        <v>24</v>
      </c>
      <c r="M29" s="19" t="s">
        <v>33</v>
      </c>
      <c r="N29" s="19">
        <v>1</v>
      </c>
      <c r="O29" s="19" t="s">
        <v>37</v>
      </c>
      <c r="P29" s="23" t="s">
        <v>37</v>
      </c>
      <c r="Q29" s="19" t="s">
        <v>27</v>
      </c>
      <c r="R29" s="24" t="s">
        <v>53</v>
      </c>
    </row>
    <row r="30" spans="1:18" ht="30" customHeight="1" x14ac:dyDescent="0.25">
      <c r="A30" s="17" t="s">
        <v>38</v>
      </c>
      <c r="B30" s="18">
        <v>220651</v>
      </c>
      <c r="C30" s="19" t="s">
        <v>19</v>
      </c>
      <c r="D30" s="20" t="s">
        <v>251</v>
      </c>
      <c r="E30" s="21" t="s">
        <v>45</v>
      </c>
      <c r="F30" s="21">
        <v>2</v>
      </c>
      <c r="G30" s="22">
        <v>44237</v>
      </c>
      <c r="H30" s="22">
        <v>44246</v>
      </c>
      <c r="I30" s="22"/>
      <c r="J30" s="23"/>
      <c r="K30" s="19" t="s">
        <v>23</v>
      </c>
      <c r="L30" s="25" t="s">
        <v>24</v>
      </c>
      <c r="M30" s="19" t="s">
        <v>33</v>
      </c>
      <c r="N30" s="19">
        <v>1</v>
      </c>
      <c r="O30" s="19" t="s">
        <v>37</v>
      </c>
      <c r="P30" s="23" t="s">
        <v>37</v>
      </c>
      <c r="Q30" s="19" t="s">
        <v>27</v>
      </c>
      <c r="R30" s="24" t="s">
        <v>53</v>
      </c>
    </row>
    <row r="31" spans="1:18" ht="30" customHeight="1" x14ac:dyDescent="0.25">
      <c r="A31" s="17" t="s">
        <v>38</v>
      </c>
      <c r="B31" s="18">
        <v>220651</v>
      </c>
      <c r="C31" s="19" t="s">
        <v>19</v>
      </c>
      <c r="D31" s="20" t="s">
        <v>251</v>
      </c>
      <c r="E31" s="21" t="s">
        <v>176</v>
      </c>
      <c r="F31" s="21">
        <v>1</v>
      </c>
      <c r="G31" s="22">
        <v>44237</v>
      </c>
      <c r="H31" s="22">
        <v>44246</v>
      </c>
      <c r="I31" s="22"/>
      <c r="J31" s="23"/>
      <c r="K31" s="19" t="s">
        <v>23</v>
      </c>
      <c r="L31" s="25" t="s">
        <v>24</v>
      </c>
      <c r="M31" s="19" t="s">
        <v>33</v>
      </c>
      <c r="N31" s="19"/>
      <c r="O31" s="19" t="s">
        <v>37</v>
      </c>
      <c r="P31" s="23" t="s">
        <v>37</v>
      </c>
      <c r="Q31" s="19" t="s">
        <v>27</v>
      </c>
      <c r="R31" s="24" t="s">
        <v>53</v>
      </c>
    </row>
    <row r="32" spans="1:18" ht="30" customHeight="1" x14ac:dyDescent="0.25">
      <c r="A32" s="17" t="s">
        <v>38</v>
      </c>
      <c r="B32" s="18">
        <v>220651</v>
      </c>
      <c r="C32" s="19" t="s">
        <v>19</v>
      </c>
      <c r="D32" s="20" t="s">
        <v>251</v>
      </c>
      <c r="E32" s="21" t="s">
        <v>92</v>
      </c>
      <c r="F32" s="21">
        <v>1</v>
      </c>
      <c r="G32" s="22">
        <v>44237</v>
      </c>
      <c r="H32" s="22">
        <v>44246</v>
      </c>
      <c r="I32" s="22"/>
      <c r="J32" s="23"/>
      <c r="K32" s="19" t="s">
        <v>23</v>
      </c>
      <c r="L32" s="25" t="s">
        <v>24</v>
      </c>
      <c r="M32" s="19" t="s">
        <v>33</v>
      </c>
      <c r="N32" s="19">
        <v>1</v>
      </c>
      <c r="O32" s="19" t="s">
        <v>37</v>
      </c>
      <c r="P32" s="23" t="s">
        <v>37</v>
      </c>
      <c r="Q32" s="19" t="s">
        <v>27</v>
      </c>
      <c r="R32" s="24" t="s">
        <v>53</v>
      </c>
    </row>
    <row r="33" spans="1:18" ht="30" customHeight="1" x14ac:dyDescent="0.25">
      <c r="A33" s="17" t="s">
        <v>34</v>
      </c>
      <c r="B33" s="18">
        <v>207087</v>
      </c>
      <c r="C33" s="19" t="s">
        <v>19</v>
      </c>
      <c r="D33" s="20" t="s">
        <v>290</v>
      </c>
      <c r="E33" s="21" t="s">
        <v>97</v>
      </c>
      <c r="F33" s="21">
        <v>134</v>
      </c>
      <c r="G33" s="22">
        <v>44245</v>
      </c>
      <c r="H33" s="22">
        <v>44266</v>
      </c>
      <c r="I33" s="22">
        <v>44277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37</v>
      </c>
      <c r="P33" s="23" t="s">
        <v>26</v>
      </c>
      <c r="Q33" s="19" t="s">
        <v>53</v>
      </c>
      <c r="R33" s="24" t="s">
        <v>53</v>
      </c>
    </row>
    <row r="34" spans="1:18" ht="30" customHeight="1" x14ac:dyDescent="0.25">
      <c r="A34" s="17" t="s">
        <v>71</v>
      </c>
      <c r="B34" s="18">
        <v>221731</v>
      </c>
      <c r="C34" s="19" t="s">
        <v>19</v>
      </c>
      <c r="D34" s="20" t="s">
        <v>291</v>
      </c>
      <c r="E34" s="21" t="s">
        <v>78</v>
      </c>
      <c r="F34" s="21"/>
      <c r="G34" s="22">
        <v>44245</v>
      </c>
      <c r="H34" s="22">
        <v>44245</v>
      </c>
      <c r="I34" s="22">
        <v>44245</v>
      </c>
      <c r="J34" s="23"/>
      <c r="K34" s="19" t="s">
        <v>23</v>
      </c>
      <c r="L34" s="25" t="s">
        <v>57</v>
      </c>
      <c r="M34" s="19" t="s">
        <v>25</v>
      </c>
      <c r="N34" s="19"/>
      <c r="O34" s="19" t="s">
        <v>37</v>
      </c>
      <c r="P34" s="23" t="s">
        <v>37</v>
      </c>
      <c r="Q34" s="19" t="s">
        <v>28</v>
      </c>
      <c r="R34" s="19" t="s">
        <v>28</v>
      </c>
    </row>
    <row r="35" spans="1:18" ht="30" customHeight="1" x14ac:dyDescent="0.25">
      <c r="A35" s="17" t="s">
        <v>71</v>
      </c>
      <c r="B35" s="18">
        <v>221731</v>
      </c>
      <c r="C35" s="19" t="s">
        <v>19</v>
      </c>
      <c r="D35" s="20" t="s">
        <v>291</v>
      </c>
      <c r="E35" s="21" t="s">
        <v>92</v>
      </c>
      <c r="F35" s="21">
        <v>8</v>
      </c>
      <c r="G35" s="22">
        <v>44245</v>
      </c>
      <c r="H35" s="22">
        <v>44259</v>
      </c>
      <c r="I35" s="22">
        <v>44259</v>
      </c>
      <c r="J35" s="23"/>
      <c r="K35" s="19" t="s">
        <v>23</v>
      </c>
      <c r="L35" s="25" t="s">
        <v>57</v>
      </c>
      <c r="M35" s="19" t="s">
        <v>25</v>
      </c>
      <c r="N35" s="19"/>
      <c r="O35" s="19" t="s">
        <v>37</v>
      </c>
      <c r="P35" s="23" t="s">
        <v>37</v>
      </c>
      <c r="Q35" s="19" t="s">
        <v>28</v>
      </c>
      <c r="R35" s="19" t="s">
        <v>28</v>
      </c>
    </row>
    <row r="36" spans="1:18" ht="30" customHeight="1" x14ac:dyDescent="0.25">
      <c r="A36" s="17" t="s">
        <v>71</v>
      </c>
      <c r="B36" s="18">
        <v>221731</v>
      </c>
      <c r="C36" s="19" t="s">
        <v>19</v>
      </c>
      <c r="D36" s="20" t="s">
        <v>291</v>
      </c>
      <c r="E36" s="21" t="s">
        <v>114</v>
      </c>
      <c r="F36" s="21">
        <v>1</v>
      </c>
      <c r="G36" s="22">
        <v>44245</v>
      </c>
      <c r="H36" s="22">
        <v>44259</v>
      </c>
      <c r="I36" s="22">
        <v>44259</v>
      </c>
      <c r="J36" s="23"/>
      <c r="K36" s="19" t="s">
        <v>23</v>
      </c>
      <c r="L36" s="25" t="s">
        <v>57</v>
      </c>
      <c r="M36" s="19" t="s">
        <v>25</v>
      </c>
      <c r="N36" s="19"/>
      <c r="O36" s="19" t="s">
        <v>37</v>
      </c>
      <c r="P36" s="23" t="s">
        <v>37</v>
      </c>
      <c r="Q36" s="19" t="s">
        <v>28</v>
      </c>
      <c r="R36" s="19" t="s">
        <v>28</v>
      </c>
    </row>
    <row r="37" spans="1:18" ht="30" customHeight="1" x14ac:dyDescent="0.25">
      <c r="A37" s="17" t="s">
        <v>38</v>
      </c>
      <c r="B37" s="18">
        <v>222353</v>
      </c>
      <c r="C37" s="19" t="s">
        <v>19</v>
      </c>
      <c r="D37" s="20" t="s">
        <v>292</v>
      </c>
      <c r="E37" s="21" t="s">
        <v>178</v>
      </c>
      <c r="F37" s="21">
        <v>4</v>
      </c>
      <c r="G37" s="22">
        <v>44246</v>
      </c>
      <c r="H37" s="22">
        <v>44250</v>
      </c>
      <c r="I37" s="22">
        <v>44279</v>
      </c>
      <c r="J37" s="23"/>
      <c r="K37" s="19" t="s">
        <v>23</v>
      </c>
      <c r="L37" s="25" t="s">
        <v>24</v>
      </c>
      <c r="M37" s="19" t="s">
        <v>25</v>
      </c>
      <c r="N37" s="19"/>
      <c r="O37" s="19" t="s">
        <v>26</v>
      </c>
      <c r="P37" s="23" t="s">
        <v>26</v>
      </c>
      <c r="Q37" s="19" t="s">
        <v>53</v>
      </c>
      <c r="R37" s="24" t="s">
        <v>184</v>
      </c>
    </row>
    <row r="38" spans="1:18" ht="30" customHeight="1" x14ac:dyDescent="0.25">
      <c r="A38" s="17" t="s">
        <v>75</v>
      </c>
      <c r="B38" s="18">
        <v>222560</v>
      </c>
      <c r="C38" s="19" t="s">
        <v>19</v>
      </c>
      <c r="D38" s="20" t="s">
        <v>293</v>
      </c>
      <c r="E38" s="21" t="s">
        <v>21</v>
      </c>
      <c r="F38" s="21">
        <v>1</v>
      </c>
      <c r="G38" s="22">
        <v>44249</v>
      </c>
      <c r="H38" s="22">
        <v>44258</v>
      </c>
      <c r="I38" s="22">
        <v>44258</v>
      </c>
      <c r="J38" s="23"/>
      <c r="K38" s="19" t="s">
        <v>23</v>
      </c>
      <c r="L38" s="25" t="s">
        <v>24</v>
      </c>
      <c r="M38" s="19" t="s">
        <v>25</v>
      </c>
      <c r="N38" s="19">
        <v>2</v>
      </c>
      <c r="O38" s="19" t="s">
        <v>26</v>
      </c>
      <c r="P38" s="23" t="s">
        <v>26</v>
      </c>
      <c r="Q38" s="19" t="s">
        <v>285</v>
      </c>
      <c r="R38" s="24" t="s">
        <v>53</v>
      </c>
    </row>
    <row r="39" spans="1:18" ht="30" customHeight="1" x14ac:dyDescent="0.25">
      <c r="A39" s="17" t="s">
        <v>75</v>
      </c>
      <c r="B39" s="18">
        <v>222560</v>
      </c>
      <c r="C39" s="19" t="s">
        <v>19</v>
      </c>
      <c r="D39" s="20" t="s">
        <v>293</v>
      </c>
      <c r="E39" s="21" t="s">
        <v>103</v>
      </c>
      <c r="F39" s="21">
        <v>2</v>
      </c>
      <c r="G39" s="22">
        <v>44249</v>
      </c>
      <c r="H39" s="22">
        <v>44258</v>
      </c>
      <c r="I39" s="22">
        <v>44258</v>
      </c>
      <c r="J39" s="23" t="s">
        <v>294</v>
      </c>
      <c r="K39" s="19" t="s">
        <v>23</v>
      </c>
      <c r="L39" s="25" t="s">
        <v>44</v>
      </c>
      <c r="M39" s="19" t="s">
        <v>25</v>
      </c>
      <c r="N39" s="19">
        <v>2</v>
      </c>
      <c r="O39" s="19" t="s">
        <v>26</v>
      </c>
      <c r="P39" s="23" t="s">
        <v>26</v>
      </c>
      <c r="Q39" s="19" t="s">
        <v>285</v>
      </c>
      <c r="R39" s="24" t="s">
        <v>53</v>
      </c>
    </row>
    <row r="40" spans="1:18" ht="30" customHeight="1" x14ac:dyDescent="0.25">
      <c r="A40" s="17" t="s">
        <v>75</v>
      </c>
      <c r="B40" s="18">
        <v>222560</v>
      </c>
      <c r="C40" s="19" t="s">
        <v>19</v>
      </c>
      <c r="D40" s="20" t="s">
        <v>293</v>
      </c>
      <c r="E40" s="21" t="s">
        <v>45</v>
      </c>
      <c r="F40" s="21">
        <v>1</v>
      </c>
      <c r="G40" s="22">
        <v>44249</v>
      </c>
      <c r="H40" s="22">
        <v>44258</v>
      </c>
      <c r="I40" s="22">
        <v>44258</v>
      </c>
      <c r="J40" s="23"/>
      <c r="K40" s="19" t="s">
        <v>23</v>
      </c>
      <c r="L40" s="25" t="s">
        <v>44</v>
      </c>
      <c r="M40" s="19" t="s">
        <v>25</v>
      </c>
      <c r="N40" s="19">
        <v>2</v>
      </c>
      <c r="O40" s="19" t="s">
        <v>26</v>
      </c>
      <c r="P40" s="23" t="s">
        <v>26</v>
      </c>
      <c r="Q40" s="19" t="s">
        <v>285</v>
      </c>
      <c r="R40" s="24" t="s">
        <v>53</v>
      </c>
    </row>
    <row r="41" spans="1:18" ht="30" customHeight="1" x14ac:dyDescent="0.25">
      <c r="A41" s="17" t="s">
        <v>75</v>
      </c>
      <c r="B41" s="18">
        <v>222560</v>
      </c>
      <c r="C41" s="19" t="s">
        <v>19</v>
      </c>
      <c r="D41" s="20" t="s">
        <v>293</v>
      </c>
      <c r="E41" s="21" t="s">
        <v>106</v>
      </c>
      <c r="F41" s="21">
        <v>1</v>
      </c>
      <c r="G41" s="22">
        <v>44249</v>
      </c>
      <c r="H41" s="22">
        <v>44258</v>
      </c>
      <c r="I41" s="22">
        <v>44258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 t="s">
        <v>26</v>
      </c>
      <c r="Q41" s="19" t="s">
        <v>285</v>
      </c>
      <c r="R41" s="24" t="s">
        <v>53</v>
      </c>
    </row>
    <row r="42" spans="1:18" ht="30" customHeight="1" x14ac:dyDescent="0.25">
      <c r="A42" s="17" t="s">
        <v>75</v>
      </c>
      <c r="B42" s="18">
        <v>222560</v>
      </c>
      <c r="C42" s="19" t="s">
        <v>19</v>
      </c>
      <c r="D42" s="20" t="s">
        <v>293</v>
      </c>
      <c r="E42" s="21" t="s">
        <v>105</v>
      </c>
      <c r="F42" s="21">
        <v>1</v>
      </c>
      <c r="G42" s="22">
        <v>44249</v>
      </c>
      <c r="H42" s="22">
        <v>44258</v>
      </c>
      <c r="I42" s="22">
        <v>44258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 t="s">
        <v>26</v>
      </c>
      <c r="Q42" s="19" t="s">
        <v>285</v>
      </c>
      <c r="R42" s="24" t="s">
        <v>53</v>
      </c>
    </row>
    <row r="43" spans="1:18" ht="30" customHeight="1" x14ac:dyDescent="0.25">
      <c r="A43" s="17" t="s">
        <v>75</v>
      </c>
      <c r="B43" s="18">
        <v>222560</v>
      </c>
      <c r="C43" s="19" t="s">
        <v>19</v>
      </c>
      <c r="D43" s="20" t="s">
        <v>293</v>
      </c>
      <c r="E43" s="21" t="s">
        <v>176</v>
      </c>
      <c r="F43" s="21">
        <v>1</v>
      </c>
      <c r="G43" s="22">
        <v>44249</v>
      </c>
      <c r="H43" s="22">
        <v>44258</v>
      </c>
      <c r="I43" s="22">
        <v>44258</v>
      </c>
      <c r="J43" s="23"/>
      <c r="K43" s="19" t="s">
        <v>23</v>
      </c>
      <c r="L43" s="25" t="s">
        <v>44</v>
      </c>
      <c r="M43" s="19" t="s">
        <v>25</v>
      </c>
      <c r="N43" s="19">
        <v>2</v>
      </c>
      <c r="O43" s="19" t="s">
        <v>26</v>
      </c>
      <c r="P43" s="23" t="s">
        <v>26</v>
      </c>
      <c r="Q43" s="19" t="s">
        <v>285</v>
      </c>
      <c r="R43" s="24" t="s">
        <v>53</v>
      </c>
    </row>
    <row r="44" spans="1:18" ht="30" customHeight="1" x14ac:dyDescent="0.25">
      <c r="A44" s="17" t="s">
        <v>75</v>
      </c>
      <c r="B44" s="18">
        <v>222560</v>
      </c>
      <c r="C44" s="19" t="s">
        <v>19</v>
      </c>
      <c r="D44" s="20" t="s">
        <v>293</v>
      </c>
      <c r="E44" s="21" t="s">
        <v>68</v>
      </c>
      <c r="F44" s="21">
        <v>2</v>
      </c>
      <c r="G44" s="22">
        <v>44249</v>
      </c>
      <c r="H44" s="22">
        <v>44258</v>
      </c>
      <c r="I44" s="22">
        <v>44258</v>
      </c>
      <c r="J44" s="23" t="s">
        <v>295</v>
      </c>
      <c r="K44" s="19" t="s">
        <v>23</v>
      </c>
      <c r="L44" s="25" t="s">
        <v>44</v>
      </c>
      <c r="M44" s="19" t="s">
        <v>25</v>
      </c>
      <c r="N44" s="19"/>
      <c r="O44" s="19" t="s">
        <v>26</v>
      </c>
      <c r="P44" s="23" t="s">
        <v>26</v>
      </c>
      <c r="Q44" s="19" t="s">
        <v>285</v>
      </c>
      <c r="R44" s="24" t="s">
        <v>53</v>
      </c>
    </row>
    <row r="45" spans="1:18" ht="30" customHeight="1" x14ac:dyDescent="0.25">
      <c r="A45" s="17" t="s">
        <v>131</v>
      </c>
      <c r="B45" s="18">
        <v>223344</v>
      </c>
      <c r="C45" s="19" t="s">
        <v>19</v>
      </c>
      <c r="D45" s="20" t="s">
        <v>296</v>
      </c>
      <c r="E45" s="21" t="s">
        <v>81</v>
      </c>
      <c r="F45" s="21">
        <v>1</v>
      </c>
      <c r="G45" s="22">
        <v>44251</v>
      </c>
      <c r="H45" s="22">
        <v>44259</v>
      </c>
      <c r="I45" s="22">
        <v>44259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28</v>
      </c>
      <c r="R45" s="24" t="s">
        <v>28</v>
      </c>
    </row>
    <row r="46" spans="1:18" ht="30" customHeight="1" x14ac:dyDescent="0.25">
      <c r="A46" s="17" t="s">
        <v>131</v>
      </c>
      <c r="B46" s="18">
        <v>223344</v>
      </c>
      <c r="C46" s="19" t="s">
        <v>19</v>
      </c>
      <c r="D46" s="20" t="s">
        <v>296</v>
      </c>
      <c r="E46" s="21" t="s">
        <v>105</v>
      </c>
      <c r="F46" s="21">
        <v>1</v>
      </c>
      <c r="G46" s="22">
        <v>44251</v>
      </c>
      <c r="H46" s="22">
        <v>44259</v>
      </c>
      <c r="I46" s="22">
        <v>44259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28</v>
      </c>
      <c r="R46" s="24" t="s">
        <v>28</v>
      </c>
    </row>
    <row r="47" spans="1:18" ht="30" customHeight="1" x14ac:dyDescent="0.25">
      <c r="A47" s="17" t="s">
        <v>131</v>
      </c>
      <c r="B47" s="18">
        <v>223344</v>
      </c>
      <c r="C47" s="19" t="s">
        <v>19</v>
      </c>
      <c r="D47" s="20" t="s">
        <v>296</v>
      </c>
      <c r="E47" s="21" t="s">
        <v>152</v>
      </c>
      <c r="F47" s="21">
        <v>3</v>
      </c>
      <c r="G47" s="22">
        <v>44251</v>
      </c>
      <c r="H47" s="22">
        <v>44259</v>
      </c>
      <c r="I47" s="22">
        <v>44259</v>
      </c>
      <c r="J47" s="23"/>
      <c r="K47" s="19" t="s">
        <v>23</v>
      </c>
      <c r="L47" s="25" t="s">
        <v>57</v>
      </c>
      <c r="M47" s="19" t="s">
        <v>25</v>
      </c>
      <c r="N47" s="19"/>
      <c r="O47" s="19" t="s">
        <v>26</v>
      </c>
      <c r="P47" s="23" t="s">
        <v>26</v>
      </c>
      <c r="Q47" s="19" t="s">
        <v>28</v>
      </c>
      <c r="R47" s="24" t="s">
        <v>28</v>
      </c>
    </row>
    <row r="48" spans="1:18" ht="30" customHeight="1" x14ac:dyDescent="0.25">
      <c r="A48" s="17" t="s">
        <v>131</v>
      </c>
      <c r="B48" s="18">
        <v>223344</v>
      </c>
      <c r="C48" s="19" t="s">
        <v>19</v>
      </c>
      <c r="D48" s="20" t="s">
        <v>296</v>
      </c>
      <c r="E48" s="21" t="s">
        <v>21</v>
      </c>
      <c r="F48" s="21">
        <v>1</v>
      </c>
      <c r="G48" s="22">
        <v>44251</v>
      </c>
      <c r="H48" s="22">
        <v>44259</v>
      </c>
      <c r="I48" s="22">
        <v>44259</v>
      </c>
      <c r="J48" s="23"/>
      <c r="K48" s="19" t="s">
        <v>23</v>
      </c>
      <c r="L48" s="25" t="s">
        <v>57</v>
      </c>
      <c r="M48" s="19" t="s">
        <v>25</v>
      </c>
      <c r="N48" s="19"/>
      <c r="O48" s="19" t="s">
        <v>26</v>
      </c>
      <c r="P48" s="23" t="s">
        <v>26</v>
      </c>
      <c r="Q48" s="19" t="s">
        <v>28</v>
      </c>
      <c r="R48" s="24" t="s">
        <v>28</v>
      </c>
    </row>
    <row r="49" spans="1:18" ht="30" customHeight="1" x14ac:dyDescent="0.25">
      <c r="A49" s="17" t="s">
        <v>48</v>
      </c>
      <c r="B49" s="18">
        <v>223491</v>
      </c>
      <c r="C49" s="19" t="s">
        <v>19</v>
      </c>
      <c r="D49" s="20" t="s">
        <v>297</v>
      </c>
      <c r="E49" s="21" t="s">
        <v>174</v>
      </c>
      <c r="F49" s="21">
        <v>1</v>
      </c>
      <c r="G49" s="22">
        <v>44252</v>
      </c>
      <c r="H49" s="22">
        <v>44253</v>
      </c>
      <c r="I49" s="22">
        <v>44258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37</v>
      </c>
      <c r="P49" s="23" t="s">
        <v>37</v>
      </c>
      <c r="Q49" s="19" t="s">
        <v>53</v>
      </c>
      <c r="R49" s="24" t="s">
        <v>28</v>
      </c>
    </row>
    <row r="50" spans="1:18" ht="30" customHeight="1" x14ac:dyDescent="0.25">
      <c r="A50" s="17" t="s">
        <v>59</v>
      </c>
      <c r="B50" s="18" t="s">
        <v>246</v>
      </c>
      <c r="C50" s="19" t="s">
        <v>19</v>
      </c>
      <c r="D50" s="20" t="s">
        <v>298</v>
      </c>
      <c r="E50" s="21" t="s">
        <v>45</v>
      </c>
      <c r="F50" s="21">
        <v>1</v>
      </c>
      <c r="G50" s="22">
        <v>44252</v>
      </c>
      <c r="H50" s="22">
        <v>44256</v>
      </c>
      <c r="I50" s="22">
        <v>44256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37</v>
      </c>
      <c r="P50" s="23"/>
      <c r="Q50" s="19"/>
      <c r="R50" s="24"/>
    </row>
    <row r="51" spans="1:18" ht="30" customHeight="1" x14ac:dyDescent="0.25">
      <c r="A51" s="17" t="s">
        <v>59</v>
      </c>
      <c r="B51" s="18" t="s">
        <v>246</v>
      </c>
      <c r="C51" s="19" t="s">
        <v>19</v>
      </c>
      <c r="D51" s="20" t="s">
        <v>298</v>
      </c>
      <c r="E51" s="21" t="s">
        <v>21</v>
      </c>
      <c r="F51" s="21">
        <v>1</v>
      </c>
      <c r="G51" s="22">
        <v>44252</v>
      </c>
      <c r="H51" s="22">
        <v>44256</v>
      </c>
      <c r="I51" s="22">
        <v>44256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37</v>
      </c>
      <c r="P51" s="23"/>
      <c r="Q51" s="19"/>
      <c r="R51" s="24"/>
    </row>
    <row r="52" spans="1:18" ht="30" customHeight="1" x14ac:dyDescent="0.25">
      <c r="A52" s="17" t="s">
        <v>59</v>
      </c>
      <c r="B52" s="18" t="s">
        <v>246</v>
      </c>
      <c r="C52" s="19" t="s">
        <v>19</v>
      </c>
      <c r="D52" s="20" t="s">
        <v>298</v>
      </c>
      <c r="E52" s="21" t="s">
        <v>176</v>
      </c>
      <c r="F52" s="21">
        <v>1</v>
      </c>
      <c r="G52" s="22">
        <v>44252</v>
      </c>
      <c r="H52" s="22">
        <v>44256</v>
      </c>
      <c r="I52" s="22">
        <v>44256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37</v>
      </c>
      <c r="P52" s="23"/>
      <c r="Q52" s="19"/>
      <c r="R52" s="24"/>
    </row>
    <row r="53" spans="1:18" ht="30" customHeight="1" x14ac:dyDescent="0.25">
      <c r="A53" s="17" t="s">
        <v>299</v>
      </c>
      <c r="B53" s="18">
        <v>225556</v>
      </c>
      <c r="C53" s="19" t="s">
        <v>76</v>
      </c>
      <c r="D53" s="20" t="s">
        <v>300</v>
      </c>
      <c r="E53" s="21" t="s">
        <v>301</v>
      </c>
      <c r="F53" s="21"/>
      <c r="G53" s="22">
        <v>44253</v>
      </c>
      <c r="H53" s="22">
        <v>44284</v>
      </c>
      <c r="I53" s="22"/>
      <c r="J53" s="23" t="s">
        <v>302</v>
      </c>
      <c r="K53" s="19" t="s">
        <v>23</v>
      </c>
      <c r="L53" s="25" t="s">
        <v>24</v>
      </c>
      <c r="M53" s="19" t="s">
        <v>82</v>
      </c>
      <c r="N53" s="19"/>
      <c r="O53" s="19" t="s">
        <v>26</v>
      </c>
      <c r="P53" s="23"/>
      <c r="Q53" s="19"/>
      <c r="R53" s="24"/>
    </row>
    <row r="54" spans="1:18" ht="30" customHeight="1" x14ac:dyDescent="0.25">
      <c r="A54" s="17" t="s">
        <v>75</v>
      </c>
      <c r="B54" s="18">
        <v>224224</v>
      </c>
      <c r="C54" s="19" t="s">
        <v>19</v>
      </c>
      <c r="D54" s="20" t="s">
        <v>303</v>
      </c>
      <c r="E54" s="21" t="s">
        <v>68</v>
      </c>
      <c r="F54" s="21">
        <v>1</v>
      </c>
      <c r="G54" s="22">
        <v>44256</v>
      </c>
      <c r="H54" s="22">
        <v>44264</v>
      </c>
      <c r="I54" s="22">
        <v>44265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131</v>
      </c>
      <c r="B55" s="18">
        <v>224240</v>
      </c>
      <c r="C55" s="19" t="s">
        <v>19</v>
      </c>
      <c r="D55" s="20" t="s">
        <v>304</v>
      </c>
      <c r="E55" s="21" t="s">
        <v>104</v>
      </c>
      <c r="F55" s="21">
        <v>1</v>
      </c>
      <c r="G55" s="22">
        <v>44256</v>
      </c>
      <c r="H55" s="22">
        <v>44259</v>
      </c>
      <c r="I55" s="22">
        <v>44260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26</v>
      </c>
      <c r="P55" s="23" t="s">
        <v>37</v>
      </c>
      <c r="Q55" s="19" t="s">
        <v>28</v>
      </c>
      <c r="R55" s="19" t="s">
        <v>28</v>
      </c>
    </row>
    <row r="56" spans="1:18" ht="30" customHeight="1" x14ac:dyDescent="0.25">
      <c r="A56" s="17" t="s">
        <v>131</v>
      </c>
      <c r="B56" s="18">
        <v>224240</v>
      </c>
      <c r="C56" s="19" t="s">
        <v>19</v>
      </c>
      <c r="D56" s="20" t="s">
        <v>304</v>
      </c>
      <c r="E56" s="21" t="s">
        <v>105</v>
      </c>
      <c r="F56" s="21">
        <v>1</v>
      </c>
      <c r="G56" s="22">
        <v>44256</v>
      </c>
      <c r="H56" s="22">
        <v>44259</v>
      </c>
      <c r="I56" s="22">
        <v>44260</v>
      </c>
      <c r="J56" s="23"/>
      <c r="K56" s="19" t="s">
        <v>23</v>
      </c>
      <c r="L56" s="25" t="s">
        <v>57</v>
      </c>
      <c r="M56" s="19" t="s">
        <v>25</v>
      </c>
      <c r="N56" s="19"/>
      <c r="O56" s="19" t="s">
        <v>26</v>
      </c>
      <c r="P56" s="23" t="s">
        <v>37</v>
      </c>
      <c r="Q56" s="19" t="s">
        <v>28</v>
      </c>
      <c r="R56" s="19" t="s">
        <v>28</v>
      </c>
    </row>
    <row r="57" spans="1:18" ht="30" customHeight="1" x14ac:dyDescent="0.25">
      <c r="A57" s="17" t="s">
        <v>131</v>
      </c>
      <c r="B57" s="18">
        <v>224240</v>
      </c>
      <c r="C57" s="19" t="s">
        <v>19</v>
      </c>
      <c r="D57" s="20" t="s">
        <v>304</v>
      </c>
      <c r="E57" s="21" t="s">
        <v>114</v>
      </c>
      <c r="F57" s="21">
        <v>1</v>
      </c>
      <c r="G57" s="22">
        <v>44256</v>
      </c>
      <c r="H57" s="22">
        <v>44259</v>
      </c>
      <c r="I57" s="22">
        <v>44260</v>
      </c>
      <c r="J57" s="23"/>
      <c r="K57" s="19" t="s">
        <v>23</v>
      </c>
      <c r="L57" s="25" t="s">
        <v>57</v>
      </c>
      <c r="M57" s="19" t="s">
        <v>25</v>
      </c>
      <c r="N57" s="19"/>
      <c r="O57" s="19" t="s">
        <v>26</v>
      </c>
      <c r="P57" s="23" t="s">
        <v>37</v>
      </c>
      <c r="Q57" s="19" t="s">
        <v>28</v>
      </c>
      <c r="R57" s="19" t="s">
        <v>28</v>
      </c>
    </row>
    <row r="58" spans="1:18" ht="30" customHeight="1" x14ac:dyDescent="0.25">
      <c r="A58" s="17" t="s">
        <v>48</v>
      </c>
      <c r="B58" s="18">
        <v>224044</v>
      </c>
      <c r="C58" s="19" t="s">
        <v>19</v>
      </c>
      <c r="D58" s="20" t="s">
        <v>305</v>
      </c>
      <c r="E58" s="21" t="s">
        <v>115</v>
      </c>
      <c r="F58" s="21">
        <v>1</v>
      </c>
      <c r="G58" s="22">
        <v>44253</v>
      </c>
      <c r="H58" s="22">
        <v>44257</v>
      </c>
      <c r="I58" s="22">
        <v>44266</v>
      </c>
      <c r="J58" s="23"/>
      <c r="K58" s="19" t="s">
        <v>23</v>
      </c>
      <c r="L58" s="25" t="s">
        <v>57</v>
      </c>
      <c r="M58" s="19" t="s">
        <v>25</v>
      </c>
      <c r="N58" s="19"/>
      <c r="O58" s="19" t="s">
        <v>37</v>
      </c>
      <c r="P58" s="23" t="s">
        <v>37</v>
      </c>
      <c r="Q58" s="19" t="s">
        <v>27</v>
      </c>
      <c r="R58" s="24" t="s">
        <v>285</v>
      </c>
    </row>
    <row r="59" spans="1:18" ht="30" customHeight="1" x14ac:dyDescent="0.25">
      <c r="A59" s="17" t="s">
        <v>158</v>
      </c>
      <c r="B59" s="18">
        <v>223728</v>
      </c>
      <c r="C59" s="19" t="s">
        <v>19</v>
      </c>
      <c r="D59" s="20" t="s">
        <v>306</v>
      </c>
      <c r="E59" s="21" t="s">
        <v>40</v>
      </c>
      <c r="F59" s="21">
        <v>3</v>
      </c>
      <c r="G59" s="22">
        <v>44256</v>
      </c>
      <c r="H59" s="22">
        <v>44256</v>
      </c>
      <c r="I59" s="22">
        <v>44256</v>
      </c>
      <c r="J59" s="23" t="s">
        <v>307</v>
      </c>
      <c r="K59" s="19" t="s">
        <v>23</v>
      </c>
      <c r="L59" s="25" t="s">
        <v>44</v>
      </c>
      <c r="M59" s="19" t="s">
        <v>25</v>
      </c>
      <c r="N59" s="19"/>
      <c r="O59" s="19" t="s">
        <v>37</v>
      </c>
      <c r="P59" s="23" t="s">
        <v>26</v>
      </c>
      <c r="Q59" s="19" t="s">
        <v>184</v>
      </c>
      <c r="R59" s="24" t="s">
        <v>53</v>
      </c>
    </row>
    <row r="60" spans="1:18" ht="30" customHeight="1" x14ac:dyDescent="0.25">
      <c r="A60" s="17" t="s">
        <v>158</v>
      </c>
      <c r="B60" s="18">
        <v>223728</v>
      </c>
      <c r="C60" s="19" t="s">
        <v>19</v>
      </c>
      <c r="D60" s="20" t="s">
        <v>306</v>
      </c>
      <c r="E60" s="21" t="s">
        <v>180</v>
      </c>
      <c r="F60" s="21">
        <v>1</v>
      </c>
      <c r="G60" s="22">
        <v>44256</v>
      </c>
      <c r="H60" s="22">
        <v>44257</v>
      </c>
      <c r="I60" s="22">
        <v>44257</v>
      </c>
      <c r="J60" s="23" t="s">
        <v>308</v>
      </c>
      <c r="K60" s="19" t="s">
        <v>23</v>
      </c>
      <c r="L60" s="25" t="s">
        <v>44</v>
      </c>
      <c r="M60" s="19" t="s">
        <v>25</v>
      </c>
      <c r="N60" s="19"/>
      <c r="O60" s="19" t="s">
        <v>37</v>
      </c>
      <c r="P60" s="23" t="s">
        <v>26</v>
      </c>
      <c r="Q60" s="19" t="s">
        <v>184</v>
      </c>
      <c r="R60" s="24" t="s">
        <v>53</v>
      </c>
    </row>
    <row r="61" spans="1:18" ht="30" customHeight="1" x14ac:dyDescent="0.25">
      <c r="A61" s="17" t="s">
        <v>158</v>
      </c>
      <c r="B61" s="18">
        <v>223728</v>
      </c>
      <c r="C61" s="19" t="s">
        <v>19</v>
      </c>
      <c r="D61" s="20" t="s">
        <v>306</v>
      </c>
      <c r="E61" s="21" t="s">
        <v>178</v>
      </c>
      <c r="F61" s="21">
        <v>1</v>
      </c>
      <c r="G61" s="22">
        <v>44256</v>
      </c>
      <c r="H61" s="22">
        <v>44257</v>
      </c>
      <c r="I61" s="22">
        <v>44257</v>
      </c>
      <c r="J61" s="23" t="s">
        <v>308</v>
      </c>
      <c r="K61" s="19" t="s">
        <v>23</v>
      </c>
      <c r="L61" s="25" t="s">
        <v>44</v>
      </c>
      <c r="M61" s="19" t="s">
        <v>25</v>
      </c>
      <c r="N61" s="19"/>
      <c r="O61" s="19" t="s">
        <v>37</v>
      </c>
      <c r="P61" s="23" t="s">
        <v>26</v>
      </c>
      <c r="Q61" s="19" t="s">
        <v>184</v>
      </c>
      <c r="R61" s="24" t="s">
        <v>53</v>
      </c>
    </row>
    <row r="62" spans="1:18" ht="30" customHeight="1" x14ac:dyDescent="0.25">
      <c r="A62" s="17" t="s">
        <v>162</v>
      </c>
      <c r="B62" s="18">
        <v>224347</v>
      </c>
      <c r="C62" s="19" t="s">
        <v>19</v>
      </c>
      <c r="D62" s="20" t="s">
        <v>309</v>
      </c>
      <c r="E62" s="21" t="s">
        <v>21</v>
      </c>
      <c r="F62" s="21">
        <v>1</v>
      </c>
      <c r="G62" s="22">
        <v>44256</v>
      </c>
      <c r="H62" s="22">
        <v>44258</v>
      </c>
      <c r="I62" s="22">
        <v>44274</v>
      </c>
      <c r="J62" s="23"/>
      <c r="K62" s="19" t="s">
        <v>23</v>
      </c>
      <c r="L62" s="25" t="s">
        <v>57</v>
      </c>
      <c r="M62" s="19" t="s">
        <v>25</v>
      </c>
      <c r="N62" s="19"/>
      <c r="O62" s="19" t="s">
        <v>37</v>
      </c>
      <c r="P62" s="23" t="s">
        <v>26</v>
      </c>
      <c r="Q62" s="19" t="s">
        <v>53</v>
      </c>
      <c r="R62" s="24" t="s">
        <v>53</v>
      </c>
    </row>
    <row r="63" spans="1:18" ht="30" customHeight="1" x14ac:dyDescent="0.25">
      <c r="A63" s="17" t="s">
        <v>162</v>
      </c>
      <c r="B63" s="18">
        <v>224347</v>
      </c>
      <c r="C63" s="19" t="s">
        <v>19</v>
      </c>
      <c r="D63" s="20" t="s">
        <v>309</v>
      </c>
      <c r="E63" s="21" t="s">
        <v>68</v>
      </c>
      <c r="F63" s="21">
        <v>1</v>
      </c>
      <c r="G63" s="22">
        <v>44256</v>
      </c>
      <c r="H63" s="22">
        <v>44258</v>
      </c>
      <c r="I63" s="22">
        <v>44274</v>
      </c>
      <c r="J63" s="23" t="s">
        <v>223</v>
      </c>
      <c r="K63" s="19" t="s">
        <v>23</v>
      </c>
      <c r="L63" s="25" t="s">
        <v>57</v>
      </c>
      <c r="M63" s="19" t="s">
        <v>25</v>
      </c>
      <c r="N63" s="19"/>
      <c r="O63" s="19" t="s">
        <v>37</v>
      </c>
      <c r="P63" s="23" t="s">
        <v>26</v>
      </c>
      <c r="Q63" s="19" t="s">
        <v>53</v>
      </c>
      <c r="R63" s="19" t="s">
        <v>53</v>
      </c>
    </row>
    <row r="64" spans="1:18" ht="30" customHeight="1" x14ac:dyDescent="0.25">
      <c r="A64" s="17" t="s">
        <v>162</v>
      </c>
      <c r="B64" s="18">
        <v>224347</v>
      </c>
      <c r="C64" s="19" t="s">
        <v>19</v>
      </c>
      <c r="D64" s="20" t="s">
        <v>309</v>
      </c>
      <c r="E64" s="21" t="s">
        <v>45</v>
      </c>
      <c r="F64" s="21">
        <v>1</v>
      </c>
      <c r="G64" s="22">
        <v>44256</v>
      </c>
      <c r="H64" s="22">
        <v>44258</v>
      </c>
      <c r="I64" s="22">
        <v>44274</v>
      </c>
      <c r="J64" s="23"/>
      <c r="K64" s="19" t="s">
        <v>23</v>
      </c>
      <c r="L64" s="25" t="s">
        <v>57</v>
      </c>
      <c r="M64" s="19" t="s">
        <v>25</v>
      </c>
      <c r="N64" s="19"/>
      <c r="O64" s="19" t="s">
        <v>37</v>
      </c>
      <c r="P64" s="23" t="s">
        <v>26</v>
      </c>
      <c r="Q64" s="19" t="s">
        <v>53</v>
      </c>
      <c r="R64" s="19" t="s">
        <v>53</v>
      </c>
    </row>
    <row r="65" spans="1:35" ht="30" customHeight="1" x14ac:dyDescent="0.25">
      <c r="A65" s="17" t="s">
        <v>162</v>
      </c>
      <c r="B65" s="18">
        <v>224347</v>
      </c>
      <c r="C65" s="19" t="s">
        <v>19</v>
      </c>
      <c r="D65" s="20" t="s">
        <v>309</v>
      </c>
      <c r="E65" s="21" t="s">
        <v>176</v>
      </c>
      <c r="F65" s="21">
        <v>1</v>
      </c>
      <c r="G65" s="22">
        <v>44256</v>
      </c>
      <c r="H65" s="22">
        <v>44258</v>
      </c>
      <c r="I65" s="22">
        <v>44274</v>
      </c>
      <c r="J65" s="23"/>
      <c r="K65" s="19" t="s">
        <v>23</v>
      </c>
      <c r="L65" s="25" t="s">
        <v>57</v>
      </c>
      <c r="M65" s="19" t="s">
        <v>25</v>
      </c>
      <c r="N65" s="19"/>
      <c r="O65" s="19" t="s">
        <v>37</v>
      </c>
      <c r="P65" s="23" t="s">
        <v>26</v>
      </c>
      <c r="Q65" s="19" t="s">
        <v>53</v>
      </c>
      <c r="R65" s="19" t="s">
        <v>53</v>
      </c>
    </row>
    <row r="66" spans="1:35" ht="30" customHeight="1" x14ac:dyDescent="0.25">
      <c r="A66" s="17" t="s">
        <v>131</v>
      </c>
      <c r="B66" s="18">
        <v>224540</v>
      </c>
      <c r="C66" s="19" t="s">
        <v>19</v>
      </c>
      <c r="D66" s="20" t="s">
        <v>310</v>
      </c>
      <c r="E66" s="21" t="s">
        <v>110</v>
      </c>
      <c r="F66" s="21">
        <v>1</v>
      </c>
      <c r="G66" s="22">
        <v>44257</v>
      </c>
      <c r="H66" s="22">
        <v>44258</v>
      </c>
      <c r="I66" s="22">
        <v>44258</v>
      </c>
      <c r="J66" s="23" t="s">
        <v>311</v>
      </c>
      <c r="K66" s="19" t="s">
        <v>23</v>
      </c>
      <c r="L66" s="25" t="s">
        <v>57</v>
      </c>
      <c r="M66" s="19" t="s">
        <v>25</v>
      </c>
      <c r="N66" s="19"/>
      <c r="O66" s="19" t="s">
        <v>37</v>
      </c>
      <c r="P66" s="23" t="s">
        <v>37</v>
      </c>
      <c r="Q66" s="19" t="s">
        <v>28</v>
      </c>
      <c r="R66" s="24" t="s">
        <v>28</v>
      </c>
    </row>
    <row r="67" spans="1:35" ht="30" customHeight="1" x14ac:dyDescent="0.25">
      <c r="A67" s="17" t="s">
        <v>131</v>
      </c>
      <c r="B67" s="18">
        <v>224540</v>
      </c>
      <c r="C67" s="19" t="s">
        <v>19</v>
      </c>
      <c r="D67" s="20" t="s">
        <v>310</v>
      </c>
      <c r="E67" s="21" t="s">
        <v>114</v>
      </c>
      <c r="F67" s="21">
        <v>1</v>
      </c>
      <c r="G67" s="22">
        <v>44257</v>
      </c>
      <c r="H67" s="22">
        <v>44258</v>
      </c>
      <c r="I67" s="22">
        <v>44258</v>
      </c>
      <c r="J67" s="23" t="s">
        <v>311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 t="s">
        <v>37</v>
      </c>
      <c r="Q67" s="19" t="s">
        <v>28</v>
      </c>
      <c r="R67" s="24" t="s">
        <v>28</v>
      </c>
    </row>
    <row r="68" spans="1:35" ht="30" customHeight="1" x14ac:dyDescent="0.25">
      <c r="A68" s="17" t="s">
        <v>191</v>
      </c>
      <c r="B68" s="18">
        <v>224644</v>
      </c>
      <c r="C68" s="19" t="s">
        <v>19</v>
      </c>
      <c r="D68" s="20" t="s">
        <v>312</v>
      </c>
      <c r="E68" s="21" t="s">
        <v>83</v>
      </c>
      <c r="F68" s="21"/>
      <c r="G68" s="22">
        <v>44257</v>
      </c>
      <c r="H68" s="22">
        <v>44258</v>
      </c>
      <c r="I68" s="22">
        <v>44258</v>
      </c>
      <c r="J68" s="23" t="s">
        <v>313</v>
      </c>
      <c r="K68" s="19" t="s">
        <v>23</v>
      </c>
      <c r="L68" s="25" t="s">
        <v>36</v>
      </c>
      <c r="M68" s="19" t="s">
        <v>25</v>
      </c>
      <c r="N68" s="19"/>
      <c r="O68" s="19" t="s">
        <v>37</v>
      </c>
      <c r="P68" s="23" t="s">
        <v>26</v>
      </c>
      <c r="Q68" s="19" t="s">
        <v>28</v>
      </c>
      <c r="R68" s="24" t="s">
        <v>28</v>
      </c>
    </row>
    <row r="69" spans="1:35" ht="30" customHeight="1" x14ac:dyDescent="0.25">
      <c r="A69" s="17" t="s">
        <v>129</v>
      </c>
      <c r="B69" s="18">
        <v>224688</v>
      </c>
      <c r="C69" s="19" t="s">
        <v>76</v>
      </c>
      <c r="D69" s="20" t="s">
        <v>314</v>
      </c>
      <c r="E69" s="21" t="s">
        <v>83</v>
      </c>
      <c r="F69" s="21">
        <v>1</v>
      </c>
      <c r="G69" s="22">
        <v>44257</v>
      </c>
      <c r="H69" s="22">
        <v>44258</v>
      </c>
      <c r="I69" s="22"/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/>
      <c r="Q69" s="19"/>
      <c r="R69" s="24"/>
    </row>
    <row r="70" spans="1:35" ht="30" customHeight="1" x14ac:dyDescent="0.25">
      <c r="A70" s="17" t="s">
        <v>34</v>
      </c>
      <c r="B70" s="18">
        <v>224701</v>
      </c>
      <c r="C70" s="19" t="s">
        <v>76</v>
      </c>
      <c r="D70" s="20" t="s">
        <v>315</v>
      </c>
      <c r="E70" s="21" t="s">
        <v>301</v>
      </c>
      <c r="F70" s="21"/>
      <c r="G70" s="22">
        <v>44257</v>
      </c>
      <c r="H70" s="22">
        <v>44287</v>
      </c>
      <c r="I70" s="22"/>
      <c r="J70" s="23" t="s">
        <v>316</v>
      </c>
      <c r="K70" s="19" t="s">
        <v>23</v>
      </c>
      <c r="L70" s="25" t="s">
        <v>24</v>
      </c>
      <c r="M70" s="19" t="s">
        <v>73</v>
      </c>
      <c r="N70" s="19"/>
      <c r="O70" s="19" t="s">
        <v>26</v>
      </c>
      <c r="P70" s="23"/>
      <c r="Q70" s="19"/>
      <c r="R70" s="24"/>
    </row>
    <row r="71" spans="1:35" ht="30" customHeight="1" x14ac:dyDescent="0.25">
      <c r="A71" s="17" t="s">
        <v>86</v>
      </c>
      <c r="B71" s="18">
        <v>219145</v>
      </c>
      <c r="C71" s="19" t="s">
        <v>19</v>
      </c>
      <c r="D71" s="20" t="s">
        <v>236</v>
      </c>
      <c r="E71" s="21" t="s">
        <v>82</v>
      </c>
      <c r="F71" s="21"/>
      <c r="G71" s="22">
        <v>44232</v>
      </c>
      <c r="H71" s="22">
        <v>44259</v>
      </c>
      <c r="I71" s="22">
        <v>44259</v>
      </c>
      <c r="J71" s="23" t="s">
        <v>317</v>
      </c>
      <c r="K71" s="19" t="s">
        <v>23</v>
      </c>
      <c r="L71" s="25" t="s">
        <v>24</v>
      </c>
      <c r="M71" s="19" t="s">
        <v>25</v>
      </c>
      <c r="N71" s="19"/>
      <c r="O71" s="19" t="s">
        <v>26</v>
      </c>
      <c r="P71" s="23" t="s">
        <v>26</v>
      </c>
      <c r="Q71" s="19" t="s">
        <v>53</v>
      </c>
      <c r="R71" s="24" t="s">
        <v>53</v>
      </c>
    </row>
    <row r="72" spans="1:35" ht="30" customHeight="1" x14ac:dyDescent="0.25">
      <c r="A72" s="17" t="s">
        <v>71</v>
      </c>
      <c r="B72" s="18">
        <v>222964</v>
      </c>
      <c r="C72" s="19" t="s">
        <v>139</v>
      </c>
      <c r="D72" s="20" t="s">
        <v>318</v>
      </c>
      <c r="E72" s="21" t="s">
        <v>226</v>
      </c>
      <c r="F72" s="21">
        <v>1</v>
      </c>
      <c r="G72" s="22">
        <v>44250</v>
      </c>
      <c r="H72" s="22">
        <v>44258</v>
      </c>
      <c r="I72" s="22">
        <v>44256</v>
      </c>
      <c r="J72" s="23"/>
      <c r="K72" s="19" t="s">
        <v>23</v>
      </c>
      <c r="L72" s="25" t="s">
        <v>57</v>
      </c>
      <c r="M72" s="19" t="s">
        <v>25</v>
      </c>
      <c r="N72" s="19">
        <v>1</v>
      </c>
      <c r="O72" s="19" t="s">
        <v>37</v>
      </c>
      <c r="P72" s="23" t="s">
        <v>37</v>
      </c>
      <c r="Q72" s="19" t="s">
        <v>53</v>
      </c>
      <c r="R72" s="24" t="s">
        <v>53</v>
      </c>
    </row>
    <row r="73" spans="1:35" ht="30" customHeight="1" x14ac:dyDescent="0.25">
      <c r="A73" s="17" t="s">
        <v>191</v>
      </c>
      <c r="B73" s="18" t="s">
        <v>246</v>
      </c>
      <c r="C73" s="19" t="s">
        <v>139</v>
      </c>
      <c r="D73" s="20" t="s">
        <v>318</v>
      </c>
      <c r="E73" s="21" t="s">
        <v>226</v>
      </c>
      <c r="F73" s="21">
        <v>1</v>
      </c>
      <c r="G73" s="22">
        <v>44257</v>
      </c>
      <c r="H73" s="22">
        <v>44260</v>
      </c>
      <c r="I73" s="22">
        <v>44264</v>
      </c>
      <c r="J73" s="23"/>
      <c r="K73" s="19" t="s">
        <v>23</v>
      </c>
      <c r="L73" s="25" t="s">
        <v>57</v>
      </c>
      <c r="M73" s="19" t="s">
        <v>25</v>
      </c>
      <c r="N73" s="19">
        <v>1</v>
      </c>
      <c r="O73" s="19" t="s">
        <v>37</v>
      </c>
      <c r="P73" s="23" t="s">
        <v>37</v>
      </c>
      <c r="Q73" s="19" t="s">
        <v>53</v>
      </c>
      <c r="R73" s="24" t="s">
        <v>53</v>
      </c>
    </row>
    <row r="74" spans="1:35" ht="30" customHeight="1" x14ac:dyDescent="0.25">
      <c r="A74" s="17" t="s">
        <v>29</v>
      </c>
      <c r="B74" s="18" t="s">
        <v>246</v>
      </c>
      <c r="C74" s="19" t="s">
        <v>139</v>
      </c>
      <c r="D74" s="20" t="s">
        <v>318</v>
      </c>
      <c r="E74" s="21" t="s">
        <v>226</v>
      </c>
      <c r="F74" s="21">
        <v>1</v>
      </c>
      <c r="G74" s="22">
        <v>44257</v>
      </c>
      <c r="H74" s="22">
        <v>44263</v>
      </c>
      <c r="I74" s="22">
        <v>44265</v>
      </c>
      <c r="J74" s="23" t="s">
        <v>289</v>
      </c>
      <c r="K74" s="19" t="s">
        <v>23</v>
      </c>
      <c r="L74" s="25" t="s">
        <v>57</v>
      </c>
      <c r="M74" s="19" t="s">
        <v>25</v>
      </c>
      <c r="N74" s="19">
        <v>2</v>
      </c>
      <c r="O74" s="19" t="s">
        <v>37</v>
      </c>
      <c r="P74" s="23" t="s">
        <v>37</v>
      </c>
      <c r="Q74" s="19" t="s">
        <v>53</v>
      </c>
      <c r="R74" s="24" t="s">
        <v>53</v>
      </c>
    </row>
    <row r="75" spans="1:35" ht="30" customHeight="1" x14ac:dyDescent="0.25">
      <c r="A75" s="17" t="s">
        <v>131</v>
      </c>
      <c r="B75" s="18">
        <v>224937</v>
      </c>
      <c r="C75" s="19" t="s">
        <v>139</v>
      </c>
      <c r="D75" s="20" t="s">
        <v>319</v>
      </c>
      <c r="E75" s="21" t="s">
        <v>133</v>
      </c>
      <c r="F75" s="21">
        <v>3</v>
      </c>
      <c r="G75" s="22">
        <v>44258</v>
      </c>
      <c r="H75" s="22">
        <v>44263</v>
      </c>
      <c r="I75" s="22">
        <v>44258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28</v>
      </c>
      <c r="R75" s="24" t="s">
        <v>28</v>
      </c>
    </row>
    <row r="76" spans="1:35" ht="30" customHeight="1" x14ac:dyDescent="0.25">
      <c r="A76" s="17" t="s">
        <v>51</v>
      </c>
      <c r="B76" s="18">
        <v>224946</v>
      </c>
      <c r="C76" s="19" t="s">
        <v>19</v>
      </c>
      <c r="D76" s="20" t="s">
        <v>320</v>
      </c>
      <c r="E76" s="21" t="s">
        <v>198</v>
      </c>
      <c r="F76" s="21"/>
      <c r="G76" s="22">
        <v>44258</v>
      </c>
      <c r="H76" s="22">
        <v>44258</v>
      </c>
      <c r="I76" s="22">
        <v>44258</v>
      </c>
      <c r="J76" s="23" t="s">
        <v>321</v>
      </c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28</v>
      </c>
    </row>
    <row r="77" spans="1:35" ht="30" customHeight="1" x14ac:dyDescent="0.25">
      <c r="A77" s="17" t="s">
        <v>38</v>
      </c>
      <c r="B77" s="18" t="s">
        <v>246</v>
      </c>
      <c r="C77" s="19" t="s">
        <v>139</v>
      </c>
      <c r="D77" s="20" t="s">
        <v>322</v>
      </c>
      <c r="E77" s="21" t="s">
        <v>21</v>
      </c>
      <c r="F77" s="21">
        <v>2</v>
      </c>
      <c r="G77" s="22">
        <v>44258</v>
      </c>
      <c r="H77" s="22">
        <v>44258</v>
      </c>
      <c r="I77" s="22">
        <v>44258</v>
      </c>
      <c r="J77" s="23"/>
      <c r="K77" s="19" t="s">
        <v>23</v>
      </c>
      <c r="L77" s="25"/>
      <c r="M77" s="19" t="s">
        <v>25</v>
      </c>
      <c r="N77" s="19"/>
      <c r="O77" s="19" t="s">
        <v>37</v>
      </c>
      <c r="P77" s="23" t="s">
        <v>37</v>
      </c>
      <c r="Q77" s="19" t="s">
        <v>53</v>
      </c>
      <c r="R77" s="24"/>
    </row>
    <row r="78" spans="1:35" ht="30" customHeight="1" x14ac:dyDescent="0.25">
      <c r="A78" s="17" t="s">
        <v>38</v>
      </c>
      <c r="B78" s="18" t="s">
        <v>246</v>
      </c>
      <c r="C78" s="19" t="s">
        <v>19</v>
      </c>
      <c r="D78" s="20" t="s">
        <v>323</v>
      </c>
      <c r="E78" s="21" t="s">
        <v>32</v>
      </c>
      <c r="F78" s="21">
        <v>3</v>
      </c>
      <c r="G78" s="22">
        <v>44263</v>
      </c>
      <c r="H78" s="22">
        <v>44264</v>
      </c>
      <c r="I78" s="22">
        <v>44265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37</v>
      </c>
      <c r="P78" s="23" t="s">
        <v>26</v>
      </c>
      <c r="Q78" s="19"/>
      <c r="R78" s="24"/>
    </row>
    <row r="79" spans="1:35" ht="30" customHeight="1" x14ac:dyDescent="0.25">
      <c r="A79" s="17" t="s">
        <v>38</v>
      </c>
      <c r="B79" s="18" t="s">
        <v>246</v>
      </c>
      <c r="C79" s="19" t="s">
        <v>19</v>
      </c>
      <c r="D79" s="20" t="s">
        <v>323</v>
      </c>
      <c r="E79" s="21" t="s">
        <v>21</v>
      </c>
      <c r="F79" s="21">
        <v>3</v>
      </c>
      <c r="G79" s="22">
        <v>44263</v>
      </c>
      <c r="H79" s="22">
        <v>44264</v>
      </c>
      <c r="I79" s="22">
        <v>44265</v>
      </c>
      <c r="J79" s="23"/>
      <c r="K79" s="19" t="s">
        <v>23</v>
      </c>
      <c r="L79" s="25" t="s">
        <v>24</v>
      </c>
      <c r="M79" s="19" t="s">
        <v>25</v>
      </c>
      <c r="N79" s="19">
        <v>4</v>
      </c>
      <c r="O79" s="19" t="s">
        <v>37</v>
      </c>
      <c r="P79" s="23" t="s">
        <v>26</v>
      </c>
      <c r="Q79" s="19"/>
      <c r="R79" s="24"/>
      <c r="S79" s="61"/>
      <c r="T79" s="62"/>
      <c r="U79" s="63"/>
      <c r="V79" s="64"/>
      <c r="W79" s="64"/>
      <c r="X79" s="65"/>
      <c r="Y79" s="65"/>
      <c r="Z79" s="65"/>
      <c r="AA79" s="66"/>
      <c r="AB79" s="62"/>
      <c r="AC79" s="67"/>
      <c r="AD79" s="62"/>
      <c r="AE79" s="62"/>
      <c r="AF79" s="62"/>
      <c r="AG79" s="66"/>
      <c r="AH79" s="62"/>
      <c r="AI79" s="68"/>
    </row>
    <row r="80" spans="1:35" ht="30" customHeight="1" x14ac:dyDescent="0.25">
      <c r="A80" s="17" t="s">
        <v>38</v>
      </c>
      <c r="B80" s="18" t="s">
        <v>246</v>
      </c>
      <c r="C80" s="19" t="s">
        <v>19</v>
      </c>
      <c r="D80" s="20" t="s">
        <v>323</v>
      </c>
      <c r="E80" s="21" t="s">
        <v>78</v>
      </c>
      <c r="F80" s="21">
        <v>1</v>
      </c>
      <c r="G80" s="22">
        <v>44263</v>
      </c>
      <c r="H80" s="22">
        <v>44264</v>
      </c>
      <c r="I80" s="22">
        <v>44265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37</v>
      </c>
      <c r="P80" s="23" t="s">
        <v>26</v>
      </c>
      <c r="Q80" s="19"/>
      <c r="R80" s="24"/>
    </row>
    <row r="81" spans="1:18" ht="30" customHeight="1" x14ac:dyDescent="0.25">
      <c r="A81" s="17" t="s">
        <v>38</v>
      </c>
      <c r="B81" s="18" t="s">
        <v>246</v>
      </c>
      <c r="C81" s="19" t="s">
        <v>19</v>
      </c>
      <c r="D81" s="20" t="s">
        <v>323</v>
      </c>
      <c r="E81" s="21" t="s">
        <v>126</v>
      </c>
      <c r="F81" s="21">
        <v>1</v>
      </c>
      <c r="G81" s="22">
        <v>44263</v>
      </c>
      <c r="H81" s="22">
        <v>44264</v>
      </c>
      <c r="I81" s="22">
        <v>44265</v>
      </c>
      <c r="J81" s="23"/>
      <c r="K81" s="19" t="s">
        <v>23</v>
      </c>
      <c r="L81" s="25" t="s">
        <v>24</v>
      </c>
      <c r="M81" s="19" t="s">
        <v>25</v>
      </c>
      <c r="N81" s="19"/>
      <c r="O81" s="19" t="s">
        <v>37</v>
      </c>
      <c r="P81" s="23" t="s">
        <v>26</v>
      </c>
      <c r="Q81" s="19"/>
      <c r="R81" s="24"/>
    </row>
    <row r="82" spans="1:18" ht="30" customHeight="1" x14ac:dyDescent="0.25">
      <c r="A82" s="17" t="s">
        <v>38</v>
      </c>
      <c r="B82" s="18" t="s">
        <v>246</v>
      </c>
      <c r="C82" s="19" t="s">
        <v>19</v>
      </c>
      <c r="D82" s="20" t="s">
        <v>323</v>
      </c>
      <c r="E82" s="21" t="s">
        <v>114</v>
      </c>
      <c r="F82" s="21">
        <v>10</v>
      </c>
      <c r="G82" s="22">
        <v>44263</v>
      </c>
      <c r="H82" s="22">
        <v>44264</v>
      </c>
      <c r="I82" s="22">
        <v>44265</v>
      </c>
      <c r="J82" s="23"/>
      <c r="K82" s="19" t="s">
        <v>23</v>
      </c>
      <c r="L82" s="25" t="s">
        <v>24</v>
      </c>
      <c r="M82" s="19" t="s">
        <v>25</v>
      </c>
      <c r="N82" s="19"/>
      <c r="O82" s="19" t="s">
        <v>37</v>
      </c>
      <c r="P82" s="23" t="s">
        <v>26</v>
      </c>
      <c r="Q82" s="19"/>
      <c r="R82" s="24"/>
    </row>
    <row r="83" spans="1:18" ht="30" customHeight="1" x14ac:dyDescent="0.25">
      <c r="A83" s="17" t="s">
        <v>38</v>
      </c>
      <c r="B83" s="18" t="s">
        <v>246</v>
      </c>
      <c r="C83" s="19" t="s">
        <v>19</v>
      </c>
      <c r="D83" s="20" t="s">
        <v>323</v>
      </c>
      <c r="E83" s="21" t="s">
        <v>110</v>
      </c>
      <c r="F83" s="21">
        <v>4</v>
      </c>
      <c r="G83" s="22">
        <v>44263</v>
      </c>
      <c r="H83" s="22">
        <v>44264</v>
      </c>
      <c r="I83" s="22">
        <v>44265</v>
      </c>
      <c r="J83" s="23" t="s">
        <v>324</v>
      </c>
      <c r="K83" s="19" t="s">
        <v>23</v>
      </c>
      <c r="L83" s="25" t="s">
        <v>24</v>
      </c>
      <c r="M83" s="19" t="s">
        <v>25</v>
      </c>
      <c r="N83" s="19"/>
      <c r="O83" s="19" t="s">
        <v>37</v>
      </c>
      <c r="P83" s="23" t="s">
        <v>26</v>
      </c>
      <c r="Q83" s="19"/>
      <c r="R83" s="24"/>
    </row>
    <row r="84" spans="1:18" ht="30" customHeight="1" x14ac:dyDescent="0.25">
      <c r="A84" s="17" t="s">
        <v>38</v>
      </c>
      <c r="B84" s="18" t="s">
        <v>246</v>
      </c>
      <c r="C84" s="19" t="s">
        <v>19</v>
      </c>
      <c r="D84" s="20" t="s">
        <v>323</v>
      </c>
      <c r="E84" s="21" t="s">
        <v>109</v>
      </c>
      <c r="F84" s="21">
        <v>2</v>
      </c>
      <c r="G84" s="22">
        <v>44263</v>
      </c>
      <c r="H84" s="22">
        <v>44264</v>
      </c>
      <c r="I84" s="22">
        <v>44265</v>
      </c>
      <c r="J84" s="23"/>
      <c r="K84" s="19" t="s">
        <v>23</v>
      </c>
      <c r="L84" s="25" t="s">
        <v>24</v>
      </c>
      <c r="M84" s="19" t="s">
        <v>25</v>
      </c>
      <c r="N84" s="19"/>
      <c r="O84" s="19" t="s">
        <v>37</v>
      </c>
      <c r="P84" s="23" t="s">
        <v>26</v>
      </c>
      <c r="Q84" s="19"/>
      <c r="R84" s="24"/>
    </row>
    <row r="85" spans="1:18" ht="30" customHeight="1" x14ac:dyDescent="0.25">
      <c r="A85" s="17" t="s">
        <v>158</v>
      </c>
      <c r="B85" s="18">
        <v>225813</v>
      </c>
      <c r="C85" s="19" t="s">
        <v>76</v>
      </c>
      <c r="D85" s="20" t="s">
        <v>325</v>
      </c>
      <c r="E85" s="21" t="s">
        <v>78</v>
      </c>
      <c r="F85" s="21"/>
      <c r="G85" s="22">
        <v>44263</v>
      </c>
      <c r="H85" s="22">
        <v>44263</v>
      </c>
      <c r="I85" s="22">
        <v>44263</v>
      </c>
      <c r="J85" s="23"/>
      <c r="K85" s="19" t="s">
        <v>23</v>
      </c>
      <c r="L85" s="25" t="s">
        <v>36</v>
      </c>
      <c r="M85" s="19" t="s">
        <v>326</v>
      </c>
      <c r="N85" s="19"/>
      <c r="O85" s="19" t="s">
        <v>37</v>
      </c>
      <c r="P85" s="23"/>
      <c r="Q85" s="19" t="s">
        <v>53</v>
      </c>
      <c r="R85" s="24" t="s">
        <v>53</v>
      </c>
    </row>
    <row r="86" spans="1:18" ht="30" customHeight="1" x14ac:dyDescent="0.25">
      <c r="A86" s="17" t="s">
        <v>29</v>
      </c>
      <c r="B86" s="18">
        <v>225021</v>
      </c>
      <c r="C86" s="19" t="s">
        <v>19</v>
      </c>
      <c r="D86" s="20" t="s">
        <v>327</v>
      </c>
      <c r="E86" s="21" t="s">
        <v>45</v>
      </c>
      <c r="F86" s="21">
        <v>1</v>
      </c>
      <c r="G86" s="22">
        <v>44258</v>
      </c>
      <c r="H86" s="22">
        <v>44260</v>
      </c>
      <c r="I86" s="22">
        <v>44260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27</v>
      </c>
      <c r="R86" s="24" t="s">
        <v>53</v>
      </c>
    </row>
    <row r="87" spans="1:18" ht="30" customHeight="1" x14ac:dyDescent="0.25">
      <c r="A87" s="17" t="s">
        <v>29</v>
      </c>
      <c r="B87" s="18">
        <v>225021</v>
      </c>
      <c r="C87" s="19" t="s">
        <v>19</v>
      </c>
      <c r="D87" s="20" t="s">
        <v>327</v>
      </c>
      <c r="E87" s="21" t="s">
        <v>21</v>
      </c>
      <c r="F87" s="21">
        <v>1</v>
      </c>
      <c r="G87" s="22">
        <v>44258</v>
      </c>
      <c r="H87" s="22">
        <v>44260</v>
      </c>
      <c r="I87" s="22">
        <v>44260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27</v>
      </c>
      <c r="R87" s="24" t="s">
        <v>53</v>
      </c>
    </row>
    <row r="88" spans="1:18" ht="30" customHeight="1" x14ac:dyDescent="0.25">
      <c r="A88" s="17" t="s">
        <v>29</v>
      </c>
      <c r="B88" s="18">
        <v>225021</v>
      </c>
      <c r="C88" s="19" t="s">
        <v>19</v>
      </c>
      <c r="D88" s="20" t="s">
        <v>327</v>
      </c>
      <c r="E88" s="21" t="s">
        <v>176</v>
      </c>
      <c r="F88" s="21">
        <v>1</v>
      </c>
      <c r="G88" s="22">
        <v>44258</v>
      </c>
      <c r="H88" s="22">
        <v>44260</v>
      </c>
      <c r="I88" s="22">
        <v>44260</v>
      </c>
      <c r="J88" s="23"/>
      <c r="K88" s="19" t="s">
        <v>23</v>
      </c>
      <c r="L88" s="25" t="s">
        <v>24</v>
      </c>
      <c r="M88" s="19" t="s">
        <v>25</v>
      </c>
      <c r="N88" s="19"/>
      <c r="O88" s="19" t="s">
        <v>37</v>
      </c>
      <c r="P88" s="23" t="s">
        <v>37</v>
      </c>
      <c r="Q88" s="19" t="s">
        <v>27</v>
      </c>
      <c r="R88" s="24" t="s">
        <v>53</v>
      </c>
    </row>
    <row r="89" spans="1:18" ht="30" customHeight="1" x14ac:dyDescent="0.25">
      <c r="A89" s="17" t="s">
        <v>29</v>
      </c>
      <c r="B89" s="18">
        <v>225021</v>
      </c>
      <c r="C89" s="19" t="s">
        <v>19</v>
      </c>
      <c r="D89" s="20" t="s">
        <v>327</v>
      </c>
      <c r="E89" s="21" t="s">
        <v>83</v>
      </c>
      <c r="F89" s="21">
        <v>1</v>
      </c>
      <c r="G89" s="22">
        <v>44258</v>
      </c>
      <c r="H89" s="22">
        <v>44260</v>
      </c>
      <c r="I89" s="22">
        <v>44260</v>
      </c>
      <c r="J89" s="23"/>
      <c r="K89" s="19" t="s">
        <v>23</v>
      </c>
      <c r="L89" s="25" t="s">
        <v>36</v>
      </c>
      <c r="M89" s="19" t="s">
        <v>25</v>
      </c>
      <c r="N89" s="19"/>
      <c r="O89" s="19" t="s">
        <v>37</v>
      </c>
      <c r="P89" s="23" t="s">
        <v>37</v>
      </c>
      <c r="Q89" s="19" t="s">
        <v>27</v>
      </c>
      <c r="R89" s="24" t="s">
        <v>53</v>
      </c>
    </row>
    <row r="90" spans="1:18" ht="30" customHeight="1" x14ac:dyDescent="0.25">
      <c r="A90" s="17" t="s">
        <v>29</v>
      </c>
      <c r="B90" s="18">
        <v>225140</v>
      </c>
      <c r="C90" s="19" t="s">
        <v>76</v>
      </c>
      <c r="D90" s="20" t="s">
        <v>328</v>
      </c>
      <c r="E90" s="21" t="s">
        <v>82</v>
      </c>
      <c r="F90" s="21">
        <v>1</v>
      </c>
      <c r="G90" s="22">
        <v>44259</v>
      </c>
      <c r="H90" s="22">
        <v>44259</v>
      </c>
      <c r="I90" s="22"/>
      <c r="J90" s="23"/>
      <c r="K90" s="19" t="s">
        <v>23</v>
      </c>
      <c r="L90" s="25" t="s">
        <v>36</v>
      </c>
      <c r="M90" s="19" t="s">
        <v>82</v>
      </c>
      <c r="N90" s="19"/>
      <c r="O90" s="19" t="s">
        <v>37</v>
      </c>
      <c r="P90" s="23"/>
      <c r="Q90" s="19" t="s">
        <v>53</v>
      </c>
      <c r="R90" s="24"/>
    </row>
    <row r="91" spans="1:18" ht="30" customHeight="1" x14ac:dyDescent="0.25">
      <c r="A91" s="17" t="s">
        <v>38</v>
      </c>
      <c r="B91" s="18">
        <v>225803</v>
      </c>
      <c r="C91" s="19" t="s">
        <v>19</v>
      </c>
      <c r="D91" s="60" t="s">
        <v>329</v>
      </c>
      <c r="E91" s="21" t="s">
        <v>45</v>
      </c>
      <c r="F91" s="21">
        <v>1</v>
      </c>
      <c r="G91" s="22">
        <v>44263</v>
      </c>
      <c r="H91" s="22">
        <v>44263</v>
      </c>
      <c r="I91" s="22">
        <v>44263</v>
      </c>
      <c r="J91" s="23"/>
      <c r="K91" s="19" t="s">
        <v>23</v>
      </c>
      <c r="L91" s="25" t="s">
        <v>57</v>
      </c>
      <c r="M91" s="19" t="s">
        <v>25</v>
      </c>
      <c r="N91" s="19"/>
      <c r="O91" s="19" t="s">
        <v>37</v>
      </c>
      <c r="P91" s="23" t="s">
        <v>37</v>
      </c>
      <c r="Q91" s="19" t="s">
        <v>28</v>
      </c>
      <c r="R91" s="24" t="s">
        <v>28</v>
      </c>
    </row>
    <row r="92" spans="1:18" ht="30" customHeight="1" x14ac:dyDescent="0.25">
      <c r="A92" s="17" t="s">
        <v>162</v>
      </c>
      <c r="B92" s="18">
        <v>225556</v>
      </c>
      <c r="C92" s="19" t="s">
        <v>139</v>
      </c>
      <c r="D92" s="20" t="s">
        <v>330</v>
      </c>
      <c r="E92" s="21" t="s">
        <v>235</v>
      </c>
      <c r="F92" s="21">
        <v>2</v>
      </c>
      <c r="G92" s="22">
        <v>44260</v>
      </c>
      <c r="H92" s="22"/>
      <c r="I92" s="22">
        <v>44264</v>
      </c>
      <c r="J92" s="23"/>
      <c r="K92" s="19" t="s">
        <v>23</v>
      </c>
      <c r="L92" s="25" t="s">
        <v>36</v>
      </c>
      <c r="M92" s="19" t="s">
        <v>25</v>
      </c>
      <c r="N92" s="19"/>
      <c r="O92" s="19" t="s">
        <v>37</v>
      </c>
      <c r="P92" s="23" t="s">
        <v>37</v>
      </c>
      <c r="Q92" s="19" t="s">
        <v>53</v>
      </c>
      <c r="R92" s="24" t="s">
        <v>53</v>
      </c>
    </row>
    <row r="93" spans="1:18" ht="30" customHeight="1" x14ac:dyDescent="0.25">
      <c r="A93" s="17" t="s">
        <v>71</v>
      </c>
      <c r="B93" s="18">
        <v>225809</v>
      </c>
      <c r="C93" s="19" t="s">
        <v>19</v>
      </c>
      <c r="D93" s="20" t="s">
        <v>331</v>
      </c>
      <c r="E93" s="21" t="s">
        <v>45</v>
      </c>
      <c r="F93" s="21">
        <v>1</v>
      </c>
      <c r="G93" s="22">
        <v>44263</v>
      </c>
      <c r="H93" s="22">
        <v>44267</v>
      </c>
      <c r="I93" s="22">
        <v>44267</v>
      </c>
      <c r="J93" s="23"/>
      <c r="K93" s="19" t="s">
        <v>23</v>
      </c>
      <c r="L93" s="25" t="s">
        <v>57</v>
      </c>
      <c r="M93" s="19" t="s">
        <v>25</v>
      </c>
      <c r="N93" s="19"/>
      <c r="O93" s="19" t="s">
        <v>37</v>
      </c>
      <c r="P93" s="23" t="s">
        <v>37</v>
      </c>
      <c r="Q93" s="19" t="s">
        <v>53</v>
      </c>
      <c r="R93" s="24" t="s">
        <v>28</v>
      </c>
    </row>
    <row r="94" spans="1:18" ht="30" customHeight="1" x14ac:dyDescent="0.25">
      <c r="A94" s="17" t="s">
        <v>71</v>
      </c>
      <c r="B94" s="21">
        <v>225809</v>
      </c>
      <c r="C94" s="19" t="s">
        <v>19</v>
      </c>
      <c r="D94" s="60" t="s">
        <v>331</v>
      </c>
      <c r="E94" s="21" t="s">
        <v>68</v>
      </c>
      <c r="F94" s="21">
        <v>2</v>
      </c>
      <c r="G94" s="22">
        <v>44263</v>
      </c>
      <c r="H94" s="22">
        <v>44267</v>
      </c>
      <c r="I94" s="22">
        <v>44267</v>
      </c>
      <c r="J94" s="23"/>
      <c r="K94" s="19" t="s">
        <v>23</v>
      </c>
      <c r="L94" s="25" t="s">
        <v>57</v>
      </c>
      <c r="M94" s="19" t="s">
        <v>25</v>
      </c>
      <c r="N94" s="19"/>
      <c r="O94" s="19" t="s">
        <v>37</v>
      </c>
      <c r="P94" s="23" t="s">
        <v>37</v>
      </c>
      <c r="Q94" s="19" t="s">
        <v>53</v>
      </c>
      <c r="R94" s="24" t="s">
        <v>28</v>
      </c>
    </row>
    <row r="95" spans="1:18" ht="30" customHeight="1" x14ac:dyDescent="0.25">
      <c r="A95" s="17" t="s">
        <v>71</v>
      </c>
      <c r="B95" s="21">
        <v>225809</v>
      </c>
      <c r="C95" s="19" t="s">
        <v>19</v>
      </c>
      <c r="D95" s="60" t="s">
        <v>331</v>
      </c>
      <c r="E95" s="21" t="s">
        <v>81</v>
      </c>
      <c r="F95" s="21">
        <v>1</v>
      </c>
      <c r="G95" s="22">
        <v>44263</v>
      </c>
      <c r="H95" s="22">
        <v>44267</v>
      </c>
      <c r="I95" s="22">
        <v>44267</v>
      </c>
      <c r="J95" s="23"/>
      <c r="K95" s="19" t="s">
        <v>23</v>
      </c>
      <c r="L95" s="25" t="s">
        <v>57</v>
      </c>
      <c r="M95" s="19" t="s">
        <v>25</v>
      </c>
      <c r="N95" s="19"/>
      <c r="O95" s="19" t="s">
        <v>37</v>
      </c>
      <c r="P95" s="23" t="s">
        <v>37</v>
      </c>
      <c r="Q95" s="19" t="s">
        <v>53</v>
      </c>
      <c r="R95" s="24" t="s">
        <v>28</v>
      </c>
    </row>
    <row r="96" spans="1:18" ht="30" customHeight="1" x14ac:dyDescent="0.25">
      <c r="A96" s="17" t="s">
        <v>71</v>
      </c>
      <c r="B96" s="21">
        <v>225809</v>
      </c>
      <c r="C96" s="19" t="s">
        <v>19</v>
      </c>
      <c r="D96" s="60" t="s">
        <v>331</v>
      </c>
      <c r="E96" s="21" t="s">
        <v>67</v>
      </c>
      <c r="F96" s="21">
        <v>6</v>
      </c>
      <c r="G96" s="22">
        <v>44263</v>
      </c>
      <c r="H96" s="22">
        <v>44267</v>
      </c>
      <c r="I96" s="22">
        <v>44267</v>
      </c>
      <c r="J96" s="23"/>
      <c r="K96" s="19" t="s">
        <v>23</v>
      </c>
      <c r="L96" s="25" t="s">
        <v>57</v>
      </c>
      <c r="M96" s="19" t="s">
        <v>25</v>
      </c>
      <c r="N96" s="19"/>
      <c r="O96" s="19" t="s">
        <v>37</v>
      </c>
      <c r="P96" s="23" t="s">
        <v>37</v>
      </c>
      <c r="Q96" s="19" t="s">
        <v>53</v>
      </c>
      <c r="R96" s="24" t="s">
        <v>28</v>
      </c>
    </row>
    <row r="97" spans="1:18" ht="30" customHeight="1" x14ac:dyDescent="0.25">
      <c r="A97" s="17" t="s">
        <v>71</v>
      </c>
      <c r="B97" s="21">
        <v>225809</v>
      </c>
      <c r="C97" s="19" t="s">
        <v>19</v>
      </c>
      <c r="D97" s="60" t="s">
        <v>331</v>
      </c>
      <c r="E97" s="21" t="s">
        <v>152</v>
      </c>
      <c r="F97" s="21">
        <v>2</v>
      </c>
      <c r="G97" s="22">
        <v>44263</v>
      </c>
      <c r="H97" s="22">
        <v>44267</v>
      </c>
      <c r="I97" s="22">
        <v>44267</v>
      </c>
      <c r="J97" s="23"/>
      <c r="K97" s="19" t="s">
        <v>23</v>
      </c>
      <c r="L97" s="25" t="s">
        <v>57</v>
      </c>
      <c r="M97" s="19" t="s">
        <v>25</v>
      </c>
      <c r="N97" s="19"/>
      <c r="O97" s="19" t="s">
        <v>37</v>
      </c>
      <c r="P97" s="23" t="s">
        <v>37</v>
      </c>
      <c r="Q97" s="19" t="s">
        <v>53</v>
      </c>
      <c r="R97" s="24" t="s">
        <v>28</v>
      </c>
    </row>
    <row r="98" spans="1:18" ht="30" customHeight="1" x14ac:dyDescent="0.25">
      <c r="A98" s="17" t="s">
        <v>71</v>
      </c>
      <c r="B98" s="21">
        <v>225809</v>
      </c>
      <c r="C98" s="19" t="s">
        <v>19</v>
      </c>
      <c r="D98" s="60" t="s">
        <v>331</v>
      </c>
      <c r="E98" s="21" t="s">
        <v>176</v>
      </c>
      <c r="F98" s="21">
        <v>1</v>
      </c>
      <c r="G98" s="22">
        <v>44263</v>
      </c>
      <c r="H98" s="22">
        <v>44267</v>
      </c>
      <c r="I98" s="22">
        <v>44267</v>
      </c>
      <c r="J98" s="23"/>
      <c r="K98" s="19" t="s">
        <v>23</v>
      </c>
      <c r="L98" s="25" t="s">
        <v>57</v>
      </c>
      <c r="M98" s="19" t="s">
        <v>25</v>
      </c>
      <c r="N98" s="19"/>
      <c r="O98" s="19" t="s">
        <v>37</v>
      </c>
      <c r="P98" s="23" t="s">
        <v>37</v>
      </c>
      <c r="Q98" s="19" t="s">
        <v>53</v>
      </c>
      <c r="R98" s="24" t="s">
        <v>28</v>
      </c>
    </row>
    <row r="99" spans="1:18" ht="30" customHeight="1" x14ac:dyDescent="0.25">
      <c r="A99" s="17" t="s">
        <v>38</v>
      </c>
      <c r="B99" s="18">
        <v>226199</v>
      </c>
      <c r="C99" s="19" t="s">
        <v>76</v>
      </c>
      <c r="D99" s="20" t="s">
        <v>332</v>
      </c>
      <c r="E99" s="21" t="s">
        <v>78</v>
      </c>
      <c r="F99" s="21"/>
      <c r="G99" s="22">
        <v>44264</v>
      </c>
      <c r="H99" s="22">
        <v>44273</v>
      </c>
      <c r="I99" s="22">
        <v>44273</v>
      </c>
      <c r="J99" s="23" t="s">
        <v>333</v>
      </c>
      <c r="K99" s="19" t="s">
        <v>23</v>
      </c>
      <c r="L99" s="25" t="s">
        <v>36</v>
      </c>
      <c r="M99" s="19" t="s">
        <v>33</v>
      </c>
      <c r="N99" s="19"/>
      <c r="O99" s="19" t="s">
        <v>26</v>
      </c>
      <c r="P99" s="23"/>
      <c r="Q99" s="19"/>
      <c r="R99" s="24"/>
    </row>
    <row r="100" spans="1:18" ht="30" customHeight="1" x14ac:dyDescent="0.25">
      <c r="A100" s="17" t="s">
        <v>38</v>
      </c>
      <c r="B100" s="18">
        <v>226199</v>
      </c>
      <c r="C100" s="19" t="s">
        <v>139</v>
      </c>
      <c r="D100" s="20" t="s">
        <v>332</v>
      </c>
      <c r="E100" s="21" t="s">
        <v>45</v>
      </c>
      <c r="F100" s="21">
        <v>1</v>
      </c>
      <c r="G100" s="22">
        <v>44264</v>
      </c>
      <c r="H100" s="22">
        <v>44274</v>
      </c>
      <c r="I100" s="22">
        <v>44274</v>
      </c>
      <c r="J100" s="23"/>
      <c r="K100" s="19" t="s">
        <v>23</v>
      </c>
      <c r="L100" s="25" t="s">
        <v>57</v>
      </c>
      <c r="M100" s="19" t="s">
        <v>25</v>
      </c>
      <c r="N100" s="19"/>
      <c r="O100" s="19" t="s">
        <v>37</v>
      </c>
      <c r="P100" s="23" t="s">
        <v>37</v>
      </c>
      <c r="Q100" s="19" t="s">
        <v>28</v>
      </c>
      <c r="R100" s="19" t="s">
        <v>28</v>
      </c>
    </row>
    <row r="101" spans="1:18" ht="30" customHeight="1" x14ac:dyDescent="0.25">
      <c r="A101" s="17" t="s">
        <v>38</v>
      </c>
      <c r="B101" s="18">
        <v>226199</v>
      </c>
      <c r="C101" s="19" t="s">
        <v>139</v>
      </c>
      <c r="D101" s="20" t="s">
        <v>332</v>
      </c>
      <c r="E101" s="21" t="s">
        <v>21</v>
      </c>
      <c r="F101" s="21">
        <v>1</v>
      </c>
      <c r="G101" s="22">
        <v>44264</v>
      </c>
      <c r="H101" s="22">
        <v>44274</v>
      </c>
      <c r="I101" s="22">
        <v>44274</v>
      </c>
      <c r="J101" s="23"/>
      <c r="K101" s="19" t="s">
        <v>23</v>
      </c>
      <c r="L101" s="25" t="s">
        <v>57</v>
      </c>
      <c r="M101" s="19" t="s">
        <v>25</v>
      </c>
      <c r="N101" s="19"/>
      <c r="O101" s="19" t="s">
        <v>37</v>
      </c>
      <c r="P101" s="23" t="s">
        <v>37</v>
      </c>
      <c r="Q101" s="19" t="s">
        <v>28</v>
      </c>
      <c r="R101" s="19" t="s">
        <v>28</v>
      </c>
    </row>
    <row r="102" spans="1:18" ht="30" customHeight="1" x14ac:dyDescent="0.25">
      <c r="A102" s="17" t="s">
        <v>38</v>
      </c>
      <c r="B102" s="18">
        <v>226199</v>
      </c>
      <c r="C102" s="19" t="s">
        <v>19</v>
      </c>
      <c r="D102" s="20" t="s">
        <v>332</v>
      </c>
      <c r="E102" s="21" t="s">
        <v>45</v>
      </c>
      <c r="F102" s="21">
        <v>2</v>
      </c>
      <c r="G102" s="22">
        <v>44264</v>
      </c>
      <c r="H102" s="22">
        <v>44278</v>
      </c>
      <c r="I102" s="22">
        <v>44278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28</v>
      </c>
      <c r="R102" s="19" t="s">
        <v>28</v>
      </c>
    </row>
    <row r="103" spans="1:18" ht="30" customHeight="1" x14ac:dyDescent="0.25">
      <c r="A103" s="17" t="s">
        <v>38</v>
      </c>
      <c r="B103" s="18">
        <v>226199</v>
      </c>
      <c r="C103" s="19" t="s">
        <v>19</v>
      </c>
      <c r="D103" s="20" t="s">
        <v>332</v>
      </c>
      <c r="E103" s="21" t="s">
        <v>21</v>
      </c>
      <c r="F103" s="21">
        <v>2</v>
      </c>
      <c r="G103" s="22">
        <v>44264</v>
      </c>
      <c r="H103" s="22">
        <v>44278</v>
      </c>
      <c r="I103" s="22">
        <v>44278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28</v>
      </c>
      <c r="R103" s="19" t="s">
        <v>28</v>
      </c>
    </row>
    <row r="104" spans="1:18" ht="30" customHeight="1" x14ac:dyDescent="0.25">
      <c r="A104" s="17" t="s">
        <v>38</v>
      </c>
      <c r="B104" s="18">
        <v>226199</v>
      </c>
      <c r="C104" s="19" t="s">
        <v>19</v>
      </c>
      <c r="D104" s="20" t="s">
        <v>332</v>
      </c>
      <c r="E104" s="21" t="s">
        <v>176</v>
      </c>
      <c r="F104" s="21">
        <v>3</v>
      </c>
      <c r="G104" s="22">
        <v>44264</v>
      </c>
      <c r="H104" s="22">
        <v>44278</v>
      </c>
      <c r="I104" s="22">
        <v>44278</v>
      </c>
      <c r="J104" s="23"/>
      <c r="K104" s="19" t="s">
        <v>23</v>
      </c>
      <c r="L104" s="25" t="s">
        <v>57</v>
      </c>
      <c r="M104" s="19" t="s">
        <v>25</v>
      </c>
      <c r="N104" s="19"/>
      <c r="O104" s="19" t="s">
        <v>37</v>
      </c>
      <c r="P104" s="23" t="s">
        <v>37</v>
      </c>
      <c r="Q104" s="19" t="s">
        <v>28</v>
      </c>
      <c r="R104" s="19" t="s">
        <v>28</v>
      </c>
    </row>
    <row r="105" spans="1:18" ht="30" customHeight="1" x14ac:dyDescent="0.25">
      <c r="A105" s="17" t="s">
        <v>38</v>
      </c>
      <c r="B105" s="18">
        <v>226199</v>
      </c>
      <c r="C105" s="19" t="s">
        <v>19</v>
      </c>
      <c r="D105" s="20" t="s">
        <v>332</v>
      </c>
      <c r="E105" s="21" t="s">
        <v>92</v>
      </c>
      <c r="F105" s="21">
        <v>2</v>
      </c>
      <c r="G105" s="22">
        <v>44264</v>
      </c>
      <c r="H105" s="22">
        <v>44278</v>
      </c>
      <c r="I105" s="22">
        <v>44278</v>
      </c>
      <c r="J105" s="23"/>
      <c r="K105" s="19" t="s">
        <v>23</v>
      </c>
      <c r="L105" s="25" t="s">
        <v>44</v>
      </c>
      <c r="M105" s="19" t="s">
        <v>25</v>
      </c>
      <c r="N105" s="19"/>
      <c r="O105" s="19" t="s">
        <v>37</v>
      </c>
      <c r="P105" s="23" t="s">
        <v>37</v>
      </c>
      <c r="Q105" s="19" t="s">
        <v>28</v>
      </c>
      <c r="R105" s="19" t="s">
        <v>28</v>
      </c>
    </row>
    <row r="106" spans="1:18" ht="30" customHeight="1" x14ac:dyDescent="0.25">
      <c r="A106" s="17" t="s">
        <v>38</v>
      </c>
      <c r="B106" s="18">
        <v>226199</v>
      </c>
      <c r="C106" s="19" t="s">
        <v>19</v>
      </c>
      <c r="D106" s="20" t="s">
        <v>332</v>
      </c>
      <c r="E106" s="21" t="s">
        <v>93</v>
      </c>
      <c r="F106" s="21">
        <v>3</v>
      </c>
      <c r="G106" s="22">
        <v>44264</v>
      </c>
      <c r="H106" s="22">
        <v>44278</v>
      </c>
      <c r="I106" s="22">
        <v>44278</v>
      </c>
      <c r="J106" s="23"/>
      <c r="K106" s="19" t="s">
        <v>23</v>
      </c>
      <c r="L106" s="25" t="s">
        <v>44</v>
      </c>
      <c r="M106" s="19" t="s">
        <v>25</v>
      </c>
      <c r="N106" s="19"/>
      <c r="O106" s="19" t="s">
        <v>37</v>
      </c>
      <c r="P106" s="23" t="s">
        <v>37</v>
      </c>
      <c r="Q106" s="19" t="s">
        <v>28</v>
      </c>
      <c r="R106" s="19" t="s">
        <v>28</v>
      </c>
    </row>
    <row r="107" spans="1:18" ht="30" customHeight="1" x14ac:dyDescent="0.25">
      <c r="A107" s="17" t="s">
        <v>38</v>
      </c>
      <c r="B107" s="18" t="s">
        <v>246</v>
      </c>
      <c r="C107" s="19" t="s">
        <v>139</v>
      </c>
      <c r="D107" s="20" t="s">
        <v>322</v>
      </c>
      <c r="E107" s="21" t="s">
        <v>21</v>
      </c>
      <c r="F107" s="21">
        <v>2</v>
      </c>
      <c r="G107" s="22">
        <v>44265</v>
      </c>
      <c r="H107" s="22">
        <v>44265</v>
      </c>
      <c r="I107" s="22">
        <v>44265</v>
      </c>
      <c r="J107" s="23"/>
      <c r="K107" s="19" t="s">
        <v>23</v>
      </c>
      <c r="L107" s="25"/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/>
    </row>
    <row r="108" spans="1:18" ht="30" customHeight="1" x14ac:dyDescent="0.25">
      <c r="A108" s="17" t="s">
        <v>38</v>
      </c>
      <c r="B108" s="18">
        <v>226571</v>
      </c>
      <c r="C108" s="19" t="s">
        <v>19</v>
      </c>
      <c r="D108" s="20" t="s">
        <v>334</v>
      </c>
      <c r="E108" s="21" t="s">
        <v>180</v>
      </c>
      <c r="F108" s="21">
        <v>9</v>
      </c>
      <c r="G108" s="22">
        <v>44265</v>
      </c>
      <c r="H108" s="22">
        <v>44271</v>
      </c>
      <c r="I108" s="22">
        <v>44277</v>
      </c>
      <c r="J108" s="23"/>
      <c r="K108" s="19" t="s">
        <v>23</v>
      </c>
      <c r="L108" s="25" t="s">
        <v>57</v>
      </c>
      <c r="M108" s="19" t="s">
        <v>25</v>
      </c>
      <c r="N108" s="19"/>
      <c r="O108" s="19" t="s">
        <v>37</v>
      </c>
      <c r="P108" s="23" t="s">
        <v>26</v>
      </c>
      <c r="Q108" s="19" t="s">
        <v>28</v>
      </c>
      <c r="R108" s="19" t="s">
        <v>28</v>
      </c>
    </row>
    <row r="109" spans="1:18" ht="30" customHeight="1" x14ac:dyDescent="0.25">
      <c r="A109" s="17" t="s">
        <v>38</v>
      </c>
      <c r="B109" s="18">
        <v>226571</v>
      </c>
      <c r="C109" s="19" t="s">
        <v>19</v>
      </c>
      <c r="D109" s="20" t="s">
        <v>334</v>
      </c>
      <c r="E109" s="21" t="s">
        <v>180</v>
      </c>
      <c r="F109" s="21">
        <v>2</v>
      </c>
      <c r="G109" s="22">
        <v>44277</v>
      </c>
      <c r="H109" s="22">
        <v>44277</v>
      </c>
      <c r="I109" s="22">
        <v>44278</v>
      </c>
      <c r="J109" s="23"/>
      <c r="K109" s="19" t="s">
        <v>23</v>
      </c>
      <c r="L109" s="25" t="s">
        <v>57</v>
      </c>
      <c r="M109" s="19" t="s">
        <v>25</v>
      </c>
      <c r="N109" s="19">
        <v>1</v>
      </c>
      <c r="O109" s="19" t="s">
        <v>37</v>
      </c>
      <c r="P109" s="23" t="s">
        <v>26</v>
      </c>
      <c r="Q109" s="19" t="s">
        <v>28</v>
      </c>
      <c r="R109" s="19" t="s">
        <v>28</v>
      </c>
    </row>
    <row r="110" spans="1:18" ht="30" customHeight="1" x14ac:dyDescent="0.25">
      <c r="A110" s="17" t="s">
        <v>38</v>
      </c>
      <c r="B110" s="18">
        <v>226571</v>
      </c>
      <c r="C110" s="19" t="s">
        <v>19</v>
      </c>
      <c r="D110" s="20" t="s">
        <v>334</v>
      </c>
      <c r="E110" s="21" t="s">
        <v>114</v>
      </c>
      <c r="F110" s="21">
        <v>3</v>
      </c>
      <c r="G110" s="22">
        <v>44277</v>
      </c>
      <c r="H110" s="22">
        <v>44277</v>
      </c>
      <c r="I110" s="22">
        <v>44278</v>
      </c>
      <c r="J110" s="23"/>
      <c r="K110" s="19" t="s">
        <v>23</v>
      </c>
      <c r="L110" s="25" t="s">
        <v>24</v>
      </c>
      <c r="M110" s="19" t="s">
        <v>25</v>
      </c>
      <c r="N110" s="19"/>
      <c r="O110" s="19" t="s">
        <v>37</v>
      </c>
      <c r="P110" s="23" t="s">
        <v>26</v>
      </c>
      <c r="Q110" s="19" t="s">
        <v>28</v>
      </c>
      <c r="R110" s="19" t="s">
        <v>28</v>
      </c>
    </row>
    <row r="111" spans="1:18" ht="30" customHeight="1" x14ac:dyDescent="0.25">
      <c r="A111" s="17" t="s">
        <v>38</v>
      </c>
      <c r="B111" s="18">
        <v>226571</v>
      </c>
      <c r="C111" s="19" t="s">
        <v>19</v>
      </c>
      <c r="D111" s="20" t="s">
        <v>334</v>
      </c>
      <c r="E111" s="21" t="s">
        <v>126</v>
      </c>
      <c r="F111" s="21">
        <v>1</v>
      </c>
      <c r="G111" s="22">
        <v>44278</v>
      </c>
      <c r="H111" s="22">
        <v>44278</v>
      </c>
      <c r="I111" s="22">
        <v>44278</v>
      </c>
      <c r="J111" s="23"/>
      <c r="K111" s="19" t="s">
        <v>23</v>
      </c>
      <c r="L111" s="25" t="s">
        <v>24</v>
      </c>
      <c r="M111" s="19" t="s">
        <v>25</v>
      </c>
      <c r="N111" s="19"/>
      <c r="O111" s="19" t="s">
        <v>37</v>
      </c>
      <c r="P111" s="23" t="s">
        <v>26</v>
      </c>
      <c r="Q111" s="19" t="s">
        <v>28</v>
      </c>
      <c r="R111" s="19" t="s">
        <v>28</v>
      </c>
    </row>
    <row r="112" spans="1:18" ht="30" customHeight="1" x14ac:dyDescent="0.25">
      <c r="A112" s="17" t="s">
        <v>131</v>
      </c>
      <c r="B112" s="18">
        <v>227058</v>
      </c>
      <c r="C112" s="19" t="s">
        <v>139</v>
      </c>
      <c r="D112" s="20" t="s">
        <v>335</v>
      </c>
      <c r="E112" s="21" t="s">
        <v>133</v>
      </c>
      <c r="F112" s="21">
        <v>1</v>
      </c>
      <c r="G112" s="22">
        <v>44267</v>
      </c>
      <c r="H112" s="22">
        <v>44271</v>
      </c>
      <c r="I112" s="22">
        <v>44271</v>
      </c>
      <c r="J112" s="23"/>
      <c r="K112" s="19" t="s">
        <v>23</v>
      </c>
      <c r="L112" s="25" t="s">
        <v>57</v>
      </c>
      <c r="M112" s="19" t="s">
        <v>25</v>
      </c>
      <c r="N112" s="19"/>
      <c r="O112" s="19" t="s">
        <v>37</v>
      </c>
      <c r="P112" s="23" t="s">
        <v>37</v>
      </c>
      <c r="Q112" s="19" t="s">
        <v>53</v>
      </c>
      <c r="R112" s="24" t="s">
        <v>53</v>
      </c>
    </row>
    <row r="113" spans="1:18" ht="30" customHeight="1" x14ac:dyDescent="0.25">
      <c r="A113" s="17" t="s">
        <v>75</v>
      </c>
      <c r="B113" s="18">
        <v>227531</v>
      </c>
      <c r="C113" s="19" t="s">
        <v>19</v>
      </c>
      <c r="D113" s="70" t="s">
        <v>336</v>
      </c>
      <c r="E113" s="21" t="s">
        <v>104</v>
      </c>
      <c r="F113" s="21">
        <v>2</v>
      </c>
      <c r="G113" s="22">
        <v>44270</v>
      </c>
      <c r="H113" s="22">
        <v>44270</v>
      </c>
      <c r="I113" s="22">
        <v>44270</v>
      </c>
      <c r="J113" s="23"/>
      <c r="K113" s="19" t="s">
        <v>23</v>
      </c>
      <c r="L113" s="25" t="s">
        <v>24</v>
      </c>
      <c r="M113" s="19" t="s">
        <v>25</v>
      </c>
      <c r="N113" s="19"/>
      <c r="O113" s="19" t="s">
        <v>26</v>
      </c>
      <c r="P113" s="23" t="s">
        <v>26</v>
      </c>
      <c r="Q113" s="19" t="s">
        <v>53</v>
      </c>
      <c r="R113" s="19" t="s">
        <v>53</v>
      </c>
    </row>
    <row r="114" spans="1:18" ht="30" customHeight="1" x14ac:dyDescent="0.25">
      <c r="A114" s="17" t="s">
        <v>75</v>
      </c>
      <c r="B114" s="18">
        <v>227531</v>
      </c>
      <c r="C114" s="19" t="s">
        <v>19</v>
      </c>
      <c r="D114" s="70" t="s">
        <v>336</v>
      </c>
      <c r="E114" s="21" t="s">
        <v>83</v>
      </c>
      <c r="F114" s="21">
        <v>2</v>
      </c>
      <c r="G114" s="22">
        <v>44270</v>
      </c>
      <c r="H114" s="22">
        <v>44270</v>
      </c>
      <c r="I114" s="22">
        <v>44270</v>
      </c>
      <c r="J114" s="23"/>
      <c r="K114" s="19" t="s">
        <v>23</v>
      </c>
      <c r="L114" s="25" t="s">
        <v>24</v>
      </c>
      <c r="M114" s="19" t="s">
        <v>25</v>
      </c>
      <c r="N114" s="19"/>
      <c r="O114" s="19" t="s">
        <v>26</v>
      </c>
      <c r="P114" s="23" t="s">
        <v>26</v>
      </c>
      <c r="Q114" s="19" t="s">
        <v>53</v>
      </c>
      <c r="R114" s="19" t="s">
        <v>53</v>
      </c>
    </row>
    <row r="115" spans="1:18" ht="30" customHeight="1" x14ac:dyDescent="0.25">
      <c r="A115" s="17" t="s">
        <v>29</v>
      </c>
      <c r="B115" s="18">
        <v>227189</v>
      </c>
      <c r="C115" s="19" t="s">
        <v>76</v>
      </c>
      <c r="D115" s="20" t="s">
        <v>337</v>
      </c>
      <c r="E115" s="21"/>
      <c r="F115" s="21"/>
      <c r="G115" s="22">
        <v>44267</v>
      </c>
      <c r="H115" s="22">
        <v>44281</v>
      </c>
      <c r="I115" s="22">
        <v>44281</v>
      </c>
      <c r="J115" s="23" t="s">
        <v>338</v>
      </c>
      <c r="K115" s="19" t="s">
        <v>23</v>
      </c>
      <c r="L115" s="25" t="s">
        <v>24</v>
      </c>
      <c r="M115" s="19" t="s">
        <v>33</v>
      </c>
      <c r="N115" s="19"/>
      <c r="O115" s="19" t="s">
        <v>26</v>
      </c>
      <c r="P115" s="23"/>
      <c r="Q115" s="19"/>
      <c r="R115" s="24"/>
    </row>
    <row r="116" spans="1:18" ht="30" customHeight="1" x14ac:dyDescent="0.25">
      <c r="A116" s="17" t="s">
        <v>29</v>
      </c>
      <c r="B116" s="18">
        <v>227235</v>
      </c>
      <c r="C116" s="19" t="s">
        <v>76</v>
      </c>
      <c r="D116" s="20" t="s">
        <v>339</v>
      </c>
      <c r="E116" s="21" t="s">
        <v>150</v>
      </c>
      <c r="F116" s="21"/>
      <c r="G116" s="22">
        <v>44270</v>
      </c>
      <c r="H116" s="22">
        <v>44271</v>
      </c>
      <c r="I116" s="22">
        <v>44271</v>
      </c>
      <c r="J116" s="23" t="s">
        <v>340</v>
      </c>
      <c r="K116" s="19" t="s">
        <v>23</v>
      </c>
      <c r="L116" s="25" t="s">
        <v>36</v>
      </c>
      <c r="M116" s="19" t="s">
        <v>25</v>
      </c>
      <c r="N116" s="19"/>
      <c r="O116" s="19" t="s">
        <v>26</v>
      </c>
      <c r="P116" s="23"/>
      <c r="Q116" s="19"/>
      <c r="R116" s="24"/>
    </row>
    <row r="117" spans="1:18" ht="30" customHeight="1" x14ac:dyDescent="0.25">
      <c r="A117" s="17" t="s">
        <v>38</v>
      </c>
      <c r="B117" s="18">
        <v>227231</v>
      </c>
      <c r="C117" s="19" t="s">
        <v>76</v>
      </c>
      <c r="D117" s="20" t="s">
        <v>341</v>
      </c>
      <c r="E117" s="21" t="s">
        <v>73</v>
      </c>
      <c r="F117" s="21"/>
      <c r="G117" s="22">
        <v>44267</v>
      </c>
      <c r="H117" s="22">
        <v>44281</v>
      </c>
      <c r="I117" s="22">
        <v>44280</v>
      </c>
      <c r="J117" s="23" t="s">
        <v>342</v>
      </c>
      <c r="K117" s="19" t="s">
        <v>23</v>
      </c>
      <c r="L117" s="25" t="s">
        <v>24</v>
      </c>
      <c r="M117" s="19" t="s">
        <v>25</v>
      </c>
      <c r="N117" s="19"/>
      <c r="O117" s="19" t="s">
        <v>26</v>
      </c>
      <c r="P117" s="23"/>
      <c r="Q117" s="19"/>
      <c r="R117" s="24"/>
    </row>
    <row r="118" spans="1:18" ht="30" customHeight="1" x14ac:dyDescent="0.25">
      <c r="A118" s="17" t="s">
        <v>71</v>
      </c>
      <c r="B118" s="71">
        <v>227477</v>
      </c>
      <c r="C118" s="19" t="s">
        <v>139</v>
      </c>
      <c r="D118" s="20" t="s">
        <v>343</v>
      </c>
      <c r="E118" s="21" t="s">
        <v>344</v>
      </c>
      <c r="F118" s="21">
        <v>1</v>
      </c>
      <c r="G118" s="22">
        <v>44270</v>
      </c>
      <c r="H118" s="22">
        <v>44271</v>
      </c>
      <c r="I118" s="22">
        <v>44271</v>
      </c>
      <c r="J118" s="23"/>
      <c r="K118" s="19" t="s">
        <v>23</v>
      </c>
      <c r="L118" s="25" t="s">
        <v>36</v>
      </c>
      <c r="M118" s="19" t="s">
        <v>25</v>
      </c>
      <c r="N118" s="19"/>
      <c r="O118" s="19" t="s">
        <v>37</v>
      </c>
      <c r="P118" s="23" t="s">
        <v>345</v>
      </c>
      <c r="Q118" s="19" t="s">
        <v>53</v>
      </c>
      <c r="R118" s="24" t="s">
        <v>53</v>
      </c>
    </row>
    <row r="119" spans="1:18" ht="30" customHeight="1" x14ac:dyDescent="0.25">
      <c r="A119" s="17" t="s">
        <v>131</v>
      </c>
      <c r="B119" s="30">
        <v>227806</v>
      </c>
      <c r="C119" s="19" t="s">
        <v>139</v>
      </c>
      <c r="D119" s="20" t="s">
        <v>346</v>
      </c>
      <c r="E119" s="21" t="s">
        <v>40</v>
      </c>
      <c r="F119" s="21">
        <v>3</v>
      </c>
      <c r="G119" s="22">
        <v>44271</v>
      </c>
      <c r="H119" s="22">
        <v>44274</v>
      </c>
      <c r="I119" s="22">
        <v>44273</v>
      </c>
      <c r="J119" s="23" t="s">
        <v>347</v>
      </c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37</v>
      </c>
      <c r="P119" s="23" t="s">
        <v>37</v>
      </c>
      <c r="Q119" s="19" t="s">
        <v>53</v>
      </c>
      <c r="R119" s="24" t="s">
        <v>53</v>
      </c>
    </row>
    <row r="120" spans="1:18" ht="30" customHeight="1" x14ac:dyDescent="0.25">
      <c r="A120" s="17" t="s">
        <v>131</v>
      </c>
      <c r="B120" s="30">
        <v>227806</v>
      </c>
      <c r="C120" s="19" t="s">
        <v>139</v>
      </c>
      <c r="D120" s="20" t="s">
        <v>346</v>
      </c>
      <c r="E120" s="21" t="s">
        <v>105</v>
      </c>
      <c r="F120" s="21">
        <v>1</v>
      </c>
      <c r="G120" s="22">
        <v>44271</v>
      </c>
      <c r="H120" s="22">
        <v>44274</v>
      </c>
      <c r="I120" s="22">
        <v>44273</v>
      </c>
      <c r="J120" s="23" t="s">
        <v>348</v>
      </c>
      <c r="K120" s="19" t="s">
        <v>23</v>
      </c>
      <c r="L120" s="25" t="s">
        <v>57</v>
      </c>
      <c r="M120" s="19" t="s">
        <v>25</v>
      </c>
      <c r="N120" s="19">
        <v>1</v>
      </c>
      <c r="O120" s="19" t="s">
        <v>37</v>
      </c>
      <c r="P120" s="23" t="s">
        <v>37</v>
      </c>
      <c r="Q120" s="19" t="s">
        <v>53</v>
      </c>
      <c r="R120" s="24" t="s">
        <v>53</v>
      </c>
    </row>
    <row r="121" spans="1:18" ht="30" customHeight="1" x14ac:dyDescent="0.25">
      <c r="A121" s="17" t="s">
        <v>131</v>
      </c>
      <c r="B121" s="30">
        <v>227806</v>
      </c>
      <c r="C121" s="19" t="s">
        <v>139</v>
      </c>
      <c r="D121" s="20" t="s">
        <v>346</v>
      </c>
      <c r="E121" s="21" t="s">
        <v>101</v>
      </c>
      <c r="F121" s="21">
        <v>1</v>
      </c>
      <c r="G121" s="22">
        <v>44271</v>
      </c>
      <c r="H121" s="22">
        <v>44274</v>
      </c>
      <c r="I121" s="22">
        <v>44273</v>
      </c>
      <c r="J121" s="23" t="s">
        <v>349</v>
      </c>
      <c r="K121" s="19" t="s">
        <v>23</v>
      </c>
      <c r="L121" s="25" t="s">
        <v>57</v>
      </c>
      <c r="M121" s="19" t="s">
        <v>25</v>
      </c>
      <c r="N121" s="19">
        <v>2</v>
      </c>
      <c r="O121" s="19" t="s">
        <v>37</v>
      </c>
      <c r="P121" s="23" t="s">
        <v>37</v>
      </c>
      <c r="Q121" s="19" t="s">
        <v>53</v>
      </c>
      <c r="R121" s="24" t="s">
        <v>53</v>
      </c>
    </row>
    <row r="122" spans="1:18" ht="30" customHeight="1" x14ac:dyDescent="0.25">
      <c r="A122" s="17" t="s">
        <v>131</v>
      </c>
      <c r="B122" s="30">
        <v>227806</v>
      </c>
      <c r="C122" s="19" t="s">
        <v>139</v>
      </c>
      <c r="D122" s="20" t="s">
        <v>346</v>
      </c>
      <c r="E122" s="21" t="s">
        <v>109</v>
      </c>
      <c r="F122" s="21">
        <v>1</v>
      </c>
      <c r="G122" s="22">
        <v>44274</v>
      </c>
      <c r="H122" s="22">
        <v>44274</v>
      </c>
      <c r="I122" s="22">
        <v>44273</v>
      </c>
      <c r="J122" s="23"/>
      <c r="K122" s="19" t="s">
        <v>23</v>
      </c>
      <c r="L122" s="25" t="s">
        <v>57</v>
      </c>
      <c r="M122" s="19" t="s">
        <v>25</v>
      </c>
      <c r="N122" s="19"/>
      <c r="O122" s="19" t="s">
        <v>37</v>
      </c>
      <c r="P122" s="23" t="s">
        <v>37</v>
      </c>
      <c r="Q122" s="19" t="s">
        <v>53</v>
      </c>
      <c r="R122" s="24" t="s">
        <v>53</v>
      </c>
    </row>
    <row r="123" spans="1:18" ht="30" customHeight="1" x14ac:dyDescent="0.25">
      <c r="A123" s="17" t="s">
        <v>131</v>
      </c>
      <c r="B123" s="30">
        <v>227806</v>
      </c>
      <c r="C123" s="19" t="s">
        <v>139</v>
      </c>
      <c r="D123" s="20" t="s">
        <v>346</v>
      </c>
      <c r="E123" s="21" t="s">
        <v>66</v>
      </c>
      <c r="F123" s="21">
        <v>1</v>
      </c>
      <c r="G123" s="22">
        <v>44271</v>
      </c>
      <c r="H123" s="22">
        <v>44274</v>
      </c>
      <c r="I123" s="22">
        <v>44273</v>
      </c>
      <c r="J123" s="23" t="s">
        <v>350</v>
      </c>
      <c r="K123" s="19" t="s">
        <v>23</v>
      </c>
      <c r="L123" s="25" t="s">
        <v>57</v>
      </c>
      <c r="M123" s="19" t="s">
        <v>25</v>
      </c>
      <c r="N123" s="19">
        <v>2</v>
      </c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131</v>
      </c>
      <c r="B124" s="30">
        <v>227806</v>
      </c>
      <c r="C124" s="19" t="s">
        <v>139</v>
      </c>
      <c r="D124" s="20" t="s">
        <v>346</v>
      </c>
      <c r="E124" s="21" t="s">
        <v>82</v>
      </c>
      <c r="F124" s="21">
        <v>1</v>
      </c>
      <c r="G124" s="22">
        <v>44271</v>
      </c>
      <c r="H124" s="22">
        <v>44274</v>
      </c>
      <c r="I124" s="22">
        <v>44273</v>
      </c>
      <c r="J124" s="23" t="s">
        <v>347</v>
      </c>
      <c r="K124" s="19" t="s">
        <v>23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26" t="s">
        <v>129</v>
      </c>
      <c r="B125" s="27">
        <v>227914</v>
      </c>
      <c r="C125" s="28" t="s">
        <v>76</v>
      </c>
      <c r="D125" s="29" t="s">
        <v>351</v>
      </c>
      <c r="E125" s="30" t="s">
        <v>70</v>
      </c>
      <c r="F125" s="30"/>
      <c r="G125" s="22">
        <v>44271</v>
      </c>
      <c r="H125" s="22">
        <v>44271</v>
      </c>
      <c r="I125" s="22">
        <v>44271</v>
      </c>
      <c r="J125" s="31"/>
      <c r="K125" s="28" t="s">
        <v>23</v>
      </c>
      <c r="L125" s="32" t="s">
        <v>36</v>
      </c>
      <c r="M125" s="28" t="s">
        <v>25</v>
      </c>
      <c r="N125" s="28"/>
      <c r="O125" s="28" t="s">
        <v>37</v>
      </c>
      <c r="P125" s="31"/>
      <c r="Q125" s="28" t="s">
        <v>53</v>
      </c>
      <c r="R125" s="33" t="s">
        <v>53</v>
      </c>
    </row>
    <row r="126" spans="1:18" ht="30" customHeight="1" x14ac:dyDescent="0.25">
      <c r="A126" s="17" t="s">
        <v>129</v>
      </c>
      <c r="B126" s="18">
        <v>227914</v>
      </c>
      <c r="C126" s="19" t="s">
        <v>76</v>
      </c>
      <c r="D126" s="20" t="s">
        <v>351</v>
      </c>
      <c r="E126" s="21" t="s">
        <v>21</v>
      </c>
      <c r="F126" s="21"/>
      <c r="G126" s="22">
        <v>44271</v>
      </c>
      <c r="H126" s="22">
        <v>44271</v>
      </c>
      <c r="I126" s="22">
        <v>44271</v>
      </c>
      <c r="J126" s="23"/>
      <c r="K126" s="19" t="s">
        <v>23</v>
      </c>
      <c r="L126" s="25" t="s">
        <v>36</v>
      </c>
      <c r="M126" s="19" t="s">
        <v>25</v>
      </c>
      <c r="N126" s="19"/>
      <c r="O126" s="19" t="s">
        <v>37</v>
      </c>
      <c r="P126" s="23"/>
      <c r="Q126" s="19" t="s">
        <v>53</v>
      </c>
      <c r="R126" s="24" t="s">
        <v>53</v>
      </c>
    </row>
    <row r="127" spans="1:18" ht="30" customHeight="1" x14ac:dyDescent="0.25">
      <c r="A127" s="17" t="s">
        <v>129</v>
      </c>
      <c r="B127" s="18">
        <v>227792</v>
      </c>
      <c r="C127" s="19" t="s">
        <v>76</v>
      </c>
      <c r="D127" s="20" t="s">
        <v>352</v>
      </c>
      <c r="E127" s="21" t="s">
        <v>82</v>
      </c>
      <c r="F127" s="21"/>
      <c r="G127" s="22">
        <v>44271</v>
      </c>
      <c r="H127" s="22">
        <v>44271</v>
      </c>
      <c r="I127" s="22">
        <v>44271</v>
      </c>
      <c r="J127" s="23"/>
      <c r="K127" s="19" t="s">
        <v>23</v>
      </c>
      <c r="L127" s="25" t="s">
        <v>36</v>
      </c>
      <c r="M127" s="19" t="s">
        <v>82</v>
      </c>
      <c r="N127" s="19"/>
      <c r="O127" s="19" t="s">
        <v>37</v>
      </c>
      <c r="P127" s="23"/>
      <c r="Q127" s="19" t="s">
        <v>53</v>
      </c>
      <c r="R127" s="24" t="s">
        <v>53</v>
      </c>
    </row>
    <row r="128" spans="1:18" ht="30" customHeight="1" x14ac:dyDescent="0.25">
      <c r="A128" s="17" t="s">
        <v>181</v>
      </c>
      <c r="B128" s="18">
        <v>225825</v>
      </c>
      <c r="C128" s="19" t="s">
        <v>139</v>
      </c>
      <c r="D128" s="20" t="s">
        <v>353</v>
      </c>
      <c r="E128" s="21" t="s">
        <v>93</v>
      </c>
      <c r="F128" s="21">
        <v>1</v>
      </c>
      <c r="G128" s="22">
        <v>44263</v>
      </c>
      <c r="H128" s="22">
        <v>44272</v>
      </c>
      <c r="I128" s="22">
        <v>44272</v>
      </c>
      <c r="J128" s="23"/>
      <c r="K128" s="19" t="s">
        <v>23</v>
      </c>
      <c r="L128" s="25" t="s">
        <v>57</v>
      </c>
      <c r="M128" s="19" t="s">
        <v>25</v>
      </c>
      <c r="N128" s="19">
        <v>1</v>
      </c>
      <c r="O128" s="19" t="s">
        <v>37</v>
      </c>
      <c r="P128" s="23" t="s">
        <v>37</v>
      </c>
      <c r="Q128" s="19" t="s">
        <v>53</v>
      </c>
      <c r="R128" s="24" t="s">
        <v>27</v>
      </c>
    </row>
    <row r="129" spans="1:18" ht="30" customHeight="1" x14ac:dyDescent="0.25">
      <c r="A129" s="17" t="s">
        <v>38</v>
      </c>
      <c r="B129" s="18" t="s">
        <v>246</v>
      </c>
      <c r="C129" s="19" t="s">
        <v>139</v>
      </c>
      <c r="D129" s="20" t="s">
        <v>322</v>
      </c>
      <c r="E129" s="21" t="s">
        <v>21</v>
      </c>
      <c r="F129" s="21">
        <v>2</v>
      </c>
      <c r="G129" s="22">
        <v>44272</v>
      </c>
      <c r="H129" s="22">
        <v>44272</v>
      </c>
      <c r="I129" s="22">
        <v>44272</v>
      </c>
      <c r="J129" s="23"/>
      <c r="K129" s="19" t="s">
        <v>23</v>
      </c>
      <c r="L129" s="25"/>
      <c r="M129" s="19" t="s">
        <v>25</v>
      </c>
      <c r="N129" s="19"/>
      <c r="O129" s="19" t="s">
        <v>37</v>
      </c>
      <c r="P129" s="23" t="s">
        <v>37</v>
      </c>
      <c r="Q129" s="19" t="s">
        <v>53</v>
      </c>
      <c r="R129" s="24"/>
    </row>
    <row r="130" spans="1:18" ht="30" customHeight="1" x14ac:dyDescent="0.25">
      <c r="A130" s="17" t="s">
        <v>158</v>
      </c>
      <c r="B130" s="18">
        <v>228171</v>
      </c>
      <c r="C130" s="19" t="s">
        <v>139</v>
      </c>
      <c r="D130" s="20" t="s">
        <v>354</v>
      </c>
      <c r="E130" s="21" t="s">
        <v>78</v>
      </c>
      <c r="F130" s="21">
        <v>1</v>
      </c>
      <c r="G130" s="22">
        <v>44272</v>
      </c>
      <c r="H130" s="22"/>
      <c r="I130" s="22">
        <v>44273</v>
      </c>
      <c r="J130" s="23" t="s">
        <v>355</v>
      </c>
      <c r="K130" s="19" t="s">
        <v>23</v>
      </c>
      <c r="L130" s="25" t="s">
        <v>36</v>
      </c>
      <c r="M130" s="19" t="s">
        <v>25</v>
      </c>
      <c r="N130" s="19"/>
      <c r="O130" s="19" t="s">
        <v>37</v>
      </c>
      <c r="P130" s="23" t="s">
        <v>37</v>
      </c>
      <c r="Q130" s="19" t="s">
        <v>53</v>
      </c>
      <c r="R130" s="24" t="s">
        <v>53</v>
      </c>
    </row>
    <row r="131" spans="1:18" ht="30" customHeight="1" x14ac:dyDescent="0.25">
      <c r="A131" s="17" t="s">
        <v>38</v>
      </c>
      <c r="B131" s="18" t="s">
        <v>246</v>
      </c>
      <c r="C131" s="19" t="s">
        <v>76</v>
      </c>
      <c r="D131" s="20" t="s">
        <v>356</v>
      </c>
      <c r="E131" s="21" t="s">
        <v>73</v>
      </c>
      <c r="F131" s="21"/>
      <c r="G131" s="22">
        <v>44273</v>
      </c>
      <c r="H131" s="22">
        <v>44286</v>
      </c>
      <c r="I131" s="22">
        <v>44278</v>
      </c>
      <c r="J131" s="23" t="s">
        <v>357</v>
      </c>
      <c r="K131" s="19" t="s">
        <v>23</v>
      </c>
      <c r="L131" s="25"/>
      <c r="M131" s="19"/>
      <c r="N131" s="19"/>
      <c r="O131" s="19"/>
      <c r="P131" s="23"/>
      <c r="Q131" s="19"/>
      <c r="R131" s="24"/>
    </row>
    <row r="132" spans="1:18" ht="30" customHeight="1" x14ac:dyDescent="0.25">
      <c r="A132" s="17" t="s">
        <v>29</v>
      </c>
      <c r="B132" s="18">
        <v>228481</v>
      </c>
      <c r="C132" s="19" t="s">
        <v>139</v>
      </c>
      <c r="D132" s="20" t="s">
        <v>358</v>
      </c>
      <c r="E132" s="21" t="s">
        <v>47</v>
      </c>
      <c r="F132" s="21">
        <v>1</v>
      </c>
      <c r="G132" s="22">
        <v>44273</v>
      </c>
      <c r="H132" s="22">
        <v>44277</v>
      </c>
      <c r="I132" s="22">
        <v>44277</v>
      </c>
      <c r="J132" s="23"/>
      <c r="K132" s="19" t="s">
        <v>23</v>
      </c>
      <c r="L132" s="25" t="s">
        <v>44</v>
      </c>
      <c r="M132" s="19" t="s">
        <v>25</v>
      </c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75</v>
      </c>
      <c r="B133" s="18">
        <v>228555</v>
      </c>
      <c r="C133" s="19" t="s">
        <v>139</v>
      </c>
      <c r="D133" s="20" t="s">
        <v>359</v>
      </c>
      <c r="E133" s="21" t="s">
        <v>66</v>
      </c>
      <c r="F133" s="21">
        <v>1</v>
      </c>
      <c r="G133" s="22">
        <v>44273</v>
      </c>
      <c r="H133" s="22">
        <v>44278</v>
      </c>
      <c r="I133" s="22">
        <v>44277</v>
      </c>
      <c r="J133" s="23"/>
      <c r="K133" s="19" t="s">
        <v>23</v>
      </c>
      <c r="L133" s="25" t="s">
        <v>57</v>
      </c>
      <c r="M133" s="19" t="s">
        <v>25</v>
      </c>
      <c r="N133" s="19">
        <v>1</v>
      </c>
      <c r="O133" s="19" t="s">
        <v>37</v>
      </c>
      <c r="P133" s="23" t="s">
        <v>37</v>
      </c>
      <c r="Q133" s="19" t="s">
        <v>53</v>
      </c>
      <c r="R133" s="19" t="s">
        <v>53</v>
      </c>
    </row>
    <row r="134" spans="1:18" ht="30" customHeight="1" x14ac:dyDescent="0.25">
      <c r="A134" s="17" t="s">
        <v>75</v>
      </c>
      <c r="B134" s="18">
        <v>228555</v>
      </c>
      <c r="C134" s="19" t="s">
        <v>139</v>
      </c>
      <c r="D134" s="20" t="s">
        <v>359</v>
      </c>
      <c r="E134" s="21" t="s">
        <v>106</v>
      </c>
      <c r="F134" s="21">
        <v>1</v>
      </c>
      <c r="G134" s="22">
        <v>44273</v>
      </c>
      <c r="H134" s="22">
        <v>44278</v>
      </c>
      <c r="I134" s="22">
        <v>44277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19" t="s">
        <v>53</v>
      </c>
    </row>
    <row r="135" spans="1:18" ht="30" customHeight="1" x14ac:dyDescent="0.25">
      <c r="A135" s="17" t="s">
        <v>75</v>
      </c>
      <c r="B135" s="18">
        <v>228555</v>
      </c>
      <c r="C135" s="19" t="s">
        <v>139</v>
      </c>
      <c r="D135" s="20" t="s">
        <v>359</v>
      </c>
      <c r="E135" s="21" t="s">
        <v>45</v>
      </c>
      <c r="F135" s="21">
        <v>1</v>
      </c>
      <c r="G135" s="22">
        <v>44273</v>
      </c>
      <c r="H135" s="22">
        <v>44278</v>
      </c>
      <c r="I135" s="22">
        <v>44277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19" t="s">
        <v>53</v>
      </c>
    </row>
    <row r="136" spans="1:18" ht="30" customHeight="1" x14ac:dyDescent="0.25">
      <c r="A136" s="17" t="s">
        <v>75</v>
      </c>
      <c r="B136" s="18">
        <v>228555</v>
      </c>
      <c r="C136" s="19" t="s">
        <v>139</v>
      </c>
      <c r="D136" s="20" t="s">
        <v>359</v>
      </c>
      <c r="E136" s="21" t="s">
        <v>40</v>
      </c>
      <c r="F136" s="21">
        <v>3</v>
      </c>
      <c r="G136" s="22">
        <v>44273</v>
      </c>
      <c r="H136" s="22">
        <v>44278</v>
      </c>
      <c r="I136" s="22">
        <v>44277</v>
      </c>
      <c r="J136" s="23"/>
      <c r="K136" s="19" t="s">
        <v>23</v>
      </c>
      <c r="L136" s="25" t="s">
        <v>57</v>
      </c>
      <c r="M136" s="19" t="s">
        <v>25</v>
      </c>
      <c r="N136" s="19">
        <v>1</v>
      </c>
      <c r="O136" s="19" t="s">
        <v>37</v>
      </c>
      <c r="P136" s="23" t="s">
        <v>37</v>
      </c>
      <c r="Q136" s="19" t="s">
        <v>53</v>
      </c>
      <c r="R136" s="19" t="s">
        <v>53</v>
      </c>
    </row>
    <row r="137" spans="1:18" ht="30" customHeight="1" x14ac:dyDescent="0.25">
      <c r="A137" s="17" t="s">
        <v>360</v>
      </c>
      <c r="B137" s="18">
        <v>227997</v>
      </c>
      <c r="C137" s="19" t="s">
        <v>139</v>
      </c>
      <c r="D137" s="20" t="s">
        <v>361</v>
      </c>
      <c r="E137" s="21" t="s">
        <v>67</v>
      </c>
      <c r="F137" s="21">
        <v>3</v>
      </c>
      <c r="G137" s="22">
        <v>44272</v>
      </c>
      <c r="H137" s="22"/>
      <c r="I137" s="22">
        <v>44274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37</v>
      </c>
      <c r="P137" s="23" t="s">
        <v>37</v>
      </c>
      <c r="Q137" s="19" t="s">
        <v>27</v>
      </c>
      <c r="R137" s="24" t="s">
        <v>53</v>
      </c>
    </row>
    <row r="138" spans="1:18" ht="30" customHeight="1" x14ac:dyDescent="0.25">
      <c r="A138" s="17" t="s">
        <v>360</v>
      </c>
      <c r="B138" s="18">
        <v>227997</v>
      </c>
      <c r="C138" s="19" t="s">
        <v>139</v>
      </c>
      <c r="D138" s="20" t="s">
        <v>361</v>
      </c>
      <c r="E138" s="21" t="s">
        <v>152</v>
      </c>
      <c r="F138" s="21">
        <v>3</v>
      </c>
      <c r="G138" s="22">
        <v>44272</v>
      </c>
      <c r="H138" s="22"/>
      <c r="I138" s="22">
        <v>44274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37</v>
      </c>
      <c r="P138" s="23" t="s">
        <v>37</v>
      </c>
      <c r="Q138" s="19" t="s">
        <v>27</v>
      </c>
      <c r="R138" s="24" t="s">
        <v>53</v>
      </c>
    </row>
    <row r="139" spans="1:18" ht="30" customHeight="1" x14ac:dyDescent="0.25">
      <c r="A139" s="17" t="s">
        <v>29</v>
      </c>
      <c r="B139" s="18">
        <v>228629</v>
      </c>
      <c r="C139" s="19" t="s">
        <v>139</v>
      </c>
      <c r="D139" s="20" t="s">
        <v>362</v>
      </c>
      <c r="E139" s="21" t="s">
        <v>47</v>
      </c>
      <c r="F139" s="21">
        <v>1</v>
      </c>
      <c r="G139" s="22">
        <v>44274</v>
      </c>
      <c r="H139" s="22">
        <v>44278</v>
      </c>
      <c r="I139" s="22">
        <v>44278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37</v>
      </c>
      <c r="P139" s="23" t="s">
        <v>37</v>
      </c>
      <c r="Q139" s="19" t="s">
        <v>53</v>
      </c>
      <c r="R139" s="24" t="s">
        <v>53</v>
      </c>
    </row>
    <row r="140" spans="1:18" ht="30" customHeight="1" x14ac:dyDescent="0.25">
      <c r="A140" s="17" t="s">
        <v>29</v>
      </c>
      <c r="B140" s="18">
        <v>228690</v>
      </c>
      <c r="C140" s="19" t="s">
        <v>19</v>
      </c>
      <c r="D140" s="60" t="s">
        <v>363</v>
      </c>
      <c r="E140" s="21" t="s">
        <v>78</v>
      </c>
      <c r="F140" s="21"/>
      <c r="G140" s="22">
        <v>44274</v>
      </c>
      <c r="H140" s="22">
        <v>44277</v>
      </c>
      <c r="I140" s="22">
        <v>44279</v>
      </c>
      <c r="J140" s="23"/>
      <c r="K140" s="19" t="s">
        <v>23</v>
      </c>
      <c r="L140" s="25" t="s">
        <v>36</v>
      </c>
      <c r="M140" s="19" t="s">
        <v>33</v>
      </c>
      <c r="N140" s="19"/>
      <c r="O140" s="19" t="s">
        <v>37</v>
      </c>
      <c r="P140" s="23" t="s">
        <v>26</v>
      </c>
      <c r="Q140" s="19" t="s">
        <v>27</v>
      </c>
      <c r="R140" s="24" t="s">
        <v>53</v>
      </c>
    </row>
    <row r="141" spans="1:18" ht="30" customHeight="1" x14ac:dyDescent="0.25">
      <c r="A141" s="17" t="s">
        <v>29</v>
      </c>
      <c r="B141" s="18">
        <v>229153</v>
      </c>
      <c r="C141" s="19" t="s">
        <v>19</v>
      </c>
      <c r="D141" s="20" t="s">
        <v>364</v>
      </c>
      <c r="E141" s="21" t="s">
        <v>97</v>
      </c>
      <c r="F141" s="21">
        <v>1</v>
      </c>
      <c r="G141" s="22">
        <v>44278</v>
      </c>
      <c r="H141" s="22">
        <v>44278</v>
      </c>
      <c r="I141" s="22">
        <v>44278</v>
      </c>
      <c r="J141" s="23"/>
      <c r="K141" s="19" t="s">
        <v>23</v>
      </c>
      <c r="L141" s="25" t="s">
        <v>36</v>
      </c>
      <c r="M141" s="19" t="s">
        <v>25</v>
      </c>
      <c r="N141" s="19"/>
      <c r="O141" s="19" t="s">
        <v>26</v>
      </c>
      <c r="P141" s="23" t="s">
        <v>26</v>
      </c>
      <c r="Q141" s="19" t="s">
        <v>28</v>
      </c>
      <c r="R141" s="24" t="s">
        <v>28</v>
      </c>
    </row>
    <row r="142" spans="1:18" ht="30" customHeight="1" x14ac:dyDescent="0.25">
      <c r="A142" s="17" t="s">
        <v>162</v>
      </c>
      <c r="B142" s="18" t="s">
        <v>246</v>
      </c>
      <c r="C142" s="19" t="s">
        <v>139</v>
      </c>
      <c r="D142" s="20" t="s">
        <v>365</v>
      </c>
      <c r="E142" s="21" t="s">
        <v>226</v>
      </c>
      <c r="F142" s="21">
        <v>1</v>
      </c>
      <c r="G142" s="22">
        <v>44263</v>
      </c>
      <c r="H142" s="22">
        <v>44274</v>
      </c>
      <c r="I142" s="22">
        <v>44274</v>
      </c>
      <c r="J142" s="23"/>
      <c r="K142" s="19" t="s">
        <v>23</v>
      </c>
      <c r="L142" s="25" t="s">
        <v>57</v>
      </c>
      <c r="M142" s="19"/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255</v>
      </c>
      <c r="B143" s="18" t="s">
        <v>246</v>
      </c>
      <c r="C143" s="19" t="s">
        <v>139</v>
      </c>
      <c r="D143" s="20" t="s">
        <v>365</v>
      </c>
      <c r="E143" s="21" t="s">
        <v>226</v>
      </c>
      <c r="F143" s="21">
        <v>1</v>
      </c>
      <c r="G143" s="22">
        <v>44263</v>
      </c>
      <c r="H143" s="22">
        <v>44271</v>
      </c>
      <c r="I143" s="22">
        <v>44273</v>
      </c>
      <c r="J143" s="23"/>
      <c r="K143" s="19" t="s">
        <v>23</v>
      </c>
      <c r="L143" s="25" t="s">
        <v>57</v>
      </c>
      <c r="M143" s="19"/>
      <c r="N143" s="19">
        <v>1</v>
      </c>
      <c r="O143" s="19" t="s">
        <v>37</v>
      </c>
      <c r="P143" s="23" t="s">
        <v>37</v>
      </c>
      <c r="Q143" s="19" t="s">
        <v>53</v>
      </c>
      <c r="R143" s="24" t="s">
        <v>53</v>
      </c>
    </row>
    <row r="144" spans="1:18" ht="30" customHeight="1" x14ac:dyDescent="0.25">
      <c r="A144" s="17" t="s">
        <v>129</v>
      </c>
      <c r="B144" s="18" t="s">
        <v>246</v>
      </c>
      <c r="C144" s="19" t="s">
        <v>139</v>
      </c>
      <c r="D144" s="20" t="s">
        <v>365</v>
      </c>
      <c r="E144" s="21" t="s">
        <v>226</v>
      </c>
      <c r="F144" s="21">
        <v>1</v>
      </c>
      <c r="G144" s="22">
        <v>44263</v>
      </c>
      <c r="H144" s="22">
        <v>44272</v>
      </c>
      <c r="I144" s="22">
        <v>44277</v>
      </c>
      <c r="J144" s="23"/>
      <c r="K144" s="19" t="s">
        <v>23</v>
      </c>
      <c r="L144" s="25" t="s">
        <v>57</v>
      </c>
      <c r="M144" s="19"/>
      <c r="N144" s="19">
        <v>1</v>
      </c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86</v>
      </c>
      <c r="B145" s="18" t="s">
        <v>246</v>
      </c>
      <c r="C145" s="19" t="s">
        <v>139</v>
      </c>
      <c r="D145" s="20" t="s">
        <v>365</v>
      </c>
      <c r="E145" s="21" t="s">
        <v>226</v>
      </c>
      <c r="F145" s="21">
        <v>1</v>
      </c>
      <c r="G145" s="22">
        <v>44270</v>
      </c>
      <c r="H145" s="22">
        <v>44278</v>
      </c>
      <c r="I145" s="22">
        <v>44278</v>
      </c>
      <c r="J145" s="23"/>
      <c r="K145" s="19" t="s">
        <v>23</v>
      </c>
      <c r="L145" s="25" t="s">
        <v>57</v>
      </c>
      <c r="M145" s="19"/>
      <c r="N145" s="19">
        <v>1</v>
      </c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71</v>
      </c>
      <c r="B146" s="21">
        <v>225891</v>
      </c>
      <c r="C146" s="19" t="s">
        <v>76</v>
      </c>
      <c r="D146" s="60" t="s">
        <v>366</v>
      </c>
      <c r="E146" s="21" t="s">
        <v>58</v>
      </c>
      <c r="F146" s="21"/>
      <c r="G146" s="22">
        <v>44263</v>
      </c>
      <c r="H146" s="22">
        <v>44284</v>
      </c>
      <c r="I146" s="22">
        <v>44284</v>
      </c>
      <c r="J146" s="23" t="s">
        <v>342</v>
      </c>
      <c r="K146" s="19" t="s">
        <v>23</v>
      </c>
      <c r="L146" s="25"/>
      <c r="M146" s="19"/>
      <c r="N146" s="19"/>
      <c r="O146" s="19" t="s">
        <v>26</v>
      </c>
      <c r="P146" s="23"/>
      <c r="Q146" s="19"/>
      <c r="R146" s="24"/>
    </row>
    <row r="147" spans="1:18" ht="30" customHeight="1" x14ac:dyDescent="0.25">
      <c r="A147" s="17" t="s">
        <v>29</v>
      </c>
      <c r="B147" s="21">
        <v>229225</v>
      </c>
      <c r="C147" s="19" t="s">
        <v>19</v>
      </c>
      <c r="D147" s="60" t="s">
        <v>367</v>
      </c>
      <c r="E147" s="21" t="s">
        <v>104</v>
      </c>
      <c r="F147" s="21">
        <v>3</v>
      </c>
      <c r="G147" s="22">
        <v>44278</v>
      </c>
      <c r="H147" s="22">
        <v>44279</v>
      </c>
      <c r="I147" s="22">
        <v>44279</v>
      </c>
      <c r="J147" s="23"/>
      <c r="K147" s="19" t="s">
        <v>23</v>
      </c>
      <c r="L147" s="25" t="s">
        <v>57</v>
      </c>
      <c r="M147" s="19" t="s">
        <v>25</v>
      </c>
      <c r="N147" s="19"/>
      <c r="O147" s="19" t="s">
        <v>37</v>
      </c>
      <c r="P147" s="23" t="s">
        <v>26</v>
      </c>
      <c r="Q147" s="19" t="s">
        <v>28</v>
      </c>
      <c r="R147" s="24" t="s">
        <v>28</v>
      </c>
    </row>
    <row r="148" spans="1:18" ht="30" customHeight="1" x14ac:dyDescent="0.25">
      <c r="A148" s="17" t="s">
        <v>75</v>
      </c>
      <c r="B148" s="21">
        <v>229365</v>
      </c>
      <c r="C148" s="19" t="s">
        <v>139</v>
      </c>
      <c r="D148" s="60" t="s">
        <v>368</v>
      </c>
      <c r="E148" s="21" t="s">
        <v>101</v>
      </c>
      <c r="F148" s="21">
        <v>1</v>
      </c>
      <c r="G148" s="22">
        <v>44278</v>
      </c>
      <c r="H148" s="22">
        <v>44281</v>
      </c>
      <c r="I148" s="22">
        <v>44280</v>
      </c>
      <c r="J148" s="23" t="s">
        <v>369</v>
      </c>
      <c r="K148" s="19" t="s">
        <v>23</v>
      </c>
      <c r="L148" s="25" t="s">
        <v>57</v>
      </c>
      <c r="M148" s="19" t="s">
        <v>25</v>
      </c>
      <c r="N148" s="19"/>
      <c r="O148" s="19" t="s">
        <v>37</v>
      </c>
      <c r="P148" s="23" t="s">
        <v>37</v>
      </c>
      <c r="Q148" s="19" t="s">
        <v>53</v>
      </c>
      <c r="R148" s="24" t="s">
        <v>53</v>
      </c>
    </row>
    <row r="149" spans="1:18" ht="30" customHeight="1" x14ac:dyDescent="0.25">
      <c r="A149" s="17" t="s">
        <v>75</v>
      </c>
      <c r="B149" s="21">
        <v>229365</v>
      </c>
      <c r="C149" s="19" t="s">
        <v>139</v>
      </c>
      <c r="D149" s="60" t="s">
        <v>368</v>
      </c>
      <c r="E149" s="21" t="s">
        <v>106</v>
      </c>
      <c r="F149" s="21">
        <v>1</v>
      </c>
      <c r="G149" s="22">
        <v>44278</v>
      </c>
      <c r="H149" s="22">
        <v>44281</v>
      </c>
      <c r="I149" s="22">
        <v>44280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37</v>
      </c>
      <c r="P149" s="23" t="s">
        <v>37</v>
      </c>
      <c r="Q149" s="19" t="s">
        <v>53</v>
      </c>
      <c r="R149" s="24" t="s">
        <v>53</v>
      </c>
    </row>
    <row r="150" spans="1:18" ht="30" customHeight="1" x14ac:dyDescent="0.25">
      <c r="A150" s="17" t="s">
        <v>75</v>
      </c>
      <c r="B150" s="21">
        <v>229365</v>
      </c>
      <c r="C150" s="19" t="s">
        <v>139</v>
      </c>
      <c r="D150" s="60" t="s">
        <v>368</v>
      </c>
      <c r="E150" s="21" t="s">
        <v>45</v>
      </c>
      <c r="F150" s="21">
        <v>1</v>
      </c>
      <c r="G150" s="22">
        <v>44278</v>
      </c>
      <c r="H150" s="22">
        <v>44281</v>
      </c>
      <c r="I150" s="22">
        <v>44280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181</v>
      </c>
      <c r="B151" s="21">
        <v>230054</v>
      </c>
      <c r="C151" s="19" t="s">
        <v>139</v>
      </c>
      <c r="D151" s="60" t="s">
        <v>370</v>
      </c>
      <c r="E151" s="21" t="s">
        <v>150</v>
      </c>
      <c r="F151" s="21">
        <v>1</v>
      </c>
      <c r="G151" s="22">
        <v>44280</v>
      </c>
      <c r="H151" s="22">
        <v>44281</v>
      </c>
      <c r="I151" s="22">
        <v>44281</v>
      </c>
      <c r="J151" s="23"/>
      <c r="K151" s="19" t="s">
        <v>23</v>
      </c>
      <c r="L151" s="25" t="s">
        <v>24</v>
      </c>
      <c r="M151" s="19" t="s">
        <v>25</v>
      </c>
      <c r="N151" s="19"/>
      <c r="O151" s="19" t="s">
        <v>26</v>
      </c>
      <c r="P151" s="23" t="s">
        <v>26</v>
      </c>
      <c r="Q151" s="19" t="s">
        <v>53</v>
      </c>
      <c r="R151" s="24" t="s">
        <v>53</v>
      </c>
    </row>
    <row r="152" spans="1:18" ht="30" customHeight="1" x14ac:dyDescent="0.25">
      <c r="A152" s="17" t="s">
        <v>75</v>
      </c>
      <c r="B152" s="21">
        <v>229366</v>
      </c>
      <c r="C152" s="19" t="s">
        <v>139</v>
      </c>
      <c r="D152" s="60" t="s">
        <v>371</v>
      </c>
      <c r="E152" s="21" t="s">
        <v>21</v>
      </c>
      <c r="F152" s="21">
        <v>1</v>
      </c>
      <c r="G152" s="22">
        <v>44278</v>
      </c>
      <c r="H152" s="22"/>
      <c r="I152" s="22">
        <v>44281</v>
      </c>
      <c r="J152" s="23"/>
      <c r="K152" s="19" t="s">
        <v>23</v>
      </c>
      <c r="L152" s="25" t="s">
        <v>57</v>
      </c>
      <c r="M152" s="19"/>
      <c r="N152" s="19">
        <v>2</v>
      </c>
      <c r="O152" s="19" t="s">
        <v>37</v>
      </c>
      <c r="P152" s="23" t="s">
        <v>37</v>
      </c>
      <c r="Q152" s="19" t="s">
        <v>27</v>
      </c>
      <c r="R152" s="24" t="s">
        <v>53</v>
      </c>
    </row>
    <row r="153" spans="1:18" ht="30" customHeight="1" x14ac:dyDescent="0.25">
      <c r="A153" s="17" t="s">
        <v>299</v>
      </c>
      <c r="B153" s="21">
        <v>230598</v>
      </c>
      <c r="C153" s="19" t="s">
        <v>76</v>
      </c>
      <c r="D153" s="60" t="s">
        <v>372</v>
      </c>
      <c r="E153" s="21" t="s">
        <v>78</v>
      </c>
      <c r="F153" s="21">
        <v>3</v>
      </c>
      <c r="G153" s="22">
        <v>44284</v>
      </c>
      <c r="H153" s="22">
        <v>44284</v>
      </c>
      <c r="I153" s="22">
        <v>44284</v>
      </c>
      <c r="J153" s="23" t="s">
        <v>373</v>
      </c>
      <c r="K153" s="19" t="s">
        <v>23</v>
      </c>
      <c r="L153" s="25" t="s">
        <v>36</v>
      </c>
      <c r="M153" s="19" t="s">
        <v>33</v>
      </c>
      <c r="N153" s="19"/>
      <c r="O153" s="19" t="s">
        <v>37</v>
      </c>
      <c r="P153" s="23"/>
      <c r="Q153" s="19"/>
      <c r="R153" s="24"/>
    </row>
    <row r="154" spans="1:18" ht="30" customHeight="1" x14ac:dyDescent="0.25">
      <c r="A154" s="17" t="s">
        <v>38</v>
      </c>
      <c r="B154" s="18" t="s">
        <v>246</v>
      </c>
      <c r="C154" s="19" t="s">
        <v>139</v>
      </c>
      <c r="D154" s="20" t="s">
        <v>322</v>
      </c>
      <c r="E154" s="21" t="s">
        <v>21</v>
      </c>
      <c r="F154" s="21">
        <v>1</v>
      </c>
      <c r="G154" s="22">
        <v>44286</v>
      </c>
      <c r="H154" s="22">
        <v>44286</v>
      </c>
      <c r="I154" s="22">
        <v>44286</v>
      </c>
      <c r="J154" s="23"/>
      <c r="K154" s="19" t="s">
        <v>23</v>
      </c>
      <c r="L154" s="25"/>
      <c r="M154" s="19" t="s">
        <v>25</v>
      </c>
      <c r="N154" s="19"/>
      <c r="O154" s="19" t="s">
        <v>37</v>
      </c>
      <c r="P154" s="23" t="s">
        <v>37</v>
      </c>
      <c r="Q154" s="19" t="s">
        <v>53</v>
      </c>
      <c r="R154" s="24"/>
    </row>
    <row r="155" spans="1:18" ht="30" customHeight="1" x14ac:dyDescent="0.25">
      <c r="A155" s="17" t="s">
        <v>51</v>
      </c>
      <c r="B155" s="21">
        <v>231144</v>
      </c>
      <c r="C155" s="19" t="s">
        <v>76</v>
      </c>
      <c r="D155" s="60" t="s">
        <v>374</v>
      </c>
      <c r="E155" s="21" t="s">
        <v>82</v>
      </c>
      <c r="F155" s="21"/>
      <c r="G155" s="22"/>
      <c r="H155" s="22"/>
      <c r="I155" s="22"/>
      <c r="J155" s="23" t="s">
        <v>375</v>
      </c>
      <c r="K155" s="19" t="s">
        <v>23</v>
      </c>
      <c r="L155" s="25" t="s">
        <v>36</v>
      </c>
      <c r="M155" s="19"/>
      <c r="N155" s="19"/>
      <c r="O155" s="19"/>
      <c r="P155" s="23"/>
      <c r="Q155" s="19"/>
      <c r="R155" s="24"/>
    </row>
    <row r="156" spans="1:18" ht="30" customHeight="1" x14ac:dyDescent="0.25">
      <c r="A156" s="17" t="s">
        <v>360</v>
      </c>
      <c r="B156" s="21" t="s">
        <v>246</v>
      </c>
      <c r="C156" s="19" t="s">
        <v>139</v>
      </c>
      <c r="D156" s="60" t="s">
        <v>365</v>
      </c>
      <c r="E156" s="21" t="s">
        <v>226</v>
      </c>
      <c r="F156" s="21">
        <v>1</v>
      </c>
      <c r="G156" s="22">
        <v>44272</v>
      </c>
      <c r="H156" s="22">
        <v>44280</v>
      </c>
      <c r="I156" s="22">
        <v>44281</v>
      </c>
      <c r="J156" s="23"/>
      <c r="K156" s="19" t="s">
        <v>23</v>
      </c>
      <c r="L156" s="25"/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131</v>
      </c>
      <c r="B157" s="21" t="s">
        <v>246</v>
      </c>
      <c r="C157" s="19" t="s">
        <v>139</v>
      </c>
      <c r="D157" s="60" t="s">
        <v>365</v>
      </c>
      <c r="E157" s="21" t="s">
        <v>226</v>
      </c>
      <c r="F157" s="21">
        <v>1</v>
      </c>
      <c r="G157" s="22">
        <v>44277</v>
      </c>
      <c r="H157" s="22">
        <v>44285</v>
      </c>
      <c r="I157" s="22">
        <v>44284</v>
      </c>
      <c r="J157" s="23"/>
      <c r="K157" s="19" t="s">
        <v>23</v>
      </c>
      <c r="L157" s="25"/>
      <c r="M157" s="19" t="s">
        <v>25</v>
      </c>
      <c r="N157" s="19"/>
      <c r="O157" s="19" t="s">
        <v>37</v>
      </c>
      <c r="P157" s="23" t="s">
        <v>37</v>
      </c>
      <c r="Q157" s="19" t="s">
        <v>53</v>
      </c>
      <c r="R157" s="24" t="s">
        <v>53</v>
      </c>
    </row>
  </sheetData>
  <conditionalFormatting sqref="A93:H93 J93:R93 A113:C113 E113:H113 A116:R117 C118:R119 A118:A119 A127:F127 J127:P127 L98:O98 R98 K93:K98 P94:Q98 A98:J98 A100:D100 A86:R92 J113:Q113 F100:H100 A107:R112 J100 L100:R100 A150:P150 A120:R121 A122:H124 J122:R124 A155:R157 A151:R152 O147 A146:R146 A128:R130 A125:R125 A2:R78">
    <cfRule type="expression" dxfId="644" priority="951">
      <formula>$K2="CANCELADO"</formula>
    </cfRule>
    <cfRule type="expression" dxfId="643" priority="952">
      <formula>$K2="STAND-BY"</formula>
    </cfRule>
    <cfRule type="expression" dxfId="642" priority="953">
      <formula>$K2="AGUARDANDO APROVAÇÃO"</formula>
    </cfRule>
    <cfRule type="expression" dxfId="641" priority="954">
      <formula>$K2="OK"</formula>
    </cfRule>
    <cfRule type="expression" dxfId="640" priority="955">
      <formula>AND((TODAY()-$H2)&gt;0,$H2&lt;&gt;"",$I2="")=TRUE</formula>
    </cfRule>
  </conditionalFormatting>
  <conditionalFormatting sqref="A94:G95 L94:O95 R94:R95">
    <cfRule type="expression" dxfId="639" priority="891">
      <formula>$K94="CANCELADO"</formula>
    </cfRule>
    <cfRule type="expression" dxfId="638" priority="892">
      <formula>$K94="STAND-BY"</formula>
    </cfRule>
    <cfRule type="expression" dxfId="637" priority="893">
      <formula>$K94="AGUARDANDO APROVAÇÃO"</formula>
    </cfRule>
    <cfRule type="expression" dxfId="636" priority="894">
      <formula>$K94="OK"</formula>
    </cfRule>
    <cfRule type="expression" dxfId="635" priority="895">
      <formula>AND((TODAY()-$H94)&gt;0,$H94&lt;&gt;"",$I94="")=TRUE</formula>
    </cfRule>
  </conditionalFormatting>
  <conditionalFormatting sqref="J94:J95">
    <cfRule type="expression" dxfId="634" priority="886">
      <formula>$K94="CANCELADO"</formula>
    </cfRule>
    <cfRule type="expression" dxfId="633" priority="887">
      <formula>$K94="STAND-BY"</formula>
    </cfRule>
    <cfRule type="expression" dxfId="632" priority="888">
      <formula>$K94="AGUARDANDO APROVAÇÃO"</formula>
    </cfRule>
    <cfRule type="expression" dxfId="631" priority="889">
      <formula>$K94="OK"</formula>
    </cfRule>
    <cfRule type="expression" dxfId="630" priority="890">
      <formula>AND((TODAY()-$H94)&gt;0,$H94&lt;&gt;"",$I94="")=TRUE</formula>
    </cfRule>
  </conditionalFormatting>
  <conditionalFormatting sqref="H94:H95">
    <cfRule type="expression" dxfId="629" priority="881">
      <formula>$K94="CANCELADO"</formula>
    </cfRule>
    <cfRule type="expression" dxfId="628" priority="882">
      <formula>$K94="STAND-BY"</formula>
    </cfRule>
    <cfRule type="expression" dxfId="627" priority="883">
      <formula>$K94="AGUARDANDO APROVAÇÃO"</formula>
    </cfRule>
    <cfRule type="expression" dxfId="626" priority="884">
      <formula>$K94="OK"</formula>
    </cfRule>
    <cfRule type="expression" dxfId="625" priority="885">
      <formula>AND((TODAY()-$H94)&gt;0,$H94&lt;&gt;"",$I94="")=TRUE</formula>
    </cfRule>
  </conditionalFormatting>
  <conditionalFormatting sqref="S79:AI79">
    <cfRule type="expression" dxfId="624" priority="876">
      <formula>$K79="CANCELADO"</formula>
    </cfRule>
    <cfRule type="expression" dxfId="623" priority="877">
      <formula>$K79="STAND-BY"</formula>
    </cfRule>
    <cfRule type="expression" dxfId="622" priority="878">
      <formula>$K79="AGUARDANDO APROVAÇÃO"</formula>
    </cfRule>
    <cfRule type="expression" dxfId="621" priority="879">
      <formula>$K79="OK"</formula>
    </cfRule>
    <cfRule type="expression" dxfId="620" priority="880">
      <formula>AND((TODAY()-$H79)&gt;0,$H79&lt;&gt;"",$I79="")=TRUE</formula>
    </cfRule>
  </conditionalFormatting>
  <conditionalFormatting sqref="A79:H79 J79:R79">
    <cfRule type="expression" dxfId="619" priority="871">
      <formula>$K79="CANCELADO"</formula>
    </cfRule>
    <cfRule type="expression" dxfId="618" priority="872">
      <formula>$K79="STAND-BY"</formula>
    </cfRule>
    <cfRule type="expression" dxfId="617" priority="873">
      <formula>$K79="AGUARDANDO APROVAÇÃO"</formula>
    </cfRule>
    <cfRule type="expression" dxfId="616" priority="874">
      <formula>$K79="OK"</formula>
    </cfRule>
    <cfRule type="expression" dxfId="615" priority="875">
      <formula>AND((TODAY()-$H79)&gt;0,$H79&lt;&gt;"",$I79="")=TRUE</formula>
    </cfRule>
  </conditionalFormatting>
  <conditionalFormatting sqref="A80:H80 J80:R80">
    <cfRule type="expression" dxfId="614" priority="866">
      <formula>$K80="CANCELADO"</formula>
    </cfRule>
    <cfRule type="expression" dxfId="613" priority="867">
      <formula>$K80="STAND-BY"</formula>
    </cfRule>
    <cfRule type="expression" dxfId="612" priority="868">
      <formula>$K80="AGUARDANDO APROVAÇÃO"</formula>
    </cfRule>
    <cfRule type="expression" dxfId="611" priority="869">
      <formula>$K80="OK"</formula>
    </cfRule>
    <cfRule type="expression" dxfId="610" priority="870">
      <formula>AND((TODAY()-$H80)&gt;0,$H80&lt;&gt;"",$I80="")=TRUE</formula>
    </cfRule>
  </conditionalFormatting>
  <conditionalFormatting sqref="A81:H81 J81:R81">
    <cfRule type="expression" dxfId="609" priority="861">
      <formula>$K81="CANCELADO"</formula>
    </cfRule>
    <cfRule type="expression" dxfId="608" priority="862">
      <formula>$K81="STAND-BY"</formula>
    </cfRule>
    <cfRule type="expression" dxfId="607" priority="863">
      <formula>$K81="AGUARDANDO APROVAÇÃO"</formula>
    </cfRule>
    <cfRule type="expression" dxfId="606" priority="864">
      <formula>$K81="OK"</formula>
    </cfRule>
    <cfRule type="expression" dxfId="605" priority="865">
      <formula>AND((TODAY()-$H81)&gt;0,$H81&lt;&gt;"",$I81="")=TRUE</formula>
    </cfRule>
  </conditionalFormatting>
  <conditionalFormatting sqref="J82:R84 A82:H84">
    <cfRule type="expression" dxfId="604" priority="856">
      <formula>$K82="CANCELADO"</formula>
    </cfRule>
    <cfRule type="expression" dxfId="603" priority="857">
      <formula>$K82="STAND-BY"</formula>
    </cfRule>
    <cfRule type="expression" dxfId="602" priority="858">
      <formula>$K82="AGUARDANDO APROVAÇÃO"</formula>
    </cfRule>
    <cfRule type="expression" dxfId="601" priority="859">
      <formula>$K82="OK"</formula>
    </cfRule>
    <cfRule type="expression" dxfId="600" priority="860">
      <formula>AND((TODAY()-$H82)&gt;0,$H82&lt;&gt;"",$I82="")=TRUE</formula>
    </cfRule>
  </conditionalFormatting>
  <conditionalFormatting sqref="I79:I84">
    <cfRule type="expression" dxfId="599" priority="851">
      <formula>$K79="CANCELADO"</formula>
    </cfRule>
    <cfRule type="expression" dxfId="598" priority="852">
      <formula>$K79="STAND-BY"</formula>
    </cfRule>
    <cfRule type="expression" dxfId="597" priority="853">
      <formula>$K79="AGUARDANDO APROVAÇÃO"</formula>
    </cfRule>
    <cfRule type="expression" dxfId="596" priority="854">
      <formula>$K79="OK"</formula>
    </cfRule>
    <cfRule type="expression" dxfId="595" priority="855">
      <formula>AND((TODAY()-$H79)&gt;0,$H79&lt;&gt;"",$I79="")=TRUE</formula>
    </cfRule>
  </conditionalFormatting>
  <conditionalFormatting sqref="A96:G96 L96:O96 R96">
    <cfRule type="expression" dxfId="594" priority="846">
      <formula>$K96="CANCELADO"</formula>
    </cfRule>
    <cfRule type="expression" dxfId="593" priority="847">
      <formula>$K96="STAND-BY"</formula>
    </cfRule>
    <cfRule type="expression" dxfId="592" priority="848">
      <formula>$K96="AGUARDANDO APROVAÇÃO"</formula>
    </cfRule>
    <cfRule type="expression" dxfId="591" priority="849">
      <formula>$K96="OK"</formula>
    </cfRule>
    <cfRule type="expression" dxfId="590" priority="850">
      <formula>AND((TODAY()-$H96)&gt;0,$H96&lt;&gt;"",$I96="")=TRUE</formula>
    </cfRule>
  </conditionalFormatting>
  <conditionalFormatting sqref="J96">
    <cfRule type="expression" dxfId="589" priority="841">
      <formula>$K96="CANCELADO"</formula>
    </cfRule>
    <cfRule type="expression" dxfId="588" priority="842">
      <formula>$K96="STAND-BY"</formula>
    </cfRule>
    <cfRule type="expression" dxfId="587" priority="843">
      <formula>$K96="AGUARDANDO APROVAÇÃO"</formula>
    </cfRule>
    <cfRule type="expression" dxfId="586" priority="844">
      <formula>$K96="OK"</formula>
    </cfRule>
    <cfRule type="expression" dxfId="585" priority="845">
      <formula>AND((TODAY()-$H96)&gt;0,$H96&lt;&gt;"",$I96="")=TRUE</formula>
    </cfRule>
  </conditionalFormatting>
  <conditionalFormatting sqref="H96">
    <cfRule type="expression" dxfId="584" priority="836">
      <formula>$K96="CANCELADO"</formula>
    </cfRule>
    <cfRule type="expression" dxfId="583" priority="837">
      <formula>$K96="STAND-BY"</formula>
    </cfRule>
    <cfRule type="expression" dxfId="582" priority="838">
      <formula>$K96="AGUARDANDO APROVAÇÃO"</formula>
    </cfRule>
    <cfRule type="expression" dxfId="581" priority="839">
      <formula>$K96="OK"</formula>
    </cfRule>
    <cfRule type="expression" dxfId="580" priority="840">
      <formula>AND((TODAY()-$H96)&gt;0,$H96&lt;&gt;"",$I96="")=TRUE</formula>
    </cfRule>
  </conditionalFormatting>
  <conditionalFormatting sqref="A97:G97 L97:O97 R97">
    <cfRule type="expression" dxfId="579" priority="831">
      <formula>$K97="CANCELADO"</formula>
    </cfRule>
    <cfRule type="expression" dxfId="578" priority="832">
      <formula>$K97="STAND-BY"</formula>
    </cfRule>
    <cfRule type="expression" dxfId="577" priority="833">
      <formula>$K97="AGUARDANDO APROVAÇÃO"</formula>
    </cfRule>
    <cfRule type="expression" dxfId="576" priority="834">
      <formula>$K97="OK"</formula>
    </cfRule>
    <cfRule type="expression" dxfId="575" priority="835">
      <formula>AND((TODAY()-$H97)&gt;0,$H97&lt;&gt;"",$I97="")=TRUE</formula>
    </cfRule>
  </conditionalFormatting>
  <conditionalFormatting sqref="J97">
    <cfRule type="expression" dxfId="574" priority="826">
      <formula>$K97="CANCELADO"</formula>
    </cfRule>
    <cfRule type="expression" dxfId="573" priority="827">
      <formula>$K97="STAND-BY"</formula>
    </cfRule>
    <cfRule type="expression" dxfId="572" priority="828">
      <formula>$K97="AGUARDANDO APROVAÇÃO"</formula>
    </cfRule>
    <cfRule type="expression" dxfId="571" priority="829">
      <formula>$K97="OK"</formula>
    </cfRule>
    <cfRule type="expression" dxfId="570" priority="830">
      <formula>AND((TODAY()-$H97)&gt;0,$H97&lt;&gt;"",$I97="")=TRUE</formula>
    </cfRule>
  </conditionalFormatting>
  <conditionalFormatting sqref="H97">
    <cfRule type="expression" dxfId="569" priority="821">
      <formula>$K97="CANCELADO"</formula>
    </cfRule>
    <cfRule type="expression" dxfId="568" priority="822">
      <formula>$K97="STAND-BY"</formula>
    </cfRule>
    <cfRule type="expression" dxfId="567" priority="823">
      <formula>$K97="AGUARDANDO APROVAÇÃO"</formula>
    </cfRule>
    <cfRule type="expression" dxfId="566" priority="824">
      <formula>$K97="OK"</formula>
    </cfRule>
    <cfRule type="expression" dxfId="565" priority="825">
      <formula>AND((TODAY()-$H97)&gt;0,$H97&lt;&gt;"",$I97="")=TRUE</formula>
    </cfRule>
  </conditionalFormatting>
  <conditionalFormatting sqref="I93">
    <cfRule type="expression" dxfId="564" priority="786">
      <formula>$K93="CANCELADO"</formula>
    </cfRule>
    <cfRule type="expression" dxfId="563" priority="787">
      <formula>$K93="STAND-BY"</formula>
    </cfRule>
    <cfRule type="expression" dxfId="562" priority="788">
      <formula>$K93="AGUARDANDO APROVAÇÃO"</formula>
    </cfRule>
    <cfRule type="expression" dxfId="561" priority="789">
      <formula>$K93="OK"</formula>
    </cfRule>
    <cfRule type="expression" dxfId="560" priority="790">
      <formula>AND((TODAY()-$H93)&gt;0,$H93&lt;&gt;"",$I93="")=TRUE</formula>
    </cfRule>
  </conditionalFormatting>
  <conditionalFormatting sqref="I94:I95">
    <cfRule type="expression" dxfId="559" priority="781">
      <formula>$K94="CANCELADO"</formula>
    </cfRule>
    <cfRule type="expression" dxfId="558" priority="782">
      <formula>$K94="STAND-BY"</formula>
    </cfRule>
    <cfRule type="expression" dxfId="557" priority="783">
      <formula>$K94="AGUARDANDO APROVAÇÃO"</formula>
    </cfRule>
    <cfRule type="expression" dxfId="556" priority="784">
      <formula>$K94="OK"</formula>
    </cfRule>
    <cfRule type="expression" dxfId="555" priority="785">
      <formula>AND((TODAY()-$H94)&gt;0,$H94&lt;&gt;"",$I94="")=TRUE</formula>
    </cfRule>
  </conditionalFormatting>
  <conditionalFormatting sqref="I96">
    <cfRule type="expression" dxfId="554" priority="776">
      <formula>$K96="CANCELADO"</formula>
    </cfRule>
    <cfRule type="expression" dxfId="553" priority="777">
      <formula>$K96="STAND-BY"</formula>
    </cfRule>
    <cfRule type="expression" dxfId="552" priority="778">
      <formula>$K96="AGUARDANDO APROVAÇÃO"</formula>
    </cfRule>
    <cfRule type="expression" dxfId="551" priority="779">
      <formula>$K96="OK"</formula>
    </cfRule>
    <cfRule type="expression" dxfId="550" priority="780">
      <formula>AND((TODAY()-$H96)&gt;0,$H96&lt;&gt;"",$I96="")=TRUE</formula>
    </cfRule>
  </conditionalFormatting>
  <conditionalFormatting sqref="I97">
    <cfRule type="expression" dxfId="549" priority="771">
      <formula>$K97="CANCELADO"</formula>
    </cfRule>
    <cfRule type="expression" dxfId="548" priority="772">
      <formula>$K97="STAND-BY"</formula>
    </cfRule>
    <cfRule type="expression" dxfId="547" priority="773">
      <formula>$K97="AGUARDANDO APROVAÇÃO"</formula>
    </cfRule>
    <cfRule type="expression" dxfId="546" priority="774">
      <formula>$K97="OK"</formula>
    </cfRule>
    <cfRule type="expression" dxfId="545" priority="775">
      <formula>AND((TODAY()-$H97)&gt;0,$H97&lt;&gt;"",$I97="")=TRUE</formula>
    </cfRule>
  </conditionalFormatting>
  <conditionalFormatting sqref="A114:C114 E114:H114 J114:Q114">
    <cfRule type="expression" dxfId="544" priority="761">
      <formula>$K114="CANCELADO"</formula>
    </cfRule>
    <cfRule type="expression" dxfId="543" priority="762">
      <formula>$K114="STAND-BY"</formula>
    </cfRule>
    <cfRule type="expression" dxfId="542" priority="763">
      <formula>$K114="AGUARDANDO APROVAÇÃO"</formula>
    </cfRule>
    <cfRule type="expression" dxfId="541" priority="764">
      <formula>$K114="OK"</formula>
    </cfRule>
    <cfRule type="expression" dxfId="540" priority="765">
      <formula>AND((TODAY()-$H114)&gt;0,$H114&lt;&gt;"",$I114="")=TRUE</formula>
    </cfRule>
  </conditionalFormatting>
  <conditionalFormatting sqref="A115:R115">
    <cfRule type="expression" dxfId="539" priority="756">
      <formula>$K115="CANCELADO"</formula>
    </cfRule>
    <cfRule type="expression" dxfId="538" priority="757">
      <formula>$K115="STAND-BY"</formula>
    </cfRule>
    <cfRule type="expression" dxfId="537" priority="758">
      <formula>$K115="AGUARDANDO APROVAÇÃO"</formula>
    </cfRule>
    <cfRule type="expression" dxfId="536" priority="759">
      <formula>$K115="OK"</formula>
    </cfRule>
    <cfRule type="expression" dxfId="535" priority="760">
      <formula>AND((TODAY()-$H115)&gt;0,$H115&lt;&gt;"",$I115="")=TRUE</formula>
    </cfRule>
  </conditionalFormatting>
  <conditionalFormatting sqref="A85:G85 J85:R85">
    <cfRule type="expression" dxfId="534" priority="741">
      <formula>$K85="CANCELADO"</formula>
    </cfRule>
    <cfRule type="expression" dxfId="533" priority="742">
      <formula>$K85="STAND-BY"</formula>
    </cfRule>
    <cfRule type="expression" dxfId="532" priority="743">
      <formula>$K85="AGUARDANDO APROVAÇÃO"</formula>
    </cfRule>
    <cfRule type="expression" dxfId="531" priority="744">
      <formula>$K85="OK"</formula>
    </cfRule>
    <cfRule type="expression" dxfId="530" priority="745">
      <formula>AND((TODAY()-$H85)&gt;0,$H85&lt;&gt;"",$I85="")=TRUE</formula>
    </cfRule>
  </conditionalFormatting>
  <conditionalFormatting sqref="A126:R126">
    <cfRule type="expression" dxfId="529" priority="731">
      <formula>$K126="CANCELADO"</formula>
    </cfRule>
    <cfRule type="expression" dxfId="528" priority="732">
      <formula>$K126="STAND-BY"</formula>
    </cfRule>
    <cfRule type="expression" dxfId="527" priority="733">
      <formula>$K126="AGUARDANDO APROVAÇÃO"</formula>
    </cfRule>
    <cfRule type="expression" dxfId="526" priority="734">
      <formula>$K126="OK"</formula>
    </cfRule>
    <cfRule type="expression" dxfId="525" priority="735">
      <formula>AND((TODAY()-$H126)&gt;0,$H126&lt;&gt;"",$I126="")=TRUE</formula>
    </cfRule>
  </conditionalFormatting>
  <conditionalFormatting sqref="G127:I127">
    <cfRule type="expression" dxfId="524" priority="726">
      <formula>$K127="CANCELADO"</formula>
    </cfRule>
    <cfRule type="expression" dxfId="523" priority="727">
      <formula>$K127="STAND-BY"</formula>
    </cfRule>
    <cfRule type="expression" dxfId="522" priority="728">
      <formula>$K127="AGUARDANDO APROVAÇÃO"</formula>
    </cfRule>
    <cfRule type="expression" dxfId="521" priority="729">
      <formula>$K127="OK"</formula>
    </cfRule>
    <cfRule type="expression" dxfId="520" priority="730">
      <formula>AND((TODAY()-$H127)&gt;0,$H127&lt;&gt;"",$I127="")=TRUE</formula>
    </cfRule>
  </conditionalFormatting>
  <conditionalFormatting sqref="Q127:R127">
    <cfRule type="expression" dxfId="519" priority="721">
      <formula>$K127="CANCELADO"</formula>
    </cfRule>
    <cfRule type="expression" dxfId="518" priority="722">
      <formula>$K127="STAND-BY"</formula>
    </cfRule>
    <cfRule type="expression" dxfId="517" priority="723">
      <formula>$K127="AGUARDANDO APROVAÇÃO"</formula>
    </cfRule>
    <cfRule type="expression" dxfId="516" priority="724">
      <formula>$K127="OK"</formula>
    </cfRule>
    <cfRule type="expression" dxfId="515" priority="725">
      <formula>AND((TODAY()-$H127)&gt;0,$H127&lt;&gt;"",$I127="")=TRUE</formula>
    </cfRule>
  </conditionalFormatting>
  <conditionalFormatting sqref="B119">
    <cfRule type="expression" dxfId="514" priority="716">
      <formula>$K119="CANCELADO"</formula>
    </cfRule>
    <cfRule type="expression" dxfId="513" priority="717">
      <formula>$K119="STAND-BY"</formula>
    </cfRule>
    <cfRule type="expression" dxfId="512" priority="718">
      <formula>$K119="AGUARDANDO APROVAÇÃO"</formula>
    </cfRule>
    <cfRule type="expression" dxfId="511" priority="719">
      <formula>$K119="OK"</formula>
    </cfRule>
    <cfRule type="expression" dxfId="510" priority="720">
      <formula>AND((TODAY()-$H119)&gt;0,$H119&lt;&gt;"",$I119="")=TRUE</formula>
    </cfRule>
  </conditionalFormatting>
  <conditionalFormatting sqref="B118">
    <cfRule type="expression" dxfId="509" priority="711">
      <formula>$K118="CANCELADO"</formula>
    </cfRule>
    <cfRule type="expression" dxfId="508" priority="712">
      <formula>$K118="STAND-BY"</formula>
    </cfRule>
    <cfRule type="expression" dxfId="507" priority="713">
      <formula>$K118="AGUARDANDO APROVAÇÃO"</formula>
    </cfRule>
    <cfRule type="expression" dxfId="506" priority="714">
      <formula>$K118="OK"</formula>
    </cfRule>
    <cfRule type="expression" dxfId="505" priority="715">
      <formula>AND((TODAY()-$H118)&gt;0,$H118&lt;&gt;"",$I118="")=TRUE</formula>
    </cfRule>
  </conditionalFormatting>
  <conditionalFormatting sqref="H85:I85">
    <cfRule type="expression" dxfId="504" priority="696">
      <formula>$K85="CANCELADO"</formula>
    </cfRule>
    <cfRule type="expression" dxfId="503" priority="697">
      <formula>$K85="STAND-BY"</formula>
    </cfRule>
    <cfRule type="expression" dxfId="502" priority="698">
      <formula>$K85="AGUARDANDO APROVAÇÃO"</formula>
    </cfRule>
    <cfRule type="expression" dxfId="501" priority="699">
      <formula>$K85="OK"</formula>
    </cfRule>
    <cfRule type="expression" dxfId="500" priority="700">
      <formula>AND((TODAY()-$H85)&gt;0,$H85&lt;&gt;"",$I85="")=TRUE</formula>
    </cfRule>
  </conditionalFormatting>
  <conditionalFormatting sqref="A99:R99">
    <cfRule type="expression" dxfId="499" priority="691">
      <formula>$K99="CANCELADO"</formula>
    </cfRule>
    <cfRule type="expression" dxfId="498" priority="692">
      <formula>$K99="STAND-BY"</formula>
    </cfRule>
    <cfRule type="expression" dxfId="497" priority="693">
      <formula>$K99="AGUARDANDO APROVAÇÃO"</formula>
    </cfRule>
    <cfRule type="expression" dxfId="496" priority="694">
      <formula>$K99="OK"</formula>
    </cfRule>
    <cfRule type="expression" dxfId="495" priority="695">
      <formula>AND((TODAY()-$H99)&gt;0,$H99&lt;&gt;"",$I99="")=TRUE</formula>
    </cfRule>
  </conditionalFormatting>
  <conditionalFormatting sqref="A131:R131">
    <cfRule type="expression" dxfId="494" priority="641">
      <formula>$K131="CANCELADO"</formula>
    </cfRule>
    <cfRule type="expression" dxfId="493" priority="642">
      <formula>$K131="STAND-BY"</formula>
    </cfRule>
    <cfRule type="expression" dxfId="492" priority="643">
      <formula>$K131="AGUARDANDO APROVAÇÃO"</formula>
    </cfRule>
    <cfRule type="expression" dxfId="491" priority="644">
      <formula>$K131="OK"</formula>
    </cfRule>
    <cfRule type="expression" dxfId="490" priority="645">
      <formula>AND((TODAY()-$H131)&gt;0,$H131&lt;&gt;"",$I131="")=TRUE</formula>
    </cfRule>
  </conditionalFormatting>
  <conditionalFormatting sqref="A132:R132 A133:P133 A137:R137 B139:R139 A142:R142 A144 A140:R140 J144:N144">
    <cfRule type="expression" dxfId="489" priority="611">
      <formula>$K132="CANCELADO"</formula>
    </cfRule>
    <cfRule type="expression" dxfId="488" priority="612">
      <formula>$K132="STAND-BY"</formula>
    </cfRule>
    <cfRule type="expression" dxfId="487" priority="613">
      <formula>$K132="AGUARDANDO APROVAÇÃO"</formula>
    </cfRule>
    <cfRule type="expression" dxfId="486" priority="614">
      <formula>$K132="OK"</formula>
    </cfRule>
    <cfRule type="expression" dxfId="485" priority="615">
      <formula>AND((TODAY()-$H132)&gt;0,$H132&lt;&gt;"",$I132="")=TRUE</formula>
    </cfRule>
  </conditionalFormatting>
  <conditionalFormatting sqref="A143 A145 A141:R141 F143:R143 G145:N145">
    <cfRule type="expression" dxfId="484" priority="616">
      <formula>$K141="CANCELADO"</formula>
    </cfRule>
    <cfRule type="expression" dxfId="483" priority="617">
      <formula>$K141="STAND-BY"</formula>
    </cfRule>
    <cfRule type="expression" dxfId="482" priority="618">
      <formula>$K141="AGUARDANDO APROVAÇÃO"</formula>
    </cfRule>
    <cfRule type="expression" dxfId="481" priority="619">
      <formula>$K141="OK"</formula>
    </cfRule>
    <cfRule type="expression" dxfId="480" priority="620">
      <formula>AND((TODAY()-$H141)&gt;0,$H141&lt;&gt;"",$I141="")=TRUE</formula>
    </cfRule>
  </conditionalFormatting>
  <conditionalFormatting sqref="A134:O134 A135:H135 J135:O135">
    <cfRule type="expression" dxfId="479" priority="606">
      <formula>$K134="CANCELADO"</formula>
    </cfRule>
    <cfRule type="expression" dxfId="478" priority="607">
      <formula>$K134="STAND-BY"</formula>
    </cfRule>
    <cfRule type="expression" dxfId="477" priority="608">
      <formula>$K134="AGUARDANDO APROVAÇÃO"</formula>
    </cfRule>
    <cfRule type="expression" dxfId="476" priority="609">
      <formula>$K134="OK"</formula>
    </cfRule>
    <cfRule type="expression" dxfId="475" priority="610">
      <formula>AND((TODAY()-$H134)&gt;0,$H134&lt;&gt;"",$I134="")=TRUE</formula>
    </cfRule>
  </conditionalFormatting>
  <conditionalFormatting sqref="A136:H136 J136:O136">
    <cfRule type="expression" dxfId="474" priority="601">
      <formula>$K136="CANCELADO"</formula>
    </cfRule>
    <cfRule type="expression" dxfId="473" priority="602">
      <formula>$K136="STAND-BY"</formula>
    </cfRule>
    <cfRule type="expression" dxfId="472" priority="603">
      <formula>$K136="AGUARDANDO APROVAÇÃO"</formula>
    </cfRule>
    <cfRule type="expression" dxfId="471" priority="604">
      <formula>$K136="OK"</formula>
    </cfRule>
    <cfRule type="expression" dxfId="470" priority="605">
      <formula>AND((TODAY()-$H136)&gt;0,$H136&lt;&gt;"",$I136="")=TRUE</formula>
    </cfRule>
  </conditionalFormatting>
  <conditionalFormatting sqref="E100">
    <cfRule type="expression" dxfId="469" priority="596">
      <formula>$K100="CANCELADO"</formula>
    </cfRule>
    <cfRule type="expression" dxfId="468" priority="597">
      <formula>$K100="STAND-BY"</formula>
    </cfRule>
    <cfRule type="expression" dxfId="467" priority="598">
      <formula>$K100="AGUARDANDO APROVAÇÃO"</formula>
    </cfRule>
    <cfRule type="expression" dxfId="466" priority="599">
      <formula>$K100="OK"</formula>
    </cfRule>
    <cfRule type="expression" dxfId="465" priority="600">
      <formula>AND((TODAY()-$H100)&gt;0,$H100&lt;&gt;"",$I100="")=TRUE</formula>
    </cfRule>
  </conditionalFormatting>
  <conditionalFormatting sqref="A138:R138">
    <cfRule type="expression" dxfId="464" priority="591">
      <formula>$K138="CANCELADO"</formula>
    </cfRule>
    <cfRule type="expression" dxfId="463" priority="592">
      <formula>$K138="STAND-BY"</formula>
    </cfRule>
    <cfRule type="expression" dxfId="462" priority="593">
      <formula>$K138="AGUARDANDO APROVAÇÃO"</formula>
    </cfRule>
    <cfRule type="expression" dxfId="461" priority="594">
      <formula>$K138="OK"</formula>
    </cfRule>
    <cfRule type="expression" dxfId="460" priority="595">
      <formula>AND((TODAY()-$H138)&gt;0,$H138&lt;&gt;"",$I138="")=TRUE</formula>
    </cfRule>
  </conditionalFormatting>
  <conditionalFormatting sqref="I114">
    <cfRule type="expression" dxfId="459" priority="561">
      <formula>$K114="CANCELADO"</formula>
    </cfRule>
    <cfRule type="expression" dxfId="458" priority="562">
      <formula>$K114="STAND-BY"</formula>
    </cfRule>
    <cfRule type="expression" dxfId="457" priority="563">
      <formula>$K114="AGUARDANDO APROVAÇÃO"</formula>
    </cfRule>
    <cfRule type="expression" dxfId="456" priority="564">
      <formula>$K114="OK"</formula>
    </cfRule>
    <cfRule type="expression" dxfId="455" priority="565">
      <formula>AND((TODAY()-$H114)&gt;0,$H114&lt;&gt;"",$I114="")=TRUE</formula>
    </cfRule>
  </conditionalFormatting>
  <conditionalFormatting sqref="A139">
    <cfRule type="expression" dxfId="454" priority="571">
      <formula>$K139="CANCELADO"</formula>
    </cfRule>
    <cfRule type="expression" dxfId="453" priority="572">
      <formula>$K139="STAND-BY"</formula>
    </cfRule>
    <cfRule type="expression" dxfId="452" priority="573">
      <formula>$K139="AGUARDANDO APROVAÇÃO"</formula>
    </cfRule>
    <cfRule type="expression" dxfId="451" priority="574">
      <formula>$K139="OK"</formula>
    </cfRule>
    <cfRule type="expression" dxfId="450" priority="575">
      <formula>AND((TODAY()-$H139)&gt;0,$H139&lt;&gt;"",$I139="")=TRUE</formula>
    </cfRule>
  </conditionalFormatting>
  <conditionalFormatting sqref="I113">
    <cfRule type="expression" dxfId="449" priority="566">
      <formula>$K113="CANCELADO"</formula>
    </cfRule>
    <cfRule type="expression" dxfId="448" priority="567">
      <formula>$K113="STAND-BY"</formula>
    </cfRule>
    <cfRule type="expression" dxfId="447" priority="568">
      <formula>$K113="AGUARDANDO APROVAÇÃO"</formula>
    </cfRule>
    <cfRule type="expression" dxfId="446" priority="569">
      <formula>$K113="OK"</formula>
    </cfRule>
    <cfRule type="expression" dxfId="445" priority="570">
      <formula>AND((TODAY()-$H113)&gt;0,$H113&lt;&gt;"",$I113="")=TRUE</formula>
    </cfRule>
  </conditionalFormatting>
  <conditionalFormatting sqref="A101:D101 F101:H101 Q101 J101 L101:N101">
    <cfRule type="expression" dxfId="444" priority="521">
      <formula>$K101="CANCELADO"</formula>
    </cfRule>
    <cfRule type="expression" dxfId="443" priority="522">
      <formula>$K101="STAND-BY"</formula>
    </cfRule>
    <cfRule type="expression" dxfId="442" priority="523">
      <formula>$K101="AGUARDANDO APROVAÇÃO"</formula>
    </cfRule>
    <cfRule type="expression" dxfId="441" priority="524">
      <formula>$K101="OK"</formula>
    </cfRule>
    <cfRule type="expression" dxfId="440" priority="525">
      <formula>AND((TODAY()-$H101)&gt;0,$H101&lt;&gt;"",$I101="")=TRUE</formula>
    </cfRule>
  </conditionalFormatting>
  <conditionalFormatting sqref="E101">
    <cfRule type="expression" dxfId="439" priority="516">
      <formula>$K101="CANCELADO"</formula>
    </cfRule>
    <cfRule type="expression" dxfId="438" priority="517">
      <formula>$K101="STAND-BY"</formula>
    </cfRule>
    <cfRule type="expression" dxfId="437" priority="518">
      <formula>$K101="AGUARDANDO APROVAÇÃO"</formula>
    </cfRule>
    <cfRule type="expression" dxfId="436" priority="519">
      <formula>$K101="OK"</formula>
    </cfRule>
    <cfRule type="expression" dxfId="435" priority="520">
      <formula>AND((TODAY()-$H101)&gt;0,$H101&lt;&gt;"",$I101="")=TRUE</formula>
    </cfRule>
  </conditionalFormatting>
  <conditionalFormatting sqref="O101">
    <cfRule type="expression" dxfId="434" priority="511">
      <formula>$K101="CANCELADO"</formula>
    </cfRule>
    <cfRule type="expression" dxfId="433" priority="512">
      <formula>$K101="STAND-BY"</formula>
    </cfRule>
    <cfRule type="expression" dxfId="432" priority="513">
      <formula>$K101="AGUARDANDO APROVAÇÃO"</formula>
    </cfRule>
    <cfRule type="expression" dxfId="431" priority="514">
      <formula>$K101="OK"</formula>
    </cfRule>
    <cfRule type="expression" dxfId="430" priority="515">
      <formula>AND((TODAY()-$H101)&gt;0,$H101&lt;&gt;"",$I101="")=TRUE</formula>
    </cfRule>
  </conditionalFormatting>
  <conditionalFormatting sqref="P101">
    <cfRule type="expression" dxfId="429" priority="506">
      <formula>$K101="CANCELADO"</formula>
    </cfRule>
    <cfRule type="expression" dxfId="428" priority="507">
      <formula>$K101="STAND-BY"</formula>
    </cfRule>
    <cfRule type="expression" dxfId="427" priority="508">
      <formula>$K101="AGUARDANDO APROVAÇÃO"</formula>
    </cfRule>
    <cfRule type="expression" dxfId="426" priority="509">
      <formula>$K101="OK"</formula>
    </cfRule>
    <cfRule type="expression" dxfId="425" priority="510">
      <formula>AND((TODAY()-$H101)&gt;0,$H101&lt;&gt;"",$I101="")=TRUE</formula>
    </cfRule>
  </conditionalFormatting>
  <conditionalFormatting sqref="R101">
    <cfRule type="expression" dxfId="424" priority="501">
      <formula>$K101="CANCELADO"</formula>
    </cfRule>
    <cfRule type="expression" dxfId="423" priority="502">
      <formula>$K101="STAND-BY"</formula>
    </cfRule>
    <cfRule type="expression" dxfId="422" priority="503">
      <formula>$K101="AGUARDANDO APROVAÇÃO"</formula>
    </cfRule>
    <cfRule type="expression" dxfId="421" priority="504">
      <formula>$K101="OK"</formula>
    </cfRule>
    <cfRule type="expression" dxfId="420" priority="505">
      <formula>AND((TODAY()-$H101)&gt;0,$H101&lt;&gt;"",$I101="")=TRUE</formula>
    </cfRule>
  </conditionalFormatting>
  <conditionalFormatting sqref="A102:D102 F102:H102 J102 L102:R102">
    <cfRule type="expression" dxfId="419" priority="496">
      <formula>$K102="CANCELADO"</formula>
    </cfRule>
    <cfRule type="expression" dxfId="418" priority="497">
      <formula>$K102="STAND-BY"</formula>
    </cfRule>
    <cfRule type="expression" dxfId="417" priority="498">
      <formula>$K102="AGUARDANDO APROVAÇÃO"</formula>
    </cfRule>
    <cfRule type="expression" dxfId="416" priority="499">
      <formula>$K102="OK"</formula>
    </cfRule>
    <cfRule type="expression" dxfId="415" priority="500">
      <formula>AND((TODAY()-$H102)&gt;0,$H102&lt;&gt;"",$I102="")=TRUE</formula>
    </cfRule>
  </conditionalFormatting>
  <conditionalFormatting sqref="E102">
    <cfRule type="expression" dxfId="414" priority="491">
      <formula>$K102="CANCELADO"</formula>
    </cfRule>
    <cfRule type="expression" dxfId="413" priority="492">
      <formula>$K102="STAND-BY"</formula>
    </cfRule>
    <cfRule type="expression" dxfId="412" priority="493">
      <formula>$K102="AGUARDANDO APROVAÇÃO"</formula>
    </cfRule>
    <cfRule type="expression" dxfId="411" priority="494">
      <formula>$K102="OK"</formula>
    </cfRule>
    <cfRule type="expression" dxfId="410" priority="495">
      <formula>AND((TODAY()-$H102)&gt;0,$H102&lt;&gt;"",$I102="")=TRUE</formula>
    </cfRule>
  </conditionalFormatting>
  <conditionalFormatting sqref="A103:D103 F103:G103 Q103 J103 L103:N103">
    <cfRule type="expression" dxfId="409" priority="486">
      <formula>$K103="CANCELADO"</formula>
    </cfRule>
    <cfRule type="expression" dxfId="408" priority="487">
      <formula>$K103="STAND-BY"</formula>
    </cfRule>
    <cfRule type="expression" dxfId="407" priority="488">
      <formula>$K103="AGUARDANDO APROVAÇÃO"</formula>
    </cfRule>
    <cfRule type="expression" dxfId="406" priority="489">
      <formula>$K103="OK"</formula>
    </cfRule>
    <cfRule type="expression" dxfId="405" priority="490">
      <formula>AND((TODAY()-$H103)&gt;0,$H103&lt;&gt;"",$I103="")=TRUE</formula>
    </cfRule>
  </conditionalFormatting>
  <conditionalFormatting sqref="E103">
    <cfRule type="expression" dxfId="404" priority="481">
      <formula>$K103="CANCELADO"</formula>
    </cfRule>
    <cfRule type="expression" dxfId="403" priority="482">
      <formula>$K103="STAND-BY"</formula>
    </cfRule>
    <cfRule type="expression" dxfId="402" priority="483">
      <formula>$K103="AGUARDANDO APROVAÇÃO"</formula>
    </cfRule>
    <cfRule type="expression" dxfId="401" priority="484">
      <formula>$K103="OK"</formula>
    </cfRule>
    <cfRule type="expression" dxfId="400" priority="485">
      <formula>AND((TODAY()-$H103)&gt;0,$H103&lt;&gt;"",$I103="")=TRUE</formula>
    </cfRule>
  </conditionalFormatting>
  <conditionalFormatting sqref="O103">
    <cfRule type="expression" dxfId="399" priority="476">
      <formula>$K103="CANCELADO"</formula>
    </cfRule>
    <cfRule type="expression" dxfId="398" priority="477">
      <formula>$K103="STAND-BY"</formula>
    </cfRule>
    <cfRule type="expression" dxfId="397" priority="478">
      <formula>$K103="AGUARDANDO APROVAÇÃO"</formula>
    </cfRule>
    <cfRule type="expression" dxfId="396" priority="479">
      <formula>$K103="OK"</formula>
    </cfRule>
    <cfRule type="expression" dxfId="395" priority="480">
      <formula>AND((TODAY()-$H103)&gt;0,$H103&lt;&gt;"",$I103="")=TRUE</formula>
    </cfRule>
  </conditionalFormatting>
  <conditionalFormatting sqref="P103">
    <cfRule type="expression" dxfId="394" priority="471">
      <formula>$K103="CANCELADO"</formula>
    </cfRule>
    <cfRule type="expression" dxfId="393" priority="472">
      <formula>$K103="STAND-BY"</formula>
    </cfRule>
    <cfRule type="expression" dxfId="392" priority="473">
      <formula>$K103="AGUARDANDO APROVAÇÃO"</formula>
    </cfRule>
    <cfRule type="expression" dxfId="391" priority="474">
      <formula>$K103="OK"</formula>
    </cfRule>
    <cfRule type="expression" dxfId="390" priority="475">
      <formula>AND((TODAY()-$H103)&gt;0,$H103&lt;&gt;"",$I103="")=TRUE</formula>
    </cfRule>
  </conditionalFormatting>
  <conditionalFormatting sqref="R103">
    <cfRule type="expression" dxfId="389" priority="466">
      <formula>$K103="CANCELADO"</formula>
    </cfRule>
    <cfRule type="expression" dxfId="388" priority="467">
      <formula>$K103="STAND-BY"</formula>
    </cfRule>
    <cfRule type="expression" dxfId="387" priority="468">
      <formula>$K103="AGUARDANDO APROVAÇÃO"</formula>
    </cfRule>
    <cfRule type="expression" dxfId="386" priority="469">
      <formula>$K103="OK"</formula>
    </cfRule>
    <cfRule type="expression" dxfId="385" priority="470">
      <formula>AND((TODAY()-$H103)&gt;0,$H103&lt;&gt;"",$I103="")=TRUE</formula>
    </cfRule>
  </conditionalFormatting>
  <conditionalFormatting sqref="H103">
    <cfRule type="expression" dxfId="384" priority="461">
      <formula>$K103="CANCELADO"</formula>
    </cfRule>
    <cfRule type="expression" dxfId="383" priority="462">
      <formula>$K103="STAND-BY"</formula>
    </cfRule>
    <cfRule type="expression" dxfId="382" priority="463">
      <formula>$K103="AGUARDANDO APROVAÇÃO"</formula>
    </cfRule>
    <cfRule type="expression" dxfId="381" priority="464">
      <formula>$K103="OK"</formula>
    </cfRule>
    <cfRule type="expression" dxfId="380" priority="465">
      <formula>AND((TODAY()-$H103)&gt;0,$H103&lt;&gt;"",$I103="")=TRUE</formula>
    </cfRule>
  </conditionalFormatting>
  <conditionalFormatting sqref="A104:D104 F104:H104 J104 L104:R104">
    <cfRule type="expression" dxfId="379" priority="456">
      <formula>$K104="CANCELADO"</formula>
    </cfRule>
    <cfRule type="expression" dxfId="378" priority="457">
      <formula>$K104="STAND-BY"</formula>
    </cfRule>
    <cfRule type="expression" dxfId="377" priority="458">
      <formula>$K104="AGUARDANDO APROVAÇÃO"</formula>
    </cfRule>
    <cfRule type="expression" dxfId="376" priority="459">
      <formula>$K104="OK"</formula>
    </cfRule>
    <cfRule type="expression" dxfId="375" priority="460">
      <formula>AND((TODAY()-$H104)&gt;0,$H104&lt;&gt;"",$I104="")=TRUE</formula>
    </cfRule>
  </conditionalFormatting>
  <conditionalFormatting sqref="E104">
    <cfRule type="expression" dxfId="374" priority="451">
      <formula>$K104="CANCELADO"</formula>
    </cfRule>
    <cfRule type="expression" dxfId="373" priority="452">
      <formula>$K104="STAND-BY"</formula>
    </cfRule>
    <cfRule type="expression" dxfId="372" priority="453">
      <formula>$K104="AGUARDANDO APROVAÇÃO"</formula>
    </cfRule>
    <cfRule type="expression" dxfId="371" priority="454">
      <formula>$K104="OK"</formula>
    </cfRule>
    <cfRule type="expression" dxfId="370" priority="455">
      <formula>AND((TODAY()-$H104)&gt;0,$H104&lt;&gt;"",$I104="")=TRUE</formula>
    </cfRule>
  </conditionalFormatting>
  <conditionalFormatting sqref="A105:D105 F105:G105 Q105 J105 L105:N105">
    <cfRule type="expression" dxfId="369" priority="446">
      <formula>$K105="CANCELADO"</formula>
    </cfRule>
    <cfRule type="expression" dxfId="368" priority="447">
      <formula>$K105="STAND-BY"</formula>
    </cfRule>
    <cfRule type="expression" dxfId="367" priority="448">
      <formula>$K105="AGUARDANDO APROVAÇÃO"</formula>
    </cfRule>
    <cfRule type="expression" dxfId="366" priority="449">
      <formula>$K105="OK"</formula>
    </cfRule>
    <cfRule type="expression" dxfId="365" priority="450">
      <formula>AND((TODAY()-$H105)&gt;0,$H105&lt;&gt;"",$I105="")=TRUE</formula>
    </cfRule>
  </conditionalFormatting>
  <conditionalFormatting sqref="E105">
    <cfRule type="expression" dxfId="364" priority="441">
      <formula>$K105="CANCELADO"</formula>
    </cfRule>
    <cfRule type="expression" dxfId="363" priority="442">
      <formula>$K105="STAND-BY"</formula>
    </cfRule>
    <cfRule type="expression" dxfId="362" priority="443">
      <formula>$K105="AGUARDANDO APROVAÇÃO"</formula>
    </cfRule>
    <cfRule type="expression" dxfId="361" priority="444">
      <formula>$K105="OK"</formula>
    </cfRule>
    <cfRule type="expression" dxfId="360" priority="445">
      <formula>AND((TODAY()-$H105)&gt;0,$H105&lt;&gt;"",$I105="")=TRUE</formula>
    </cfRule>
  </conditionalFormatting>
  <conditionalFormatting sqref="O105">
    <cfRule type="expression" dxfId="359" priority="436">
      <formula>$K105="CANCELADO"</formula>
    </cfRule>
    <cfRule type="expression" dxfId="358" priority="437">
      <formula>$K105="STAND-BY"</formula>
    </cfRule>
    <cfRule type="expression" dxfId="357" priority="438">
      <formula>$K105="AGUARDANDO APROVAÇÃO"</formula>
    </cfRule>
    <cfRule type="expression" dxfId="356" priority="439">
      <formula>$K105="OK"</formula>
    </cfRule>
    <cfRule type="expression" dxfId="355" priority="440">
      <formula>AND((TODAY()-$H105)&gt;0,$H105&lt;&gt;"",$I105="")=TRUE</formula>
    </cfRule>
  </conditionalFormatting>
  <conditionalFormatting sqref="P105">
    <cfRule type="expression" dxfId="354" priority="431">
      <formula>$K105="CANCELADO"</formula>
    </cfRule>
    <cfRule type="expression" dxfId="353" priority="432">
      <formula>$K105="STAND-BY"</formula>
    </cfRule>
    <cfRule type="expression" dxfId="352" priority="433">
      <formula>$K105="AGUARDANDO APROVAÇÃO"</formula>
    </cfRule>
    <cfRule type="expression" dxfId="351" priority="434">
      <formula>$K105="OK"</formula>
    </cfRule>
    <cfRule type="expression" dxfId="350" priority="435">
      <formula>AND((TODAY()-$H105)&gt;0,$H105&lt;&gt;"",$I105="")=TRUE</formula>
    </cfRule>
  </conditionalFormatting>
  <conditionalFormatting sqref="R105">
    <cfRule type="expression" dxfId="349" priority="426">
      <formula>$K105="CANCELADO"</formula>
    </cfRule>
    <cfRule type="expression" dxfId="348" priority="427">
      <formula>$K105="STAND-BY"</formula>
    </cfRule>
    <cfRule type="expression" dxfId="347" priority="428">
      <formula>$K105="AGUARDANDO APROVAÇÃO"</formula>
    </cfRule>
    <cfRule type="expression" dxfId="346" priority="429">
      <formula>$K105="OK"</formula>
    </cfRule>
    <cfRule type="expression" dxfId="345" priority="430">
      <formula>AND((TODAY()-$H105)&gt;0,$H105&lt;&gt;"",$I105="")=TRUE</formula>
    </cfRule>
  </conditionalFormatting>
  <conditionalFormatting sqref="H105">
    <cfRule type="expression" dxfId="344" priority="421">
      <formula>$K105="CANCELADO"</formula>
    </cfRule>
    <cfRule type="expression" dxfId="343" priority="422">
      <formula>$K105="STAND-BY"</formula>
    </cfRule>
    <cfRule type="expression" dxfId="342" priority="423">
      <formula>$K105="AGUARDANDO APROVAÇÃO"</formula>
    </cfRule>
    <cfRule type="expression" dxfId="341" priority="424">
      <formula>$K105="OK"</formula>
    </cfRule>
    <cfRule type="expression" dxfId="340" priority="425">
      <formula>AND((TODAY()-$H105)&gt;0,$H105&lt;&gt;"",$I105="")=TRUE</formula>
    </cfRule>
  </conditionalFormatting>
  <conditionalFormatting sqref="B143">
    <cfRule type="expression" dxfId="339" priority="416">
      <formula>$K143="CANCELADO"</formula>
    </cfRule>
    <cfRule type="expression" dxfId="338" priority="417">
      <formula>$K143="STAND-BY"</formula>
    </cfRule>
    <cfRule type="expression" dxfId="337" priority="418">
      <formula>$K143="AGUARDANDO APROVAÇÃO"</formula>
    </cfRule>
    <cfRule type="expression" dxfId="336" priority="419">
      <formula>$K143="OK"</formula>
    </cfRule>
    <cfRule type="expression" dxfId="335" priority="420">
      <formula>AND((TODAY()-$H143)&gt;0,$H143&lt;&gt;"",$I143="")=TRUE</formula>
    </cfRule>
  </conditionalFormatting>
  <conditionalFormatting sqref="C143">
    <cfRule type="expression" dxfId="334" priority="411">
      <formula>$K143="CANCELADO"</formula>
    </cfRule>
    <cfRule type="expression" dxfId="333" priority="412">
      <formula>$K143="STAND-BY"</formula>
    </cfRule>
    <cfRule type="expression" dxfId="332" priority="413">
      <formula>$K143="AGUARDANDO APROVAÇÃO"</formula>
    </cfRule>
    <cfRule type="expression" dxfId="331" priority="414">
      <formula>$K143="OK"</formula>
    </cfRule>
    <cfRule type="expression" dxfId="330" priority="415">
      <formula>AND((TODAY()-$H143)&gt;0,$H143&lt;&gt;"",$I143="")=TRUE</formula>
    </cfRule>
  </conditionalFormatting>
  <conditionalFormatting sqref="D143">
    <cfRule type="expression" dxfId="329" priority="406">
      <formula>$K143="CANCELADO"</formula>
    </cfRule>
    <cfRule type="expression" dxfId="328" priority="407">
      <formula>$K143="STAND-BY"</formula>
    </cfRule>
    <cfRule type="expression" dxfId="327" priority="408">
      <formula>$K143="AGUARDANDO APROVAÇÃO"</formula>
    </cfRule>
    <cfRule type="expression" dxfId="326" priority="409">
      <formula>$K143="OK"</formula>
    </cfRule>
    <cfRule type="expression" dxfId="325" priority="410">
      <formula>AND((TODAY()-$H143)&gt;0,$H143&lt;&gt;"",$I143="")=TRUE</formula>
    </cfRule>
  </conditionalFormatting>
  <conditionalFormatting sqref="E143">
    <cfRule type="expression" dxfId="324" priority="401">
      <formula>$K143="CANCELADO"</formula>
    </cfRule>
    <cfRule type="expression" dxfId="323" priority="402">
      <formula>$K143="STAND-BY"</formula>
    </cfRule>
    <cfRule type="expression" dxfId="322" priority="403">
      <formula>$K143="AGUARDANDO APROVAÇÃO"</formula>
    </cfRule>
    <cfRule type="expression" dxfId="321" priority="404">
      <formula>$K143="OK"</formula>
    </cfRule>
    <cfRule type="expression" dxfId="320" priority="405">
      <formula>AND((TODAY()-$H143)&gt;0,$H143&lt;&gt;"",$I143="")=TRUE</formula>
    </cfRule>
  </conditionalFormatting>
  <conditionalFormatting sqref="F144:I144">
    <cfRule type="expression" dxfId="319" priority="396">
      <formula>$K144="CANCELADO"</formula>
    </cfRule>
    <cfRule type="expression" dxfId="318" priority="397">
      <formula>$K144="STAND-BY"</formula>
    </cfRule>
    <cfRule type="expression" dxfId="317" priority="398">
      <formula>$K144="AGUARDANDO APROVAÇÃO"</formula>
    </cfRule>
    <cfRule type="expression" dxfId="316" priority="399">
      <formula>$K144="OK"</formula>
    </cfRule>
    <cfRule type="expression" dxfId="315" priority="400">
      <formula>AND((TODAY()-$H144)&gt;0,$H144&lt;&gt;"",$I144="")=TRUE</formula>
    </cfRule>
  </conditionalFormatting>
  <conditionalFormatting sqref="B144">
    <cfRule type="expression" dxfId="314" priority="391">
      <formula>$K144="CANCELADO"</formula>
    </cfRule>
    <cfRule type="expression" dxfId="313" priority="392">
      <formula>$K144="STAND-BY"</formula>
    </cfRule>
    <cfRule type="expression" dxfId="312" priority="393">
      <formula>$K144="AGUARDANDO APROVAÇÃO"</formula>
    </cfRule>
    <cfRule type="expression" dxfId="311" priority="394">
      <formula>$K144="OK"</formula>
    </cfRule>
    <cfRule type="expression" dxfId="310" priority="395">
      <formula>AND((TODAY()-$H144)&gt;0,$H144&lt;&gt;"",$I144="")=TRUE</formula>
    </cfRule>
  </conditionalFormatting>
  <conditionalFormatting sqref="C144">
    <cfRule type="expression" dxfId="309" priority="386">
      <formula>$K144="CANCELADO"</formula>
    </cfRule>
    <cfRule type="expression" dxfId="308" priority="387">
      <formula>$K144="STAND-BY"</formula>
    </cfRule>
    <cfRule type="expression" dxfId="307" priority="388">
      <formula>$K144="AGUARDANDO APROVAÇÃO"</formula>
    </cfRule>
    <cfRule type="expression" dxfId="306" priority="389">
      <formula>$K144="OK"</formula>
    </cfRule>
    <cfRule type="expression" dxfId="305" priority="390">
      <formula>AND((TODAY()-$H144)&gt;0,$H144&lt;&gt;"",$I144="")=TRUE</formula>
    </cfRule>
  </conditionalFormatting>
  <conditionalFormatting sqref="D144">
    <cfRule type="expression" dxfId="304" priority="381">
      <formula>$K144="CANCELADO"</formula>
    </cfRule>
    <cfRule type="expression" dxfId="303" priority="382">
      <formula>$K144="STAND-BY"</formula>
    </cfRule>
    <cfRule type="expression" dxfId="302" priority="383">
      <formula>$K144="AGUARDANDO APROVAÇÃO"</formula>
    </cfRule>
    <cfRule type="expression" dxfId="301" priority="384">
      <formula>$K144="OK"</formula>
    </cfRule>
    <cfRule type="expression" dxfId="300" priority="385">
      <formula>AND((TODAY()-$H144)&gt;0,$H144&lt;&gt;"",$I144="")=TRUE</formula>
    </cfRule>
  </conditionalFormatting>
  <conditionalFormatting sqref="E144">
    <cfRule type="expression" dxfId="299" priority="376">
      <formula>$K144="CANCELADO"</formula>
    </cfRule>
    <cfRule type="expression" dxfId="298" priority="377">
      <formula>$K144="STAND-BY"</formula>
    </cfRule>
    <cfRule type="expression" dxfId="297" priority="378">
      <formula>$K144="AGUARDANDO APROVAÇÃO"</formula>
    </cfRule>
    <cfRule type="expression" dxfId="296" priority="379">
      <formula>$K144="OK"</formula>
    </cfRule>
    <cfRule type="expression" dxfId="295" priority="380">
      <formula>AND((TODAY()-$H144)&gt;0,$H144&lt;&gt;"",$I144="")=TRUE</formula>
    </cfRule>
  </conditionalFormatting>
  <conditionalFormatting sqref="O144:R144">
    <cfRule type="expression" dxfId="294" priority="371">
      <formula>$K144="CANCELADO"</formula>
    </cfRule>
    <cfRule type="expression" dxfId="293" priority="372">
      <formula>$K144="STAND-BY"</formula>
    </cfRule>
    <cfRule type="expression" dxfId="292" priority="373">
      <formula>$K144="AGUARDANDO APROVAÇÃO"</formula>
    </cfRule>
    <cfRule type="expression" dxfId="291" priority="374">
      <formula>$K144="OK"</formula>
    </cfRule>
    <cfRule type="expression" dxfId="290" priority="375">
      <formula>AND((TODAY()-$H144)&gt;0,$H144&lt;&gt;"",$I144="")=TRUE</formula>
    </cfRule>
  </conditionalFormatting>
  <conditionalFormatting sqref="F145">
    <cfRule type="expression" dxfId="289" priority="366">
      <formula>$K145="CANCELADO"</formula>
    </cfRule>
    <cfRule type="expression" dxfId="288" priority="367">
      <formula>$K145="STAND-BY"</formula>
    </cfRule>
    <cfRule type="expression" dxfId="287" priority="368">
      <formula>$K145="AGUARDANDO APROVAÇÃO"</formula>
    </cfRule>
    <cfRule type="expression" dxfId="286" priority="369">
      <formula>$K145="OK"</formula>
    </cfRule>
    <cfRule type="expression" dxfId="285" priority="370">
      <formula>AND((TODAY()-$H145)&gt;0,$H145&lt;&gt;"",$I145="")=TRUE</formula>
    </cfRule>
  </conditionalFormatting>
  <conditionalFormatting sqref="B145">
    <cfRule type="expression" dxfId="284" priority="361">
      <formula>$K145="CANCELADO"</formula>
    </cfRule>
    <cfRule type="expression" dxfId="283" priority="362">
      <formula>$K145="STAND-BY"</formula>
    </cfRule>
    <cfRule type="expression" dxfId="282" priority="363">
      <formula>$K145="AGUARDANDO APROVAÇÃO"</formula>
    </cfRule>
    <cfRule type="expression" dxfId="281" priority="364">
      <formula>$K145="OK"</formula>
    </cfRule>
    <cfRule type="expression" dxfId="280" priority="365">
      <formula>AND((TODAY()-$H145)&gt;0,$H145&lt;&gt;"",$I145="")=TRUE</formula>
    </cfRule>
  </conditionalFormatting>
  <conditionalFormatting sqref="C145">
    <cfRule type="expression" dxfId="279" priority="356">
      <formula>$K145="CANCELADO"</formula>
    </cfRule>
    <cfRule type="expression" dxfId="278" priority="357">
      <formula>$K145="STAND-BY"</formula>
    </cfRule>
    <cfRule type="expression" dxfId="277" priority="358">
      <formula>$K145="AGUARDANDO APROVAÇÃO"</formula>
    </cfRule>
    <cfRule type="expression" dxfId="276" priority="359">
      <formula>$K145="OK"</formula>
    </cfRule>
    <cfRule type="expression" dxfId="275" priority="360">
      <formula>AND((TODAY()-$H145)&gt;0,$H145&lt;&gt;"",$I145="")=TRUE</formula>
    </cfRule>
  </conditionalFormatting>
  <conditionalFormatting sqref="D145">
    <cfRule type="expression" dxfId="274" priority="351">
      <formula>$K145="CANCELADO"</formula>
    </cfRule>
    <cfRule type="expression" dxfId="273" priority="352">
      <formula>$K145="STAND-BY"</formula>
    </cfRule>
    <cfRule type="expression" dxfId="272" priority="353">
      <formula>$K145="AGUARDANDO APROVAÇÃO"</formula>
    </cfRule>
    <cfRule type="expression" dxfId="271" priority="354">
      <formula>$K145="OK"</formula>
    </cfRule>
    <cfRule type="expression" dxfId="270" priority="355">
      <formula>AND((TODAY()-$H145)&gt;0,$H145&lt;&gt;"",$I145="")=TRUE</formula>
    </cfRule>
  </conditionalFormatting>
  <conditionalFormatting sqref="E145">
    <cfRule type="expression" dxfId="269" priority="346">
      <formula>$K145="CANCELADO"</formula>
    </cfRule>
    <cfRule type="expression" dxfId="268" priority="347">
      <formula>$K145="STAND-BY"</formula>
    </cfRule>
    <cfRule type="expression" dxfId="267" priority="348">
      <formula>$K145="AGUARDANDO APROVAÇÃO"</formula>
    </cfRule>
    <cfRule type="expression" dxfId="266" priority="349">
      <formula>$K145="OK"</formula>
    </cfRule>
    <cfRule type="expression" dxfId="265" priority="350">
      <formula>AND((TODAY()-$H145)&gt;0,$H145&lt;&gt;"",$I145="")=TRUE</formula>
    </cfRule>
  </conditionalFormatting>
  <conditionalFormatting sqref="O145:R145">
    <cfRule type="expression" dxfId="264" priority="341">
      <formula>$K145="CANCELADO"</formula>
    </cfRule>
    <cfRule type="expression" dxfId="263" priority="342">
      <formula>$K145="STAND-BY"</formula>
    </cfRule>
    <cfRule type="expression" dxfId="262" priority="343">
      <formula>$K145="AGUARDANDO APROVAÇÃO"</formula>
    </cfRule>
    <cfRule type="expression" dxfId="261" priority="344">
      <formula>$K145="OK"</formula>
    </cfRule>
    <cfRule type="expression" dxfId="260" priority="345">
      <formula>AND((TODAY()-$H145)&gt;0,$H145&lt;&gt;"",$I145="")=TRUE</formula>
    </cfRule>
  </conditionalFormatting>
  <conditionalFormatting sqref="K147:N147 P147:R147 A147:I147">
    <cfRule type="expression" dxfId="259" priority="331">
      <formula>$K147="CANCELADO"</formula>
    </cfRule>
    <cfRule type="expression" dxfId="258" priority="332">
      <formula>$K147="STAND-BY"</formula>
    </cfRule>
    <cfRule type="expression" dxfId="257" priority="333">
      <formula>$K147="AGUARDANDO APROVAÇÃO"</formula>
    </cfRule>
    <cfRule type="expression" dxfId="256" priority="334">
      <formula>$K147="OK"</formula>
    </cfRule>
    <cfRule type="expression" dxfId="255" priority="335">
      <formula>AND((TODAY()-$H147)&gt;0,$H147&lt;&gt;"",$I147="")=TRUE</formula>
    </cfRule>
  </conditionalFormatting>
  <conditionalFormatting sqref="J147">
    <cfRule type="expression" dxfId="254" priority="321">
      <formula>$K147="CANCELADO"</formula>
    </cfRule>
    <cfRule type="expression" dxfId="253" priority="322">
      <formula>$K147="STAND-BY"</formula>
    </cfRule>
    <cfRule type="expression" dxfId="252" priority="323">
      <formula>$K147="AGUARDANDO APROVAÇÃO"</formula>
    </cfRule>
    <cfRule type="expression" dxfId="251" priority="324">
      <formula>$K147="OK"</formula>
    </cfRule>
    <cfRule type="expression" dxfId="250" priority="325">
      <formula>AND((TODAY()-$H147)&gt;0,$H147&lt;&gt;"",$I147="")=TRUE</formula>
    </cfRule>
  </conditionalFormatting>
  <conditionalFormatting sqref="I101">
    <cfRule type="expression" dxfId="249" priority="301">
      <formula>$K101="CANCELADO"</formula>
    </cfRule>
    <cfRule type="expression" dxfId="248" priority="302">
      <formula>$K101="STAND-BY"</formula>
    </cfRule>
    <cfRule type="expression" dxfId="247" priority="303">
      <formula>$K101="AGUARDANDO APROVAÇÃO"</formula>
    </cfRule>
    <cfRule type="expression" dxfId="246" priority="304">
      <formula>$K101="OK"</formula>
    </cfRule>
    <cfRule type="expression" dxfId="245" priority="305">
      <formula>AND((TODAY()-$H101)&gt;0,$H101&lt;&gt;"",$I101="")=TRUE</formula>
    </cfRule>
  </conditionalFormatting>
  <conditionalFormatting sqref="I100">
    <cfRule type="expression" dxfId="244" priority="306">
      <formula>$K100="CANCELADO"</formula>
    </cfRule>
    <cfRule type="expression" dxfId="243" priority="307">
      <formula>$K100="STAND-BY"</formula>
    </cfRule>
    <cfRule type="expression" dxfId="242" priority="308">
      <formula>$K100="AGUARDANDO APROVAÇÃO"</formula>
    </cfRule>
    <cfRule type="expression" dxfId="241" priority="309">
      <formula>$K100="OK"</formula>
    </cfRule>
    <cfRule type="expression" dxfId="240" priority="310">
      <formula>AND((TODAY()-$H100)&gt;0,$H100&lt;&gt;"",$I100="")=TRUE</formula>
    </cfRule>
  </conditionalFormatting>
  <conditionalFormatting sqref="A106:D106 F106:G106 Q106 J106 L106:N106">
    <cfRule type="expression" dxfId="239" priority="271">
      <formula>$K106="CANCELADO"</formula>
    </cfRule>
    <cfRule type="expression" dxfId="238" priority="272">
      <formula>$K106="STAND-BY"</formula>
    </cfRule>
    <cfRule type="expression" dxfId="237" priority="273">
      <formula>$K106="AGUARDANDO APROVAÇÃO"</formula>
    </cfRule>
    <cfRule type="expression" dxfId="236" priority="274">
      <formula>$K106="OK"</formula>
    </cfRule>
    <cfRule type="expression" dxfId="235" priority="275">
      <formula>AND((TODAY()-$H106)&gt;0,$H106&lt;&gt;"",$I106="")=TRUE</formula>
    </cfRule>
  </conditionalFormatting>
  <conditionalFormatting sqref="I102">
    <cfRule type="expression" dxfId="234" priority="296">
      <formula>$K102="CANCELADO"</formula>
    </cfRule>
    <cfRule type="expression" dxfId="233" priority="297">
      <formula>$K102="STAND-BY"</formula>
    </cfRule>
    <cfRule type="expression" dxfId="232" priority="298">
      <formula>$K102="AGUARDANDO APROVAÇÃO"</formula>
    </cfRule>
    <cfRule type="expression" dxfId="231" priority="299">
      <formula>$K102="OK"</formula>
    </cfRule>
    <cfRule type="expression" dxfId="230" priority="300">
      <formula>AND((TODAY()-$H102)&gt;0,$H102&lt;&gt;"",$I102="")=TRUE</formula>
    </cfRule>
  </conditionalFormatting>
  <conditionalFormatting sqref="I103">
    <cfRule type="expression" dxfId="229" priority="291">
      <formula>$K103="CANCELADO"</formula>
    </cfRule>
    <cfRule type="expression" dxfId="228" priority="292">
      <formula>$K103="STAND-BY"</formula>
    </cfRule>
    <cfRule type="expression" dxfId="227" priority="293">
      <formula>$K103="AGUARDANDO APROVAÇÃO"</formula>
    </cfRule>
    <cfRule type="expression" dxfId="226" priority="294">
      <formula>$K103="OK"</formula>
    </cfRule>
    <cfRule type="expression" dxfId="225" priority="295">
      <formula>AND((TODAY()-$H103)&gt;0,$H103&lt;&gt;"",$I103="")=TRUE</formula>
    </cfRule>
  </conditionalFormatting>
  <conditionalFormatting sqref="I104">
    <cfRule type="expression" dxfId="224" priority="286">
      <formula>$K104="CANCELADO"</formula>
    </cfRule>
    <cfRule type="expression" dxfId="223" priority="287">
      <formula>$K104="STAND-BY"</formula>
    </cfRule>
    <cfRule type="expression" dxfId="222" priority="288">
      <formula>$K104="AGUARDANDO APROVAÇÃO"</formula>
    </cfRule>
    <cfRule type="expression" dxfId="221" priority="289">
      <formula>$K104="OK"</formula>
    </cfRule>
    <cfRule type="expression" dxfId="220" priority="290">
      <formula>AND((TODAY()-$H104)&gt;0,$H104&lt;&gt;"",$I104="")=TRUE</formula>
    </cfRule>
  </conditionalFormatting>
  <conditionalFormatting sqref="I105">
    <cfRule type="expression" dxfId="219" priority="281">
      <formula>$K105="CANCELADO"</formula>
    </cfRule>
    <cfRule type="expression" dxfId="218" priority="282">
      <formula>$K105="STAND-BY"</formula>
    </cfRule>
    <cfRule type="expression" dxfId="217" priority="283">
      <formula>$K105="AGUARDANDO APROVAÇÃO"</formula>
    </cfRule>
    <cfRule type="expression" dxfId="216" priority="284">
      <formula>$K105="OK"</formula>
    </cfRule>
    <cfRule type="expression" dxfId="215" priority="285">
      <formula>AND((TODAY()-$H105)&gt;0,$H105&lt;&gt;"",$I105="")=TRUE</formula>
    </cfRule>
  </conditionalFormatting>
  <conditionalFormatting sqref="K100:K105">
    <cfRule type="expression" dxfId="214" priority="276">
      <formula>$K100="CANCELADO"</formula>
    </cfRule>
    <cfRule type="expression" dxfId="213" priority="277">
      <formula>$K100="STAND-BY"</formula>
    </cfRule>
    <cfRule type="expression" dxfId="212" priority="278">
      <formula>$K100="AGUARDANDO APROVAÇÃO"</formula>
    </cfRule>
    <cfRule type="expression" dxfId="211" priority="279">
      <formula>$K100="OK"</formula>
    </cfRule>
    <cfRule type="expression" dxfId="210" priority="280">
      <formula>AND((TODAY()-$H100)&gt;0,$H100&lt;&gt;"",$I100="")=TRUE</formula>
    </cfRule>
  </conditionalFormatting>
  <conditionalFormatting sqref="E106">
    <cfRule type="expression" dxfId="209" priority="266">
      <formula>$K106="CANCELADO"</formula>
    </cfRule>
    <cfRule type="expression" dxfId="208" priority="267">
      <formula>$K106="STAND-BY"</formula>
    </cfRule>
    <cfRule type="expression" dxfId="207" priority="268">
      <formula>$K106="AGUARDANDO APROVAÇÃO"</formula>
    </cfRule>
    <cfRule type="expression" dxfId="206" priority="269">
      <formula>$K106="OK"</formula>
    </cfRule>
    <cfRule type="expression" dxfId="205" priority="270">
      <formula>AND((TODAY()-$H106)&gt;0,$H106&lt;&gt;"",$I106="")=TRUE</formula>
    </cfRule>
  </conditionalFormatting>
  <conditionalFormatting sqref="O106">
    <cfRule type="expression" dxfId="204" priority="261">
      <formula>$K106="CANCELADO"</formula>
    </cfRule>
    <cfRule type="expression" dxfId="203" priority="262">
      <formula>$K106="STAND-BY"</formula>
    </cfRule>
    <cfRule type="expression" dxfId="202" priority="263">
      <formula>$K106="AGUARDANDO APROVAÇÃO"</formula>
    </cfRule>
    <cfRule type="expression" dxfId="201" priority="264">
      <formula>$K106="OK"</formula>
    </cfRule>
    <cfRule type="expression" dxfId="200" priority="265">
      <formula>AND((TODAY()-$H106)&gt;0,$H106&lt;&gt;"",$I106="")=TRUE</formula>
    </cfRule>
  </conditionalFormatting>
  <conditionalFormatting sqref="P106">
    <cfRule type="expression" dxfId="199" priority="256">
      <formula>$K106="CANCELADO"</formula>
    </cfRule>
    <cfRule type="expression" dxfId="198" priority="257">
      <formula>$K106="STAND-BY"</formula>
    </cfRule>
    <cfRule type="expression" dxfId="197" priority="258">
      <formula>$K106="AGUARDANDO APROVAÇÃO"</formula>
    </cfRule>
    <cfRule type="expression" dxfId="196" priority="259">
      <formula>$K106="OK"</formula>
    </cfRule>
    <cfRule type="expression" dxfId="195" priority="260">
      <formula>AND((TODAY()-$H106)&gt;0,$H106&lt;&gt;"",$I106="")=TRUE</formula>
    </cfRule>
  </conditionalFormatting>
  <conditionalFormatting sqref="R106">
    <cfRule type="expression" dxfId="194" priority="251">
      <formula>$K106="CANCELADO"</formula>
    </cfRule>
    <cfRule type="expression" dxfId="193" priority="252">
      <formula>$K106="STAND-BY"</formula>
    </cfRule>
    <cfRule type="expression" dxfId="192" priority="253">
      <formula>$K106="AGUARDANDO APROVAÇÃO"</formula>
    </cfRule>
    <cfRule type="expression" dxfId="191" priority="254">
      <formula>$K106="OK"</formula>
    </cfRule>
    <cfRule type="expression" dxfId="190" priority="255">
      <formula>AND((TODAY()-$H106)&gt;0,$H106&lt;&gt;"",$I106="")=TRUE</formula>
    </cfRule>
  </conditionalFormatting>
  <conditionalFormatting sqref="H106">
    <cfRule type="expression" dxfId="189" priority="246">
      <formula>$K106="CANCELADO"</formula>
    </cfRule>
    <cfRule type="expression" dxfId="188" priority="247">
      <formula>$K106="STAND-BY"</formula>
    </cfRule>
    <cfRule type="expression" dxfId="187" priority="248">
      <formula>$K106="AGUARDANDO APROVAÇÃO"</formula>
    </cfRule>
    <cfRule type="expression" dxfId="186" priority="249">
      <formula>$K106="OK"</formula>
    </cfRule>
    <cfRule type="expression" dxfId="185" priority="250">
      <formula>AND((TODAY()-$H106)&gt;0,$H106&lt;&gt;"",$I106="")=TRUE</formula>
    </cfRule>
  </conditionalFormatting>
  <conditionalFormatting sqref="I106">
    <cfRule type="expression" dxfId="184" priority="241">
      <formula>$K106="CANCELADO"</formula>
    </cfRule>
    <cfRule type="expression" dxfId="183" priority="242">
      <formula>$K106="STAND-BY"</formula>
    </cfRule>
    <cfRule type="expression" dxfId="182" priority="243">
      <formula>$K106="AGUARDANDO APROVAÇÃO"</formula>
    </cfRule>
    <cfRule type="expression" dxfId="181" priority="244">
      <formula>$K106="OK"</formula>
    </cfRule>
    <cfRule type="expression" dxfId="180" priority="245">
      <formula>AND((TODAY()-$H106)&gt;0,$H106&lt;&gt;"",$I106="")=TRUE</formula>
    </cfRule>
  </conditionalFormatting>
  <conditionalFormatting sqref="K106">
    <cfRule type="expression" dxfId="179" priority="236">
      <formula>$K106="CANCELADO"</formula>
    </cfRule>
    <cfRule type="expression" dxfId="178" priority="237">
      <formula>$K106="STAND-BY"</formula>
    </cfRule>
    <cfRule type="expression" dxfId="177" priority="238">
      <formula>$K106="AGUARDANDO APROVAÇÃO"</formula>
    </cfRule>
    <cfRule type="expression" dxfId="176" priority="239">
      <formula>$K106="OK"</formula>
    </cfRule>
    <cfRule type="expression" dxfId="175" priority="240">
      <formula>AND((TODAY()-$H106)&gt;0,$H106&lt;&gt;"",$I106="")=TRUE</formula>
    </cfRule>
  </conditionalFormatting>
  <conditionalFormatting sqref="A148:Q148">
    <cfRule type="expression" dxfId="174" priority="231">
      <formula>$K148="CANCELADO"</formula>
    </cfRule>
    <cfRule type="expression" dxfId="173" priority="232">
      <formula>$K148="STAND-BY"</formula>
    </cfRule>
    <cfRule type="expression" dxfId="172" priority="233">
      <formula>$K148="AGUARDANDO APROVAÇÃO"</formula>
    </cfRule>
    <cfRule type="expression" dxfId="171" priority="234">
      <formula>$K148="OK"</formula>
    </cfRule>
    <cfRule type="expression" dxfId="170" priority="235">
      <formula>AND((TODAY()-$H148)&gt;0,$H148&lt;&gt;"",$I148="")=TRUE</formula>
    </cfRule>
  </conditionalFormatting>
  <conditionalFormatting sqref="A149:P149">
    <cfRule type="expression" dxfId="169" priority="226">
      <formula>$K149="CANCELADO"</formula>
    </cfRule>
    <cfRule type="expression" dxfId="168" priority="227">
      <formula>$K149="STAND-BY"</formula>
    </cfRule>
    <cfRule type="expression" dxfId="167" priority="228">
      <formula>$K149="AGUARDANDO APROVAÇÃO"</formula>
    </cfRule>
    <cfRule type="expression" dxfId="166" priority="229">
      <formula>$K149="OK"</formula>
    </cfRule>
    <cfRule type="expression" dxfId="165" priority="230">
      <formula>AND((TODAY()-$H149)&gt;0,$H149&lt;&gt;"",$I149="")=TRUE</formula>
    </cfRule>
  </conditionalFormatting>
  <conditionalFormatting sqref="A153">
    <cfRule type="expression" dxfId="164" priority="196">
      <formula>$K153="CANCELADO"</formula>
    </cfRule>
    <cfRule type="expression" dxfId="163" priority="197">
      <formula>$K153="STAND-BY"</formula>
    </cfRule>
    <cfRule type="expression" dxfId="162" priority="198">
      <formula>$K153="AGUARDANDO APROVAÇÃO"</formula>
    </cfRule>
    <cfRule type="expression" dxfId="161" priority="199">
      <formula>$K153="OK"</formula>
    </cfRule>
    <cfRule type="expression" dxfId="160" priority="200">
      <formula>AND((TODAY()-$H153)&gt;0,$H153&lt;&gt;"",$I153="")=TRUE</formula>
    </cfRule>
  </conditionalFormatting>
  <conditionalFormatting sqref="A153:G153 N153 P153:R153 I153:J153">
    <cfRule type="expression" dxfId="159" priority="191">
      <formula>$K153="CANCELADO"</formula>
    </cfRule>
    <cfRule type="expression" dxfId="158" priority="192">
      <formula>$K153="STAND-BY"</formula>
    </cfRule>
    <cfRule type="expression" dxfId="157" priority="193">
      <formula>$K153="AGUARDANDO APROVAÇÃO"</formula>
    </cfRule>
    <cfRule type="expression" dxfId="156" priority="194">
      <formula>$K153="OK"</formula>
    </cfRule>
    <cfRule type="expression" dxfId="155" priority="195">
      <formula>AND((TODAY()-$H153)&gt;0,$H153&lt;&gt;"",$I153="")=TRUE</formula>
    </cfRule>
  </conditionalFormatting>
  <conditionalFormatting sqref="K153:M153">
    <cfRule type="expression" dxfId="154" priority="186">
      <formula>$K153="CANCELADO"</formula>
    </cfRule>
    <cfRule type="expression" dxfId="153" priority="187">
      <formula>$K153="STAND-BY"</formula>
    </cfRule>
    <cfRule type="expression" dxfId="152" priority="188">
      <formula>$K153="AGUARDANDO APROVAÇÃO"</formula>
    </cfRule>
    <cfRule type="expression" dxfId="151" priority="189">
      <formula>$K153="OK"</formula>
    </cfRule>
    <cfRule type="expression" dxfId="150" priority="190">
      <formula>AND((TODAY()-$H153)&gt;0,$H153&lt;&gt;"",$I153="")=TRUE</formula>
    </cfRule>
  </conditionalFormatting>
  <conditionalFormatting sqref="O153">
    <cfRule type="expression" dxfId="149" priority="181">
      <formula>$K153="CANCELADO"</formula>
    </cfRule>
    <cfRule type="expression" dxfId="148" priority="182">
      <formula>$K153="STAND-BY"</formula>
    </cfRule>
    <cfRule type="expression" dxfId="147" priority="183">
      <formula>$K153="AGUARDANDO APROVAÇÃO"</formula>
    </cfRule>
    <cfRule type="expression" dxfId="146" priority="184">
      <formula>$K153="OK"</formula>
    </cfRule>
    <cfRule type="expression" dxfId="145" priority="185">
      <formula>AND((TODAY()-$H153)&gt;0,$H153&lt;&gt;"",$I153="")=TRUE</formula>
    </cfRule>
  </conditionalFormatting>
  <conditionalFormatting sqref="H153">
    <cfRule type="expression" dxfId="144" priority="176">
      <formula>$K153="CANCELADO"</formula>
    </cfRule>
    <cfRule type="expression" dxfId="143" priority="177">
      <formula>$K153="STAND-BY"</formula>
    </cfRule>
    <cfRule type="expression" dxfId="142" priority="178">
      <formula>$K153="AGUARDANDO APROVAÇÃO"</formula>
    </cfRule>
    <cfRule type="expression" dxfId="141" priority="179">
      <formula>$K153="OK"</formula>
    </cfRule>
    <cfRule type="expression" dxfId="140" priority="180">
      <formula>AND((TODAY()-$H153)&gt;0,$H153&lt;&gt;"",$I153="")=TRUE</formula>
    </cfRule>
  </conditionalFormatting>
  <conditionalFormatting sqref="A154:R154">
    <cfRule type="expression" dxfId="139" priority="91">
      <formula>$K154="CANCELADO"</formula>
    </cfRule>
    <cfRule type="expression" dxfId="138" priority="92">
      <formula>$K154="STAND-BY"</formula>
    </cfRule>
    <cfRule type="expression" dxfId="137" priority="93">
      <formula>$K154="AGUARDANDO APROVAÇÃO"</formula>
    </cfRule>
    <cfRule type="expression" dxfId="136" priority="94">
      <formula>$K154="OK"</formula>
    </cfRule>
    <cfRule type="expression" dxfId="135" priority="95">
      <formula>AND((TODAY()-$H154)&gt;0,$H154&lt;&gt;"",$I154="")=TRUE</formula>
    </cfRule>
  </conditionalFormatting>
  <conditionalFormatting sqref="Q149">
    <cfRule type="expression" dxfId="134" priority="86">
      <formula>$K149="CANCELADO"</formula>
    </cfRule>
    <cfRule type="expression" dxfId="133" priority="87">
      <formula>$K149="STAND-BY"</formula>
    </cfRule>
    <cfRule type="expression" dxfId="132" priority="88">
      <formula>$K149="AGUARDANDO APROVAÇÃO"</formula>
    </cfRule>
    <cfRule type="expression" dxfId="131" priority="89">
      <formula>$K149="OK"</formula>
    </cfRule>
    <cfRule type="expression" dxfId="130" priority="90">
      <formula>AND((TODAY()-$H149)&gt;0,$H149&lt;&gt;"",$I149="")=TRUE</formula>
    </cfRule>
  </conditionalFormatting>
  <conditionalFormatting sqref="Q150">
    <cfRule type="expression" dxfId="129" priority="81">
      <formula>$K150="CANCELADO"</formula>
    </cfRule>
    <cfRule type="expression" dxfId="128" priority="82">
      <formula>$K150="STAND-BY"</formula>
    </cfRule>
    <cfRule type="expression" dxfId="127" priority="83">
      <formula>$K150="AGUARDANDO APROVAÇÃO"</formula>
    </cfRule>
    <cfRule type="expression" dxfId="126" priority="84">
      <formula>$K150="OK"</formula>
    </cfRule>
    <cfRule type="expression" dxfId="125" priority="85">
      <formula>AND((TODAY()-$H150)&gt;0,$H150&lt;&gt;"",$I150="")=TRUE</formula>
    </cfRule>
  </conditionalFormatting>
  <conditionalFormatting sqref="R148">
    <cfRule type="expression" dxfId="124" priority="76">
      <formula>$K148="CANCELADO"</formula>
    </cfRule>
    <cfRule type="expression" dxfId="123" priority="77">
      <formula>$K148="STAND-BY"</formula>
    </cfRule>
    <cfRule type="expression" dxfId="122" priority="78">
      <formula>$K148="AGUARDANDO APROVAÇÃO"</formula>
    </cfRule>
    <cfRule type="expression" dxfId="121" priority="79">
      <formula>$K148="OK"</formula>
    </cfRule>
    <cfRule type="expression" dxfId="120" priority="80">
      <formula>AND((TODAY()-$H148)&gt;0,$H148&lt;&gt;"",$I148="")=TRUE</formula>
    </cfRule>
  </conditionalFormatting>
  <conditionalFormatting sqref="R149:R150">
    <cfRule type="expression" dxfId="119" priority="66">
      <formula>$K149="CANCELADO"</formula>
    </cfRule>
    <cfRule type="expression" dxfId="118" priority="67">
      <formula>$K149="STAND-BY"</formula>
    </cfRule>
    <cfRule type="expression" dxfId="117" priority="68">
      <formula>$K149="AGUARDANDO APROVAÇÃO"</formula>
    </cfRule>
    <cfRule type="expression" dxfId="116" priority="69">
      <formula>$K149="OK"</formula>
    </cfRule>
    <cfRule type="expression" dxfId="115" priority="70">
      <formula>AND((TODAY()-$H149)&gt;0,$H149&lt;&gt;"",$I149="")=TRUE</formula>
    </cfRule>
  </conditionalFormatting>
  <conditionalFormatting sqref="P134:P135">
    <cfRule type="expression" dxfId="114" priority="61">
      <formula>$K134="CANCELADO"</formula>
    </cfRule>
    <cfRule type="expression" dxfId="113" priority="62">
      <formula>$K134="STAND-BY"</formula>
    </cfRule>
    <cfRule type="expression" dxfId="112" priority="63">
      <formula>$K134="AGUARDANDO APROVAÇÃO"</formula>
    </cfRule>
    <cfRule type="expression" dxfId="111" priority="64">
      <formula>$K134="OK"</formula>
    </cfRule>
    <cfRule type="expression" dxfId="110" priority="65">
      <formula>AND((TODAY()-$H134)&gt;0,$H134&lt;&gt;"",$I134="")=TRUE</formula>
    </cfRule>
  </conditionalFormatting>
  <conditionalFormatting sqref="P136">
    <cfRule type="expression" dxfId="109" priority="56">
      <formula>$K136="CANCELADO"</formula>
    </cfRule>
    <cfRule type="expression" dxfId="108" priority="57">
      <formula>$K136="STAND-BY"</formula>
    </cfRule>
    <cfRule type="expression" dxfId="107" priority="58">
      <formula>$K136="AGUARDANDO APROVAÇÃO"</formula>
    </cfRule>
    <cfRule type="expression" dxfId="106" priority="59">
      <formula>$K136="OK"</formula>
    </cfRule>
    <cfRule type="expression" dxfId="105" priority="60">
      <formula>AND((TODAY()-$H136)&gt;0,$H136&lt;&gt;"",$I136="")=TRUE</formula>
    </cfRule>
  </conditionalFormatting>
  <conditionalFormatting sqref="Q133:Q134">
    <cfRule type="expression" dxfId="104" priority="51">
      <formula>$K133="CANCELADO"</formula>
    </cfRule>
    <cfRule type="expression" dxfId="103" priority="52">
      <formula>$K133="STAND-BY"</formula>
    </cfRule>
    <cfRule type="expression" dxfId="102" priority="53">
      <formula>$K133="AGUARDANDO APROVAÇÃO"</formula>
    </cfRule>
    <cfRule type="expression" dxfId="101" priority="54">
      <formula>$K133="OK"</formula>
    </cfRule>
    <cfRule type="expression" dxfId="100" priority="55">
      <formula>AND((TODAY()-$H133)&gt;0,$H133&lt;&gt;"",$I133="")=TRUE</formula>
    </cfRule>
  </conditionalFormatting>
  <conditionalFormatting sqref="Q135">
    <cfRule type="expression" dxfId="99" priority="46">
      <formula>$K135="CANCELADO"</formula>
    </cfRule>
    <cfRule type="expression" dxfId="98" priority="47">
      <formula>$K135="STAND-BY"</formula>
    </cfRule>
    <cfRule type="expression" dxfId="97" priority="48">
      <formula>$K135="AGUARDANDO APROVAÇÃO"</formula>
    </cfRule>
    <cfRule type="expression" dxfId="96" priority="49">
      <formula>$K135="OK"</formula>
    </cfRule>
    <cfRule type="expression" dxfId="95" priority="50">
      <formula>AND((TODAY()-$H135)&gt;0,$H135&lt;&gt;"",$I135="")=TRUE</formula>
    </cfRule>
  </conditionalFormatting>
  <conditionalFormatting sqref="Q136">
    <cfRule type="expression" dxfId="94" priority="41">
      <formula>$K136="CANCELADO"</formula>
    </cfRule>
    <cfRule type="expression" dxfId="93" priority="42">
      <formula>$K136="STAND-BY"</formula>
    </cfRule>
    <cfRule type="expression" dxfId="92" priority="43">
      <formula>$K136="AGUARDANDO APROVAÇÃO"</formula>
    </cfRule>
    <cfRule type="expression" dxfId="91" priority="44">
      <formula>$K136="OK"</formula>
    </cfRule>
    <cfRule type="expression" dxfId="90" priority="45">
      <formula>AND((TODAY()-$H136)&gt;0,$H136&lt;&gt;"",$I136="")=TRUE</formula>
    </cfRule>
  </conditionalFormatting>
  <conditionalFormatting sqref="R133:R134">
    <cfRule type="expression" dxfId="89" priority="36">
      <formula>$K133="CANCELADO"</formula>
    </cfRule>
    <cfRule type="expression" dxfId="88" priority="37">
      <formula>$K133="STAND-BY"</formula>
    </cfRule>
    <cfRule type="expression" dxfId="87" priority="38">
      <formula>$K133="AGUARDANDO APROVAÇÃO"</formula>
    </cfRule>
    <cfRule type="expression" dxfId="86" priority="39">
      <formula>$K133="OK"</formula>
    </cfRule>
    <cfRule type="expression" dxfId="85" priority="40">
      <formula>AND((TODAY()-$H133)&gt;0,$H133&lt;&gt;"",$I133="")=TRUE</formula>
    </cfRule>
  </conditionalFormatting>
  <conditionalFormatting sqref="R135">
    <cfRule type="expression" dxfId="84" priority="31">
      <formula>$K135="CANCELADO"</formula>
    </cfRule>
    <cfRule type="expression" dxfId="83" priority="32">
      <formula>$K135="STAND-BY"</formula>
    </cfRule>
    <cfRule type="expression" dxfId="82" priority="33">
      <formula>$K135="AGUARDANDO APROVAÇÃO"</formula>
    </cfRule>
    <cfRule type="expression" dxfId="81" priority="34">
      <formula>$K135="OK"</formula>
    </cfRule>
    <cfRule type="expression" dxfId="80" priority="35">
      <formula>AND((TODAY()-$H135)&gt;0,$H135&lt;&gt;"",$I135="")=TRUE</formula>
    </cfRule>
  </conditionalFormatting>
  <conditionalFormatting sqref="R136">
    <cfRule type="expression" dxfId="79" priority="26">
      <formula>$K136="CANCELADO"</formula>
    </cfRule>
    <cfRule type="expression" dxfId="78" priority="27">
      <formula>$K136="STAND-BY"</formula>
    </cfRule>
    <cfRule type="expression" dxfId="77" priority="28">
      <formula>$K136="AGUARDANDO APROVAÇÃO"</formula>
    </cfRule>
    <cfRule type="expression" dxfId="76" priority="29">
      <formula>$K136="OK"</formula>
    </cfRule>
    <cfRule type="expression" dxfId="75" priority="30">
      <formula>AND((TODAY()-$H136)&gt;0,$H136&lt;&gt;"",$I136="")=TRUE</formula>
    </cfRule>
  </conditionalFormatting>
  <conditionalFormatting sqref="I135">
    <cfRule type="expression" dxfId="74" priority="21">
      <formula>$K135="CANCELADO"</formula>
    </cfRule>
    <cfRule type="expression" dxfId="73" priority="22">
      <formula>$K135="STAND-BY"</formula>
    </cfRule>
    <cfRule type="expression" dxfId="72" priority="23">
      <formula>$K135="AGUARDANDO APROVAÇÃO"</formula>
    </cfRule>
    <cfRule type="expression" dxfId="71" priority="24">
      <formula>$K135="OK"</formula>
    </cfRule>
    <cfRule type="expression" dxfId="70" priority="25">
      <formula>AND((TODAY()-$H135)&gt;0,$H135&lt;&gt;"",$I135="")=TRUE</formula>
    </cfRule>
  </conditionalFormatting>
  <conditionalFormatting sqref="I136">
    <cfRule type="expression" dxfId="69" priority="16">
      <formula>$K136="CANCELADO"</formula>
    </cfRule>
    <cfRule type="expression" dxfId="68" priority="17">
      <formula>$K136="STAND-BY"</formula>
    </cfRule>
    <cfRule type="expression" dxfId="67" priority="18">
      <formula>$K136="AGUARDANDO APROVAÇÃO"</formula>
    </cfRule>
    <cfRule type="expression" dxfId="66" priority="19">
      <formula>$K136="OK"</formula>
    </cfRule>
    <cfRule type="expression" dxfId="65" priority="20">
      <formula>AND((TODAY()-$H136)&gt;0,$H136&lt;&gt;"",$I136="")=TRUE</formula>
    </cfRule>
  </conditionalFormatting>
  <conditionalFormatting sqref="I122:I124">
    <cfRule type="expression" dxfId="64" priority="11">
      <formula>$K122="CANCELADO"</formula>
    </cfRule>
    <cfRule type="expression" dxfId="63" priority="12">
      <formula>$K122="STAND-BY"</formula>
    </cfRule>
    <cfRule type="expression" dxfId="62" priority="13">
      <formula>$K122="AGUARDANDO APROVAÇÃO"</formula>
    </cfRule>
    <cfRule type="expression" dxfId="61" priority="14">
      <formula>$K122="OK"</formula>
    </cfRule>
    <cfRule type="expression" dxfId="60" priority="15">
      <formula>AND((TODAY()-$H122)&gt;0,$H122&lt;&gt;"",$I122="")=TRUE</formula>
    </cfRule>
  </conditionalFormatting>
  <conditionalFormatting sqref="R113">
    <cfRule type="expression" dxfId="59" priority="6">
      <formula>$K113="CANCELADO"</formula>
    </cfRule>
    <cfRule type="expression" dxfId="58" priority="7">
      <formula>$K113="STAND-BY"</formula>
    </cfRule>
    <cfRule type="expression" dxfId="57" priority="8">
      <formula>$K113="AGUARDANDO APROVAÇÃO"</formula>
    </cfRule>
    <cfRule type="expression" dxfId="56" priority="9">
      <formula>$K113="OK"</formula>
    </cfRule>
    <cfRule type="expression" dxfId="55" priority="10">
      <formula>AND((TODAY()-$H113)&gt;0,$H113&lt;&gt;"",$I113="")=TRUE</formula>
    </cfRule>
  </conditionalFormatting>
  <conditionalFormatting sqref="R114">
    <cfRule type="expression" dxfId="54" priority="1">
      <formula>$K114="CANCELADO"</formula>
    </cfRule>
    <cfRule type="expression" dxfId="53" priority="2">
      <formula>$K114="STAND-BY"</formula>
    </cfRule>
    <cfRule type="expression" dxfId="52" priority="3">
      <formula>$K114="AGUARDANDO APROVAÇÃO"</formula>
    </cfRule>
    <cfRule type="expression" dxfId="51" priority="4">
      <formula>$K114="OK"</formula>
    </cfRule>
    <cfRule type="expression" dxfId="50" priority="5">
      <formula>AND((TODAY()-$H114)&gt;0,$H114&lt;&gt;"",$I114="")=TRUE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666CA06-567C-40F7-9EA9-B232248BBDDD}">
          <x14:formula1>
            <xm:f>'NÃO MEXER'!$C$2:$C$90</xm:f>
          </x14:formula1>
          <xm:sqref>E91:E106 E155:E157 E130:E153 E108:E128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AI79 R107 R137:R157 R66:R99 R37:R54 R2:R33 R58:R62 R112 R115:R132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R55:R57 R34:R36 AH79 R108:R111 R100:R106 R133:R136 Q2:Q157 R63:R65 R113:R114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V79 E107 E129 E154 E2:E90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T79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AB79 K2:K157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AC79 L2:L157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AD79 M2:M157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AF79:AG79 O2:P157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A2:A157</xm:sqref>
        </x14:dataValidation>
        <x14:dataValidation type="list" allowBlank="1" showInputMessage="1" showErrorMessage="1" xr:uid="{B161F8E1-C686-44ED-A711-5D9F8D300862}">
          <x14:formula1>
            <xm:f>'NÃO MEXER'!$B$2:$B$19</xm:f>
          </x14:formula1>
          <xm:sqref>C2:C157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399E6-E3F2-4028-998F-8AC43C6A1A56}">
  <sheetPr codeName="Planilha9"/>
  <dimension ref="A1:R137"/>
  <sheetViews>
    <sheetView topLeftCell="A93" workbookViewId="0">
      <selection activeCell="D107" sqref="D10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5" customWidth="1"/>
    <col min="8" max="8" width="13.7109375" style="35" customWidth="1"/>
    <col min="9" max="9" width="14.140625" style="35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38</v>
      </c>
      <c r="B2" s="18">
        <v>187291</v>
      </c>
      <c r="C2" s="19" t="s">
        <v>19</v>
      </c>
      <c r="D2" s="20" t="s">
        <v>376</v>
      </c>
      <c r="E2" s="21" t="s">
        <v>32</v>
      </c>
      <c r="F2" s="21"/>
      <c r="G2" s="22">
        <v>44168</v>
      </c>
      <c r="H2" s="22">
        <v>44225</v>
      </c>
      <c r="I2" s="22"/>
      <c r="J2" s="23" t="s">
        <v>377</v>
      </c>
      <c r="K2" s="19" t="s">
        <v>378</v>
      </c>
      <c r="L2" s="25" t="s">
        <v>24</v>
      </c>
      <c r="M2" s="19" t="s">
        <v>33</v>
      </c>
      <c r="N2" s="19"/>
      <c r="O2" s="19" t="s">
        <v>26</v>
      </c>
      <c r="P2" s="23"/>
      <c r="Q2" s="19"/>
      <c r="R2" s="24"/>
    </row>
    <row r="3" spans="1:18" ht="30" customHeight="1" x14ac:dyDescent="0.25">
      <c r="A3" s="17" t="s">
        <v>38</v>
      </c>
      <c r="B3" s="18" t="s">
        <v>60</v>
      </c>
      <c r="C3" s="19" t="s">
        <v>19</v>
      </c>
      <c r="D3" s="20" t="s">
        <v>379</v>
      </c>
      <c r="E3" s="21" t="s">
        <v>82</v>
      </c>
      <c r="F3" s="21"/>
      <c r="G3" s="22">
        <v>44145</v>
      </c>
      <c r="H3" s="22"/>
      <c r="I3" s="22"/>
      <c r="J3" s="23" t="s">
        <v>380</v>
      </c>
      <c r="K3" s="19" t="s">
        <v>378</v>
      </c>
      <c r="L3" s="25" t="s">
        <v>24</v>
      </c>
      <c r="M3" s="19" t="s">
        <v>82</v>
      </c>
      <c r="N3" s="19"/>
      <c r="O3" s="19"/>
      <c r="P3" s="23"/>
      <c r="Q3" s="19"/>
      <c r="R3" s="24"/>
    </row>
    <row r="4" spans="1:18" ht="30" customHeight="1" x14ac:dyDescent="0.25">
      <c r="A4" s="17" t="s">
        <v>38</v>
      </c>
      <c r="B4" s="18">
        <v>214176</v>
      </c>
      <c r="C4" s="19" t="s">
        <v>76</v>
      </c>
      <c r="D4" s="20" t="s">
        <v>381</v>
      </c>
      <c r="E4" s="21" t="s">
        <v>82</v>
      </c>
      <c r="F4" s="21"/>
      <c r="G4" s="22">
        <v>44209</v>
      </c>
      <c r="H4" s="22"/>
      <c r="I4" s="22"/>
      <c r="J4" s="23" t="s">
        <v>382</v>
      </c>
      <c r="K4" s="19" t="s">
        <v>383</v>
      </c>
      <c r="L4" s="25" t="s">
        <v>36</v>
      </c>
      <c r="M4" s="19" t="s">
        <v>82</v>
      </c>
      <c r="N4" s="19"/>
      <c r="O4" s="19" t="s">
        <v>37</v>
      </c>
      <c r="P4" s="23"/>
      <c r="Q4" s="19" t="s">
        <v>53</v>
      </c>
      <c r="R4" s="24" t="s">
        <v>184</v>
      </c>
    </row>
    <row r="5" spans="1:18" ht="30" customHeight="1" x14ac:dyDescent="0.25">
      <c r="A5" s="26" t="s">
        <v>162</v>
      </c>
      <c r="B5" s="27">
        <v>214878</v>
      </c>
      <c r="C5" s="28" t="s">
        <v>19</v>
      </c>
      <c r="D5" s="29" t="s">
        <v>163</v>
      </c>
      <c r="E5" s="30" t="s">
        <v>42</v>
      </c>
      <c r="F5" s="30">
        <v>1</v>
      </c>
      <c r="G5" s="72">
        <v>44211</v>
      </c>
      <c r="H5" s="72"/>
      <c r="I5" s="72"/>
      <c r="J5" s="31" t="s">
        <v>384</v>
      </c>
      <c r="K5" s="28" t="s">
        <v>385</v>
      </c>
      <c r="L5" s="32" t="s">
        <v>24</v>
      </c>
      <c r="M5" s="28" t="s">
        <v>33</v>
      </c>
      <c r="N5" s="28"/>
      <c r="O5" s="28" t="s">
        <v>26</v>
      </c>
      <c r="P5" s="31"/>
      <c r="Q5" s="28"/>
      <c r="R5" s="33"/>
    </row>
    <row r="6" spans="1:18" ht="30" customHeight="1" x14ac:dyDescent="0.25">
      <c r="A6" s="17" t="s">
        <v>38</v>
      </c>
      <c r="B6" s="18">
        <v>214031</v>
      </c>
      <c r="C6" s="19" t="s">
        <v>19</v>
      </c>
      <c r="D6" s="20" t="s">
        <v>166</v>
      </c>
      <c r="E6" s="21" t="s">
        <v>21</v>
      </c>
      <c r="F6" s="21">
        <v>1</v>
      </c>
      <c r="G6" s="22">
        <v>44208</v>
      </c>
      <c r="H6" s="22">
        <v>44324</v>
      </c>
      <c r="I6" s="22"/>
      <c r="J6" s="23" t="s">
        <v>386</v>
      </c>
      <c r="K6" s="19" t="s">
        <v>387</v>
      </c>
      <c r="L6" s="25" t="s">
        <v>24</v>
      </c>
      <c r="M6" s="19" t="s">
        <v>25</v>
      </c>
      <c r="N6" s="19"/>
      <c r="O6" s="19" t="s">
        <v>26</v>
      </c>
      <c r="P6" s="23"/>
      <c r="Q6" s="19"/>
      <c r="R6" s="24"/>
    </row>
    <row r="7" spans="1:18" ht="30" customHeight="1" x14ac:dyDescent="0.25">
      <c r="A7" s="17" t="s">
        <v>38</v>
      </c>
      <c r="B7" s="18">
        <v>214031</v>
      </c>
      <c r="C7" s="19" t="s">
        <v>19</v>
      </c>
      <c r="D7" s="20" t="s">
        <v>166</v>
      </c>
      <c r="E7" s="21" t="s">
        <v>21</v>
      </c>
      <c r="F7" s="21">
        <v>1</v>
      </c>
      <c r="G7" s="22">
        <v>44258</v>
      </c>
      <c r="H7" s="22">
        <v>44285</v>
      </c>
      <c r="I7" s="22"/>
      <c r="J7" s="23" t="s">
        <v>388</v>
      </c>
      <c r="K7" s="19" t="s">
        <v>383</v>
      </c>
      <c r="L7" s="25" t="s">
        <v>24</v>
      </c>
      <c r="M7" s="19" t="s">
        <v>25</v>
      </c>
      <c r="N7" s="19"/>
      <c r="O7" s="19" t="s">
        <v>26</v>
      </c>
      <c r="P7" s="23" t="s">
        <v>26</v>
      </c>
      <c r="Q7" s="19" t="s">
        <v>27</v>
      </c>
      <c r="R7" s="24"/>
    </row>
    <row r="8" spans="1:18" ht="30" customHeight="1" x14ac:dyDescent="0.25">
      <c r="A8" s="17" t="s">
        <v>38</v>
      </c>
      <c r="B8" s="18">
        <v>214031</v>
      </c>
      <c r="C8" s="19" t="s">
        <v>19</v>
      </c>
      <c r="D8" s="20" t="s">
        <v>166</v>
      </c>
      <c r="E8" s="21" t="s">
        <v>45</v>
      </c>
      <c r="F8" s="21">
        <v>1</v>
      </c>
      <c r="G8" s="22">
        <v>44258</v>
      </c>
      <c r="H8" s="22">
        <v>44285</v>
      </c>
      <c r="I8" s="22"/>
      <c r="J8" s="23" t="s">
        <v>388</v>
      </c>
      <c r="K8" s="19" t="s">
        <v>383</v>
      </c>
      <c r="L8" s="25" t="s">
        <v>44</v>
      </c>
      <c r="M8" s="19" t="s">
        <v>25</v>
      </c>
      <c r="N8" s="19"/>
      <c r="O8" s="19" t="s">
        <v>26</v>
      </c>
      <c r="P8" s="23" t="s">
        <v>26</v>
      </c>
      <c r="Q8" s="19" t="s">
        <v>27</v>
      </c>
      <c r="R8" s="24"/>
    </row>
    <row r="9" spans="1:18" ht="30" customHeight="1" x14ac:dyDescent="0.25">
      <c r="A9" s="26" t="s">
        <v>38</v>
      </c>
      <c r="B9" s="27">
        <v>214031</v>
      </c>
      <c r="C9" s="28" t="s">
        <v>19</v>
      </c>
      <c r="D9" s="29" t="s">
        <v>166</v>
      </c>
      <c r="E9" s="30" t="s">
        <v>176</v>
      </c>
      <c r="F9" s="30">
        <v>1</v>
      </c>
      <c r="G9" s="72">
        <v>44258</v>
      </c>
      <c r="H9" s="72">
        <v>44285</v>
      </c>
      <c r="I9" s="72"/>
      <c r="J9" s="31" t="s">
        <v>388</v>
      </c>
      <c r="K9" s="28" t="s">
        <v>383</v>
      </c>
      <c r="L9" s="32" t="s">
        <v>24</v>
      </c>
      <c r="M9" s="28" t="s">
        <v>25</v>
      </c>
      <c r="N9" s="28"/>
      <c r="O9" s="28" t="s">
        <v>26</v>
      </c>
      <c r="P9" s="31" t="s">
        <v>26</v>
      </c>
      <c r="Q9" s="28" t="s">
        <v>27</v>
      </c>
      <c r="R9" s="33"/>
    </row>
    <row r="10" spans="1:18" ht="30" customHeight="1" x14ac:dyDescent="0.25">
      <c r="A10" s="17" t="s">
        <v>38</v>
      </c>
      <c r="B10" s="18">
        <v>215280</v>
      </c>
      <c r="C10" s="19" t="s">
        <v>19</v>
      </c>
      <c r="D10" s="20" t="s">
        <v>175</v>
      </c>
      <c r="E10" s="21" t="s">
        <v>82</v>
      </c>
      <c r="F10" s="21">
        <v>28</v>
      </c>
      <c r="G10" s="22">
        <v>44215</v>
      </c>
      <c r="H10" s="22">
        <v>44265</v>
      </c>
      <c r="I10" s="22"/>
      <c r="J10" s="23" t="s">
        <v>389</v>
      </c>
      <c r="K10" s="19" t="s">
        <v>383</v>
      </c>
      <c r="L10" s="25" t="s">
        <v>24</v>
      </c>
      <c r="M10" s="19" t="s">
        <v>82</v>
      </c>
      <c r="N10" s="19"/>
      <c r="O10" s="19" t="s">
        <v>26</v>
      </c>
      <c r="P10" s="23" t="s">
        <v>26</v>
      </c>
      <c r="Q10" s="19"/>
      <c r="R10" s="24"/>
    </row>
    <row r="11" spans="1:18" ht="30" customHeight="1" x14ac:dyDescent="0.25">
      <c r="A11" s="17" t="s">
        <v>38</v>
      </c>
      <c r="B11" s="18">
        <v>215280</v>
      </c>
      <c r="C11" s="19" t="s">
        <v>19</v>
      </c>
      <c r="D11" s="20" t="s">
        <v>175</v>
      </c>
      <c r="E11" s="21" t="s">
        <v>114</v>
      </c>
      <c r="F11" s="21">
        <v>22</v>
      </c>
      <c r="G11" s="22">
        <v>44215</v>
      </c>
      <c r="H11" s="22">
        <v>44265</v>
      </c>
      <c r="I11" s="22"/>
      <c r="J11" s="23" t="s">
        <v>390</v>
      </c>
      <c r="K11" s="19" t="s">
        <v>383</v>
      </c>
      <c r="L11" s="25" t="s">
        <v>24</v>
      </c>
      <c r="M11" s="19" t="s">
        <v>82</v>
      </c>
      <c r="N11" s="19"/>
      <c r="O11" s="19" t="s">
        <v>26</v>
      </c>
      <c r="P11" s="23" t="s">
        <v>26</v>
      </c>
      <c r="Q11" s="19"/>
      <c r="R11" s="24"/>
    </row>
    <row r="12" spans="1:18" ht="30" customHeight="1" x14ac:dyDescent="0.25">
      <c r="A12" s="17" t="s">
        <v>38</v>
      </c>
      <c r="B12" s="18">
        <v>215280</v>
      </c>
      <c r="C12" s="19" t="s">
        <v>19</v>
      </c>
      <c r="D12" s="20" t="s">
        <v>175</v>
      </c>
      <c r="E12" s="21" t="s">
        <v>21</v>
      </c>
      <c r="F12" s="21">
        <v>2</v>
      </c>
      <c r="G12" s="22">
        <v>44215</v>
      </c>
      <c r="H12" s="22">
        <v>44230</v>
      </c>
      <c r="I12" s="22"/>
      <c r="J12" s="23"/>
      <c r="K12" s="19" t="s">
        <v>383</v>
      </c>
      <c r="L12" s="25" t="s">
        <v>57</v>
      </c>
      <c r="M12" s="19" t="s">
        <v>25</v>
      </c>
      <c r="N12" s="19"/>
      <c r="O12" s="19" t="s">
        <v>26</v>
      </c>
      <c r="P12" s="23" t="s">
        <v>26</v>
      </c>
      <c r="Q12" s="19" t="s">
        <v>27</v>
      </c>
      <c r="R12" s="24" t="s">
        <v>28</v>
      </c>
    </row>
    <row r="13" spans="1:18" ht="30" customHeight="1" x14ac:dyDescent="0.25">
      <c r="A13" s="17" t="s">
        <v>38</v>
      </c>
      <c r="B13" s="18">
        <v>215280</v>
      </c>
      <c r="C13" s="19" t="s">
        <v>19</v>
      </c>
      <c r="D13" s="20" t="s">
        <v>175</v>
      </c>
      <c r="E13" s="21" t="s">
        <v>45</v>
      </c>
      <c r="F13" s="21">
        <v>2</v>
      </c>
      <c r="G13" s="22">
        <v>44215</v>
      </c>
      <c r="H13" s="22">
        <v>44230</v>
      </c>
      <c r="I13" s="22"/>
      <c r="J13" s="23"/>
      <c r="K13" s="19" t="s">
        <v>383</v>
      </c>
      <c r="L13" s="25" t="s">
        <v>57</v>
      </c>
      <c r="M13" s="19" t="s">
        <v>25</v>
      </c>
      <c r="N13" s="19"/>
      <c r="O13" s="19" t="s">
        <v>26</v>
      </c>
      <c r="P13" s="23" t="s">
        <v>26</v>
      </c>
      <c r="Q13" s="19" t="s">
        <v>27</v>
      </c>
      <c r="R13" s="24" t="s">
        <v>28</v>
      </c>
    </row>
    <row r="14" spans="1:18" ht="30" customHeight="1" x14ac:dyDescent="0.25">
      <c r="A14" s="17" t="s">
        <v>38</v>
      </c>
      <c r="B14" s="18">
        <v>215280</v>
      </c>
      <c r="C14" s="19" t="s">
        <v>19</v>
      </c>
      <c r="D14" s="20" t="s">
        <v>175</v>
      </c>
      <c r="E14" s="21" t="s">
        <v>176</v>
      </c>
      <c r="F14" s="21">
        <v>2</v>
      </c>
      <c r="G14" s="22">
        <v>44215</v>
      </c>
      <c r="H14" s="22">
        <v>44230</v>
      </c>
      <c r="I14" s="22"/>
      <c r="J14" s="23"/>
      <c r="K14" s="19" t="s">
        <v>383</v>
      </c>
      <c r="L14" s="25" t="s">
        <v>57</v>
      </c>
      <c r="M14" s="19" t="s">
        <v>25</v>
      </c>
      <c r="N14" s="19"/>
      <c r="O14" s="19" t="s">
        <v>26</v>
      </c>
      <c r="P14" s="23" t="s">
        <v>26</v>
      </c>
      <c r="Q14" s="19" t="s">
        <v>27</v>
      </c>
      <c r="R14" s="24" t="s">
        <v>28</v>
      </c>
    </row>
    <row r="15" spans="1:18" ht="30" customHeight="1" x14ac:dyDescent="0.25">
      <c r="A15" s="17" t="s">
        <v>38</v>
      </c>
      <c r="B15" s="18">
        <v>198680</v>
      </c>
      <c r="C15" s="19" t="s">
        <v>19</v>
      </c>
      <c r="D15" s="20" t="s">
        <v>391</v>
      </c>
      <c r="E15" s="21" t="s">
        <v>226</v>
      </c>
      <c r="F15" s="21"/>
      <c r="G15" s="22">
        <v>44132</v>
      </c>
      <c r="H15" s="22">
        <v>44298</v>
      </c>
      <c r="I15" s="22"/>
      <c r="J15" s="23" t="s">
        <v>392</v>
      </c>
      <c r="K15" s="19" t="s">
        <v>387</v>
      </c>
      <c r="L15" s="25" t="s">
        <v>24</v>
      </c>
      <c r="M15" s="19" t="s">
        <v>33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17" t="s">
        <v>38</v>
      </c>
      <c r="B16" s="18" t="s">
        <v>60</v>
      </c>
      <c r="C16" s="19" t="s">
        <v>19</v>
      </c>
      <c r="D16" s="20" t="s">
        <v>199</v>
      </c>
      <c r="E16" s="21" t="s">
        <v>115</v>
      </c>
      <c r="F16" s="21">
        <v>2</v>
      </c>
      <c r="G16" s="22">
        <v>44225</v>
      </c>
      <c r="H16" s="22">
        <v>44260</v>
      </c>
      <c r="I16" s="22"/>
      <c r="J16" s="23"/>
      <c r="K16" s="19" t="s">
        <v>383</v>
      </c>
      <c r="L16" s="25" t="s">
        <v>24</v>
      </c>
      <c r="M16" s="19" t="s">
        <v>25</v>
      </c>
      <c r="N16" s="19"/>
      <c r="O16" s="19" t="s">
        <v>26</v>
      </c>
      <c r="P16" s="23" t="s">
        <v>26</v>
      </c>
      <c r="Q16" s="19"/>
      <c r="R16" s="24"/>
    </row>
    <row r="17" spans="1:18" ht="30" customHeight="1" x14ac:dyDescent="0.25">
      <c r="A17" s="17" t="s">
        <v>34</v>
      </c>
      <c r="B17" s="18">
        <v>217447</v>
      </c>
      <c r="C17" s="19" t="s">
        <v>19</v>
      </c>
      <c r="D17" s="20" t="s">
        <v>393</v>
      </c>
      <c r="E17" s="21" t="s">
        <v>45</v>
      </c>
      <c r="F17" s="21">
        <v>1</v>
      </c>
      <c r="G17" s="22">
        <v>44225</v>
      </c>
      <c r="H17" s="22">
        <v>44237</v>
      </c>
      <c r="I17" s="22">
        <v>44237</v>
      </c>
      <c r="J17" s="23" t="s">
        <v>394</v>
      </c>
      <c r="K17" s="19" t="s">
        <v>385</v>
      </c>
      <c r="L17" s="25" t="s">
        <v>24</v>
      </c>
      <c r="M17" s="19" t="s">
        <v>25</v>
      </c>
      <c r="N17" s="19"/>
      <c r="O17" s="19" t="s">
        <v>26</v>
      </c>
      <c r="P17" s="23"/>
      <c r="Q17" s="19"/>
      <c r="R17" s="24"/>
    </row>
    <row r="18" spans="1:18" ht="30" customHeight="1" x14ac:dyDescent="0.25">
      <c r="A18" s="17" t="s">
        <v>34</v>
      </c>
      <c r="B18" s="18">
        <v>217447</v>
      </c>
      <c r="C18" s="19" t="s">
        <v>19</v>
      </c>
      <c r="D18" s="20" t="s">
        <v>393</v>
      </c>
      <c r="E18" s="21" t="s">
        <v>21</v>
      </c>
      <c r="F18" s="21">
        <v>1</v>
      </c>
      <c r="G18" s="22">
        <v>44225</v>
      </c>
      <c r="H18" s="22">
        <v>44237</v>
      </c>
      <c r="I18" s="22">
        <v>44237</v>
      </c>
      <c r="J18" s="23" t="s">
        <v>394</v>
      </c>
      <c r="K18" s="19" t="s">
        <v>385</v>
      </c>
      <c r="L18" s="25" t="s">
        <v>24</v>
      </c>
      <c r="M18" s="19" t="s">
        <v>25</v>
      </c>
      <c r="N18" s="19"/>
      <c r="O18" s="19" t="s">
        <v>26</v>
      </c>
      <c r="P18" s="23"/>
      <c r="Q18" s="19"/>
      <c r="R18" s="24"/>
    </row>
    <row r="19" spans="1:18" ht="30" customHeight="1" x14ac:dyDescent="0.25">
      <c r="A19" s="17" t="s">
        <v>38</v>
      </c>
      <c r="B19" s="18">
        <v>202587</v>
      </c>
      <c r="C19" s="19" t="s">
        <v>139</v>
      </c>
      <c r="D19" s="20" t="s">
        <v>395</v>
      </c>
      <c r="E19" s="21" t="s">
        <v>287</v>
      </c>
      <c r="F19" s="21"/>
      <c r="G19" s="22">
        <v>44518</v>
      </c>
      <c r="H19" s="22">
        <v>44211</v>
      </c>
      <c r="I19" s="22"/>
      <c r="J19" s="23" t="s">
        <v>396</v>
      </c>
      <c r="K19" s="19" t="s">
        <v>383</v>
      </c>
      <c r="L19" s="25" t="s">
        <v>57</v>
      </c>
      <c r="M19" s="19" t="s">
        <v>25</v>
      </c>
      <c r="N19" s="19"/>
      <c r="O19" s="19" t="s">
        <v>37</v>
      </c>
      <c r="P19" s="23"/>
      <c r="Q19" s="19"/>
      <c r="R19" s="24"/>
    </row>
    <row r="20" spans="1:18" ht="30" customHeight="1" x14ac:dyDescent="0.25">
      <c r="A20" s="17" t="s">
        <v>158</v>
      </c>
      <c r="B20" s="18">
        <v>210194</v>
      </c>
      <c r="C20" s="19" t="s">
        <v>76</v>
      </c>
      <c r="D20" s="20" t="s">
        <v>397</v>
      </c>
      <c r="E20" s="21" t="s">
        <v>68</v>
      </c>
      <c r="F20" s="21"/>
      <c r="G20" s="22">
        <v>44187</v>
      </c>
      <c r="H20" s="22">
        <v>44229</v>
      </c>
      <c r="I20" s="22"/>
      <c r="J20" s="23"/>
      <c r="K20" s="19" t="s">
        <v>383</v>
      </c>
      <c r="L20" s="25"/>
      <c r="M20" s="19"/>
      <c r="N20" s="19"/>
      <c r="O20" s="19"/>
      <c r="P20" s="23"/>
      <c r="Q20" s="19"/>
      <c r="R20" s="24"/>
    </row>
    <row r="21" spans="1:18" ht="30" customHeight="1" x14ac:dyDescent="0.25">
      <c r="A21" s="26" t="s">
        <v>38</v>
      </c>
      <c r="B21" s="27">
        <v>199736</v>
      </c>
      <c r="C21" s="28" t="s">
        <v>19</v>
      </c>
      <c r="D21" s="29" t="s">
        <v>398</v>
      </c>
      <c r="E21" s="30" t="s">
        <v>156</v>
      </c>
      <c r="F21" s="30"/>
      <c r="G21" s="72">
        <v>44139</v>
      </c>
      <c r="H21" s="72">
        <v>44253</v>
      </c>
      <c r="I21" s="72">
        <v>44253</v>
      </c>
      <c r="J21" s="31" t="s">
        <v>399</v>
      </c>
      <c r="K21" s="28" t="s">
        <v>385</v>
      </c>
      <c r="L21" s="32"/>
      <c r="M21" s="28"/>
      <c r="N21" s="28"/>
      <c r="O21" s="28"/>
      <c r="P21" s="31"/>
      <c r="Q21" s="28"/>
      <c r="R21" s="33"/>
    </row>
    <row r="22" spans="1:18" ht="30" customHeight="1" x14ac:dyDescent="0.25">
      <c r="A22" s="17" t="s">
        <v>129</v>
      </c>
      <c r="B22" s="18">
        <v>219469</v>
      </c>
      <c r="C22" s="19" t="s">
        <v>76</v>
      </c>
      <c r="D22" s="20" t="s">
        <v>400</v>
      </c>
      <c r="E22" s="21"/>
      <c r="F22" s="21"/>
      <c r="G22" s="22">
        <v>44235</v>
      </c>
      <c r="H22" s="22">
        <v>44251</v>
      </c>
      <c r="I22" s="22"/>
      <c r="J22" s="23"/>
      <c r="K22" s="19" t="s">
        <v>387</v>
      </c>
      <c r="L22" s="25" t="s">
        <v>36</v>
      </c>
      <c r="M22" s="19"/>
      <c r="N22" s="19"/>
      <c r="O22" s="19"/>
      <c r="P22" s="23"/>
      <c r="Q22" s="19"/>
      <c r="R22" s="24"/>
    </row>
    <row r="23" spans="1:18" ht="30" customHeight="1" x14ac:dyDescent="0.25">
      <c r="A23" s="17" t="s">
        <v>95</v>
      </c>
      <c r="B23" s="18">
        <v>209414</v>
      </c>
      <c r="C23" s="19" t="s">
        <v>76</v>
      </c>
      <c r="D23" s="20" t="s">
        <v>401</v>
      </c>
      <c r="E23" s="21" t="s">
        <v>73</v>
      </c>
      <c r="F23" s="21"/>
      <c r="G23" s="22">
        <v>44201</v>
      </c>
      <c r="H23" s="22">
        <v>44293</v>
      </c>
      <c r="I23" s="22"/>
      <c r="J23" s="23" t="s">
        <v>402</v>
      </c>
      <c r="K23" s="19" t="s">
        <v>387</v>
      </c>
      <c r="L23" s="25" t="s">
        <v>57</v>
      </c>
      <c r="M23" s="19" t="s">
        <v>25</v>
      </c>
      <c r="N23" s="19"/>
      <c r="O23" s="19" t="s">
        <v>37</v>
      </c>
      <c r="P23" s="23"/>
      <c r="Q23" s="19"/>
      <c r="R23" s="24"/>
    </row>
    <row r="24" spans="1:18" ht="30" customHeight="1" x14ac:dyDescent="0.25">
      <c r="A24" s="17" t="s">
        <v>95</v>
      </c>
      <c r="B24" s="18">
        <v>209414</v>
      </c>
      <c r="C24" s="19" t="s">
        <v>19</v>
      </c>
      <c r="D24" s="20" t="s">
        <v>401</v>
      </c>
      <c r="E24" s="21" t="s">
        <v>106</v>
      </c>
      <c r="F24" s="21">
        <v>16</v>
      </c>
      <c r="G24" s="22">
        <v>44201</v>
      </c>
      <c r="H24" s="22">
        <v>44302</v>
      </c>
      <c r="I24" s="22"/>
      <c r="J24" s="23"/>
      <c r="K24" s="19" t="s">
        <v>387</v>
      </c>
      <c r="L24" s="25" t="s">
        <v>57</v>
      </c>
      <c r="M24" s="19" t="s">
        <v>25</v>
      </c>
      <c r="N24" s="19"/>
      <c r="O24" s="19" t="s">
        <v>37</v>
      </c>
      <c r="P24" s="23"/>
      <c r="Q24" s="19"/>
      <c r="R24" s="24"/>
    </row>
    <row r="25" spans="1:18" ht="30" customHeight="1" x14ac:dyDescent="0.25">
      <c r="A25" s="26" t="s">
        <v>95</v>
      </c>
      <c r="B25" s="27">
        <v>209414</v>
      </c>
      <c r="C25" s="28" t="s">
        <v>139</v>
      </c>
      <c r="D25" s="29" t="s">
        <v>401</v>
      </c>
      <c r="E25" s="30" t="s">
        <v>106</v>
      </c>
      <c r="F25" s="30">
        <v>2</v>
      </c>
      <c r="G25" s="72">
        <v>44201</v>
      </c>
      <c r="H25" s="72">
        <v>44302</v>
      </c>
      <c r="I25" s="72"/>
      <c r="J25" s="31" t="s">
        <v>403</v>
      </c>
      <c r="K25" s="28" t="s">
        <v>385</v>
      </c>
      <c r="L25" s="32" t="s">
        <v>57</v>
      </c>
      <c r="M25" s="28" t="s">
        <v>25</v>
      </c>
      <c r="N25" s="28"/>
      <c r="O25" s="28" t="s">
        <v>37</v>
      </c>
      <c r="P25" s="31"/>
      <c r="Q25" s="28"/>
      <c r="R25" s="33"/>
    </row>
    <row r="26" spans="1:18" ht="30" customHeight="1" x14ac:dyDescent="0.25">
      <c r="A26" s="17" t="s">
        <v>38</v>
      </c>
      <c r="B26" s="18">
        <v>221340</v>
      </c>
      <c r="C26" s="19" t="s">
        <v>19</v>
      </c>
      <c r="D26" s="20" t="s">
        <v>404</v>
      </c>
      <c r="E26" s="21" t="s">
        <v>85</v>
      </c>
      <c r="F26" s="21">
        <v>1</v>
      </c>
      <c r="G26" s="22">
        <v>44239</v>
      </c>
      <c r="H26" s="22"/>
      <c r="I26" s="22"/>
      <c r="J26" s="23"/>
      <c r="K26" s="19" t="s">
        <v>387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221340</v>
      </c>
      <c r="C27" s="19" t="s">
        <v>61</v>
      </c>
      <c r="D27" s="20" t="s">
        <v>404</v>
      </c>
      <c r="E27" s="21" t="s">
        <v>301</v>
      </c>
      <c r="F27" s="21"/>
      <c r="G27" s="22">
        <v>44239</v>
      </c>
      <c r="H27" s="22"/>
      <c r="I27" s="22"/>
      <c r="J27" s="23" t="s">
        <v>405</v>
      </c>
      <c r="K27" s="19" t="s">
        <v>387</v>
      </c>
      <c r="L27" s="25" t="s">
        <v>24</v>
      </c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38</v>
      </c>
      <c r="B28" s="18">
        <v>221340</v>
      </c>
      <c r="C28" s="19" t="s">
        <v>137</v>
      </c>
      <c r="D28" s="20" t="s">
        <v>404</v>
      </c>
      <c r="E28" s="21" t="s">
        <v>82</v>
      </c>
      <c r="F28" s="21"/>
      <c r="G28" s="22">
        <v>44239</v>
      </c>
      <c r="H28" s="22"/>
      <c r="I28" s="22"/>
      <c r="J28" s="23" t="s">
        <v>406</v>
      </c>
      <c r="K28" s="19" t="s">
        <v>387</v>
      </c>
      <c r="L28" s="25" t="s">
        <v>24</v>
      </c>
      <c r="M28" s="19"/>
      <c r="N28" s="19"/>
      <c r="O28" s="19"/>
      <c r="P28" s="23"/>
      <c r="Q28" s="19"/>
      <c r="R28" s="24"/>
    </row>
    <row r="29" spans="1:18" ht="30" customHeight="1" x14ac:dyDescent="0.25">
      <c r="A29" s="26" t="s">
        <v>51</v>
      </c>
      <c r="B29" s="27">
        <v>221950</v>
      </c>
      <c r="C29" s="28" t="s">
        <v>76</v>
      </c>
      <c r="D29" s="29" t="s">
        <v>407</v>
      </c>
      <c r="E29" s="30"/>
      <c r="F29" s="30"/>
      <c r="G29" s="72">
        <v>44245</v>
      </c>
      <c r="H29" s="72"/>
      <c r="I29" s="72"/>
      <c r="J29" s="31" t="s">
        <v>408</v>
      </c>
      <c r="K29" s="28" t="s">
        <v>387</v>
      </c>
      <c r="L29" s="32"/>
      <c r="M29" s="28"/>
      <c r="N29" s="28"/>
      <c r="O29" s="28"/>
      <c r="P29" s="31"/>
      <c r="Q29" s="28"/>
      <c r="R29" s="33"/>
    </row>
    <row r="30" spans="1:18" ht="30" customHeight="1" x14ac:dyDescent="0.25">
      <c r="A30" s="17" t="s">
        <v>299</v>
      </c>
      <c r="B30" s="18">
        <v>224036</v>
      </c>
      <c r="C30" s="19" t="s">
        <v>76</v>
      </c>
      <c r="D30" s="20" t="s">
        <v>300</v>
      </c>
      <c r="E30" s="21" t="s">
        <v>82</v>
      </c>
      <c r="F30" s="21"/>
      <c r="G30" s="22">
        <v>44253</v>
      </c>
      <c r="H30" s="22">
        <v>44295</v>
      </c>
      <c r="I30" s="22"/>
      <c r="J30" s="23" t="s">
        <v>409</v>
      </c>
      <c r="K30" s="19" t="s">
        <v>387</v>
      </c>
      <c r="L30" s="25" t="s">
        <v>24</v>
      </c>
      <c r="M30" s="19" t="s">
        <v>82</v>
      </c>
      <c r="N30" s="19"/>
      <c r="O30" s="19" t="s">
        <v>26</v>
      </c>
      <c r="P30" s="23"/>
      <c r="Q30" s="19"/>
      <c r="R30" s="24"/>
    </row>
    <row r="31" spans="1:18" ht="30" customHeight="1" x14ac:dyDescent="0.25">
      <c r="A31" s="26" t="s">
        <v>299</v>
      </c>
      <c r="B31" s="27">
        <v>224036</v>
      </c>
      <c r="C31" s="28" t="s">
        <v>410</v>
      </c>
      <c r="D31" s="29" t="s">
        <v>300</v>
      </c>
      <c r="E31" s="30" t="s">
        <v>85</v>
      </c>
      <c r="F31" s="30"/>
      <c r="G31" s="72">
        <v>44253</v>
      </c>
      <c r="H31" s="72">
        <v>44295</v>
      </c>
      <c r="I31" s="72"/>
      <c r="J31" s="31"/>
      <c r="K31" s="28" t="s">
        <v>387</v>
      </c>
      <c r="L31" s="32" t="s">
        <v>24</v>
      </c>
      <c r="M31" s="28" t="s">
        <v>82</v>
      </c>
      <c r="N31" s="28"/>
      <c r="O31" s="28" t="s">
        <v>26</v>
      </c>
      <c r="P31" s="31"/>
      <c r="Q31" s="28"/>
      <c r="R31" s="33"/>
    </row>
    <row r="32" spans="1:18" ht="30" customHeight="1" x14ac:dyDescent="0.25">
      <c r="A32" s="26" t="s">
        <v>158</v>
      </c>
      <c r="B32" s="27">
        <v>224281</v>
      </c>
      <c r="C32" s="28" t="s">
        <v>139</v>
      </c>
      <c r="D32" s="29" t="s">
        <v>411</v>
      </c>
      <c r="E32" s="30" t="s">
        <v>133</v>
      </c>
      <c r="F32" s="30"/>
      <c r="G32" s="72">
        <v>44256</v>
      </c>
      <c r="H32" s="72">
        <v>44257</v>
      </c>
      <c r="I32" s="72">
        <v>44257</v>
      </c>
      <c r="J32" s="31"/>
      <c r="K32" s="28" t="s">
        <v>383</v>
      </c>
      <c r="L32" s="32" t="s">
        <v>57</v>
      </c>
      <c r="M32" s="28" t="s">
        <v>25</v>
      </c>
      <c r="N32" s="28"/>
      <c r="O32" s="28" t="s">
        <v>37</v>
      </c>
      <c r="P32" s="31" t="s">
        <v>37</v>
      </c>
      <c r="Q32" s="28" t="s">
        <v>53</v>
      </c>
      <c r="R32" s="33"/>
    </row>
    <row r="33" spans="1:18" ht="30" customHeight="1" x14ac:dyDescent="0.25">
      <c r="A33" s="26" t="s">
        <v>34</v>
      </c>
      <c r="B33" s="27">
        <v>224701</v>
      </c>
      <c r="C33" s="28" t="s">
        <v>19</v>
      </c>
      <c r="D33" s="29" t="s">
        <v>315</v>
      </c>
      <c r="E33" s="30" t="s">
        <v>82</v>
      </c>
      <c r="F33" s="30">
        <v>15</v>
      </c>
      <c r="G33" s="72">
        <v>44257</v>
      </c>
      <c r="H33" s="72">
        <v>44285</v>
      </c>
      <c r="I33" s="72"/>
      <c r="J33" s="31" t="s">
        <v>317</v>
      </c>
      <c r="K33" s="28" t="s">
        <v>383</v>
      </c>
      <c r="L33" s="32" t="s">
        <v>24</v>
      </c>
      <c r="M33" s="28" t="s">
        <v>25</v>
      </c>
      <c r="N33" s="28"/>
      <c r="O33" s="28" t="s">
        <v>26</v>
      </c>
      <c r="P33" s="31" t="s">
        <v>26</v>
      </c>
      <c r="Q33" s="28" t="s">
        <v>53</v>
      </c>
      <c r="R33" s="33"/>
    </row>
    <row r="34" spans="1:18" ht="30" customHeight="1" x14ac:dyDescent="0.25">
      <c r="A34" s="17" t="s">
        <v>34</v>
      </c>
      <c r="B34" s="18">
        <v>224701</v>
      </c>
      <c r="C34" s="19" t="s">
        <v>76</v>
      </c>
      <c r="D34" s="20" t="s">
        <v>315</v>
      </c>
      <c r="E34" s="21" t="s">
        <v>82</v>
      </c>
      <c r="F34" s="21"/>
      <c r="G34" s="22">
        <v>44257</v>
      </c>
      <c r="H34" s="22">
        <v>44287</v>
      </c>
      <c r="I34" s="22"/>
      <c r="J34" s="23" t="s">
        <v>412</v>
      </c>
      <c r="K34" s="19" t="s">
        <v>387</v>
      </c>
      <c r="L34" s="25" t="s">
        <v>24</v>
      </c>
      <c r="M34" s="19" t="s">
        <v>82</v>
      </c>
      <c r="N34" s="19"/>
      <c r="O34" s="19" t="s">
        <v>26</v>
      </c>
      <c r="P34" s="23"/>
      <c r="Q34" s="19"/>
      <c r="R34" s="24"/>
    </row>
    <row r="35" spans="1:18" ht="30" customHeight="1" x14ac:dyDescent="0.25">
      <c r="A35" s="17" t="s">
        <v>34</v>
      </c>
      <c r="B35" s="18">
        <v>224687</v>
      </c>
      <c r="C35" s="19" t="s">
        <v>19</v>
      </c>
      <c r="D35" s="20" t="s">
        <v>413</v>
      </c>
      <c r="E35" s="21" t="s">
        <v>21</v>
      </c>
      <c r="F35" s="21">
        <v>3</v>
      </c>
      <c r="G35" s="22">
        <v>44257</v>
      </c>
      <c r="H35" s="22">
        <v>44270</v>
      </c>
      <c r="I35" s="22"/>
      <c r="J35" s="23"/>
      <c r="K35" s="19" t="s">
        <v>383</v>
      </c>
      <c r="L35" s="25" t="s">
        <v>57</v>
      </c>
      <c r="M35" s="19" t="s">
        <v>25</v>
      </c>
      <c r="N35" s="19"/>
      <c r="O35" s="19" t="s">
        <v>37</v>
      </c>
      <c r="P35" s="23" t="s">
        <v>26</v>
      </c>
      <c r="Q35" s="19" t="s">
        <v>28</v>
      </c>
      <c r="R35" s="24"/>
    </row>
    <row r="36" spans="1:18" ht="30" customHeight="1" x14ac:dyDescent="0.25">
      <c r="A36" s="17" t="s">
        <v>34</v>
      </c>
      <c r="B36" s="18">
        <v>224687</v>
      </c>
      <c r="C36" s="19" t="s">
        <v>139</v>
      </c>
      <c r="D36" s="20" t="s">
        <v>413</v>
      </c>
      <c r="E36" s="21" t="s">
        <v>45</v>
      </c>
      <c r="F36" s="21">
        <v>3</v>
      </c>
      <c r="G36" s="22">
        <v>44257</v>
      </c>
      <c r="H36" s="22">
        <v>44270</v>
      </c>
      <c r="I36" s="22"/>
      <c r="J36" s="23"/>
      <c r="K36" s="19" t="s">
        <v>383</v>
      </c>
      <c r="L36" s="25" t="s">
        <v>57</v>
      </c>
      <c r="M36" s="19" t="s">
        <v>25</v>
      </c>
      <c r="N36" s="19"/>
      <c r="O36" s="19" t="s">
        <v>37</v>
      </c>
      <c r="P36" s="23" t="s">
        <v>26</v>
      </c>
      <c r="Q36" s="19" t="s">
        <v>28</v>
      </c>
      <c r="R36" s="24"/>
    </row>
    <row r="37" spans="1:18" ht="30" customHeight="1" x14ac:dyDescent="0.25">
      <c r="A37" s="17" t="s">
        <v>34</v>
      </c>
      <c r="B37" s="18">
        <v>224687</v>
      </c>
      <c r="C37" s="19" t="s">
        <v>139</v>
      </c>
      <c r="D37" s="20" t="s">
        <v>413</v>
      </c>
      <c r="E37" s="21" t="s">
        <v>105</v>
      </c>
      <c r="F37" s="21">
        <v>3</v>
      </c>
      <c r="G37" s="22">
        <v>44257</v>
      </c>
      <c r="H37" s="22">
        <v>44270</v>
      </c>
      <c r="I37" s="22"/>
      <c r="J37" s="23"/>
      <c r="K37" s="19" t="s">
        <v>383</v>
      </c>
      <c r="L37" s="25" t="s">
        <v>57</v>
      </c>
      <c r="M37" s="19" t="s">
        <v>25</v>
      </c>
      <c r="N37" s="19"/>
      <c r="O37" s="19" t="s">
        <v>37</v>
      </c>
      <c r="P37" s="23" t="s">
        <v>26</v>
      </c>
      <c r="Q37" s="19" t="s">
        <v>28</v>
      </c>
      <c r="R37" s="24"/>
    </row>
    <row r="38" spans="1:18" ht="30" customHeight="1" x14ac:dyDescent="0.25">
      <c r="A38" s="17" t="s">
        <v>34</v>
      </c>
      <c r="B38" s="18">
        <v>224687</v>
      </c>
      <c r="C38" s="19" t="s">
        <v>139</v>
      </c>
      <c r="D38" s="20" t="s">
        <v>413</v>
      </c>
      <c r="E38" s="21" t="s">
        <v>106</v>
      </c>
      <c r="F38" s="21">
        <v>3</v>
      </c>
      <c r="G38" s="22">
        <v>44257</v>
      </c>
      <c r="H38" s="22">
        <v>44270</v>
      </c>
      <c r="I38" s="22"/>
      <c r="J38" s="23"/>
      <c r="K38" s="19" t="s">
        <v>383</v>
      </c>
      <c r="L38" s="25" t="s">
        <v>57</v>
      </c>
      <c r="M38" s="19" t="s">
        <v>25</v>
      </c>
      <c r="N38" s="19"/>
      <c r="O38" s="19" t="s">
        <v>37</v>
      </c>
      <c r="P38" s="23" t="s">
        <v>26</v>
      </c>
      <c r="Q38" s="19" t="s">
        <v>28</v>
      </c>
      <c r="R38" s="24"/>
    </row>
    <row r="39" spans="1:18" ht="30" customHeight="1" x14ac:dyDescent="0.25">
      <c r="A39" s="17" t="s">
        <v>34</v>
      </c>
      <c r="B39" s="18">
        <v>224687</v>
      </c>
      <c r="C39" s="19" t="s">
        <v>139</v>
      </c>
      <c r="D39" s="20" t="s">
        <v>413</v>
      </c>
      <c r="E39" s="21" t="s">
        <v>101</v>
      </c>
      <c r="F39" s="21">
        <v>1</v>
      </c>
      <c r="G39" s="22">
        <v>44257</v>
      </c>
      <c r="H39" s="22">
        <v>44270</v>
      </c>
      <c r="I39" s="22"/>
      <c r="J39" s="23" t="s">
        <v>349</v>
      </c>
      <c r="K39" s="19" t="s">
        <v>383</v>
      </c>
      <c r="L39" s="25" t="s">
        <v>57</v>
      </c>
      <c r="M39" s="19" t="s">
        <v>25</v>
      </c>
      <c r="N39" s="19"/>
      <c r="O39" s="19" t="s">
        <v>37</v>
      </c>
      <c r="P39" s="23" t="s">
        <v>26</v>
      </c>
      <c r="Q39" s="19" t="s">
        <v>28</v>
      </c>
      <c r="R39" s="24"/>
    </row>
    <row r="40" spans="1:18" ht="30" customHeight="1" x14ac:dyDescent="0.25">
      <c r="A40" s="17" t="s">
        <v>34</v>
      </c>
      <c r="B40" s="18">
        <v>224687</v>
      </c>
      <c r="C40" s="19" t="s">
        <v>19</v>
      </c>
      <c r="D40" s="20" t="s">
        <v>413</v>
      </c>
      <c r="E40" s="21" t="s">
        <v>82</v>
      </c>
      <c r="F40" s="21">
        <v>1</v>
      </c>
      <c r="G40" s="22">
        <v>44257</v>
      </c>
      <c r="H40" s="22">
        <v>44270</v>
      </c>
      <c r="I40" s="22"/>
      <c r="J40" s="23" t="s">
        <v>414</v>
      </c>
      <c r="K40" s="19" t="s">
        <v>383</v>
      </c>
      <c r="L40" s="25" t="s">
        <v>44</v>
      </c>
      <c r="M40" s="19" t="s">
        <v>25</v>
      </c>
      <c r="N40" s="19"/>
      <c r="O40" s="19" t="s">
        <v>26</v>
      </c>
      <c r="P40" s="23" t="s">
        <v>26</v>
      </c>
      <c r="Q40" s="19" t="s">
        <v>28</v>
      </c>
      <c r="R40" s="24"/>
    </row>
    <row r="41" spans="1:18" ht="30" customHeight="1" x14ac:dyDescent="0.25">
      <c r="A41" s="17" t="s">
        <v>34</v>
      </c>
      <c r="B41" s="18">
        <v>224687</v>
      </c>
      <c r="C41" s="19" t="s">
        <v>139</v>
      </c>
      <c r="D41" s="20" t="s">
        <v>413</v>
      </c>
      <c r="E41" s="21" t="s">
        <v>92</v>
      </c>
      <c r="F41" s="21">
        <v>1</v>
      </c>
      <c r="G41" s="22">
        <v>44257</v>
      </c>
      <c r="H41" s="22">
        <v>44270</v>
      </c>
      <c r="I41" s="22"/>
      <c r="J41" s="23"/>
      <c r="K41" s="19" t="s">
        <v>383</v>
      </c>
      <c r="L41" s="25" t="s">
        <v>57</v>
      </c>
      <c r="M41" s="19" t="s">
        <v>25</v>
      </c>
      <c r="N41" s="19"/>
      <c r="O41" s="19" t="s">
        <v>26</v>
      </c>
      <c r="P41" s="23" t="s">
        <v>26</v>
      </c>
      <c r="Q41" s="19" t="s">
        <v>28</v>
      </c>
      <c r="R41" s="24"/>
    </row>
    <row r="42" spans="1:18" ht="30" customHeight="1" x14ac:dyDescent="0.25">
      <c r="A42" s="17" t="s">
        <v>34</v>
      </c>
      <c r="B42" s="18">
        <v>224687</v>
      </c>
      <c r="C42" s="19" t="s">
        <v>19</v>
      </c>
      <c r="D42" s="20" t="s">
        <v>413</v>
      </c>
      <c r="E42" s="21" t="s">
        <v>104</v>
      </c>
      <c r="F42" s="21">
        <v>1</v>
      </c>
      <c r="G42" s="22">
        <v>44257</v>
      </c>
      <c r="H42" s="22">
        <v>44270</v>
      </c>
      <c r="I42" s="22"/>
      <c r="J42" s="23" t="s">
        <v>415</v>
      </c>
      <c r="K42" s="19" t="s">
        <v>383</v>
      </c>
      <c r="L42" s="25" t="s">
        <v>44</v>
      </c>
      <c r="M42" s="19" t="s">
        <v>25</v>
      </c>
      <c r="N42" s="19"/>
      <c r="O42" s="19" t="s">
        <v>26</v>
      </c>
      <c r="P42" s="23" t="s">
        <v>26</v>
      </c>
      <c r="Q42" s="19" t="s">
        <v>28</v>
      </c>
      <c r="R42" s="24"/>
    </row>
    <row r="43" spans="1:18" ht="30" customHeight="1" x14ac:dyDescent="0.25">
      <c r="A43" s="17" t="s">
        <v>34</v>
      </c>
      <c r="B43" s="18">
        <v>224687</v>
      </c>
      <c r="C43" s="19" t="s">
        <v>19</v>
      </c>
      <c r="D43" s="20" t="s">
        <v>413</v>
      </c>
      <c r="E43" s="21" t="s">
        <v>68</v>
      </c>
      <c r="F43" s="21">
        <v>2</v>
      </c>
      <c r="G43" s="22">
        <v>44257</v>
      </c>
      <c r="H43" s="22">
        <v>44270</v>
      </c>
      <c r="I43" s="22"/>
      <c r="J43" s="23" t="s">
        <v>416</v>
      </c>
      <c r="K43" s="19" t="s">
        <v>383</v>
      </c>
      <c r="L43" s="25" t="s">
        <v>57</v>
      </c>
      <c r="M43" s="19" t="s">
        <v>25</v>
      </c>
      <c r="N43" s="19"/>
      <c r="O43" s="19" t="s">
        <v>26</v>
      </c>
      <c r="P43" s="23" t="s">
        <v>26</v>
      </c>
      <c r="Q43" s="19" t="s">
        <v>28</v>
      </c>
      <c r="R43" s="24"/>
    </row>
    <row r="44" spans="1:18" ht="30" customHeight="1" x14ac:dyDescent="0.25">
      <c r="A44" s="17" t="s">
        <v>34</v>
      </c>
      <c r="B44" s="18">
        <v>224687</v>
      </c>
      <c r="C44" s="19" t="s">
        <v>19</v>
      </c>
      <c r="D44" s="20" t="s">
        <v>413</v>
      </c>
      <c r="E44" s="21" t="s">
        <v>83</v>
      </c>
      <c r="F44" s="21"/>
      <c r="G44" s="22">
        <v>44257</v>
      </c>
      <c r="H44" s="22">
        <v>44270</v>
      </c>
      <c r="I44" s="22"/>
      <c r="J44" s="23"/>
      <c r="K44" s="19" t="s">
        <v>383</v>
      </c>
      <c r="L44" s="25" t="s">
        <v>36</v>
      </c>
      <c r="M44" s="19" t="s">
        <v>25</v>
      </c>
      <c r="N44" s="19"/>
      <c r="O44" s="19" t="s">
        <v>26</v>
      </c>
      <c r="P44" s="23" t="s">
        <v>26</v>
      </c>
      <c r="Q44" s="19" t="s">
        <v>28</v>
      </c>
      <c r="R44" s="24"/>
    </row>
    <row r="45" spans="1:18" ht="30" customHeight="1" x14ac:dyDescent="0.25">
      <c r="A45" s="17" t="s">
        <v>34</v>
      </c>
      <c r="B45" s="18">
        <v>224687</v>
      </c>
      <c r="C45" s="19" t="s">
        <v>19</v>
      </c>
      <c r="D45" s="20" t="s">
        <v>413</v>
      </c>
      <c r="E45" s="21" t="s">
        <v>21</v>
      </c>
      <c r="F45" s="21"/>
      <c r="G45" s="22">
        <v>44278</v>
      </c>
      <c r="H45" s="22">
        <v>44278</v>
      </c>
      <c r="I45" s="22"/>
      <c r="J45" s="23" t="s">
        <v>417</v>
      </c>
      <c r="K45" s="19" t="s">
        <v>383</v>
      </c>
      <c r="L45" s="25" t="s">
        <v>57</v>
      </c>
      <c r="M45" s="19" t="s">
        <v>25</v>
      </c>
      <c r="N45" s="19"/>
      <c r="O45" s="19" t="s">
        <v>37</v>
      </c>
      <c r="P45" s="23" t="s">
        <v>26</v>
      </c>
      <c r="Q45" s="19" t="s">
        <v>28</v>
      </c>
      <c r="R45" s="24"/>
    </row>
    <row r="46" spans="1:18" ht="30" customHeight="1" x14ac:dyDescent="0.25">
      <c r="A46" s="17" t="s">
        <v>34</v>
      </c>
      <c r="B46" s="18">
        <v>224687</v>
      </c>
      <c r="C46" s="19" t="s">
        <v>410</v>
      </c>
      <c r="D46" s="20" t="s">
        <v>413</v>
      </c>
      <c r="E46" s="21" t="s">
        <v>106</v>
      </c>
      <c r="F46" s="21">
        <v>2</v>
      </c>
      <c r="G46" s="22">
        <v>44278</v>
      </c>
      <c r="H46" s="22">
        <v>44281</v>
      </c>
      <c r="I46" s="22"/>
      <c r="J46" s="23" t="s">
        <v>417</v>
      </c>
      <c r="K46" s="19" t="s">
        <v>383</v>
      </c>
      <c r="L46" s="25" t="s">
        <v>57</v>
      </c>
      <c r="M46" s="19" t="s">
        <v>25</v>
      </c>
      <c r="N46" s="19"/>
      <c r="O46" s="19" t="s">
        <v>37</v>
      </c>
      <c r="P46" s="23" t="s">
        <v>26</v>
      </c>
      <c r="Q46" s="19" t="s">
        <v>28</v>
      </c>
      <c r="R46" s="24"/>
    </row>
    <row r="47" spans="1:18" ht="30" customHeight="1" x14ac:dyDescent="0.25">
      <c r="A47" s="17" t="s">
        <v>34</v>
      </c>
      <c r="B47" s="18">
        <v>224687</v>
      </c>
      <c r="C47" s="19" t="s">
        <v>410</v>
      </c>
      <c r="D47" s="20" t="s">
        <v>413</v>
      </c>
      <c r="E47" s="21" t="s">
        <v>81</v>
      </c>
      <c r="F47" s="21">
        <v>1</v>
      </c>
      <c r="G47" s="22">
        <v>44278</v>
      </c>
      <c r="H47" s="22">
        <v>44281</v>
      </c>
      <c r="I47" s="22"/>
      <c r="J47" s="23" t="s">
        <v>417</v>
      </c>
      <c r="K47" s="19" t="s">
        <v>383</v>
      </c>
      <c r="L47" s="25" t="s">
        <v>57</v>
      </c>
      <c r="M47" s="19" t="s">
        <v>25</v>
      </c>
      <c r="N47" s="19"/>
      <c r="O47" s="19" t="s">
        <v>37</v>
      </c>
      <c r="P47" s="23" t="s">
        <v>26</v>
      </c>
      <c r="Q47" s="19" t="s">
        <v>28</v>
      </c>
      <c r="R47" s="24"/>
    </row>
    <row r="48" spans="1:18" ht="30" customHeight="1" x14ac:dyDescent="0.25">
      <c r="A48" s="26" t="s">
        <v>34</v>
      </c>
      <c r="B48" s="27">
        <v>224687</v>
      </c>
      <c r="C48" s="28" t="s">
        <v>410</v>
      </c>
      <c r="D48" s="29" t="s">
        <v>413</v>
      </c>
      <c r="E48" s="30" t="s">
        <v>105</v>
      </c>
      <c r="F48" s="30">
        <v>1</v>
      </c>
      <c r="G48" s="72">
        <v>44278</v>
      </c>
      <c r="H48" s="72">
        <v>44281</v>
      </c>
      <c r="I48" s="72"/>
      <c r="J48" s="31" t="s">
        <v>417</v>
      </c>
      <c r="K48" s="28" t="s">
        <v>383</v>
      </c>
      <c r="L48" s="32" t="s">
        <v>57</v>
      </c>
      <c r="M48" s="28" t="s">
        <v>25</v>
      </c>
      <c r="N48" s="28"/>
      <c r="O48" s="28" t="s">
        <v>37</v>
      </c>
      <c r="P48" s="31" t="s">
        <v>26</v>
      </c>
      <c r="Q48" s="28" t="s">
        <v>28</v>
      </c>
      <c r="R48" s="33"/>
    </row>
    <row r="49" spans="1:18" ht="30" customHeight="1" x14ac:dyDescent="0.25">
      <c r="A49" s="26" t="s">
        <v>38</v>
      </c>
      <c r="B49" s="27">
        <v>202584</v>
      </c>
      <c r="C49" s="28" t="s">
        <v>19</v>
      </c>
      <c r="D49" s="29" t="s">
        <v>418</v>
      </c>
      <c r="E49" s="30" t="s">
        <v>42</v>
      </c>
      <c r="F49" s="30"/>
      <c r="G49" s="72">
        <v>44230</v>
      </c>
      <c r="H49" s="72"/>
      <c r="I49" s="72"/>
      <c r="J49" s="31"/>
      <c r="K49" s="28" t="s">
        <v>385</v>
      </c>
      <c r="L49" s="32" t="s">
        <v>24</v>
      </c>
      <c r="M49" s="28" t="s">
        <v>33</v>
      </c>
      <c r="N49" s="28"/>
      <c r="O49" s="28"/>
      <c r="P49" s="31"/>
      <c r="Q49" s="28"/>
      <c r="R49" s="33"/>
    </row>
    <row r="50" spans="1:18" ht="30" customHeight="1" x14ac:dyDescent="0.25">
      <c r="A50" s="17" t="s">
        <v>38</v>
      </c>
      <c r="B50" s="18" t="s">
        <v>246</v>
      </c>
      <c r="C50" s="19" t="s">
        <v>19</v>
      </c>
      <c r="D50" s="20" t="s">
        <v>323</v>
      </c>
      <c r="E50" s="21" t="s">
        <v>200</v>
      </c>
      <c r="F50" s="21">
        <v>1</v>
      </c>
      <c r="G50" s="22">
        <v>44263</v>
      </c>
      <c r="H50" s="22">
        <v>44264</v>
      </c>
      <c r="I50" s="22">
        <v>44277</v>
      </c>
      <c r="J50" s="23"/>
      <c r="K50" s="19" t="s">
        <v>383</v>
      </c>
      <c r="L50" s="25" t="s">
        <v>24</v>
      </c>
      <c r="M50" s="19" t="s">
        <v>25</v>
      </c>
      <c r="N50" s="19"/>
      <c r="O50" s="19" t="s">
        <v>37</v>
      </c>
      <c r="P50" s="23" t="s">
        <v>26</v>
      </c>
      <c r="Q50" s="19"/>
      <c r="R50" s="24"/>
    </row>
    <row r="51" spans="1:18" ht="30" customHeight="1" x14ac:dyDescent="0.25">
      <c r="A51" s="17" t="s">
        <v>38</v>
      </c>
      <c r="B51" s="18" t="s">
        <v>246</v>
      </c>
      <c r="C51" s="19" t="s">
        <v>19</v>
      </c>
      <c r="D51" s="20" t="s">
        <v>323</v>
      </c>
      <c r="E51" s="21" t="s">
        <v>115</v>
      </c>
      <c r="F51" s="21">
        <v>1</v>
      </c>
      <c r="G51" s="22">
        <v>44263</v>
      </c>
      <c r="H51" s="22">
        <v>44264</v>
      </c>
      <c r="I51" s="22">
        <v>44277</v>
      </c>
      <c r="J51" s="23" t="s">
        <v>419</v>
      </c>
      <c r="K51" s="19" t="s">
        <v>383</v>
      </c>
      <c r="L51" s="25" t="s">
        <v>24</v>
      </c>
      <c r="M51" s="19" t="s">
        <v>25</v>
      </c>
      <c r="N51" s="19"/>
      <c r="O51" s="19" t="s">
        <v>37</v>
      </c>
      <c r="P51" s="23" t="s">
        <v>26</v>
      </c>
      <c r="Q51" s="19"/>
      <c r="R51" s="24"/>
    </row>
    <row r="52" spans="1:18" ht="30" customHeight="1" x14ac:dyDescent="0.25">
      <c r="A52" s="17" t="s">
        <v>38</v>
      </c>
      <c r="B52" s="18" t="s">
        <v>246</v>
      </c>
      <c r="C52" s="19" t="s">
        <v>19</v>
      </c>
      <c r="D52" s="20" t="s">
        <v>323</v>
      </c>
      <c r="E52" s="21" t="s">
        <v>93</v>
      </c>
      <c r="F52" s="21">
        <v>3</v>
      </c>
      <c r="G52" s="22">
        <v>44263</v>
      </c>
      <c r="H52" s="22">
        <v>44264</v>
      </c>
      <c r="I52" s="22">
        <v>44277</v>
      </c>
      <c r="J52" s="23" t="s">
        <v>420</v>
      </c>
      <c r="K52" s="19" t="s">
        <v>383</v>
      </c>
      <c r="L52" s="25" t="s">
        <v>24</v>
      </c>
      <c r="M52" s="19" t="s">
        <v>25</v>
      </c>
      <c r="N52" s="19"/>
      <c r="O52" s="19" t="s">
        <v>37</v>
      </c>
      <c r="P52" s="23" t="s">
        <v>37</v>
      </c>
      <c r="Q52" s="19"/>
      <c r="R52" s="24"/>
    </row>
    <row r="53" spans="1:18" ht="30" customHeight="1" x14ac:dyDescent="0.25">
      <c r="A53" s="17" t="s">
        <v>38</v>
      </c>
      <c r="B53" s="18" t="s">
        <v>246</v>
      </c>
      <c r="C53" s="19" t="s">
        <v>19</v>
      </c>
      <c r="D53" s="20" t="s">
        <v>323</v>
      </c>
      <c r="E53" s="21" t="s">
        <v>141</v>
      </c>
      <c r="F53" s="21">
        <v>3</v>
      </c>
      <c r="G53" s="22">
        <v>44263</v>
      </c>
      <c r="H53" s="22">
        <v>44264</v>
      </c>
      <c r="I53" s="22">
        <v>44277</v>
      </c>
      <c r="J53" s="23" t="s">
        <v>421</v>
      </c>
      <c r="K53" s="19" t="s">
        <v>383</v>
      </c>
      <c r="L53" s="25" t="s">
        <v>24</v>
      </c>
      <c r="M53" s="19" t="s">
        <v>25</v>
      </c>
      <c r="N53" s="19"/>
      <c r="O53" s="19" t="s">
        <v>37</v>
      </c>
      <c r="P53" s="23" t="s">
        <v>37</v>
      </c>
      <c r="Q53" s="19"/>
      <c r="R53" s="24"/>
    </row>
    <row r="54" spans="1:18" ht="30" customHeight="1" x14ac:dyDescent="0.25">
      <c r="A54" s="17" t="s">
        <v>38</v>
      </c>
      <c r="B54" s="18" t="s">
        <v>246</v>
      </c>
      <c r="C54" s="19" t="s">
        <v>19</v>
      </c>
      <c r="D54" s="20" t="s">
        <v>323</v>
      </c>
      <c r="E54" s="21" t="s">
        <v>114</v>
      </c>
      <c r="F54" s="21">
        <v>2</v>
      </c>
      <c r="G54" s="22">
        <v>44263</v>
      </c>
      <c r="H54" s="22">
        <v>44264</v>
      </c>
      <c r="I54" s="22">
        <v>44277</v>
      </c>
      <c r="J54" s="23"/>
      <c r="K54" s="19" t="s">
        <v>383</v>
      </c>
      <c r="L54" s="25" t="s">
        <v>24</v>
      </c>
      <c r="M54" s="19" t="s">
        <v>25</v>
      </c>
      <c r="N54" s="19"/>
      <c r="O54" s="19" t="s">
        <v>37</v>
      </c>
      <c r="P54" s="23" t="s">
        <v>37</v>
      </c>
      <c r="Q54" s="19"/>
      <c r="R54" s="24"/>
    </row>
    <row r="55" spans="1:18" ht="30" customHeight="1" x14ac:dyDescent="0.25">
      <c r="A55" s="26" t="s">
        <v>38</v>
      </c>
      <c r="B55" s="27" t="s">
        <v>246</v>
      </c>
      <c r="C55" s="28" t="s">
        <v>19</v>
      </c>
      <c r="D55" s="29" t="s">
        <v>323</v>
      </c>
      <c r="E55" s="30" t="s">
        <v>78</v>
      </c>
      <c r="F55" s="30">
        <v>1</v>
      </c>
      <c r="G55" s="72">
        <v>44263</v>
      </c>
      <c r="H55" s="72">
        <v>44264</v>
      </c>
      <c r="I55" s="72">
        <v>44277</v>
      </c>
      <c r="J55" s="31" t="s">
        <v>422</v>
      </c>
      <c r="K55" s="28" t="s">
        <v>383</v>
      </c>
      <c r="L55" s="32" t="s">
        <v>24</v>
      </c>
      <c r="M55" s="28" t="s">
        <v>25</v>
      </c>
      <c r="N55" s="28"/>
      <c r="O55" s="28" t="s">
        <v>37</v>
      </c>
      <c r="P55" s="31" t="s">
        <v>37</v>
      </c>
      <c r="Q55" s="28"/>
      <c r="R55" s="33"/>
    </row>
    <row r="56" spans="1:18" ht="30" customHeight="1" x14ac:dyDescent="0.25">
      <c r="A56" s="17" t="s">
        <v>29</v>
      </c>
      <c r="B56" s="18">
        <v>227189</v>
      </c>
      <c r="C56" s="19" t="s">
        <v>19</v>
      </c>
      <c r="D56" s="20" t="s">
        <v>337</v>
      </c>
      <c r="E56" s="21" t="s">
        <v>21</v>
      </c>
      <c r="F56" s="21">
        <v>1</v>
      </c>
      <c r="G56" s="22">
        <v>44267</v>
      </c>
      <c r="H56" s="22">
        <v>44292</v>
      </c>
      <c r="I56" s="22"/>
      <c r="J56" s="23"/>
      <c r="K56" s="19" t="s">
        <v>383</v>
      </c>
      <c r="L56" s="25" t="s">
        <v>24</v>
      </c>
      <c r="M56" s="19" t="s">
        <v>33</v>
      </c>
      <c r="N56" s="19"/>
      <c r="O56" s="19" t="s">
        <v>26</v>
      </c>
      <c r="P56" s="23" t="s">
        <v>26</v>
      </c>
      <c r="Q56" s="19" t="s">
        <v>28</v>
      </c>
      <c r="R56" s="24" t="s">
        <v>53</v>
      </c>
    </row>
    <row r="57" spans="1:18" ht="30" customHeight="1" x14ac:dyDescent="0.25">
      <c r="A57" s="17" t="s">
        <v>29</v>
      </c>
      <c r="B57" s="18">
        <v>227189</v>
      </c>
      <c r="C57" s="19" t="s">
        <v>19</v>
      </c>
      <c r="D57" s="20" t="s">
        <v>337</v>
      </c>
      <c r="E57" s="21" t="s">
        <v>45</v>
      </c>
      <c r="F57" s="21">
        <v>1</v>
      </c>
      <c r="G57" s="22">
        <v>44267</v>
      </c>
      <c r="H57" s="22">
        <v>44292</v>
      </c>
      <c r="I57" s="22"/>
      <c r="J57" s="23"/>
      <c r="K57" s="19" t="s">
        <v>383</v>
      </c>
      <c r="L57" s="25" t="s">
        <v>24</v>
      </c>
      <c r="M57" s="19" t="s">
        <v>33</v>
      </c>
      <c r="N57" s="19"/>
      <c r="O57" s="19" t="s">
        <v>26</v>
      </c>
      <c r="P57" s="23" t="s">
        <v>26</v>
      </c>
      <c r="Q57" s="19" t="s">
        <v>28</v>
      </c>
      <c r="R57" s="24" t="s">
        <v>53</v>
      </c>
    </row>
    <row r="58" spans="1:18" ht="30" customHeight="1" x14ac:dyDescent="0.25">
      <c r="A58" s="17" t="s">
        <v>29</v>
      </c>
      <c r="B58" s="18">
        <v>227189</v>
      </c>
      <c r="C58" s="19" t="s">
        <v>19</v>
      </c>
      <c r="D58" s="20" t="s">
        <v>337</v>
      </c>
      <c r="E58" s="21" t="s">
        <v>105</v>
      </c>
      <c r="F58" s="21">
        <v>1</v>
      </c>
      <c r="G58" s="22">
        <v>44267</v>
      </c>
      <c r="H58" s="22">
        <v>44292</v>
      </c>
      <c r="I58" s="22"/>
      <c r="J58" s="23"/>
      <c r="K58" s="19" t="s">
        <v>383</v>
      </c>
      <c r="L58" s="25" t="s">
        <v>24</v>
      </c>
      <c r="M58" s="19" t="s">
        <v>33</v>
      </c>
      <c r="N58" s="19"/>
      <c r="O58" s="19" t="s">
        <v>26</v>
      </c>
      <c r="P58" s="23" t="s">
        <v>26</v>
      </c>
      <c r="Q58" s="19" t="s">
        <v>28</v>
      </c>
      <c r="R58" s="24" t="s">
        <v>53</v>
      </c>
    </row>
    <row r="59" spans="1:18" ht="30" customHeight="1" x14ac:dyDescent="0.25">
      <c r="A59" s="17" t="s">
        <v>29</v>
      </c>
      <c r="B59" s="18">
        <v>227189</v>
      </c>
      <c r="C59" s="19" t="s">
        <v>19</v>
      </c>
      <c r="D59" s="20" t="s">
        <v>337</v>
      </c>
      <c r="E59" s="21" t="s">
        <v>126</v>
      </c>
      <c r="F59" s="21">
        <v>2</v>
      </c>
      <c r="G59" s="22">
        <v>44267</v>
      </c>
      <c r="H59" s="22">
        <v>44292</v>
      </c>
      <c r="I59" s="22"/>
      <c r="J59" s="23"/>
      <c r="K59" s="19" t="s">
        <v>383</v>
      </c>
      <c r="L59" s="25" t="s">
        <v>24</v>
      </c>
      <c r="M59" s="19" t="s">
        <v>33</v>
      </c>
      <c r="N59" s="19"/>
      <c r="O59" s="19" t="s">
        <v>26</v>
      </c>
      <c r="P59" s="23" t="s">
        <v>26</v>
      </c>
      <c r="Q59" s="19" t="s">
        <v>28</v>
      </c>
      <c r="R59" s="24" t="s">
        <v>53</v>
      </c>
    </row>
    <row r="60" spans="1:18" ht="30" customHeight="1" x14ac:dyDescent="0.25">
      <c r="A60" s="17" t="s">
        <v>29</v>
      </c>
      <c r="B60" s="18">
        <v>227189</v>
      </c>
      <c r="C60" s="19" t="s">
        <v>19</v>
      </c>
      <c r="D60" s="20" t="s">
        <v>337</v>
      </c>
      <c r="E60" s="21" t="s">
        <v>146</v>
      </c>
      <c r="F60" s="21">
        <v>1</v>
      </c>
      <c r="G60" s="22">
        <v>44267</v>
      </c>
      <c r="H60" s="22">
        <v>44292</v>
      </c>
      <c r="I60" s="22"/>
      <c r="J60" s="23"/>
      <c r="K60" s="19" t="s">
        <v>383</v>
      </c>
      <c r="L60" s="25" t="s">
        <v>24</v>
      </c>
      <c r="M60" s="19" t="s">
        <v>33</v>
      </c>
      <c r="N60" s="19"/>
      <c r="O60" s="19" t="s">
        <v>26</v>
      </c>
      <c r="P60" s="23" t="s">
        <v>26</v>
      </c>
      <c r="Q60" s="19" t="s">
        <v>28</v>
      </c>
      <c r="R60" s="24" t="s">
        <v>53</v>
      </c>
    </row>
    <row r="61" spans="1:18" ht="30" customHeight="1" x14ac:dyDescent="0.25">
      <c r="A61" s="26" t="s">
        <v>29</v>
      </c>
      <c r="B61" s="27">
        <v>227189</v>
      </c>
      <c r="C61" s="28" t="s">
        <v>76</v>
      </c>
      <c r="D61" s="29" t="s">
        <v>337</v>
      </c>
      <c r="E61" s="30"/>
      <c r="F61" s="30"/>
      <c r="G61" s="72">
        <v>44267</v>
      </c>
      <c r="H61" s="72">
        <v>44291</v>
      </c>
      <c r="I61" s="72">
        <v>44286</v>
      </c>
      <c r="J61" s="31" t="s">
        <v>423</v>
      </c>
      <c r="K61" s="28" t="s">
        <v>23</v>
      </c>
      <c r="L61" s="32" t="s">
        <v>24</v>
      </c>
      <c r="M61" s="28" t="s">
        <v>33</v>
      </c>
      <c r="N61" s="28"/>
      <c r="O61" s="28" t="s">
        <v>26</v>
      </c>
      <c r="P61" s="31"/>
      <c r="Q61" s="28"/>
      <c r="R61" s="33"/>
    </row>
    <row r="62" spans="1:18" ht="30" customHeight="1" x14ac:dyDescent="0.25">
      <c r="A62" s="17" t="s">
        <v>38</v>
      </c>
      <c r="B62" s="18">
        <v>227231</v>
      </c>
      <c r="C62" s="19" t="s">
        <v>19</v>
      </c>
      <c r="D62" s="20" t="s">
        <v>341</v>
      </c>
      <c r="E62" s="21" t="s">
        <v>45</v>
      </c>
      <c r="F62" s="21">
        <v>1</v>
      </c>
      <c r="G62" s="22">
        <v>44267</v>
      </c>
      <c r="H62" s="22">
        <v>44284</v>
      </c>
      <c r="I62" s="22"/>
      <c r="J62" s="23"/>
      <c r="K62" s="19" t="s">
        <v>383</v>
      </c>
      <c r="L62" s="25" t="s">
        <v>44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/>
    </row>
    <row r="63" spans="1:18" ht="30" customHeight="1" x14ac:dyDescent="0.25">
      <c r="A63" s="17" t="s">
        <v>38</v>
      </c>
      <c r="B63" s="18">
        <v>227231</v>
      </c>
      <c r="C63" s="19" t="s">
        <v>19</v>
      </c>
      <c r="D63" s="20" t="s">
        <v>341</v>
      </c>
      <c r="E63" s="21" t="s">
        <v>21</v>
      </c>
      <c r="F63" s="21">
        <v>1</v>
      </c>
      <c r="G63" s="22">
        <v>44267</v>
      </c>
      <c r="H63" s="22">
        <v>44284</v>
      </c>
      <c r="I63" s="22"/>
      <c r="J63" s="23"/>
      <c r="K63" s="19" t="s">
        <v>383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/>
    </row>
    <row r="64" spans="1:18" ht="30" customHeight="1" x14ac:dyDescent="0.25">
      <c r="A64" s="26" t="s">
        <v>38</v>
      </c>
      <c r="B64" s="27">
        <v>227231</v>
      </c>
      <c r="C64" s="28" t="s">
        <v>19</v>
      </c>
      <c r="D64" s="29" t="s">
        <v>341</v>
      </c>
      <c r="E64" s="30" t="s">
        <v>176</v>
      </c>
      <c r="F64" s="30">
        <v>1</v>
      </c>
      <c r="G64" s="72">
        <v>44267</v>
      </c>
      <c r="H64" s="72">
        <v>44284</v>
      </c>
      <c r="I64" s="72"/>
      <c r="J64" s="31"/>
      <c r="K64" s="28" t="s">
        <v>383</v>
      </c>
      <c r="L64" s="32" t="s">
        <v>44</v>
      </c>
      <c r="M64" s="28" t="s">
        <v>25</v>
      </c>
      <c r="N64" s="28"/>
      <c r="O64" s="28" t="s">
        <v>26</v>
      </c>
      <c r="P64" s="31" t="s">
        <v>26</v>
      </c>
      <c r="Q64" s="28" t="s">
        <v>53</v>
      </c>
      <c r="R64" s="33"/>
    </row>
    <row r="65" spans="1:18" ht="30" customHeight="1" x14ac:dyDescent="0.25">
      <c r="A65" s="26" t="s">
        <v>38</v>
      </c>
      <c r="B65" s="27">
        <v>226953</v>
      </c>
      <c r="C65" s="28" t="s">
        <v>19</v>
      </c>
      <c r="D65" s="29" t="s">
        <v>424</v>
      </c>
      <c r="E65" s="30" t="s">
        <v>21</v>
      </c>
      <c r="F65" s="30">
        <v>1</v>
      </c>
      <c r="G65" s="72">
        <v>44267</v>
      </c>
      <c r="H65" s="72">
        <v>44279</v>
      </c>
      <c r="I65" s="72"/>
      <c r="J65" s="31" t="s">
        <v>425</v>
      </c>
      <c r="K65" s="28" t="s">
        <v>383</v>
      </c>
      <c r="L65" s="32" t="s">
        <v>24</v>
      </c>
      <c r="M65" s="28" t="s">
        <v>25</v>
      </c>
      <c r="N65" s="28"/>
      <c r="O65" s="28" t="s">
        <v>26</v>
      </c>
      <c r="P65" s="31" t="s">
        <v>26</v>
      </c>
      <c r="Q65" s="28" t="s">
        <v>53</v>
      </c>
      <c r="R65" s="33"/>
    </row>
    <row r="66" spans="1:18" ht="30" customHeight="1" x14ac:dyDescent="0.25">
      <c r="A66" s="17" t="s">
        <v>38</v>
      </c>
      <c r="B66" s="18" t="s">
        <v>246</v>
      </c>
      <c r="C66" s="19" t="s">
        <v>19</v>
      </c>
      <c r="D66" s="20" t="s">
        <v>356</v>
      </c>
      <c r="E66" s="21" t="s">
        <v>21</v>
      </c>
      <c r="F66" s="21">
        <v>1</v>
      </c>
      <c r="G66" s="22">
        <v>44273</v>
      </c>
      <c r="H66" s="22">
        <v>44284</v>
      </c>
      <c r="I66" s="22"/>
      <c r="J66" s="23"/>
      <c r="K66" s="19" t="s">
        <v>383</v>
      </c>
      <c r="L66" s="25" t="s">
        <v>24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/>
    </row>
    <row r="67" spans="1:18" ht="30" customHeight="1" x14ac:dyDescent="0.25">
      <c r="A67" s="17" t="s">
        <v>38</v>
      </c>
      <c r="B67" s="18" t="s">
        <v>246</v>
      </c>
      <c r="C67" s="19" t="s">
        <v>19</v>
      </c>
      <c r="D67" s="20" t="s">
        <v>356</v>
      </c>
      <c r="E67" s="21" t="s">
        <v>45</v>
      </c>
      <c r="F67" s="21">
        <v>1</v>
      </c>
      <c r="G67" s="22">
        <v>44273</v>
      </c>
      <c r="H67" s="22">
        <v>44284</v>
      </c>
      <c r="I67" s="22"/>
      <c r="J67" s="23"/>
      <c r="K67" s="19" t="s">
        <v>383</v>
      </c>
      <c r="L67" s="25" t="s">
        <v>44</v>
      </c>
      <c r="M67" s="19" t="s">
        <v>25</v>
      </c>
      <c r="N67" s="19"/>
      <c r="O67" s="19" t="s">
        <v>26</v>
      </c>
      <c r="P67" s="23" t="s">
        <v>26</v>
      </c>
      <c r="Q67" s="19" t="s">
        <v>53</v>
      </c>
      <c r="R67" s="24"/>
    </row>
    <row r="68" spans="1:18" ht="30" customHeight="1" x14ac:dyDescent="0.25">
      <c r="A68" s="26" t="s">
        <v>38</v>
      </c>
      <c r="B68" s="27" t="s">
        <v>246</v>
      </c>
      <c r="C68" s="28" t="s">
        <v>19</v>
      </c>
      <c r="D68" s="29" t="s">
        <v>356</v>
      </c>
      <c r="E68" s="30" t="s">
        <v>176</v>
      </c>
      <c r="F68" s="30">
        <v>1</v>
      </c>
      <c r="G68" s="72">
        <v>44273</v>
      </c>
      <c r="H68" s="72">
        <v>44284</v>
      </c>
      <c r="I68" s="72"/>
      <c r="J68" s="31"/>
      <c r="K68" s="28" t="s">
        <v>383</v>
      </c>
      <c r="L68" s="32" t="s">
        <v>44</v>
      </c>
      <c r="M68" s="28" t="s">
        <v>25</v>
      </c>
      <c r="N68" s="28"/>
      <c r="O68" s="28" t="s">
        <v>26</v>
      </c>
      <c r="P68" s="31" t="s">
        <v>26</v>
      </c>
      <c r="Q68" s="28" t="s">
        <v>53</v>
      </c>
      <c r="R68" s="33"/>
    </row>
    <row r="69" spans="1:18" ht="30" customHeight="1" x14ac:dyDescent="0.25">
      <c r="A69" s="17" t="s">
        <v>95</v>
      </c>
      <c r="B69" s="18">
        <v>228465</v>
      </c>
      <c r="C69" s="19" t="s">
        <v>19</v>
      </c>
      <c r="D69" s="20" t="s">
        <v>426</v>
      </c>
      <c r="E69" s="21" t="s">
        <v>156</v>
      </c>
      <c r="F69" s="21">
        <v>1</v>
      </c>
      <c r="G69" s="22">
        <v>44273</v>
      </c>
      <c r="H69" s="22">
        <v>44277</v>
      </c>
      <c r="I69" s="22"/>
      <c r="J69" s="23" t="s">
        <v>427</v>
      </c>
      <c r="K69" s="19" t="s">
        <v>383</v>
      </c>
      <c r="L69" s="25" t="s">
        <v>24</v>
      </c>
      <c r="M69" s="19" t="s">
        <v>25</v>
      </c>
      <c r="N69" s="19"/>
      <c r="O69" s="19" t="s">
        <v>26</v>
      </c>
      <c r="P69" s="23" t="s">
        <v>26</v>
      </c>
      <c r="Q69" s="19" t="s">
        <v>53</v>
      </c>
      <c r="R69" s="24"/>
    </row>
    <row r="70" spans="1:18" ht="30" customHeight="1" x14ac:dyDescent="0.25">
      <c r="A70" s="17" t="s">
        <v>95</v>
      </c>
      <c r="B70" s="18">
        <v>228465</v>
      </c>
      <c r="C70" s="19" t="s">
        <v>19</v>
      </c>
      <c r="D70" s="20" t="s">
        <v>426</v>
      </c>
      <c r="E70" s="21" t="s">
        <v>114</v>
      </c>
      <c r="F70" s="21">
        <v>1</v>
      </c>
      <c r="G70" s="22">
        <v>44273</v>
      </c>
      <c r="H70" s="22">
        <v>44277</v>
      </c>
      <c r="I70" s="22"/>
      <c r="J70" s="23" t="s">
        <v>427</v>
      </c>
      <c r="K70" s="19" t="s">
        <v>383</v>
      </c>
      <c r="L70" s="25" t="s">
        <v>24</v>
      </c>
      <c r="M70" s="19" t="s">
        <v>25</v>
      </c>
      <c r="N70" s="19"/>
      <c r="O70" s="19" t="s">
        <v>26</v>
      </c>
      <c r="P70" s="23" t="s">
        <v>26</v>
      </c>
      <c r="Q70" s="19" t="s">
        <v>53</v>
      </c>
      <c r="R70" s="24"/>
    </row>
    <row r="71" spans="1:18" ht="30" customHeight="1" x14ac:dyDescent="0.25">
      <c r="A71" s="26" t="s">
        <v>95</v>
      </c>
      <c r="B71" s="27">
        <v>228465</v>
      </c>
      <c r="C71" s="28" t="s">
        <v>19</v>
      </c>
      <c r="D71" s="29" t="s">
        <v>426</v>
      </c>
      <c r="E71" s="30" t="s">
        <v>156</v>
      </c>
      <c r="F71" s="30">
        <v>1</v>
      </c>
      <c r="G71" s="72">
        <v>44273</v>
      </c>
      <c r="H71" s="72">
        <v>44284</v>
      </c>
      <c r="I71" s="72"/>
      <c r="J71" s="31"/>
      <c r="K71" s="28" t="s">
        <v>383</v>
      </c>
      <c r="L71" s="32" t="s">
        <v>24</v>
      </c>
      <c r="M71" s="28" t="s">
        <v>25</v>
      </c>
      <c r="N71" s="28"/>
      <c r="O71" s="28" t="s">
        <v>26</v>
      </c>
      <c r="P71" s="31" t="s">
        <v>26</v>
      </c>
      <c r="Q71" s="28" t="s">
        <v>28</v>
      </c>
      <c r="R71" s="33"/>
    </row>
    <row r="72" spans="1:18" ht="30" customHeight="1" x14ac:dyDescent="0.25">
      <c r="A72" s="26" t="s">
        <v>51</v>
      </c>
      <c r="B72" s="27">
        <v>228530</v>
      </c>
      <c r="C72" s="28" t="s">
        <v>139</v>
      </c>
      <c r="D72" s="29" t="s">
        <v>428</v>
      </c>
      <c r="E72" s="30" t="s">
        <v>58</v>
      </c>
      <c r="F72" s="30"/>
      <c r="G72" s="72">
        <v>44273</v>
      </c>
      <c r="H72" s="72">
        <v>44274</v>
      </c>
      <c r="I72" s="72">
        <v>44274</v>
      </c>
      <c r="J72" s="31"/>
      <c r="K72" s="28" t="s">
        <v>383</v>
      </c>
      <c r="L72" s="32" t="s">
        <v>36</v>
      </c>
      <c r="M72" s="28" t="s">
        <v>33</v>
      </c>
      <c r="N72" s="28"/>
      <c r="O72" s="28" t="s">
        <v>37</v>
      </c>
      <c r="P72" s="31"/>
      <c r="Q72" s="28"/>
      <c r="R72" s="33"/>
    </row>
    <row r="73" spans="1:18" ht="30" customHeight="1" x14ac:dyDescent="0.25">
      <c r="A73" s="17" t="s">
        <v>29</v>
      </c>
      <c r="B73" s="18">
        <v>228687</v>
      </c>
      <c r="C73" s="19" t="s">
        <v>139</v>
      </c>
      <c r="D73" s="20" t="s">
        <v>429</v>
      </c>
      <c r="E73" s="21" t="s">
        <v>45</v>
      </c>
      <c r="F73" s="21">
        <v>1</v>
      </c>
      <c r="G73" s="22">
        <v>44274</v>
      </c>
      <c r="H73" s="22">
        <v>44279</v>
      </c>
      <c r="I73" s="22">
        <v>44279</v>
      </c>
      <c r="J73" s="23"/>
      <c r="K73" s="19" t="s">
        <v>23</v>
      </c>
      <c r="L73" s="25" t="s">
        <v>36</v>
      </c>
      <c r="M73" s="19" t="s">
        <v>25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26" t="s">
        <v>29</v>
      </c>
      <c r="B74" s="27">
        <v>228687</v>
      </c>
      <c r="C74" s="28" t="s">
        <v>139</v>
      </c>
      <c r="D74" s="29" t="s">
        <v>429</v>
      </c>
      <c r="E74" s="30" t="s">
        <v>21</v>
      </c>
      <c r="F74" s="30">
        <v>1</v>
      </c>
      <c r="G74" s="72">
        <v>44274</v>
      </c>
      <c r="H74" s="72">
        <v>44279</v>
      </c>
      <c r="I74" s="72">
        <v>44279</v>
      </c>
      <c r="J74" s="31"/>
      <c r="K74" s="28" t="s">
        <v>23</v>
      </c>
      <c r="L74" s="32" t="s">
        <v>36</v>
      </c>
      <c r="M74" s="28" t="s">
        <v>25</v>
      </c>
      <c r="N74" s="28"/>
      <c r="O74" s="28" t="s">
        <v>37</v>
      </c>
      <c r="P74" s="31" t="s">
        <v>37</v>
      </c>
      <c r="Q74" s="28" t="s">
        <v>53</v>
      </c>
      <c r="R74" s="33" t="s">
        <v>53</v>
      </c>
    </row>
    <row r="75" spans="1:18" ht="30" customHeight="1" x14ac:dyDescent="0.25">
      <c r="A75" s="26" t="s">
        <v>86</v>
      </c>
      <c r="B75" s="27">
        <v>228663</v>
      </c>
      <c r="C75" s="28" t="s">
        <v>19</v>
      </c>
      <c r="D75" s="29" t="s">
        <v>430</v>
      </c>
      <c r="E75" s="30" t="s">
        <v>156</v>
      </c>
      <c r="F75" s="30">
        <v>1</v>
      </c>
      <c r="G75" s="72">
        <v>44274</v>
      </c>
      <c r="H75" s="72">
        <v>44295</v>
      </c>
      <c r="I75" s="72"/>
      <c r="J75" s="31"/>
      <c r="K75" s="28" t="s">
        <v>387</v>
      </c>
      <c r="L75" s="32" t="s">
        <v>24</v>
      </c>
      <c r="M75" s="28" t="s">
        <v>25</v>
      </c>
      <c r="N75" s="28"/>
      <c r="O75" s="28" t="s">
        <v>26</v>
      </c>
      <c r="P75" s="31"/>
      <c r="Q75" s="28"/>
      <c r="R75" s="33"/>
    </row>
    <row r="76" spans="1:18" ht="30" customHeight="1" x14ac:dyDescent="0.25">
      <c r="A76" s="17" t="s">
        <v>71</v>
      </c>
      <c r="B76" s="18">
        <v>225891</v>
      </c>
      <c r="C76" s="19" t="s">
        <v>19</v>
      </c>
      <c r="D76" s="20" t="s">
        <v>366</v>
      </c>
      <c r="E76" s="21" t="s">
        <v>78</v>
      </c>
      <c r="F76" s="21"/>
      <c r="G76" s="22">
        <v>44263</v>
      </c>
      <c r="H76" s="22">
        <v>44227</v>
      </c>
      <c r="I76" s="22"/>
      <c r="J76" s="23"/>
      <c r="K76" s="19" t="s">
        <v>383</v>
      </c>
      <c r="L76" s="25" t="s">
        <v>24</v>
      </c>
      <c r="M76" s="19" t="s">
        <v>33</v>
      </c>
      <c r="N76" s="19"/>
      <c r="O76" s="19" t="s">
        <v>26</v>
      </c>
      <c r="P76" s="23" t="s">
        <v>26</v>
      </c>
      <c r="Q76" s="19" t="s">
        <v>28</v>
      </c>
      <c r="R76" s="24"/>
    </row>
    <row r="77" spans="1:18" ht="30" customHeight="1" x14ac:dyDescent="0.25">
      <c r="A77" s="26" t="s">
        <v>71</v>
      </c>
      <c r="B77" s="27">
        <v>225891</v>
      </c>
      <c r="C77" s="28" t="s">
        <v>19</v>
      </c>
      <c r="D77" s="29" t="s">
        <v>366</v>
      </c>
      <c r="E77" s="30" t="s">
        <v>21</v>
      </c>
      <c r="F77" s="30"/>
      <c r="G77" s="72">
        <v>44263</v>
      </c>
      <c r="H77" s="72">
        <v>44227</v>
      </c>
      <c r="I77" s="72"/>
      <c r="J77" s="31" t="s">
        <v>32</v>
      </c>
      <c r="K77" s="28" t="s">
        <v>383</v>
      </c>
      <c r="L77" s="32" t="s">
        <v>24</v>
      </c>
      <c r="M77" s="28" t="s">
        <v>33</v>
      </c>
      <c r="N77" s="28"/>
      <c r="O77" s="28" t="s">
        <v>26</v>
      </c>
      <c r="P77" s="31" t="s">
        <v>26</v>
      </c>
      <c r="Q77" s="28" t="s">
        <v>28</v>
      </c>
      <c r="R77" s="33"/>
    </row>
    <row r="78" spans="1:18" ht="30" customHeight="1" x14ac:dyDescent="0.25">
      <c r="A78" s="17" t="s">
        <v>71</v>
      </c>
      <c r="B78" s="18">
        <v>225891</v>
      </c>
      <c r="C78" s="19" t="s">
        <v>76</v>
      </c>
      <c r="D78" s="20" t="s">
        <v>366</v>
      </c>
      <c r="E78" s="21" t="s">
        <v>58</v>
      </c>
      <c r="F78" s="21"/>
      <c r="G78" s="22">
        <v>44263</v>
      </c>
      <c r="H78" s="22">
        <v>44291</v>
      </c>
      <c r="I78" s="22"/>
      <c r="J78" s="23" t="s">
        <v>431</v>
      </c>
      <c r="K78" s="19" t="s">
        <v>387</v>
      </c>
      <c r="L78" s="25"/>
      <c r="M78" s="19"/>
      <c r="N78" s="19"/>
      <c r="O78" s="19" t="s">
        <v>26</v>
      </c>
      <c r="P78" s="23"/>
      <c r="Q78" s="19"/>
      <c r="R78" s="24"/>
    </row>
    <row r="79" spans="1:18" ht="46.5" customHeight="1" x14ac:dyDescent="0.25">
      <c r="A79" s="26" t="s">
        <v>71</v>
      </c>
      <c r="B79" s="27">
        <v>225891</v>
      </c>
      <c r="C79" s="28" t="s">
        <v>76</v>
      </c>
      <c r="D79" s="29" t="s">
        <v>366</v>
      </c>
      <c r="E79" s="30" t="s">
        <v>58</v>
      </c>
      <c r="F79" s="30"/>
      <c r="G79" s="72">
        <v>44263</v>
      </c>
      <c r="H79" s="72">
        <v>44291</v>
      </c>
      <c r="I79" s="72"/>
      <c r="J79" s="31" t="s">
        <v>432</v>
      </c>
      <c r="K79" s="28" t="s">
        <v>387</v>
      </c>
      <c r="L79" s="32"/>
      <c r="M79" s="28"/>
      <c r="N79" s="28"/>
      <c r="O79" s="28" t="s">
        <v>26</v>
      </c>
      <c r="P79" s="31"/>
      <c r="Q79" s="28"/>
      <c r="R79" s="33"/>
    </row>
    <row r="80" spans="1:18" ht="31.5" customHeight="1" x14ac:dyDescent="0.25">
      <c r="A80" s="17" t="s">
        <v>29</v>
      </c>
      <c r="B80" s="18">
        <v>229813</v>
      </c>
      <c r="C80" s="19" t="s">
        <v>76</v>
      </c>
      <c r="D80" s="20" t="s">
        <v>433</v>
      </c>
      <c r="E80" s="21" t="s">
        <v>58</v>
      </c>
      <c r="F80" s="21"/>
      <c r="G80" s="22">
        <v>44285</v>
      </c>
      <c r="H80" s="22">
        <v>44295</v>
      </c>
      <c r="I80" s="22"/>
      <c r="J80" s="23" t="s">
        <v>511</v>
      </c>
      <c r="K80" s="19" t="s">
        <v>387</v>
      </c>
      <c r="L80" s="25" t="s">
        <v>57</v>
      </c>
      <c r="M80" s="19" t="s">
        <v>33</v>
      </c>
      <c r="N80" s="19"/>
      <c r="O80" s="19" t="s">
        <v>37</v>
      </c>
      <c r="P80" s="23"/>
      <c r="Q80" s="19"/>
      <c r="R80" s="24"/>
    </row>
    <row r="81" spans="1:18" ht="31.5" customHeight="1" x14ac:dyDescent="0.25">
      <c r="A81" s="17" t="s">
        <v>29</v>
      </c>
      <c r="B81" s="18">
        <v>229813</v>
      </c>
      <c r="C81" s="19" t="s">
        <v>19</v>
      </c>
      <c r="D81" s="20" t="s">
        <v>433</v>
      </c>
      <c r="E81" s="21" t="s">
        <v>58</v>
      </c>
      <c r="F81" s="21">
        <v>1</v>
      </c>
      <c r="G81" s="22">
        <v>44285</v>
      </c>
      <c r="H81" s="22">
        <v>44300</v>
      </c>
      <c r="I81" s="22"/>
      <c r="J81" s="23" t="s">
        <v>512</v>
      </c>
      <c r="K81" s="19" t="s">
        <v>387</v>
      </c>
      <c r="L81" s="25" t="s">
        <v>57</v>
      </c>
      <c r="M81" s="19" t="s">
        <v>33</v>
      </c>
      <c r="N81" s="19"/>
      <c r="O81" s="19" t="s">
        <v>37</v>
      </c>
      <c r="P81" s="23"/>
      <c r="Q81" s="19"/>
      <c r="R81" s="24"/>
    </row>
    <row r="82" spans="1:18" ht="30" x14ac:dyDescent="0.25">
      <c r="A82" s="26" t="s">
        <v>29</v>
      </c>
      <c r="B82" s="27">
        <v>229915</v>
      </c>
      <c r="C82" s="28" t="s">
        <v>76</v>
      </c>
      <c r="D82" s="29" t="s">
        <v>434</v>
      </c>
      <c r="E82" s="30" t="s">
        <v>82</v>
      </c>
      <c r="F82" s="30">
        <v>1</v>
      </c>
      <c r="G82" s="72">
        <v>44280</v>
      </c>
      <c r="H82" s="72"/>
      <c r="I82" s="72"/>
      <c r="J82" s="31" t="s">
        <v>513</v>
      </c>
      <c r="K82" s="28" t="s">
        <v>383</v>
      </c>
      <c r="L82" s="32" t="s">
        <v>57</v>
      </c>
      <c r="M82" s="28" t="s">
        <v>82</v>
      </c>
      <c r="N82" s="28"/>
      <c r="O82" s="28" t="s">
        <v>37</v>
      </c>
      <c r="P82" s="31"/>
      <c r="Q82" s="28"/>
      <c r="R82" s="33"/>
    </row>
    <row r="83" spans="1:18" ht="30" customHeight="1" x14ac:dyDescent="0.25">
      <c r="A83" s="17" t="s">
        <v>299</v>
      </c>
      <c r="B83" s="18">
        <v>230598</v>
      </c>
      <c r="C83" s="19" t="s">
        <v>139</v>
      </c>
      <c r="D83" s="20" t="s">
        <v>372</v>
      </c>
      <c r="E83" s="21" t="s">
        <v>45</v>
      </c>
      <c r="F83" s="21"/>
      <c r="G83" s="22">
        <v>44284</v>
      </c>
      <c r="H83" s="22">
        <v>44287</v>
      </c>
      <c r="I83" s="22">
        <v>44286</v>
      </c>
      <c r="J83" s="23"/>
      <c r="K83" s="19" t="s">
        <v>383</v>
      </c>
      <c r="L83" s="25" t="s">
        <v>57</v>
      </c>
      <c r="M83" s="19" t="s">
        <v>25</v>
      </c>
      <c r="N83" s="19"/>
      <c r="O83" s="19" t="s">
        <v>37</v>
      </c>
      <c r="P83" s="23"/>
      <c r="Q83" s="19"/>
      <c r="R83" s="24"/>
    </row>
    <row r="84" spans="1:18" ht="30" customHeight="1" x14ac:dyDescent="0.25">
      <c r="A84" s="17" t="s">
        <v>299</v>
      </c>
      <c r="B84" s="18">
        <v>230598</v>
      </c>
      <c r="C84" s="19" t="s">
        <v>139</v>
      </c>
      <c r="D84" s="20" t="s">
        <v>372</v>
      </c>
      <c r="E84" s="21" t="s">
        <v>106</v>
      </c>
      <c r="F84" s="21"/>
      <c r="G84" s="22">
        <v>44284</v>
      </c>
      <c r="H84" s="22">
        <v>44287</v>
      </c>
      <c r="I84" s="22">
        <v>44286</v>
      </c>
      <c r="J84" s="23"/>
      <c r="K84" s="19" t="s">
        <v>383</v>
      </c>
      <c r="L84" s="25" t="s">
        <v>57</v>
      </c>
      <c r="M84" s="19" t="s">
        <v>25</v>
      </c>
      <c r="N84" s="19"/>
      <c r="O84" s="19" t="s">
        <v>37</v>
      </c>
      <c r="P84" s="23"/>
      <c r="Q84" s="19"/>
      <c r="R84" s="24"/>
    </row>
    <row r="85" spans="1:18" ht="30" customHeight="1" x14ac:dyDescent="0.25">
      <c r="A85" s="17" t="s">
        <v>299</v>
      </c>
      <c r="B85" s="18">
        <v>230598</v>
      </c>
      <c r="C85" s="19" t="s">
        <v>139</v>
      </c>
      <c r="D85" s="20" t="s">
        <v>372</v>
      </c>
      <c r="E85" s="21" t="s">
        <v>21</v>
      </c>
      <c r="F85" s="21"/>
      <c r="G85" s="22">
        <v>44284</v>
      </c>
      <c r="H85" s="22">
        <v>44287</v>
      </c>
      <c r="I85" s="22">
        <v>44286</v>
      </c>
      <c r="J85" s="23"/>
      <c r="K85" s="19" t="s">
        <v>383</v>
      </c>
      <c r="L85" s="25" t="s">
        <v>57</v>
      </c>
      <c r="M85" s="19" t="s">
        <v>25</v>
      </c>
      <c r="N85" s="19"/>
      <c r="O85" s="19" t="s">
        <v>37</v>
      </c>
      <c r="P85" s="23"/>
      <c r="Q85" s="19"/>
      <c r="R85" s="24"/>
    </row>
    <row r="86" spans="1:18" ht="30" customHeight="1" x14ac:dyDescent="0.25">
      <c r="A86" s="26" t="s">
        <v>299</v>
      </c>
      <c r="B86" s="27">
        <v>230598</v>
      </c>
      <c r="C86" s="28" t="s">
        <v>139</v>
      </c>
      <c r="D86" s="29" t="s">
        <v>372</v>
      </c>
      <c r="E86" s="30" t="s">
        <v>40</v>
      </c>
      <c r="F86" s="30">
        <v>3</v>
      </c>
      <c r="G86" s="72">
        <v>44284</v>
      </c>
      <c r="H86" s="72">
        <v>44287</v>
      </c>
      <c r="I86" s="72">
        <v>44286</v>
      </c>
      <c r="J86" s="31"/>
      <c r="K86" s="28" t="s">
        <v>383</v>
      </c>
      <c r="L86" s="32" t="s">
        <v>57</v>
      </c>
      <c r="M86" s="28" t="s">
        <v>25</v>
      </c>
      <c r="N86" s="28"/>
      <c r="O86" s="28" t="s">
        <v>37</v>
      </c>
      <c r="P86" s="31"/>
      <c r="Q86" s="28"/>
      <c r="R86" s="33"/>
    </row>
    <row r="87" spans="1:18" ht="30" customHeight="1" x14ac:dyDescent="0.25">
      <c r="A87" s="17" t="s">
        <v>38</v>
      </c>
      <c r="B87" s="18" t="s">
        <v>60</v>
      </c>
      <c r="C87" s="19" t="s">
        <v>410</v>
      </c>
      <c r="D87" s="20" t="s">
        <v>435</v>
      </c>
      <c r="E87" s="21"/>
      <c r="F87" s="21"/>
      <c r="G87" s="22"/>
      <c r="H87" s="22"/>
      <c r="I87" s="22"/>
      <c r="J87" s="23"/>
      <c r="K87" s="19"/>
      <c r="L87" s="25"/>
      <c r="M87" s="19"/>
      <c r="N87" s="19"/>
      <c r="O87" s="19" t="s">
        <v>37</v>
      </c>
      <c r="P87" s="23"/>
      <c r="Q87" s="19"/>
      <c r="R87" s="24"/>
    </row>
    <row r="88" spans="1:18" ht="30" customHeight="1" x14ac:dyDescent="0.25">
      <c r="A88" s="17" t="s">
        <v>38</v>
      </c>
      <c r="B88" s="18" t="s">
        <v>60</v>
      </c>
      <c r="C88" s="19" t="s">
        <v>76</v>
      </c>
      <c r="D88" s="20" t="s">
        <v>435</v>
      </c>
      <c r="E88" s="21" t="s">
        <v>301</v>
      </c>
      <c r="F88" s="21"/>
      <c r="G88" s="22"/>
      <c r="H88" s="22"/>
      <c r="I88" s="22"/>
      <c r="J88" s="23" t="s">
        <v>514</v>
      </c>
      <c r="K88" s="19"/>
      <c r="L88" s="25"/>
      <c r="M88" s="19"/>
      <c r="N88" s="19"/>
      <c r="O88" s="19" t="s">
        <v>37</v>
      </c>
      <c r="P88" s="23"/>
      <c r="Q88" s="19"/>
      <c r="R88" s="24"/>
    </row>
    <row r="89" spans="1:18" ht="30" customHeight="1" x14ac:dyDescent="0.25">
      <c r="A89" s="17" t="s">
        <v>38</v>
      </c>
      <c r="B89" s="18" t="s">
        <v>60</v>
      </c>
      <c r="C89" s="19" t="s">
        <v>76</v>
      </c>
      <c r="D89" s="20" t="s">
        <v>435</v>
      </c>
      <c r="E89" s="21" t="s">
        <v>82</v>
      </c>
      <c r="F89" s="21"/>
      <c r="G89" s="22"/>
      <c r="H89" s="22"/>
      <c r="I89" s="22"/>
      <c r="J89" s="23" t="s">
        <v>515</v>
      </c>
      <c r="K89" s="19"/>
      <c r="L89" s="25"/>
      <c r="M89" s="19"/>
      <c r="N89" s="19"/>
      <c r="O89" s="19" t="s">
        <v>37</v>
      </c>
      <c r="P89" s="23"/>
      <c r="Q89" s="19"/>
      <c r="R89" s="24"/>
    </row>
    <row r="90" spans="1:18" ht="30" customHeight="1" x14ac:dyDescent="0.25">
      <c r="A90" s="17" t="s">
        <v>38</v>
      </c>
      <c r="B90" s="18" t="s">
        <v>246</v>
      </c>
      <c r="C90" s="19" t="s">
        <v>19</v>
      </c>
      <c r="D90" s="20" t="s">
        <v>436</v>
      </c>
      <c r="E90" s="21" t="s">
        <v>42</v>
      </c>
      <c r="F90" s="21"/>
      <c r="G90" s="22">
        <v>44284</v>
      </c>
      <c r="H90" s="22">
        <v>44295</v>
      </c>
      <c r="I90" s="22"/>
      <c r="J90" s="23" t="s">
        <v>437</v>
      </c>
      <c r="K90" s="19" t="s">
        <v>387</v>
      </c>
      <c r="L90" s="25" t="s">
        <v>24</v>
      </c>
      <c r="M90" s="19" t="s">
        <v>33</v>
      </c>
      <c r="N90" s="19"/>
      <c r="O90" s="19" t="s">
        <v>26</v>
      </c>
      <c r="P90" s="23"/>
      <c r="Q90" s="19"/>
      <c r="R90" s="24"/>
    </row>
    <row r="91" spans="1:18" ht="30" customHeight="1" x14ac:dyDescent="0.25">
      <c r="A91" s="17" t="s">
        <v>38</v>
      </c>
      <c r="B91" s="18" t="s">
        <v>246</v>
      </c>
      <c r="C91" s="19" t="s">
        <v>76</v>
      </c>
      <c r="D91" s="20" t="s">
        <v>436</v>
      </c>
      <c r="E91" s="21" t="s">
        <v>42</v>
      </c>
      <c r="F91" s="21"/>
      <c r="G91" s="22">
        <v>44284</v>
      </c>
      <c r="H91" s="22">
        <v>44294</v>
      </c>
      <c r="I91" s="22"/>
      <c r="J91" s="23" t="s">
        <v>438</v>
      </c>
      <c r="K91" s="19" t="s">
        <v>387</v>
      </c>
      <c r="L91" s="25" t="s">
        <v>24</v>
      </c>
      <c r="M91" s="19" t="s">
        <v>33</v>
      </c>
      <c r="N91" s="19"/>
      <c r="O91" s="19" t="s">
        <v>26</v>
      </c>
      <c r="P91" s="23"/>
      <c r="Q91" s="19"/>
      <c r="R91" s="24"/>
    </row>
    <row r="92" spans="1:18" ht="30" customHeight="1" x14ac:dyDescent="0.25">
      <c r="A92" s="17" t="s">
        <v>38</v>
      </c>
      <c r="B92" s="18">
        <v>229683</v>
      </c>
      <c r="C92" s="19" t="s">
        <v>76</v>
      </c>
      <c r="D92" s="20" t="s">
        <v>439</v>
      </c>
      <c r="E92" s="21" t="s">
        <v>73</v>
      </c>
      <c r="F92" s="21"/>
      <c r="G92" s="22">
        <v>44285</v>
      </c>
      <c r="H92" s="22">
        <v>44292</v>
      </c>
      <c r="I92" s="22"/>
      <c r="J92" s="23" t="s">
        <v>440</v>
      </c>
      <c r="K92" s="19" t="s">
        <v>387</v>
      </c>
      <c r="L92" s="25" t="s">
        <v>24</v>
      </c>
      <c r="M92" s="19" t="s">
        <v>33</v>
      </c>
      <c r="N92" s="19"/>
      <c r="O92" s="19" t="s">
        <v>26</v>
      </c>
      <c r="P92" s="23"/>
      <c r="Q92" s="19"/>
      <c r="R92" s="24"/>
    </row>
    <row r="93" spans="1:18" ht="30" customHeight="1" x14ac:dyDescent="0.25">
      <c r="A93" s="17" t="s">
        <v>38</v>
      </c>
      <c r="B93" s="18">
        <v>229683</v>
      </c>
      <c r="C93" s="19" t="s">
        <v>76</v>
      </c>
      <c r="D93" s="20" t="s">
        <v>439</v>
      </c>
      <c r="E93" s="21" t="s">
        <v>82</v>
      </c>
      <c r="F93" s="21"/>
      <c r="G93" s="22">
        <v>44285</v>
      </c>
      <c r="H93" s="22"/>
      <c r="I93" s="22"/>
      <c r="J93" s="23" t="s">
        <v>441</v>
      </c>
      <c r="K93" s="19" t="s">
        <v>387</v>
      </c>
      <c r="L93" s="25" t="s">
        <v>24</v>
      </c>
      <c r="M93" s="19" t="s">
        <v>33</v>
      </c>
      <c r="N93" s="19"/>
      <c r="O93" s="19" t="s">
        <v>26</v>
      </c>
      <c r="P93" s="23"/>
      <c r="Q93" s="19"/>
      <c r="R93" s="24"/>
    </row>
    <row r="94" spans="1:18" ht="30" customHeight="1" x14ac:dyDescent="0.25">
      <c r="A94" s="26" t="s">
        <v>38</v>
      </c>
      <c r="B94" s="27">
        <v>229683</v>
      </c>
      <c r="C94" s="28" t="s">
        <v>19</v>
      </c>
      <c r="D94" s="29" t="s">
        <v>439</v>
      </c>
      <c r="E94" s="30" t="s">
        <v>32</v>
      </c>
      <c r="F94" s="30"/>
      <c r="G94" s="72">
        <v>44285</v>
      </c>
      <c r="H94" s="72">
        <v>44295</v>
      </c>
      <c r="I94" s="72"/>
      <c r="J94" s="31" t="s">
        <v>442</v>
      </c>
      <c r="K94" s="28" t="s">
        <v>387</v>
      </c>
      <c r="L94" s="32" t="s">
        <v>24</v>
      </c>
      <c r="M94" s="28" t="s">
        <v>33</v>
      </c>
      <c r="N94" s="28"/>
      <c r="O94" s="28" t="s">
        <v>26</v>
      </c>
      <c r="P94" s="31"/>
      <c r="Q94" s="28"/>
      <c r="R94" s="33"/>
    </row>
    <row r="95" spans="1:18" ht="30" customHeight="1" x14ac:dyDescent="0.25">
      <c r="A95" s="26" t="s">
        <v>48</v>
      </c>
      <c r="B95" s="27">
        <v>231835</v>
      </c>
      <c r="C95" s="28" t="s">
        <v>139</v>
      </c>
      <c r="D95" s="29" t="s">
        <v>516</v>
      </c>
      <c r="E95" s="30" t="s">
        <v>45</v>
      </c>
      <c r="F95" s="30">
        <v>1</v>
      </c>
      <c r="G95" s="72">
        <v>44291</v>
      </c>
      <c r="H95" s="72">
        <v>44293</v>
      </c>
      <c r="I95" s="72"/>
      <c r="J95" s="31"/>
      <c r="K95" s="28" t="s">
        <v>383</v>
      </c>
      <c r="L95" s="32" t="s">
        <v>57</v>
      </c>
      <c r="M95" s="28" t="s">
        <v>25</v>
      </c>
      <c r="N95" s="28"/>
      <c r="O95" s="28" t="s">
        <v>37</v>
      </c>
      <c r="P95" s="31"/>
      <c r="Q95" s="28"/>
      <c r="R95" s="33"/>
    </row>
    <row r="96" spans="1:18" ht="30" customHeight="1" x14ac:dyDescent="0.25">
      <c r="A96" s="26" t="s">
        <v>48</v>
      </c>
      <c r="B96" s="27">
        <v>231835</v>
      </c>
      <c r="C96" s="28" t="s">
        <v>139</v>
      </c>
      <c r="D96" s="29" t="s">
        <v>516</v>
      </c>
      <c r="E96" s="30" t="s">
        <v>70</v>
      </c>
      <c r="F96" s="30">
        <v>1</v>
      </c>
      <c r="G96" s="72">
        <v>44291</v>
      </c>
      <c r="H96" s="72">
        <v>44293</v>
      </c>
      <c r="I96" s="72"/>
      <c r="J96" s="31"/>
      <c r="K96" s="28" t="s">
        <v>383</v>
      </c>
      <c r="L96" s="32" t="s">
        <v>36</v>
      </c>
      <c r="M96" s="28" t="s">
        <v>25</v>
      </c>
      <c r="N96" s="28"/>
      <c r="O96" s="28" t="s">
        <v>37</v>
      </c>
      <c r="P96" s="31"/>
      <c r="Q96" s="28"/>
      <c r="R96" s="33"/>
    </row>
    <row r="97" spans="1:18" ht="30" customHeight="1" x14ac:dyDescent="0.25">
      <c r="A97" s="26" t="s">
        <v>48</v>
      </c>
      <c r="B97" s="27">
        <v>231835</v>
      </c>
      <c r="C97" s="28" t="s">
        <v>139</v>
      </c>
      <c r="D97" s="29" t="s">
        <v>516</v>
      </c>
      <c r="E97" s="30" t="s">
        <v>21</v>
      </c>
      <c r="F97" s="30">
        <v>1</v>
      </c>
      <c r="G97" s="72">
        <v>44291</v>
      </c>
      <c r="H97" s="72">
        <v>44293</v>
      </c>
      <c r="I97" s="72"/>
      <c r="J97" s="31"/>
      <c r="K97" s="28" t="s">
        <v>383</v>
      </c>
      <c r="L97" s="32" t="s">
        <v>57</v>
      </c>
      <c r="M97" s="28" t="s">
        <v>25</v>
      </c>
      <c r="N97" s="28"/>
      <c r="O97" s="28" t="s">
        <v>37</v>
      </c>
      <c r="P97" s="31"/>
      <c r="Q97" s="28"/>
      <c r="R97" s="33"/>
    </row>
    <row r="98" spans="1:18" ht="30" customHeight="1" x14ac:dyDescent="0.25">
      <c r="A98" s="26" t="s">
        <v>48</v>
      </c>
      <c r="B98" s="27">
        <v>231835</v>
      </c>
      <c r="C98" s="28" t="s">
        <v>139</v>
      </c>
      <c r="D98" s="29" t="s">
        <v>516</v>
      </c>
      <c r="E98" s="30" t="s">
        <v>40</v>
      </c>
      <c r="F98" s="30">
        <v>3</v>
      </c>
      <c r="G98" s="72">
        <v>44291</v>
      </c>
      <c r="H98" s="72">
        <v>44293</v>
      </c>
      <c r="I98" s="72"/>
      <c r="J98" s="31"/>
      <c r="K98" s="28" t="s">
        <v>383</v>
      </c>
      <c r="L98" s="32" t="s">
        <v>57</v>
      </c>
      <c r="M98" s="28" t="s">
        <v>25</v>
      </c>
      <c r="N98" s="28"/>
      <c r="O98" s="28" t="s">
        <v>37</v>
      </c>
      <c r="P98" s="31"/>
      <c r="Q98" s="28"/>
      <c r="R98" s="33"/>
    </row>
    <row r="99" spans="1:18" ht="30" customHeight="1" x14ac:dyDescent="0.25">
      <c r="A99" s="26" t="s">
        <v>48</v>
      </c>
      <c r="B99" s="27">
        <v>231835</v>
      </c>
      <c r="C99" s="28" t="s">
        <v>139</v>
      </c>
      <c r="D99" s="29" t="s">
        <v>516</v>
      </c>
      <c r="E99" s="30" t="s">
        <v>106</v>
      </c>
      <c r="F99" s="30">
        <v>2</v>
      </c>
      <c r="G99" s="72">
        <v>44291</v>
      </c>
      <c r="H99" s="72">
        <v>44293</v>
      </c>
      <c r="I99" s="72"/>
      <c r="J99" s="31"/>
      <c r="K99" s="28" t="s">
        <v>383</v>
      </c>
      <c r="L99" s="32" t="s">
        <v>57</v>
      </c>
      <c r="M99" s="28" t="s">
        <v>25</v>
      </c>
      <c r="N99" s="28"/>
      <c r="O99" s="28" t="s">
        <v>37</v>
      </c>
      <c r="P99" s="31"/>
      <c r="Q99" s="28"/>
      <c r="R99" s="33"/>
    </row>
    <row r="100" spans="1:18" ht="30" customHeight="1" x14ac:dyDescent="0.25">
      <c r="A100" s="26" t="s">
        <v>48</v>
      </c>
      <c r="B100" s="27">
        <v>231835</v>
      </c>
      <c r="C100" s="28" t="s">
        <v>139</v>
      </c>
      <c r="D100" s="29" t="s">
        <v>516</v>
      </c>
      <c r="E100" s="30" t="s">
        <v>68</v>
      </c>
      <c r="F100" s="30">
        <v>2</v>
      </c>
      <c r="G100" s="72">
        <v>44291</v>
      </c>
      <c r="H100" s="72">
        <v>44293</v>
      </c>
      <c r="I100" s="72"/>
      <c r="J100" s="31"/>
      <c r="K100" s="28" t="s">
        <v>383</v>
      </c>
      <c r="L100" s="32" t="s">
        <v>57</v>
      </c>
      <c r="M100" s="28" t="s">
        <v>25</v>
      </c>
      <c r="N100" s="28"/>
      <c r="O100" s="28" t="s">
        <v>37</v>
      </c>
      <c r="P100" s="31"/>
      <c r="Q100" s="28"/>
      <c r="R100" s="33"/>
    </row>
    <row r="101" spans="1:18" ht="66.75" customHeight="1" x14ac:dyDescent="0.25">
      <c r="A101" s="26" t="s">
        <v>29</v>
      </c>
      <c r="B101" s="27">
        <v>231497</v>
      </c>
      <c r="C101" s="28" t="s">
        <v>410</v>
      </c>
      <c r="D101" s="29" t="s">
        <v>517</v>
      </c>
      <c r="E101" s="30" t="s">
        <v>47</v>
      </c>
      <c r="F101" s="30">
        <v>10</v>
      </c>
      <c r="G101" s="72">
        <v>44287</v>
      </c>
      <c r="H101" s="72">
        <v>44293</v>
      </c>
      <c r="I101" s="72"/>
      <c r="J101" s="31" t="s">
        <v>518</v>
      </c>
      <c r="K101" s="28" t="s">
        <v>387</v>
      </c>
      <c r="L101" s="32" t="s">
        <v>57</v>
      </c>
      <c r="M101" s="28" t="s">
        <v>25</v>
      </c>
      <c r="N101" s="28"/>
      <c r="O101" s="28" t="s">
        <v>37</v>
      </c>
      <c r="P101" s="31"/>
      <c r="Q101" s="28"/>
      <c r="R101" s="33"/>
    </row>
    <row r="102" spans="1:18" ht="72.75" customHeight="1" x14ac:dyDescent="0.25">
      <c r="A102" s="26" t="s">
        <v>38</v>
      </c>
      <c r="B102" s="27">
        <v>231804</v>
      </c>
      <c r="C102" s="28" t="s">
        <v>410</v>
      </c>
      <c r="D102" s="29" t="s">
        <v>519</v>
      </c>
      <c r="E102" s="30" t="s">
        <v>58</v>
      </c>
      <c r="F102" s="30"/>
      <c r="G102" s="72">
        <v>44291</v>
      </c>
      <c r="H102" s="72">
        <v>44294</v>
      </c>
      <c r="I102" s="72"/>
      <c r="J102" s="31"/>
      <c r="K102" s="28" t="s">
        <v>387</v>
      </c>
      <c r="L102" s="32" t="s">
        <v>57</v>
      </c>
      <c r="M102" s="28" t="s">
        <v>25</v>
      </c>
      <c r="N102" s="28"/>
      <c r="O102" s="28" t="s">
        <v>37</v>
      </c>
      <c r="P102" s="31"/>
      <c r="Q102" s="28"/>
      <c r="R102" s="33"/>
    </row>
    <row r="103" spans="1:18" ht="30" customHeight="1" x14ac:dyDescent="0.25">
      <c r="A103" s="26" t="s">
        <v>29</v>
      </c>
      <c r="B103" s="27">
        <v>231826</v>
      </c>
      <c r="C103" s="28" t="s">
        <v>76</v>
      </c>
      <c r="D103" s="29" t="s">
        <v>520</v>
      </c>
      <c r="E103" s="30" t="s">
        <v>58</v>
      </c>
      <c r="F103" s="30"/>
      <c r="G103" s="72">
        <v>44291</v>
      </c>
      <c r="H103" s="72">
        <v>44293</v>
      </c>
      <c r="I103" s="72"/>
      <c r="J103" s="31" t="s">
        <v>521</v>
      </c>
      <c r="K103" s="28" t="s">
        <v>387</v>
      </c>
      <c r="L103" s="32" t="s">
        <v>24</v>
      </c>
      <c r="M103" s="28" t="s">
        <v>25</v>
      </c>
      <c r="N103" s="28"/>
      <c r="O103" s="28" t="s">
        <v>26</v>
      </c>
      <c r="P103" s="31"/>
      <c r="Q103" s="28"/>
      <c r="R103" s="33"/>
    </row>
    <row r="104" spans="1:18" ht="30" customHeight="1" x14ac:dyDescent="0.25">
      <c r="A104" s="26" t="s">
        <v>29</v>
      </c>
      <c r="B104" s="27">
        <v>231826</v>
      </c>
      <c r="C104" s="28" t="s">
        <v>19</v>
      </c>
      <c r="D104" s="29" t="s">
        <v>520</v>
      </c>
      <c r="E104" s="30" t="s">
        <v>58</v>
      </c>
      <c r="F104" s="30"/>
      <c r="G104" s="72">
        <v>44291</v>
      </c>
      <c r="H104" s="72">
        <v>44305</v>
      </c>
      <c r="I104" s="72"/>
      <c r="J104" s="31" t="s">
        <v>521</v>
      </c>
      <c r="K104" s="28" t="s">
        <v>387</v>
      </c>
      <c r="L104" s="32" t="s">
        <v>24</v>
      </c>
      <c r="M104" s="28" t="s">
        <v>25</v>
      </c>
      <c r="N104" s="28"/>
      <c r="O104" s="28" t="s">
        <v>26</v>
      </c>
      <c r="P104" s="31"/>
      <c r="Q104" s="28"/>
      <c r="R104" s="33"/>
    </row>
    <row r="105" spans="1:18" ht="30" customHeight="1" x14ac:dyDescent="0.25">
      <c r="A105" s="26" t="s">
        <v>29</v>
      </c>
      <c r="B105" s="27">
        <v>231829</v>
      </c>
      <c r="C105" s="28" t="s">
        <v>19</v>
      </c>
      <c r="D105" s="29" t="s">
        <v>522</v>
      </c>
      <c r="E105" s="30" t="s">
        <v>58</v>
      </c>
      <c r="F105" s="30"/>
      <c r="G105" s="72">
        <v>44291</v>
      </c>
      <c r="H105" s="72"/>
      <c r="I105" s="72"/>
      <c r="J105" s="31" t="s">
        <v>523</v>
      </c>
      <c r="K105" s="28" t="s">
        <v>387</v>
      </c>
      <c r="L105" s="32"/>
      <c r="M105" s="28" t="s">
        <v>25</v>
      </c>
      <c r="N105" s="28"/>
      <c r="O105" s="28" t="s">
        <v>26</v>
      </c>
      <c r="P105" s="31"/>
      <c r="Q105" s="28"/>
      <c r="R105" s="33"/>
    </row>
    <row r="106" spans="1:18" ht="30" customHeight="1" x14ac:dyDescent="0.25">
      <c r="A106" s="26" t="s">
        <v>191</v>
      </c>
      <c r="B106" s="27">
        <v>231933</v>
      </c>
      <c r="C106" s="28" t="s">
        <v>410</v>
      </c>
      <c r="D106" s="29" t="s">
        <v>524</v>
      </c>
      <c r="E106" s="30" t="s">
        <v>83</v>
      </c>
      <c r="F106" s="30"/>
      <c r="G106" s="72">
        <v>44292</v>
      </c>
      <c r="H106" s="72">
        <v>44293</v>
      </c>
      <c r="I106" s="72"/>
      <c r="J106" s="31"/>
      <c r="K106" s="28" t="s">
        <v>387</v>
      </c>
      <c r="L106" s="32" t="s">
        <v>36</v>
      </c>
      <c r="M106" s="28" t="s">
        <v>25</v>
      </c>
      <c r="N106" s="28"/>
      <c r="O106" s="28" t="s">
        <v>37</v>
      </c>
      <c r="P106" s="31"/>
      <c r="Q106" s="28"/>
      <c r="R106" s="33"/>
    </row>
    <row r="107" spans="1:18" ht="30" customHeight="1" x14ac:dyDescent="0.25">
      <c r="A107" s="26" t="s">
        <v>38</v>
      </c>
      <c r="B107" s="27">
        <v>231941</v>
      </c>
      <c r="C107" s="28" t="s">
        <v>19</v>
      </c>
      <c r="D107" s="104" t="s">
        <v>610</v>
      </c>
      <c r="E107" s="30" t="s">
        <v>58</v>
      </c>
      <c r="F107" s="30"/>
      <c r="G107" s="72">
        <v>44292</v>
      </c>
      <c r="H107" s="72">
        <v>44306</v>
      </c>
      <c r="I107" s="72"/>
      <c r="J107" s="31" t="s">
        <v>611</v>
      </c>
      <c r="K107" s="28" t="s">
        <v>387</v>
      </c>
      <c r="L107" s="32" t="s">
        <v>57</v>
      </c>
      <c r="M107" s="28"/>
      <c r="N107" s="28"/>
      <c r="O107" s="28"/>
      <c r="P107" s="31"/>
      <c r="Q107" s="28"/>
      <c r="R107" s="33"/>
    </row>
    <row r="108" spans="1:18" ht="30" customHeight="1" x14ac:dyDescent="0.25">
      <c r="A108" s="26"/>
      <c r="B108" s="27"/>
      <c r="C108" s="28"/>
      <c r="D108" s="29"/>
      <c r="E108" s="30"/>
      <c r="F108" s="30"/>
      <c r="G108" s="72"/>
      <c r="H108" s="72"/>
      <c r="I108" s="72"/>
      <c r="J108" s="31"/>
      <c r="K108" s="28"/>
      <c r="L108" s="32"/>
      <c r="M108" s="28"/>
      <c r="N108" s="28"/>
      <c r="O108" s="28"/>
      <c r="P108" s="31"/>
      <c r="Q108" s="28"/>
      <c r="R108" s="33"/>
    </row>
    <row r="109" spans="1:18" ht="30" customHeight="1" x14ac:dyDescent="0.25">
      <c r="A109" s="26"/>
      <c r="B109" s="27"/>
      <c r="C109" s="28"/>
      <c r="D109" s="29"/>
      <c r="E109" s="30"/>
      <c r="F109" s="30"/>
      <c r="G109" s="72"/>
      <c r="H109" s="72"/>
      <c r="I109" s="72"/>
      <c r="J109" s="31"/>
      <c r="K109" s="28"/>
      <c r="L109" s="32"/>
      <c r="M109" s="28"/>
      <c r="N109" s="28"/>
      <c r="O109" s="28"/>
      <c r="P109" s="31"/>
      <c r="Q109" s="28"/>
      <c r="R109" s="33"/>
    </row>
    <row r="110" spans="1:18" ht="30" customHeight="1" x14ac:dyDescent="0.25">
      <c r="A110" s="26"/>
      <c r="B110" s="27"/>
      <c r="C110" s="28"/>
      <c r="D110" s="29"/>
      <c r="E110" s="30"/>
      <c r="F110" s="30"/>
      <c r="G110" s="72"/>
      <c r="H110" s="72"/>
      <c r="I110" s="72"/>
      <c r="J110" s="31"/>
      <c r="K110" s="28"/>
      <c r="L110" s="32"/>
      <c r="M110" s="28"/>
      <c r="N110" s="28"/>
      <c r="O110" s="28"/>
      <c r="P110" s="31"/>
      <c r="Q110" s="28"/>
      <c r="R110" s="33"/>
    </row>
    <row r="111" spans="1:18" ht="30" customHeight="1" x14ac:dyDescent="0.25">
      <c r="A111" s="26"/>
      <c r="B111" s="27"/>
      <c r="C111" s="28"/>
      <c r="D111" s="29"/>
      <c r="E111" s="30"/>
      <c r="F111" s="30"/>
      <c r="G111" s="72"/>
      <c r="H111" s="72"/>
      <c r="I111" s="72"/>
      <c r="J111" s="31"/>
      <c r="K111" s="28"/>
      <c r="L111" s="32"/>
      <c r="M111" s="28"/>
      <c r="N111" s="28"/>
      <c r="O111" s="28"/>
      <c r="P111" s="31"/>
      <c r="Q111" s="28"/>
      <c r="R111" s="33"/>
    </row>
    <row r="112" spans="1:18" ht="30" customHeight="1" x14ac:dyDescent="0.25">
      <c r="A112" s="26"/>
      <c r="B112" s="27"/>
      <c r="C112" s="28"/>
      <c r="D112" s="29"/>
      <c r="E112" s="30"/>
      <c r="F112" s="30"/>
      <c r="G112" s="72"/>
      <c r="H112" s="72"/>
      <c r="I112" s="72"/>
      <c r="J112" s="31"/>
      <c r="K112" s="28"/>
      <c r="L112" s="32"/>
      <c r="M112" s="28"/>
      <c r="N112" s="28"/>
      <c r="O112" s="28"/>
      <c r="P112" s="31"/>
      <c r="Q112" s="28"/>
      <c r="R112" s="33"/>
    </row>
    <row r="113" spans="1:18" ht="30" customHeight="1" x14ac:dyDescent="0.25">
      <c r="A113" s="26"/>
      <c r="B113" s="27"/>
      <c r="C113" s="28"/>
      <c r="D113" s="29"/>
      <c r="E113" s="30"/>
      <c r="F113" s="30"/>
      <c r="G113" s="72"/>
      <c r="H113" s="72"/>
      <c r="I113" s="72"/>
      <c r="J113" s="31"/>
      <c r="K113" s="28"/>
      <c r="L113" s="32"/>
      <c r="M113" s="28"/>
      <c r="N113" s="28"/>
      <c r="O113" s="28"/>
      <c r="P113" s="31"/>
      <c r="Q113" s="28"/>
      <c r="R113" s="33"/>
    </row>
    <row r="114" spans="1:18" ht="30" customHeight="1" x14ac:dyDescent="0.25">
      <c r="A114" s="26"/>
      <c r="B114" s="27"/>
      <c r="C114" s="28"/>
      <c r="D114" s="29"/>
      <c r="E114" s="30"/>
      <c r="F114" s="30"/>
      <c r="G114" s="72"/>
      <c r="H114" s="72"/>
      <c r="I114" s="72"/>
      <c r="J114" s="31"/>
      <c r="K114" s="28"/>
      <c r="L114" s="32"/>
      <c r="M114" s="28"/>
      <c r="N114" s="28"/>
      <c r="O114" s="28"/>
      <c r="P114" s="31"/>
      <c r="Q114" s="28"/>
      <c r="R114" s="33"/>
    </row>
    <row r="115" spans="1:18" ht="30" customHeight="1" x14ac:dyDescent="0.25">
      <c r="A115" s="26"/>
      <c r="B115" s="27"/>
      <c r="C115" s="28"/>
      <c r="D115" s="29"/>
      <c r="E115" s="30"/>
      <c r="F115" s="30"/>
      <c r="G115" s="72"/>
      <c r="H115" s="72"/>
      <c r="I115" s="72"/>
      <c r="J115" s="31"/>
      <c r="K115" s="28"/>
      <c r="L115" s="32"/>
      <c r="M115" s="28"/>
      <c r="N115" s="28"/>
      <c r="O115" s="28"/>
      <c r="P115" s="31"/>
      <c r="Q115" s="28"/>
      <c r="R115" s="33"/>
    </row>
    <row r="116" spans="1:18" ht="30" customHeight="1" x14ac:dyDescent="0.25">
      <c r="A116" s="26"/>
      <c r="B116" s="27"/>
      <c r="C116" s="28"/>
      <c r="D116" s="29"/>
      <c r="E116" s="30"/>
      <c r="F116" s="30"/>
      <c r="G116" s="72"/>
      <c r="H116" s="72"/>
      <c r="I116" s="72"/>
      <c r="J116" s="31"/>
      <c r="K116" s="28"/>
      <c r="L116" s="32"/>
      <c r="M116" s="28"/>
      <c r="N116" s="28"/>
      <c r="O116" s="28"/>
      <c r="P116" s="31"/>
      <c r="Q116" s="28"/>
      <c r="R116" s="33"/>
    </row>
    <row r="117" spans="1:18" ht="30" customHeight="1" x14ac:dyDescent="0.25">
      <c r="A117" s="26"/>
      <c r="B117" s="27"/>
      <c r="C117" s="28"/>
      <c r="D117" s="29"/>
      <c r="E117" s="30"/>
      <c r="F117" s="30"/>
      <c r="G117" s="72"/>
      <c r="H117" s="72"/>
      <c r="I117" s="72"/>
      <c r="J117" s="31"/>
      <c r="K117" s="28"/>
      <c r="L117" s="32"/>
      <c r="M117" s="28"/>
      <c r="N117" s="28"/>
      <c r="O117" s="28"/>
      <c r="P117" s="31"/>
      <c r="Q117" s="28"/>
      <c r="R117" s="33"/>
    </row>
    <row r="118" spans="1:18" ht="30" customHeight="1" x14ac:dyDescent="0.25">
      <c r="A118" s="26"/>
      <c r="B118" s="27"/>
      <c r="C118" s="28"/>
      <c r="D118" s="29"/>
      <c r="E118" s="30"/>
      <c r="F118" s="30"/>
      <c r="G118" s="72"/>
      <c r="H118" s="72"/>
      <c r="I118" s="72"/>
      <c r="J118" s="31"/>
      <c r="K118" s="28"/>
      <c r="L118" s="32"/>
      <c r="M118" s="28"/>
      <c r="N118" s="28"/>
      <c r="O118" s="28"/>
      <c r="P118" s="31"/>
      <c r="Q118" s="28"/>
      <c r="R118" s="33"/>
    </row>
    <row r="119" spans="1:18" ht="30" customHeight="1" x14ac:dyDescent="0.25">
      <c r="A119" s="26"/>
      <c r="B119" s="27"/>
      <c r="C119" s="28"/>
      <c r="D119" s="29"/>
      <c r="E119" s="30"/>
      <c r="F119" s="30"/>
      <c r="G119" s="72"/>
      <c r="H119" s="72"/>
      <c r="I119" s="72"/>
      <c r="J119" s="31"/>
      <c r="K119" s="28"/>
      <c r="L119" s="32"/>
      <c r="M119" s="28"/>
      <c r="N119" s="28"/>
      <c r="O119" s="28"/>
      <c r="P119" s="31"/>
      <c r="Q119" s="28"/>
      <c r="R119" s="33"/>
    </row>
    <row r="120" spans="1:18" ht="30" customHeight="1" x14ac:dyDescent="0.25">
      <c r="A120" s="26"/>
      <c r="B120" s="27"/>
      <c r="C120" s="28"/>
      <c r="D120" s="29"/>
      <c r="E120" s="30"/>
      <c r="F120" s="30"/>
      <c r="G120" s="72"/>
      <c r="H120" s="72"/>
      <c r="I120" s="72"/>
      <c r="J120" s="31"/>
      <c r="K120" s="28"/>
      <c r="L120" s="32"/>
      <c r="M120" s="28"/>
      <c r="N120" s="28"/>
      <c r="O120" s="28"/>
      <c r="P120" s="31"/>
      <c r="Q120" s="28"/>
      <c r="R120" s="33"/>
    </row>
    <row r="121" spans="1:18" ht="30" customHeight="1" x14ac:dyDescent="0.25">
      <c r="A121" s="26"/>
      <c r="B121" s="27"/>
      <c r="C121" s="28"/>
      <c r="D121" s="29"/>
      <c r="E121" s="30"/>
      <c r="F121" s="30"/>
      <c r="G121" s="72"/>
      <c r="H121" s="72"/>
      <c r="I121" s="72"/>
      <c r="J121" s="31"/>
      <c r="K121" s="28"/>
      <c r="L121" s="32"/>
      <c r="M121" s="28"/>
      <c r="N121" s="28"/>
      <c r="O121" s="28"/>
      <c r="P121" s="31"/>
      <c r="Q121" s="28"/>
      <c r="R121" s="33"/>
    </row>
    <row r="122" spans="1:18" ht="30" customHeight="1" x14ac:dyDescent="0.25">
      <c r="A122" s="26"/>
      <c r="B122" s="27"/>
      <c r="C122" s="28"/>
      <c r="D122" s="29"/>
      <c r="E122" s="30"/>
      <c r="F122" s="30"/>
      <c r="G122" s="72"/>
      <c r="H122" s="72"/>
      <c r="I122" s="72"/>
      <c r="J122" s="31"/>
      <c r="K122" s="28"/>
      <c r="L122" s="32"/>
      <c r="M122" s="28"/>
      <c r="N122" s="28"/>
      <c r="O122" s="28"/>
      <c r="P122" s="31"/>
      <c r="Q122" s="28"/>
      <c r="R122" s="33"/>
    </row>
    <row r="123" spans="1:18" ht="30" customHeight="1" x14ac:dyDescent="0.25">
      <c r="A123" s="26"/>
      <c r="B123" s="27"/>
      <c r="C123" s="28"/>
      <c r="D123" s="29"/>
      <c r="E123" s="30"/>
      <c r="F123" s="30"/>
      <c r="G123" s="72"/>
      <c r="H123" s="72"/>
      <c r="I123" s="72"/>
      <c r="J123" s="31"/>
      <c r="K123" s="28"/>
      <c r="L123" s="32"/>
      <c r="M123" s="28"/>
      <c r="N123" s="28"/>
      <c r="O123" s="28"/>
      <c r="P123" s="31"/>
      <c r="Q123" s="28"/>
      <c r="R123" s="33"/>
    </row>
    <row r="124" spans="1:18" ht="30" customHeight="1" x14ac:dyDescent="0.25">
      <c r="A124" s="26"/>
      <c r="B124" s="27"/>
      <c r="C124" s="28"/>
      <c r="D124" s="29"/>
      <c r="E124" s="30"/>
      <c r="F124" s="30"/>
      <c r="G124" s="72"/>
      <c r="H124" s="72"/>
      <c r="I124" s="72"/>
      <c r="J124" s="31"/>
      <c r="K124" s="28"/>
      <c r="L124" s="32"/>
      <c r="M124" s="28"/>
      <c r="N124" s="28"/>
      <c r="O124" s="28"/>
      <c r="P124" s="31"/>
      <c r="Q124" s="28"/>
      <c r="R124" s="33"/>
    </row>
    <row r="125" spans="1:18" ht="30" customHeight="1" x14ac:dyDescent="0.25">
      <c r="A125" s="26"/>
      <c r="B125" s="27"/>
      <c r="C125" s="28"/>
      <c r="D125" s="29"/>
      <c r="E125" s="30"/>
      <c r="F125" s="30"/>
      <c r="G125" s="72"/>
      <c r="H125" s="72"/>
      <c r="I125" s="72"/>
      <c r="J125" s="31"/>
      <c r="K125" s="28"/>
      <c r="L125" s="32"/>
      <c r="M125" s="28"/>
      <c r="N125" s="28"/>
      <c r="O125" s="28"/>
      <c r="P125" s="31"/>
      <c r="Q125" s="28"/>
      <c r="R125" s="33"/>
    </row>
    <row r="126" spans="1:18" ht="30" customHeight="1" x14ac:dyDescent="0.25">
      <c r="A126" s="26"/>
      <c r="B126" s="27"/>
      <c r="C126" s="28"/>
      <c r="D126" s="29"/>
      <c r="E126" s="30"/>
      <c r="F126" s="30"/>
      <c r="G126" s="72"/>
      <c r="H126" s="72"/>
      <c r="I126" s="72"/>
      <c r="J126" s="31"/>
      <c r="K126" s="28"/>
      <c r="L126" s="32"/>
      <c r="M126" s="28"/>
      <c r="N126" s="28"/>
      <c r="O126" s="28"/>
      <c r="P126" s="31"/>
      <c r="Q126" s="28"/>
      <c r="R126" s="33"/>
    </row>
    <row r="127" spans="1:18" ht="30" customHeight="1" x14ac:dyDescent="0.25">
      <c r="A127" s="26"/>
      <c r="B127" s="27"/>
      <c r="C127" s="28"/>
      <c r="D127" s="29"/>
      <c r="E127" s="30"/>
      <c r="F127" s="30"/>
      <c r="G127" s="72"/>
      <c r="H127" s="72"/>
      <c r="I127" s="72"/>
      <c r="J127" s="31"/>
      <c r="K127" s="28"/>
      <c r="L127" s="32"/>
      <c r="M127" s="28"/>
      <c r="N127" s="28"/>
      <c r="O127" s="28"/>
      <c r="P127" s="31"/>
      <c r="Q127" s="28"/>
      <c r="R127" s="33"/>
    </row>
    <row r="128" spans="1:18" ht="30" customHeight="1" x14ac:dyDescent="0.25">
      <c r="A128" s="26"/>
      <c r="B128" s="27"/>
      <c r="C128" s="28"/>
      <c r="D128" s="29"/>
      <c r="E128" s="30"/>
      <c r="F128" s="30"/>
      <c r="G128" s="72"/>
      <c r="H128" s="72"/>
      <c r="I128" s="72"/>
      <c r="J128" s="31"/>
      <c r="K128" s="28"/>
      <c r="L128" s="32"/>
      <c r="M128" s="28"/>
      <c r="N128" s="28"/>
      <c r="O128" s="28"/>
      <c r="P128" s="31"/>
      <c r="Q128" s="28"/>
      <c r="R128" s="33"/>
    </row>
    <row r="129" spans="1:18" ht="30" customHeight="1" x14ac:dyDescent="0.25">
      <c r="A129" s="26"/>
      <c r="B129" s="27"/>
      <c r="C129" s="28"/>
      <c r="D129" s="29"/>
      <c r="E129" s="30"/>
      <c r="F129" s="30"/>
      <c r="G129" s="72"/>
      <c r="H129" s="72"/>
      <c r="I129" s="72"/>
      <c r="J129" s="31"/>
      <c r="K129" s="28"/>
      <c r="L129" s="32"/>
      <c r="M129" s="28"/>
      <c r="N129" s="28"/>
      <c r="O129" s="28"/>
      <c r="P129" s="31"/>
      <c r="Q129" s="28"/>
      <c r="R129" s="33"/>
    </row>
    <row r="130" spans="1:18" ht="30" customHeight="1" x14ac:dyDescent="0.25">
      <c r="A130" s="26"/>
      <c r="B130" s="27"/>
      <c r="C130" s="28"/>
      <c r="D130" s="29"/>
      <c r="E130" s="30"/>
      <c r="F130" s="30"/>
      <c r="G130" s="72"/>
      <c r="H130" s="72"/>
      <c r="I130" s="72"/>
      <c r="J130" s="31"/>
      <c r="K130" s="28"/>
      <c r="L130" s="32"/>
      <c r="M130" s="28"/>
      <c r="N130" s="28"/>
      <c r="O130" s="28"/>
      <c r="P130" s="31"/>
      <c r="Q130" s="28"/>
      <c r="R130" s="33"/>
    </row>
    <row r="131" spans="1:18" ht="30" customHeight="1" x14ac:dyDescent="0.25">
      <c r="A131" s="26"/>
      <c r="B131" s="27"/>
      <c r="C131" s="28"/>
      <c r="D131" s="29"/>
      <c r="E131" s="30"/>
      <c r="F131" s="30"/>
      <c r="G131" s="72"/>
      <c r="H131" s="72"/>
      <c r="I131" s="72"/>
      <c r="J131" s="31"/>
      <c r="K131" s="28"/>
      <c r="L131" s="32"/>
      <c r="M131" s="28"/>
      <c r="N131" s="28"/>
      <c r="O131" s="28"/>
      <c r="P131" s="31"/>
      <c r="Q131" s="28"/>
      <c r="R131" s="33"/>
    </row>
    <row r="132" spans="1:18" ht="30" customHeight="1" x14ac:dyDescent="0.25">
      <c r="A132" s="26"/>
      <c r="B132" s="27"/>
      <c r="C132" s="28"/>
      <c r="D132" s="29"/>
      <c r="E132" s="30"/>
      <c r="F132" s="30"/>
      <c r="G132" s="72"/>
      <c r="H132" s="72"/>
      <c r="I132" s="72"/>
      <c r="J132" s="31"/>
      <c r="K132" s="28"/>
      <c r="L132" s="32"/>
      <c r="M132" s="28"/>
      <c r="N132" s="28"/>
      <c r="O132" s="28"/>
      <c r="P132" s="31"/>
      <c r="Q132" s="28"/>
      <c r="R132" s="33"/>
    </row>
    <row r="133" spans="1:18" ht="30" customHeight="1" x14ac:dyDescent="0.25">
      <c r="A133" s="26"/>
      <c r="B133" s="27"/>
      <c r="C133" s="28"/>
      <c r="D133" s="29"/>
      <c r="E133" s="30"/>
      <c r="F133" s="30"/>
      <c r="G133" s="72"/>
      <c r="H133" s="72"/>
      <c r="I133" s="72"/>
      <c r="J133" s="31"/>
      <c r="K133" s="28"/>
      <c r="L133" s="32"/>
      <c r="M133" s="28"/>
      <c r="N133" s="28"/>
      <c r="O133" s="28"/>
      <c r="P133" s="31"/>
      <c r="Q133" s="28"/>
      <c r="R133" s="33"/>
    </row>
    <row r="134" spans="1:18" ht="30" customHeight="1" x14ac:dyDescent="0.25">
      <c r="A134" s="26"/>
      <c r="B134" s="27"/>
      <c r="C134" s="28"/>
      <c r="D134" s="29"/>
      <c r="E134" s="30"/>
      <c r="F134" s="30"/>
      <c r="G134" s="72"/>
      <c r="H134" s="72"/>
      <c r="I134" s="72"/>
      <c r="J134" s="31"/>
      <c r="K134" s="28"/>
      <c r="L134" s="32"/>
      <c r="M134" s="28"/>
      <c r="N134" s="28"/>
      <c r="O134" s="28"/>
      <c r="P134" s="31"/>
      <c r="Q134" s="28"/>
      <c r="R134" s="33"/>
    </row>
    <row r="135" spans="1:18" ht="30" customHeight="1" x14ac:dyDescent="0.25">
      <c r="A135" s="26"/>
      <c r="B135" s="27"/>
      <c r="C135" s="28"/>
      <c r="D135" s="29"/>
      <c r="E135" s="30"/>
      <c r="F135" s="30"/>
      <c r="G135" s="72"/>
      <c r="H135" s="72"/>
      <c r="I135" s="72"/>
      <c r="J135" s="31"/>
      <c r="K135" s="28"/>
      <c r="L135" s="32"/>
      <c r="M135" s="28"/>
      <c r="N135" s="28"/>
      <c r="O135" s="28"/>
      <c r="P135" s="31"/>
      <c r="Q135" s="28"/>
      <c r="R135" s="33"/>
    </row>
    <row r="136" spans="1:18" ht="30" customHeight="1" x14ac:dyDescent="0.25">
      <c r="A136" s="26"/>
      <c r="B136" s="27"/>
      <c r="C136" s="28"/>
      <c r="D136" s="29"/>
      <c r="E136" s="30"/>
      <c r="F136" s="30"/>
      <c r="G136" s="72"/>
      <c r="H136" s="72"/>
      <c r="I136" s="72"/>
      <c r="J136" s="31"/>
      <c r="K136" s="28"/>
      <c r="L136" s="32"/>
      <c r="M136" s="28"/>
      <c r="N136" s="28"/>
      <c r="O136" s="28"/>
      <c r="P136" s="31"/>
      <c r="Q136" s="28"/>
      <c r="R136" s="33"/>
    </row>
    <row r="137" spans="1:18" ht="30" customHeight="1" x14ac:dyDescent="0.25">
      <c r="A137" s="26"/>
      <c r="B137" s="27"/>
      <c r="C137" s="28"/>
      <c r="D137" s="29"/>
      <c r="E137" s="30"/>
      <c r="F137" s="30"/>
      <c r="G137" s="72"/>
      <c r="H137" s="72"/>
      <c r="I137" s="72"/>
      <c r="J137" s="31"/>
      <c r="K137" s="28"/>
      <c r="L137" s="32"/>
      <c r="M137" s="28"/>
      <c r="N137" s="28"/>
      <c r="O137" s="28"/>
      <c r="P137" s="31"/>
      <c r="Q137" s="28"/>
      <c r="R137" s="33"/>
    </row>
  </sheetData>
  <conditionalFormatting sqref="A90:R94 A82:R87 A80:F80 H80:R80 A2:R79">
    <cfRule type="expression" dxfId="49" priority="821">
      <formula>$K2="CANCELADO"</formula>
    </cfRule>
    <cfRule type="expression" dxfId="48" priority="822">
      <formula>$K2="STAND-BY"</formula>
    </cfRule>
    <cfRule type="expression" dxfId="47" priority="823">
      <formula>$K2="AGUARDANDO APROVAÇÃO"</formula>
    </cfRule>
    <cfRule type="expression" dxfId="46" priority="824">
      <formula>$K2="OK"</formula>
    </cfRule>
    <cfRule type="expression" dxfId="45" priority="825">
      <formula>AND((TODAY()-$H2)&gt;0,$H2&lt;&gt;"",$I2="")=TRUE</formula>
    </cfRule>
  </conditionalFormatting>
  <conditionalFormatting sqref="A88:R89">
    <cfRule type="expression" dxfId="44" priority="41">
      <formula>$K88="CANCELADO"</formula>
    </cfRule>
    <cfRule type="expression" dxfId="43" priority="42">
      <formula>$K88="STAND-BY"</formula>
    </cfRule>
    <cfRule type="expression" dxfId="42" priority="43">
      <formula>$K88="AGUARDANDO APROVAÇÃO"</formula>
    </cfRule>
    <cfRule type="expression" dxfId="41" priority="44">
      <formula>$K88="OK"</formula>
    </cfRule>
    <cfRule type="expression" dxfId="40" priority="45">
      <formula>AND((TODAY()-$H88)&gt;0,$H88&lt;&gt;"",$I88="")=TRUE</formula>
    </cfRule>
  </conditionalFormatting>
  <conditionalFormatting sqref="A95:R95">
    <cfRule type="expression" dxfId="39" priority="36">
      <formula>$K95="CANCELADO"</formula>
    </cfRule>
    <cfRule type="expression" dxfId="38" priority="37">
      <formula>$K95="STAND-BY"</formula>
    </cfRule>
    <cfRule type="expression" dxfId="37" priority="38">
      <formula>$K95="AGUARDANDO APROVAÇÃO"</formula>
    </cfRule>
    <cfRule type="expression" dxfId="36" priority="39">
      <formula>$K95="OK"</formula>
    </cfRule>
    <cfRule type="expression" dxfId="35" priority="40">
      <formula>AND((TODAY()-$H95)&gt;0,$H95&lt;&gt;"",$I95="")=TRUE</formula>
    </cfRule>
  </conditionalFormatting>
  <conditionalFormatting sqref="A101:R103 A105:R137">
    <cfRule type="expression" dxfId="34" priority="31">
      <formula>$K101="CANCELADO"</formula>
    </cfRule>
    <cfRule type="expression" dxfId="33" priority="32">
      <formula>$K101="STAND-BY"</formula>
    </cfRule>
    <cfRule type="expression" dxfId="32" priority="33">
      <formula>$K101="AGUARDANDO APROVAÇÃO"</formula>
    </cfRule>
    <cfRule type="expression" dxfId="31" priority="34">
      <formula>$K101="OK"</formula>
    </cfRule>
    <cfRule type="expression" dxfId="30" priority="35">
      <formula>AND((TODAY()-$H101)&gt;0,$H101&lt;&gt;"",$I101="")=TRUE</formula>
    </cfRule>
  </conditionalFormatting>
  <conditionalFormatting sqref="A96:R100">
    <cfRule type="expression" dxfId="29" priority="26">
      <formula>$K96="CANCELADO"</formula>
    </cfRule>
    <cfRule type="expression" dxfId="28" priority="27">
      <formula>$K96="STAND-BY"</formula>
    </cfRule>
    <cfRule type="expression" dxfId="27" priority="28">
      <formula>$K96="AGUARDANDO APROVAÇÃO"</formula>
    </cfRule>
    <cfRule type="expression" dxfId="26" priority="29">
      <formula>$K96="OK"</formula>
    </cfRule>
    <cfRule type="expression" dxfId="25" priority="30">
      <formula>AND((TODAY()-$H96)&gt;0,$H96&lt;&gt;"",$I96="")=TRUE</formula>
    </cfRule>
  </conditionalFormatting>
  <conditionalFormatting sqref="A81:R81">
    <cfRule type="expression" dxfId="24" priority="21">
      <formula>$K81="CANCELADO"</formula>
    </cfRule>
    <cfRule type="expression" dxfId="23" priority="22">
      <formula>$K81="STAND-BY"</formula>
    </cfRule>
    <cfRule type="expression" dxfId="22" priority="23">
      <formula>$K81="AGUARDANDO APROVAÇÃO"</formula>
    </cfRule>
    <cfRule type="expression" dxfId="21" priority="24">
      <formula>$K81="OK"</formula>
    </cfRule>
    <cfRule type="expression" dxfId="20" priority="25">
      <formula>AND((TODAY()-$H81)&gt;0,$H81&lt;&gt;"",$I81="")=TRUE</formula>
    </cfRule>
  </conditionalFormatting>
  <conditionalFormatting sqref="G80">
    <cfRule type="expression" dxfId="19" priority="16">
      <formula>$K80="CANCELADO"</formula>
    </cfRule>
    <cfRule type="expression" dxfId="18" priority="17">
      <formula>$K80="STAND-BY"</formula>
    </cfRule>
    <cfRule type="expression" dxfId="17" priority="18">
      <formula>$K80="AGUARDANDO APROVAÇÃO"</formula>
    </cfRule>
    <cfRule type="expression" dxfId="16" priority="19">
      <formula>$K80="OK"</formula>
    </cfRule>
    <cfRule type="expression" dxfId="15" priority="20">
      <formula>AND((TODAY()-$H80)&gt;0,$H80&lt;&gt;"",$I80="")=TRUE</formula>
    </cfRule>
  </conditionalFormatting>
  <conditionalFormatting sqref="A104:I104 P104:R104">
    <cfRule type="expression" dxfId="14" priority="11">
      <formula>$K104="CANCELADO"</formula>
    </cfRule>
    <cfRule type="expression" dxfId="13" priority="12">
      <formula>$K104="STAND-BY"</formula>
    </cfRule>
    <cfRule type="expression" dxfId="12" priority="13">
      <formula>$K104="AGUARDANDO APROVAÇÃO"</formula>
    </cfRule>
    <cfRule type="expression" dxfId="11" priority="14">
      <formula>$K104="OK"</formula>
    </cfRule>
    <cfRule type="expression" dxfId="10" priority="15">
      <formula>AND((TODAY()-$H104)&gt;0,$H104&lt;&gt;"",$I104="")=TRUE</formula>
    </cfRule>
  </conditionalFormatting>
  <conditionalFormatting sqref="J104">
    <cfRule type="expression" dxfId="9" priority="6">
      <formula>$K104="CANCELADO"</formula>
    </cfRule>
    <cfRule type="expression" dxfId="8" priority="7">
      <formula>$K104="STAND-BY"</formula>
    </cfRule>
    <cfRule type="expression" dxfId="7" priority="8">
      <formula>$K104="AGUARDANDO APROVAÇÃO"</formula>
    </cfRule>
    <cfRule type="expression" dxfId="6" priority="9">
      <formula>$K104="OK"</formula>
    </cfRule>
    <cfRule type="expression" dxfId="5" priority="10">
      <formula>AND((TODAY()-$H104)&gt;0,$H104&lt;&gt;"",$I104="")=TRUE</formula>
    </cfRule>
  </conditionalFormatting>
  <conditionalFormatting sqref="K104:O104">
    <cfRule type="expression" dxfId="4" priority="1">
      <formula>$K104="CANCELADO"</formula>
    </cfRule>
    <cfRule type="expression" dxfId="3" priority="2">
      <formula>$K104="STAND-BY"</formula>
    </cfRule>
    <cfRule type="expression" dxfId="2" priority="3">
      <formula>$K104="AGUARDANDO APROVAÇÃO"</formula>
    </cfRule>
    <cfRule type="expression" dxfId="1" priority="4">
      <formula>$K104="OK"</formula>
    </cfRule>
    <cfRule type="expression" dxfId="0" priority="5">
      <formula>AND((TODAY()-$H104)&gt;0,$H104&lt;&gt;"",$I104="")=TRUE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C0144521-0157-4733-9BE5-6558150157A1}">
          <x14:formula1>
            <xm:f>'NÃO MEXER'!$B$2:$B$19</xm:f>
          </x14:formula1>
          <xm:sqref>C2:C137</xm:sqref>
        </x14:dataValidation>
        <x14:dataValidation type="list" allowBlank="1" showInputMessage="1" showErrorMessage="1" xr:uid="{9CFFCCE5-82BA-495A-A67A-5CE253743FF2}">
          <x14:formula1>
            <xm:f>'NÃO MEXER'!$A$2:$A$25</xm:f>
          </x14:formula1>
          <xm:sqref>A2:A137</xm:sqref>
        </x14:dataValidation>
        <x14:dataValidation type="list" allowBlank="1" showInputMessage="1" showErrorMessage="1" xr:uid="{911A42C0-0058-4EC3-A50D-AC7E3CBC084D}">
          <x14:formula1>
            <xm:f>'NÃO MEXER'!$H$2:$H$3</xm:f>
          </x14:formula1>
          <xm:sqref>O2:P137</xm:sqref>
        </x14:dataValidation>
        <x14:dataValidation type="list" allowBlank="1" showInputMessage="1" showErrorMessage="1" xr:uid="{41C15853-859C-4E9B-BFC0-DF3A40A6F46C}">
          <x14:formula1>
            <xm:f>'NÃO MEXER'!$G$2:$G$7</xm:f>
          </x14:formula1>
          <xm:sqref>M2:M137</xm:sqref>
        </x14:dataValidation>
        <x14:dataValidation type="list" allowBlank="1" showInputMessage="1" showErrorMessage="1" xr:uid="{48D41EE5-CA48-49C7-9F36-EF4ABC4C7D3D}">
          <x14:formula1>
            <xm:f>'NÃO MEXER'!$F$2:$F$6</xm:f>
          </x14:formula1>
          <xm:sqref>L2:L137</xm:sqref>
        </x14:dataValidation>
        <x14:dataValidation type="list" allowBlank="1" showInputMessage="1" showErrorMessage="1" xr:uid="{75BE3A56-F4A2-4374-920F-023F092953BC}">
          <x14:formula1>
            <xm:f>'NÃO MEXER'!$E$2:$E$6</xm:f>
          </x14:formula1>
          <xm:sqref>K2:K137</xm:sqref>
        </x14:dataValidation>
        <x14:dataValidation type="list" allowBlank="1" showInputMessage="1" showErrorMessage="1" xr:uid="{E857A9BB-4570-42F8-91FA-B987ED9A090E}">
          <x14:formula1>
            <xm:f>'NÃO MEXER'!$C$2:$C$91</xm:f>
          </x14:formula1>
          <xm:sqref>E2:E137</xm:sqref>
        </x14:dataValidation>
        <x14:dataValidation type="list" allowBlank="1" showInputMessage="1" showErrorMessage="1" xr:uid="{A49C1C83-DA41-4D43-8AD1-C93B672A8752}">
          <x14:formula1>
            <xm:f>'NÃO MEXER'!$I$2:$I$6</xm:f>
          </x14:formula1>
          <xm:sqref>Q2:Q137</xm:sqref>
        </x14:dataValidation>
        <x14:dataValidation type="list" allowBlank="1" showInputMessage="1" showErrorMessage="1" xr:uid="{3D9BD767-6664-4950-8450-0FB40871A167}">
          <x14:formula1>
            <xm:f>'NÃO MEXER'!$J$2:$J$6</xm:f>
          </x14:formula1>
          <xm:sqref>R2:R137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4</vt:i4>
      </vt:variant>
    </vt:vector>
  </HeadingPairs>
  <TitlesOfParts>
    <vt:vector size="13" baseType="lpstr">
      <vt:lpstr>CONSOLIDADO</vt:lpstr>
      <vt:lpstr>NÃO MEXER</vt:lpstr>
      <vt:lpstr>ANÁLISE</vt:lpstr>
      <vt:lpstr>ROA</vt:lpstr>
      <vt:lpstr>FAROL</vt:lpstr>
      <vt:lpstr>JAN</vt:lpstr>
      <vt:lpstr>FEV</vt:lpstr>
      <vt:lpstr>MAR</vt:lpstr>
      <vt:lpstr>ABR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2021-04-07T11:32:58Z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