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12897" documentId="113_{99182A55-95A0-4077-AE47-94FC570D8BEC}" xr6:coauthVersionLast="45" xr6:coauthVersionMax="46" xr10:uidLastSave="{3EB59F58-C62B-4ADA-A39C-091253C31028}"/>
  <bookViews>
    <workbookView xWindow="-28920" yWindow="-120" windowWidth="29040" windowHeight="15840" xr2:uid="{00000000-000D-0000-FFFF-FFFF00000000}"/>
  </bookViews>
  <sheets>
    <sheet name="CONSOLIDADO" sheetId="11" r:id="rId1"/>
    <sheet name="NÃO MEXER" sheetId="1" r:id="rId2"/>
    <sheet name="ANÁLISE" sheetId="39" r:id="rId3"/>
    <sheet name="FAROL" sheetId="40" r:id="rId4"/>
    <sheet name="JAN" sheetId="34" r:id="rId5"/>
    <sheet name="FEV" sheetId="36" r:id="rId6"/>
    <sheet name="MAR" sheetId="43" r:id="rId7"/>
    <sheet name="ABR" sheetId="42" r:id="rId8"/>
  </sheets>
  <externalReferences>
    <externalReference r:id="rId9"/>
  </externalReference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MEXER'!$C$2:$C$84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  <definedName name="Vídeo">'NÃO MEXER'!$G$8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N12" i="40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N7" i="40"/>
  <c r="G7" i="40"/>
  <c r="F7" i="40"/>
  <c r="P6" i="40"/>
  <c r="O6" i="40"/>
  <c r="G6" i="40"/>
  <c r="F6" i="40"/>
  <c r="P5" i="40"/>
  <c r="P16" i="40" s="1"/>
  <c r="O5" i="40"/>
  <c r="O16" i="40" s="1"/>
  <c r="G5" i="40"/>
  <c r="G16" i="40" s="1"/>
  <c r="F5" i="40"/>
  <c r="B4" i="39"/>
  <c r="B3" i="39"/>
  <c r="B5" i="39" s="1"/>
  <c r="F16" i="40" l="1"/>
</calcChain>
</file>

<file path=xl/sharedStrings.xml><?xml version="1.0" encoding="utf-8"?>
<sst xmlns="http://schemas.openxmlformats.org/spreadsheetml/2006/main" count="6845" uniqueCount="414">
  <si>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</si>
  <si>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</si>
  <si>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</si>
  <si>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</si>
  <si>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</si>
  <si>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</si>
  <si>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</si>
  <si>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</si>
  <si>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</si>
  <si>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</si>
  <si>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</si>
  <si>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</si>
  <si>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</si>
  <si>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</si>
  <si>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</si>
  <si>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</si>
  <si>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</si>
  <si>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</si>
  <si>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</si>
  <si>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</si>
  <si>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</si>
  <si>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</si>
  <si>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</si>
  <si>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</si>
  <si>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</si>
  <si>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</si>
  <si>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</si>
  <si>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</si>
  <si>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</si>
  <si>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</si>
  <si>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</si>
  <si>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</si>
  <si>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</si>
  <si>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</si>
  <si>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</si>
  <si>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</si>
  <si>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</si>
  <si>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</si>
  <si>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</si>
  <si>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</si>
  <si>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</si>
  <si>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</si>
  <si>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</si>
  <si>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</si>
  <si>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</si>
  <si>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</si>
  <si>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</si>
  <si>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</si>
  <si>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</si>
  <si>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</si>
  <si>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</si>
  <si>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</si>
  <si>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</si>
  <si>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</si>
  <si>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</si>
  <si>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</si>
  <si>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</si>
  <si>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</si>
  <si>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</si>
  <si>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</si>
  <si>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</si>
  <si>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</si>
  <si>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</si>
  <si>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</si>
  <si>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</si>
  <si>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</si>
  <si>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</si>
  <si>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</si>
  <si>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</si>
  <si>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</si>
  <si>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</si>
  <si>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</si>
  <si>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</si>
  <si>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</si>
  <si>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</si>
  <si>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</si>
  <si>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</si>
  <si>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</si>
  <si>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</si>
  <si>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</si>
  <si>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</si>
  <si>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</si>
  <si>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</si>
  <si>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</si>
  <si>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</si>
  <si>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</si>
  <si>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</si>
  <si>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</si>
  <si>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</si>
  <si>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</si>
  <si>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</si>
  <si>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</si>
  <si>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</si>
  <si>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</si>
  <si>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</si>
  <si>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</si>
  <si>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</si>
  <si>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</si>
  <si>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</si>
  <si>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</si>
  <si>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</si>
  <si>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</si>
  <si>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</si>
  <si>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</si>
  <si>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</si>
  <si>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</si>
  <si>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</si>
  <si>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</si>
  <si>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</si>
  <si>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</si>
  <si>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</si>
  <si>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</si>
  <si>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</si>
  <si>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</si>
  <si>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Peça Financiamento Imobiliário - 2015</t>
  </si>
  <si>
    <t>Ajustes Material | Guia de Associação Digital ao Sicoob</t>
  </si>
  <si>
    <t>Guia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</si>
  <si>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</si>
  <si>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</si>
  <si>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</si>
  <si>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</si>
  <si>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</si>
  <si>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</si>
  <si>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</si>
  <si>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</si>
  <si>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</si>
  <si>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</si>
  <si>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</si>
  <si>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3336 - Sicoob Credi Comigo</t>
  </si>
  <si>
    <t>ARTE PREMIAÇÃO</t>
  </si>
  <si>
    <t>Logo</t>
  </si>
  <si>
    <t>Alterações Folder Unicap 2021</t>
  </si>
  <si>
    <t>3058 - Sicoob Credigoiás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</si>
  <si>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</si>
  <si>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</si>
  <si>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</si>
  <si>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</si>
  <si>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</si>
  <si>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</si>
  <si>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Outdoor</t>
  </si>
  <si>
    <t>Placas de mesa PIX</t>
  </si>
  <si>
    <t>Placa</t>
  </si>
  <si>
    <t>Alterações Folder Unicap 2021 - Veículo</t>
  </si>
  <si>
    <t>SOLICITAÇÃO ARTE CAMPANHA ESQUENTA CARNAVAL - TAXAS INSS E SIAPE</t>
  </si>
  <si>
    <t>3350 - Sicoob Cooprem</t>
  </si>
  <si>
    <t>Cartão de reconhecimento</t>
  </si>
  <si>
    <t>Cartão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</si>
  <si>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</si>
  <si>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</si>
  <si>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</si>
  <si>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</si>
  <si>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Quadro</t>
  </si>
  <si>
    <t>Ranking Grupo Exclusivo Consorcio 1090 e 1171 - 23/02</t>
  </si>
  <si>
    <t>Arte e Regulamento para Campanha de Cadatro</t>
  </si>
  <si>
    <t>Spot crédito para a vida melhorar</t>
  </si>
  <si>
    <t>Spot</t>
  </si>
  <si>
    <t>EDIÇÃO DE VIDEO</t>
  </si>
  <si>
    <t>Atualização do e-mail marketing</t>
  </si>
  <si>
    <t>Ranking Grupo Exclusivo Consorcio 1090 e 1171 - 24/02</t>
  </si>
  <si>
    <t>ARTE PARA DIVULGAÇÃO DO CRÉDITO CONSIGNADO - CREDSEGURO</t>
  </si>
  <si>
    <t>Aguardando Aprovação</t>
  </si>
  <si>
    <t>3056 - Sicoob Mineiros</t>
  </si>
  <si>
    <t>Divulgação edital de convocação das eleições 2021 - SICOOB MINEIROS</t>
  </si>
  <si>
    <t>Novo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</si>
  <si>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</si>
  <si>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</si>
  <si>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</si>
  <si>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</si>
  <si>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</si>
  <si>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</si>
  <si>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Saulo</t>
  </si>
  <si>
    <t>PIX - BOOK CENTRAL</t>
  </si>
  <si>
    <t>Prospecção de novos associados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</si>
  <si>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</si>
  <si>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</si>
  <si>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</si>
  <si>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</si>
  <si>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</si>
  <si>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</si>
  <si>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</si>
  <si>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</si>
  <si>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</si>
  <si>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</si>
  <si>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</si>
  <si>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</si>
  <si>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</si>
  <si>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</si>
  <si>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</si>
  <si>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</si>
  <si>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</si>
  <si>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</si>
  <si>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5008 - Sicoob UNIAM</t>
  </si>
  <si>
    <t>Feirão de Negócios do Sicoob Uniam | Auto | Náutica | Aéreo | Off Road</t>
  </si>
  <si>
    <t>Temos tudo que um banco tem, só que de um jeito diferente</t>
  </si>
  <si>
    <t>Carta Premiação Acelera Previ</t>
  </si>
  <si>
    <t>Cancelado</t>
  </si>
  <si>
    <t>Convite Ciclo de Conversas - Coopcerto e Sicoobcard</t>
  </si>
  <si>
    <t>Campanha Agência Digital Uni Sudeste</t>
  </si>
  <si>
    <t>Campanhas/projetos_x000D_
e identidade visual</t>
  </si>
  <si>
    <t>Dia da Mulher - Produtos/Institucional</t>
  </si>
  <si>
    <t>PRODUÇÃO ARTE DE DIVULGAÇÃO - BONUS CNV SEGUROS GERAIS E VIDA (SEGUROS QUE LÁ VEM BONUS!)</t>
  </si>
  <si>
    <t>e-mail marketing</t>
  </si>
  <si>
    <t>Ciclo de Conversas - Consórcios</t>
  </si>
  <si>
    <t>Arte para Revista SINCOR - Juros pagos ao capital</t>
  </si>
  <si>
    <t>2015 - 5038 - PEÇAS NOVA POUPANÇA</t>
  </si>
  <si>
    <t>Peças - Pagamento Duplicado</t>
  </si>
  <si>
    <t>Solicitação Video - Ação Bancoob - Semana da Mulher</t>
  </si>
  <si>
    <t>Arte camiseta</t>
  </si>
  <si>
    <t>Camiseta</t>
  </si>
  <si>
    <t>Comunicação PARCEIRO + e seguro vida mulher</t>
  </si>
  <si>
    <t>Campanha Cota Premiada</t>
  </si>
  <si>
    <t>Papelaria</t>
  </si>
  <si>
    <t>Vídeo Passo a Passo - Conta Digital</t>
  </si>
  <si>
    <t>CARTELA P/ VÍDEO</t>
  </si>
  <si>
    <t>COMUNICADO PAGAMENTO DE BÔNUS CONSÓRCIO</t>
  </si>
  <si>
    <t>Solicitação de arte de Parceria</t>
  </si>
  <si>
    <t>ARTE FACHADA</t>
  </si>
  <si>
    <t>Lona</t>
  </si>
  <si>
    <t>PUBLICAÇÃO DE ARTE SIPAG</t>
  </si>
  <si>
    <t>Linha de Crédito especial para semana da mulher</t>
  </si>
  <si>
    <t>Anúncio da Revista da Associação Paulista de Medicina</t>
  </si>
  <si>
    <t>ATUALIZA QUE É VANTAGEM - SICOOB CREDSEGURO</t>
  </si>
  <si>
    <t>5028 - Sicoob Roraima</t>
  </si>
  <si>
    <t>5028_RORAIMA_DIVULGAÇÃO_TAXA PROMOCIONAL</t>
  </si>
  <si>
    <t>Derivação de Peças</t>
  </si>
  <si>
    <t>Organograma MKT - CENTRAL</t>
  </si>
  <si>
    <t>Lâmina PPT</t>
  </si>
  <si>
    <t>SEMANA 3 - TERÇA</t>
  </si>
  <si>
    <t>SEMANA 2 - SEXta</t>
  </si>
  <si>
    <t>SEMANA 3 - QUARTA</t>
  </si>
  <si>
    <t>SEMANA 4 - SEGUNDA</t>
  </si>
  <si>
    <t>SEMANA 4 - QUARTA</t>
  </si>
  <si>
    <t>Lâmina Consórcios Grupo Exclusivo - Comitê de Mkt</t>
  </si>
  <si>
    <t>Lâmina Seguro Dia da Mulher - Comitê de Mkt</t>
  </si>
  <si>
    <t>Arte Atualização Cadastral</t>
  </si>
  <si>
    <t>Material para divulgação</t>
  </si>
  <si>
    <t>Campanha Indicação de Associados</t>
  </si>
  <si>
    <t>Arte deposito de cheque</t>
  </si>
  <si>
    <t>Campanha de financiamento de veículo</t>
  </si>
  <si>
    <t>ARTE PARA ASSOCIAÇÃO DIGITAL - EMPRESAS PRIVADAS</t>
  </si>
  <si>
    <t>Crédito PJ</t>
  </si>
  <si>
    <t>Solicitação Backdrop da campanha Crédito para a vida melhorar</t>
  </si>
  <si>
    <t>Backdrop</t>
  </si>
  <si>
    <t>Solicitação Backdrop da campanha Cota Plus</t>
  </si>
  <si>
    <t>Vídeos de produtos - Tutoriais</t>
  </si>
  <si>
    <t>SOLICITAÇÃO DE ARTE - CAMPANHA PASCOA</t>
  </si>
  <si>
    <t>CONSÓRCIO PREMIAÇÃO SEMANAL</t>
  </si>
  <si>
    <t>VIDEOS</t>
  </si>
  <si>
    <t>Layout para Camisetas Central</t>
  </si>
  <si>
    <t>Campanha do Agasalho - doe agora</t>
  </si>
  <si>
    <t>Arte de parceira entre o Uni Sudeste e a OABRJ e CAARJ</t>
  </si>
  <si>
    <t>Corrida RDC</t>
  </si>
  <si>
    <t>Campanha Indique um Amigo</t>
  </si>
  <si>
    <t>Arte para devolução de cheques</t>
  </si>
  <si>
    <t>3054 - Sicoob Credi-Rural</t>
  </si>
  <si>
    <t>Anúncios - Revista Credi-Rural 4</t>
  </si>
  <si>
    <t>Post - consignado Rondonia estadual</t>
  </si>
  <si>
    <t>ARTE PARA DIVULGAÇÃO DE SOBRAS</t>
  </si>
  <si>
    <t>Post redes sociais</t>
  </si>
  <si>
    <t>Arte de protótipo da moto da Campanha Cota Premiada</t>
  </si>
  <si>
    <t>Peças Financiamento Imóvel</t>
  </si>
  <si>
    <t>Parceira com a OAB Juiz de Fora</t>
  </si>
  <si>
    <t>Vídeo utilização dos canais digitais</t>
  </si>
  <si>
    <t>"Tutoriais" sobre App Sicoob</t>
  </si>
  <si>
    <t>2015 - 5038 PEÇA</t>
  </si>
  <si>
    <t>Portfolio digital 5024 - Derivação</t>
  </si>
  <si>
    <t>Campanha Agro - Desmama de Bovinos</t>
  </si>
  <si>
    <t>DICOTÔMICA</t>
  </si>
  <si>
    <t>Retorno Dado à Central</t>
  </si>
  <si>
    <t>Sistêmico</t>
  </si>
  <si>
    <t>Adesivo</t>
  </si>
  <si>
    <t>1 - Muito Ruim</t>
  </si>
  <si>
    <t>Bárbara</t>
  </si>
  <si>
    <t>Brenda</t>
  </si>
  <si>
    <t>ATM</t>
  </si>
  <si>
    <t>Stand-By</t>
  </si>
  <si>
    <t>Eventos e Apoio</t>
  </si>
  <si>
    <t>Redação</t>
  </si>
  <si>
    <t>Gabi</t>
  </si>
  <si>
    <t>Eventos para Associados</t>
  </si>
  <si>
    <t>Balão</t>
  </si>
  <si>
    <t>Eventos para Colaboradores</t>
  </si>
  <si>
    <t>Júlia</t>
  </si>
  <si>
    <t>Acompanhamento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</si>
  <si>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</si>
  <si>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</si>
  <si>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</si>
  <si>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</si>
  <si>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</si>
  <si>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</si>
  <si>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</si>
  <si>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</si>
  <si>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Pedro</t>
  </si>
  <si>
    <t>3343 - Sicoob Empresarial</t>
  </si>
  <si>
    <t>Caneta</t>
  </si>
  <si>
    <t>Capa redes</t>
  </si>
  <si>
    <t>Cartão de visitas</t>
  </si>
  <si>
    <t>Cheque Simbólico</t>
  </si>
  <si>
    <t>Convite digital</t>
  </si>
  <si>
    <t>Convite Impresso</t>
  </si>
  <si>
    <t>Crachá</t>
  </si>
  <si>
    <t>4295 - Sicoob UniSP</t>
  </si>
  <si>
    <t>Credencial</t>
  </si>
  <si>
    <t>Display</t>
  </si>
  <si>
    <t>Envelope</t>
  </si>
  <si>
    <t>Espaço Instagramável</t>
  </si>
  <si>
    <t>Faixa</t>
  </si>
  <si>
    <t>Fotos</t>
  </si>
  <si>
    <t>Mala direta</t>
  </si>
  <si>
    <t>Marca</t>
  </si>
  <si>
    <t>Móbile</t>
  </si>
  <si>
    <t>Mochila</t>
  </si>
  <si>
    <t>Moleskine</t>
  </si>
  <si>
    <t>Newsletter</t>
  </si>
  <si>
    <t>Painel de Led</t>
  </si>
  <si>
    <t>Panfleto</t>
  </si>
  <si>
    <t>Papel Timbrado</t>
  </si>
  <si>
    <t>Pasta</t>
  </si>
  <si>
    <t>Porta contas</t>
  </si>
  <si>
    <t>Portifólio</t>
  </si>
  <si>
    <t>Power Point</t>
  </si>
  <si>
    <t>Revista</t>
  </si>
  <si>
    <t>Roteiro</t>
  </si>
  <si>
    <t>Rótulo</t>
  </si>
  <si>
    <t>Sacola</t>
  </si>
  <si>
    <t>Story Vídeo</t>
  </si>
  <si>
    <t>Tag</t>
  </si>
  <si>
    <t>Testeira</t>
  </si>
  <si>
    <t>Totem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</si>
  <si>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</si>
  <si>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</si>
  <si>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</si>
  <si>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</si>
  <si>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</si>
  <si>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</si>
  <si>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</si>
  <si>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</si>
  <si>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</si>
  <si>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</si>
  <si>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</si>
  <si>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</si>
  <si>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</si>
  <si>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</si>
  <si>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</si>
  <si>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</si>
  <si>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</si>
  <si>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</si>
  <si>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</si>
  <si>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</si>
  <si>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</si>
  <si>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</si>
  <si>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</si>
  <si>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</si>
  <si>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</si>
  <si>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</si>
  <si>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</si>
  <si>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</si>
  <si>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</si>
  <si>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SIM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</si>
  <si>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</si>
  <si>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</si>
  <si>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</si>
  <si>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</si>
  <si>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</si>
  <si>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</si>
  <si>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</si>
  <si>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</si>
  <si>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</si>
  <si>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</si>
  <si>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</si>
  <si>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</si>
  <si>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</si>
  <si>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</si>
  <si>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</si>
  <si>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</si>
  <si>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</si>
  <si>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</si>
  <si>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</si>
  <si>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</si>
  <si>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</si>
  <si>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</si>
  <si>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</si>
  <si>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</si>
  <si>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</si>
  <si>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</si>
  <si>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</si>
  <si>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</si>
  <si>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</si>
  <si>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</si>
  <si>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</si>
  <si>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</si>
  <si>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</si>
  <si>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</si>
  <si>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</si>
  <si>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</si>
  <si>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</si>
  <si>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</si>
  <si>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</si>
  <si>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</si>
  <si>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</si>
  <si>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</si>
  <si>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</si>
  <si>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</si>
  <si>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</si>
  <si>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</si>
  <si>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</si>
  <si>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assinatura e-mail</t>
  </si>
  <si>
    <t>SEMANA 4 - SEXTA</t>
  </si>
  <si>
    <t>SEMANA 5 - SEGUNDA</t>
  </si>
  <si>
    <t>SEMANA 5 - quarta</t>
  </si>
  <si>
    <t>DERIVAÇÕES</t>
  </si>
  <si>
    <t>credito</t>
  </si>
  <si>
    <t>investimento</t>
  </si>
  <si>
    <t>Solicitação de campanha de parceira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</si>
</sst>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wrapText="1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6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</cellXfs>
  <cellStyles count="7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243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dro.silva\Desktop\MKT%20LOCAL\08.AN&#193;LISE%20PANKD&#195;O\01.PRODUTOS\PRODUTOS%20-%20RESULTADOS%20ALFA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2021"/>
      <sheetName val="FAROL"/>
      <sheetName val="ANÁLISE"/>
      <sheetName val="ROA"/>
      <sheetName val="ENTREGAS PASSIVAS"/>
    </sheetNames>
    <sheetDataSet>
      <sheetData sheetId="0">
        <row r="1">
          <cell r="I1" t="str">
            <v>Data de Conclusão</v>
          </cell>
          <cell r="K1" t="str">
            <v>Status</v>
          </cell>
          <cell r="O1" t="str">
            <v>Gôndola</v>
          </cell>
        </row>
        <row r="2">
          <cell r="I2">
            <v>44218</v>
          </cell>
          <cell r="K2" t="str">
            <v>Ok</v>
          </cell>
          <cell r="O2" t="str">
            <v>Sim</v>
          </cell>
        </row>
        <row r="3">
          <cell r="I3">
            <v>44218</v>
          </cell>
          <cell r="K3" t="str">
            <v>Ok</v>
          </cell>
          <cell r="O3" t="str">
            <v>Não</v>
          </cell>
        </row>
        <row r="4">
          <cell r="I4">
            <v>44218</v>
          </cell>
          <cell r="K4" t="str">
            <v>Ok</v>
          </cell>
          <cell r="O4" t="str">
            <v>Não</v>
          </cell>
        </row>
        <row r="5">
          <cell r="I5">
            <v>44218</v>
          </cell>
          <cell r="K5" t="str">
            <v>Ok</v>
          </cell>
          <cell r="O5" t="str">
            <v>Não</v>
          </cell>
        </row>
        <row r="6">
          <cell r="I6">
            <v>44215</v>
          </cell>
          <cell r="K6" t="str">
            <v>Ok</v>
          </cell>
          <cell r="O6" t="str">
            <v>Sim</v>
          </cell>
        </row>
        <row r="7">
          <cell r="I7">
            <v>44216</v>
          </cell>
          <cell r="K7" t="str">
            <v>Ok</v>
          </cell>
          <cell r="O7" t="str">
            <v>Não</v>
          </cell>
        </row>
        <row r="8">
          <cell r="I8">
            <v>44216</v>
          </cell>
          <cell r="K8" t="str">
            <v>Ok</v>
          </cell>
          <cell r="O8" t="str">
            <v>Não</v>
          </cell>
        </row>
        <row r="9">
          <cell r="I9">
            <v>44215</v>
          </cell>
          <cell r="K9" t="str">
            <v>Ok</v>
          </cell>
          <cell r="O9" t="str">
            <v>Sim</v>
          </cell>
        </row>
        <row r="10">
          <cell r="I10">
            <v>44215</v>
          </cell>
          <cell r="K10" t="str">
            <v>Ok</v>
          </cell>
          <cell r="O10" t="str">
            <v>Sim</v>
          </cell>
        </row>
        <row r="11">
          <cell r="I11">
            <v>44215</v>
          </cell>
          <cell r="K11" t="str">
            <v>Ok</v>
          </cell>
          <cell r="O11" t="str">
            <v>Sim</v>
          </cell>
        </row>
        <row r="12">
          <cell r="I12">
            <v>44215</v>
          </cell>
          <cell r="K12" t="str">
            <v>Ok</v>
          </cell>
          <cell r="O12" t="str">
            <v>Sim</v>
          </cell>
        </row>
        <row r="13">
          <cell r="I13">
            <v>44215</v>
          </cell>
          <cell r="K13" t="str">
            <v>Ok</v>
          </cell>
          <cell r="O13" t="str">
            <v>Sim</v>
          </cell>
        </row>
        <row r="14">
          <cell r="I14">
            <v>44215</v>
          </cell>
          <cell r="K14" t="str">
            <v>Ok</v>
          </cell>
          <cell r="O14" t="str">
            <v>Sim</v>
          </cell>
        </row>
        <row r="15">
          <cell r="I15">
            <v>44222</v>
          </cell>
          <cell r="K15" t="str">
            <v>Ok</v>
          </cell>
          <cell r="O15" t="str">
            <v>Sim</v>
          </cell>
        </row>
        <row r="16">
          <cell r="I16">
            <v>44222</v>
          </cell>
          <cell r="K16" t="str">
            <v>Ok</v>
          </cell>
          <cell r="O16" t="str">
            <v>Sim</v>
          </cell>
        </row>
        <row r="17">
          <cell r="I17">
            <v>44222</v>
          </cell>
          <cell r="K17" t="str">
            <v>Ok</v>
          </cell>
          <cell r="O17" t="str">
            <v>Sim</v>
          </cell>
        </row>
        <row r="18">
          <cell r="I18">
            <v>44222</v>
          </cell>
          <cell r="K18" t="str">
            <v>Ok</v>
          </cell>
          <cell r="O18" t="str">
            <v>Sim</v>
          </cell>
        </row>
        <row r="19">
          <cell r="I19">
            <v>44203</v>
          </cell>
          <cell r="K19" t="str">
            <v>Ok</v>
          </cell>
          <cell r="O19" t="str">
            <v>Sim</v>
          </cell>
        </row>
        <row r="20">
          <cell r="I20">
            <v>44046</v>
          </cell>
          <cell r="K20" t="str">
            <v>Ok</v>
          </cell>
          <cell r="O20" t="str">
            <v>Sim</v>
          </cell>
        </row>
        <row r="21">
          <cell r="I21">
            <v>44112</v>
          </cell>
          <cell r="K21" t="str">
            <v>Ok</v>
          </cell>
          <cell r="O21" t="str">
            <v>Não</v>
          </cell>
        </row>
        <row r="22">
          <cell r="I22">
            <v>44112</v>
          </cell>
          <cell r="K22" t="str">
            <v>Ok</v>
          </cell>
          <cell r="O22" t="str">
            <v>Não</v>
          </cell>
        </row>
        <row r="23">
          <cell r="I23">
            <v>44112</v>
          </cell>
          <cell r="K23" t="str">
            <v>Ok</v>
          </cell>
          <cell r="O23" t="str">
            <v>Não</v>
          </cell>
        </row>
        <row r="24">
          <cell r="I24">
            <v>44221</v>
          </cell>
          <cell r="K24" t="str">
            <v>Ok</v>
          </cell>
          <cell r="O24" t="str">
            <v>Não</v>
          </cell>
        </row>
        <row r="25">
          <cell r="I25">
            <v>44216</v>
          </cell>
          <cell r="K25" t="str">
            <v>Ok</v>
          </cell>
          <cell r="O25" t="str">
            <v>Sim</v>
          </cell>
        </row>
        <row r="26">
          <cell r="I26">
            <v>44216</v>
          </cell>
          <cell r="K26" t="str">
            <v>Ok</v>
          </cell>
          <cell r="O26" t="str">
            <v>Sim</v>
          </cell>
        </row>
        <row r="27">
          <cell r="I27">
            <v>44218</v>
          </cell>
          <cell r="K27" t="str">
            <v>Ok</v>
          </cell>
          <cell r="O27" t="str">
            <v>Sim</v>
          </cell>
        </row>
        <row r="28">
          <cell r="I28">
            <v>44218</v>
          </cell>
          <cell r="K28" t="str">
            <v>Ok</v>
          </cell>
          <cell r="O28" t="str">
            <v>Sim</v>
          </cell>
        </row>
        <row r="29">
          <cell r="I29">
            <v>44218</v>
          </cell>
          <cell r="K29" t="str">
            <v>Ok</v>
          </cell>
          <cell r="O29" t="str">
            <v>Sim</v>
          </cell>
        </row>
        <row r="30">
          <cell r="I30">
            <v>44211</v>
          </cell>
          <cell r="K30" t="str">
            <v>Ok</v>
          </cell>
          <cell r="O30" t="str">
            <v>Sim</v>
          </cell>
        </row>
        <row r="31">
          <cell r="I31">
            <v>44221</v>
          </cell>
          <cell r="K31" t="str">
            <v>Ok</v>
          </cell>
          <cell r="O31" t="str">
            <v>Sim</v>
          </cell>
        </row>
        <row r="32">
          <cell r="K32" t="str">
            <v>Ok</v>
          </cell>
          <cell r="O32" t="str">
            <v>Sim</v>
          </cell>
        </row>
        <row r="33">
          <cell r="I33">
            <v>44211</v>
          </cell>
          <cell r="K33" t="str">
            <v>Ok</v>
          </cell>
          <cell r="O33" t="str">
            <v>Sim</v>
          </cell>
        </row>
        <row r="34">
          <cell r="I34">
            <v>44211</v>
          </cell>
          <cell r="K34" t="str">
            <v>Ok</v>
          </cell>
          <cell r="O34" t="str">
            <v>Sim</v>
          </cell>
        </row>
        <row r="35">
          <cell r="I35">
            <v>44211</v>
          </cell>
          <cell r="K35" t="str">
            <v>Ok</v>
          </cell>
          <cell r="O35" t="str">
            <v>Sim</v>
          </cell>
        </row>
        <row r="36">
          <cell r="I36">
            <v>44211</v>
          </cell>
          <cell r="K36" t="str">
            <v>Ok</v>
          </cell>
          <cell r="O36" t="str">
            <v>Sim</v>
          </cell>
        </row>
        <row r="37">
          <cell r="I37">
            <v>44211</v>
          </cell>
          <cell r="K37" t="str">
            <v>Ok</v>
          </cell>
          <cell r="O37" t="str">
            <v>Sim</v>
          </cell>
        </row>
        <row r="38">
          <cell r="I38">
            <v>44224</v>
          </cell>
          <cell r="K38" t="str">
            <v>Ok</v>
          </cell>
          <cell r="O38" t="str">
            <v>Sim</v>
          </cell>
        </row>
        <row r="39">
          <cell r="I39">
            <v>44221</v>
          </cell>
          <cell r="K39" t="str">
            <v>Ok</v>
          </cell>
          <cell r="O39" t="str">
            <v>Sim</v>
          </cell>
        </row>
        <row r="40">
          <cell r="I40">
            <v>44221</v>
          </cell>
          <cell r="K40" t="str">
            <v>Ok</v>
          </cell>
          <cell r="O40" t="str">
            <v>Sim</v>
          </cell>
        </row>
        <row r="41">
          <cell r="I41">
            <v>44221</v>
          </cell>
          <cell r="K41" t="str">
            <v>Ok</v>
          </cell>
          <cell r="O41" t="str">
            <v>Sim</v>
          </cell>
        </row>
        <row r="42">
          <cell r="I42">
            <v>44211</v>
          </cell>
          <cell r="K42" t="str">
            <v>Ok</v>
          </cell>
        </row>
        <row r="43">
          <cell r="I43">
            <v>44211</v>
          </cell>
          <cell r="K43" t="str">
            <v>Ok</v>
          </cell>
        </row>
        <row r="44">
          <cell r="I44">
            <v>44211</v>
          </cell>
          <cell r="K44" t="str">
            <v>Ok</v>
          </cell>
        </row>
        <row r="45">
          <cell r="I45">
            <v>44211</v>
          </cell>
          <cell r="K45" t="str">
            <v>Ok</v>
          </cell>
        </row>
        <row r="46">
          <cell r="I46">
            <v>44211</v>
          </cell>
          <cell r="K46" t="str">
            <v>Ok</v>
          </cell>
        </row>
        <row r="47">
          <cell r="I47">
            <v>44211</v>
          </cell>
          <cell r="K47" t="str">
            <v>Ok</v>
          </cell>
        </row>
        <row r="48">
          <cell r="I48">
            <v>44224</v>
          </cell>
          <cell r="K48" t="str">
            <v>Ok</v>
          </cell>
          <cell r="O48" t="str">
            <v>Sim</v>
          </cell>
        </row>
        <row r="49">
          <cell r="I49">
            <v>44224</v>
          </cell>
          <cell r="K49" t="str">
            <v>Ok</v>
          </cell>
          <cell r="O49" t="str">
            <v>Sim</v>
          </cell>
        </row>
        <row r="50">
          <cell r="I50">
            <v>44224</v>
          </cell>
          <cell r="K50" t="str">
            <v>Ok</v>
          </cell>
          <cell r="O50" t="str">
            <v>Sim</v>
          </cell>
        </row>
        <row r="51">
          <cell r="I51">
            <v>44224</v>
          </cell>
          <cell r="K51" t="str">
            <v>Ok</v>
          </cell>
          <cell r="O51" t="str">
            <v>Sim</v>
          </cell>
        </row>
        <row r="52">
          <cell r="I52">
            <v>44211</v>
          </cell>
          <cell r="K52" t="str">
            <v>Ok</v>
          </cell>
          <cell r="O52" t="str">
            <v>Não</v>
          </cell>
        </row>
        <row r="53">
          <cell r="I53">
            <v>44211</v>
          </cell>
          <cell r="K53" t="str">
            <v>Ok</v>
          </cell>
          <cell r="O53" t="str">
            <v>Sim</v>
          </cell>
        </row>
        <row r="54">
          <cell r="I54">
            <v>44211</v>
          </cell>
          <cell r="K54" t="str">
            <v>Ok</v>
          </cell>
          <cell r="O54" t="str">
            <v>Não</v>
          </cell>
        </row>
        <row r="55">
          <cell r="I55">
            <v>44211</v>
          </cell>
          <cell r="K55" t="str">
            <v>Ok</v>
          </cell>
          <cell r="O55" t="str">
            <v>Não</v>
          </cell>
        </row>
        <row r="56">
          <cell r="I56">
            <v>44211</v>
          </cell>
          <cell r="K56" t="str">
            <v>Ok</v>
          </cell>
          <cell r="O56" t="str">
            <v>Sim</v>
          </cell>
        </row>
        <row r="57">
          <cell r="I57">
            <v>44211</v>
          </cell>
          <cell r="K57" t="str">
            <v>Ok</v>
          </cell>
          <cell r="O57" t="str">
            <v>Não</v>
          </cell>
        </row>
        <row r="58">
          <cell r="I58">
            <v>44211</v>
          </cell>
          <cell r="K58" t="str">
            <v>Ok</v>
          </cell>
          <cell r="O58" t="str">
            <v>Não</v>
          </cell>
        </row>
        <row r="59">
          <cell r="I59">
            <v>44211</v>
          </cell>
          <cell r="K59" t="str">
            <v>Ok</v>
          </cell>
          <cell r="O59" t="str">
            <v>Não</v>
          </cell>
        </row>
        <row r="60">
          <cell r="I60">
            <v>44211</v>
          </cell>
          <cell r="K60" t="str">
            <v>Ok</v>
          </cell>
          <cell r="O60" t="str">
            <v>Não</v>
          </cell>
        </row>
        <row r="61">
          <cell r="I61">
            <v>44211</v>
          </cell>
          <cell r="K61" t="str">
            <v>Ok</v>
          </cell>
          <cell r="O61" t="str">
            <v>Sim</v>
          </cell>
        </row>
        <row r="62">
          <cell r="I62">
            <v>44211</v>
          </cell>
          <cell r="K62" t="str">
            <v>Ok</v>
          </cell>
          <cell r="O62" t="str">
            <v>Sim</v>
          </cell>
        </row>
        <row r="63">
          <cell r="I63">
            <v>44211</v>
          </cell>
          <cell r="K63" t="str">
            <v>Ok</v>
          </cell>
          <cell r="O63" t="str">
            <v>Sim</v>
          </cell>
        </row>
        <row r="64">
          <cell r="I64">
            <v>44211</v>
          </cell>
          <cell r="K64" t="str">
            <v>Ok</v>
          </cell>
          <cell r="O64" t="str">
            <v>Não</v>
          </cell>
        </row>
        <row r="65">
          <cell r="I65">
            <v>44211</v>
          </cell>
          <cell r="K65" t="str">
            <v>Ok</v>
          </cell>
          <cell r="O65" t="str">
            <v>Não</v>
          </cell>
        </row>
        <row r="66">
          <cell r="I66">
            <v>44211</v>
          </cell>
          <cell r="K66" t="str">
            <v>Ok</v>
          </cell>
          <cell r="O66" t="str">
            <v>Sim</v>
          </cell>
        </row>
        <row r="67">
          <cell r="I67">
            <v>44211</v>
          </cell>
          <cell r="K67" t="str">
            <v>Ok</v>
          </cell>
          <cell r="O67" t="str">
            <v>Sim</v>
          </cell>
        </row>
        <row r="68">
          <cell r="I68">
            <v>44211</v>
          </cell>
          <cell r="K68" t="str">
            <v>Ok</v>
          </cell>
          <cell r="O68" t="str">
            <v>Sim</v>
          </cell>
        </row>
        <row r="69">
          <cell r="I69">
            <v>44211</v>
          </cell>
          <cell r="K69" t="str">
            <v>Ok</v>
          </cell>
          <cell r="O69" t="str">
            <v>Não</v>
          </cell>
        </row>
        <row r="70">
          <cell r="I70">
            <v>44224</v>
          </cell>
          <cell r="K70" t="str">
            <v>Ok</v>
          </cell>
          <cell r="O70" t="str">
            <v>Não</v>
          </cell>
        </row>
        <row r="71">
          <cell r="I71">
            <v>44222</v>
          </cell>
          <cell r="K71" t="str">
            <v>Ok</v>
          </cell>
          <cell r="O71" t="str">
            <v>Sim</v>
          </cell>
        </row>
        <row r="72">
          <cell r="I72">
            <v>44194</v>
          </cell>
          <cell r="K72" t="str">
            <v>Ok</v>
          </cell>
          <cell r="O72" t="str">
            <v>Não</v>
          </cell>
        </row>
        <row r="73">
          <cell r="I73">
            <v>44183</v>
          </cell>
          <cell r="K73" t="str">
            <v>Ok</v>
          </cell>
          <cell r="O73" t="str">
            <v>Sim</v>
          </cell>
        </row>
        <row r="74">
          <cell r="I74">
            <v>44174</v>
          </cell>
          <cell r="K74" t="str">
            <v>Ok</v>
          </cell>
          <cell r="O74" t="str">
            <v>Não</v>
          </cell>
        </row>
        <row r="75">
          <cell r="I75">
            <v>44174</v>
          </cell>
          <cell r="K75" t="str">
            <v>Ok</v>
          </cell>
          <cell r="O75" t="str">
            <v>Não</v>
          </cell>
        </row>
        <row r="76">
          <cell r="I76">
            <v>44134</v>
          </cell>
          <cell r="K76" t="str">
            <v>Ok</v>
          </cell>
          <cell r="O76" t="str">
            <v>Não</v>
          </cell>
        </row>
        <row r="77">
          <cell r="I77">
            <v>44159</v>
          </cell>
          <cell r="K77" t="str">
            <v>Ok</v>
          </cell>
          <cell r="O77" t="str">
            <v>Sim</v>
          </cell>
        </row>
        <row r="78">
          <cell r="I78">
            <v>44221</v>
          </cell>
          <cell r="K78" t="str">
            <v>Ok</v>
          </cell>
          <cell r="O78" t="str">
            <v>Sim</v>
          </cell>
        </row>
        <row r="79">
          <cell r="I79">
            <v>44221</v>
          </cell>
          <cell r="K79" t="str">
            <v>Ok</v>
          </cell>
          <cell r="O79" t="str">
            <v>Sim</v>
          </cell>
        </row>
        <row r="80">
          <cell r="I80">
            <v>44221</v>
          </cell>
          <cell r="K80" t="str">
            <v>Ok</v>
          </cell>
        </row>
        <row r="81">
          <cell r="I81">
            <v>44236</v>
          </cell>
          <cell r="K81" t="str">
            <v>Ok</v>
          </cell>
          <cell r="O81" t="str">
            <v>Não</v>
          </cell>
        </row>
        <row r="82">
          <cell r="I82">
            <v>44236</v>
          </cell>
          <cell r="K82" t="str">
            <v>Ok</v>
          </cell>
          <cell r="O82" t="str">
            <v>Não</v>
          </cell>
        </row>
        <row r="83">
          <cell r="I83">
            <v>44236</v>
          </cell>
          <cell r="K83" t="str">
            <v>Ok</v>
          </cell>
          <cell r="O83" t="str">
            <v>Não</v>
          </cell>
        </row>
        <row r="84">
          <cell r="I84">
            <v>44229</v>
          </cell>
          <cell r="K84" t="str">
            <v>Ok</v>
          </cell>
          <cell r="O84" t="str">
            <v>Não</v>
          </cell>
        </row>
        <row r="85">
          <cell r="I85">
            <v>44229</v>
          </cell>
          <cell r="K85" t="str">
            <v>Ok</v>
          </cell>
          <cell r="O85" t="str">
            <v>Não</v>
          </cell>
        </row>
        <row r="86">
          <cell r="I86">
            <v>44229</v>
          </cell>
          <cell r="K86" t="str">
            <v>Ok</v>
          </cell>
          <cell r="O86" t="str">
            <v>Não</v>
          </cell>
        </row>
        <row r="87">
          <cell r="I87">
            <v>44229</v>
          </cell>
          <cell r="K87" t="str">
            <v>Ok</v>
          </cell>
          <cell r="O87" t="str">
            <v>Não</v>
          </cell>
        </row>
        <row r="88">
          <cell r="I88">
            <v>44229</v>
          </cell>
          <cell r="K88" t="str">
            <v>Ok</v>
          </cell>
          <cell r="O88" t="str">
            <v>Não</v>
          </cell>
        </row>
        <row r="89">
          <cell r="I89">
            <v>44229</v>
          </cell>
          <cell r="K89" t="str">
            <v>Ok</v>
          </cell>
          <cell r="O89" t="str">
            <v>Não</v>
          </cell>
        </row>
        <row r="90">
          <cell r="I90">
            <v>44229</v>
          </cell>
          <cell r="K90" t="str">
            <v>Ok</v>
          </cell>
          <cell r="O90" t="str">
            <v>Sim</v>
          </cell>
        </row>
        <row r="91">
          <cell r="I91">
            <v>44229</v>
          </cell>
          <cell r="K91" t="str">
            <v>Ok</v>
          </cell>
          <cell r="O91" t="str">
            <v>Sim</v>
          </cell>
        </row>
        <row r="92">
          <cell r="I92">
            <v>44225</v>
          </cell>
          <cell r="K92" t="str">
            <v>Ok</v>
          </cell>
          <cell r="O92" t="str">
            <v>Sim</v>
          </cell>
        </row>
        <row r="93">
          <cell r="I93">
            <v>44225</v>
          </cell>
          <cell r="K93" t="str">
            <v>Ok</v>
          </cell>
          <cell r="O93" t="str">
            <v>Não</v>
          </cell>
        </row>
        <row r="94">
          <cell r="I94">
            <v>44225</v>
          </cell>
          <cell r="K94" t="str">
            <v>Ok</v>
          </cell>
          <cell r="O94" t="str">
            <v>Não</v>
          </cell>
        </row>
        <row r="95">
          <cell r="I95">
            <v>44225</v>
          </cell>
          <cell r="K95" t="str">
            <v>Ok</v>
          </cell>
          <cell r="O95" t="str">
            <v>Não</v>
          </cell>
        </row>
        <row r="96">
          <cell r="I96">
            <v>44225</v>
          </cell>
          <cell r="K96" t="str">
            <v>Ok</v>
          </cell>
          <cell r="O96" t="str">
            <v>Não</v>
          </cell>
        </row>
        <row r="97">
          <cell r="I97">
            <v>44229</v>
          </cell>
          <cell r="K97" t="str">
            <v>Ok</v>
          </cell>
          <cell r="O97" t="str">
            <v>Sim</v>
          </cell>
        </row>
        <row r="98">
          <cell r="I98">
            <v>44229</v>
          </cell>
          <cell r="K98" t="str">
            <v>Ok</v>
          </cell>
          <cell r="O98" t="str">
            <v>Sim</v>
          </cell>
        </row>
        <row r="99">
          <cell r="I99">
            <v>44229</v>
          </cell>
          <cell r="K99" t="str">
            <v>Ok</v>
          </cell>
          <cell r="O99" t="str">
            <v>Sim</v>
          </cell>
        </row>
        <row r="100">
          <cell r="I100">
            <v>44229</v>
          </cell>
          <cell r="K100" t="str">
            <v>Ok</v>
          </cell>
          <cell r="O100" t="str">
            <v>Sim</v>
          </cell>
        </row>
        <row r="101">
          <cell r="I101">
            <v>44229</v>
          </cell>
          <cell r="K101" t="str">
            <v>Ok</v>
          </cell>
          <cell r="O101" t="str">
            <v>Sim</v>
          </cell>
        </row>
        <row r="102">
          <cell r="I102">
            <v>44229</v>
          </cell>
          <cell r="K102" t="str">
            <v>Ok</v>
          </cell>
          <cell r="O102" t="str">
            <v>Sim</v>
          </cell>
        </row>
        <row r="103">
          <cell r="I103">
            <v>44229</v>
          </cell>
          <cell r="K103" t="str">
            <v>Ok</v>
          </cell>
          <cell r="O103" t="str">
            <v>Sim</v>
          </cell>
        </row>
        <row r="104">
          <cell r="I104">
            <v>44229</v>
          </cell>
          <cell r="K104" t="str">
            <v>Ok</v>
          </cell>
          <cell r="O104" t="str">
            <v>Sim</v>
          </cell>
        </row>
        <row r="105">
          <cell r="I105">
            <v>44230</v>
          </cell>
          <cell r="K105" t="str">
            <v>Ok</v>
          </cell>
        </row>
        <row r="106">
          <cell r="I106">
            <v>44232</v>
          </cell>
          <cell r="K106" t="str">
            <v>Ok</v>
          </cell>
          <cell r="O106" t="str">
            <v>Sim</v>
          </cell>
        </row>
        <row r="107">
          <cell r="I107">
            <v>44230</v>
          </cell>
          <cell r="K107" t="str">
            <v>Ok</v>
          </cell>
          <cell r="O107" t="str">
            <v>Sim</v>
          </cell>
        </row>
        <row r="108">
          <cell r="I108">
            <v>44230</v>
          </cell>
          <cell r="K108" t="str">
            <v>Ok</v>
          </cell>
          <cell r="O108" t="str">
            <v>Sim</v>
          </cell>
        </row>
        <row r="109">
          <cell r="I109">
            <v>44230</v>
          </cell>
          <cell r="K109" t="str">
            <v>Ok</v>
          </cell>
          <cell r="O109" t="str">
            <v>Sim</v>
          </cell>
        </row>
        <row r="110">
          <cell r="I110">
            <v>44230</v>
          </cell>
          <cell r="K110" t="str">
            <v>Ok</v>
          </cell>
          <cell r="O110" t="str">
            <v>Sim</v>
          </cell>
        </row>
        <row r="111">
          <cell r="I111">
            <v>44230</v>
          </cell>
          <cell r="K111" t="str">
            <v>Ok</v>
          </cell>
          <cell r="O111" t="str">
            <v>Sim</v>
          </cell>
        </row>
        <row r="112">
          <cell r="I112">
            <v>44230</v>
          </cell>
          <cell r="K112" t="str">
            <v>Ok</v>
          </cell>
          <cell r="O112" t="str">
            <v>Sim</v>
          </cell>
        </row>
        <row r="113">
          <cell r="K113" t="str">
            <v>Ok</v>
          </cell>
          <cell r="O113" t="str">
            <v>Sim</v>
          </cell>
        </row>
        <row r="114">
          <cell r="K114" t="str">
            <v>Ok</v>
          </cell>
          <cell r="O114" t="str">
            <v>Sim</v>
          </cell>
        </row>
        <row r="115">
          <cell r="K115" t="str">
            <v>Ok</v>
          </cell>
          <cell r="O115" t="str">
            <v>Sim</v>
          </cell>
        </row>
        <row r="116">
          <cell r="K116" t="str">
            <v>Ok</v>
          </cell>
          <cell r="O116" t="str">
            <v>Sim</v>
          </cell>
        </row>
        <row r="117">
          <cell r="K117" t="str">
            <v>Ok</v>
          </cell>
          <cell r="O117" t="str">
            <v>Não</v>
          </cell>
        </row>
        <row r="118">
          <cell r="K118" t="str">
            <v>Ok</v>
          </cell>
          <cell r="O118" t="str">
            <v>Não</v>
          </cell>
        </row>
        <row r="119">
          <cell r="K119" t="str">
            <v>Ok</v>
          </cell>
          <cell r="O119" t="str">
            <v>Não</v>
          </cell>
        </row>
        <row r="120">
          <cell r="I120">
            <v>44236</v>
          </cell>
          <cell r="K120" t="str">
            <v>Ok</v>
          </cell>
          <cell r="O120" t="str">
            <v>Sim</v>
          </cell>
        </row>
        <row r="121">
          <cell r="K121" t="str">
            <v>Ok</v>
          </cell>
          <cell r="O121" t="str">
            <v>Sim</v>
          </cell>
        </row>
        <row r="122">
          <cell r="I122">
            <v>44235</v>
          </cell>
          <cell r="K122" t="str">
            <v>Ok</v>
          </cell>
          <cell r="O122" t="str">
            <v>Sim</v>
          </cell>
        </row>
        <row r="123">
          <cell r="I123">
            <v>44236</v>
          </cell>
          <cell r="K123" t="str">
            <v>Ok</v>
          </cell>
          <cell r="O123" t="str">
            <v>Sim</v>
          </cell>
        </row>
        <row r="124">
          <cell r="I124">
            <v>44236</v>
          </cell>
          <cell r="K124" t="str">
            <v>Ok</v>
          </cell>
          <cell r="O124" t="str">
            <v>Sim</v>
          </cell>
        </row>
        <row r="125">
          <cell r="I125">
            <v>44248</v>
          </cell>
          <cell r="K125" t="str">
            <v>Ok</v>
          </cell>
          <cell r="O125" t="str">
            <v>Não</v>
          </cell>
        </row>
        <row r="126">
          <cell r="I126">
            <v>44248</v>
          </cell>
          <cell r="K126" t="str">
            <v>Ok</v>
          </cell>
          <cell r="O126" t="str">
            <v>Não</v>
          </cell>
        </row>
        <row r="127">
          <cell r="I127">
            <v>44238</v>
          </cell>
          <cell r="K127" t="str">
            <v>Ok</v>
          </cell>
          <cell r="O127" t="str">
            <v>Sim</v>
          </cell>
        </row>
        <row r="128">
          <cell r="I128">
            <v>44238</v>
          </cell>
          <cell r="K128" t="str">
            <v>Ok</v>
          </cell>
          <cell r="O128" t="str">
            <v>Sim</v>
          </cell>
        </row>
        <row r="129">
          <cell r="I129">
            <v>44238</v>
          </cell>
          <cell r="K129" t="str">
            <v>Ok</v>
          </cell>
          <cell r="O129" t="str">
            <v>Sim</v>
          </cell>
        </row>
        <row r="130">
          <cell r="I130">
            <v>44238</v>
          </cell>
          <cell r="K130" t="str">
            <v>Ok</v>
          </cell>
          <cell r="O130" t="str">
            <v>Sim</v>
          </cell>
        </row>
        <row r="131">
          <cell r="I131">
            <v>44238</v>
          </cell>
          <cell r="K131" t="str">
            <v>Ok</v>
          </cell>
          <cell r="O131" t="str">
            <v>Sim</v>
          </cell>
        </row>
        <row r="132">
          <cell r="I132">
            <v>44236</v>
          </cell>
          <cell r="K132" t="str">
            <v>Ok</v>
          </cell>
          <cell r="O132" t="str">
            <v>Não</v>
          </cell>
        </row>
        <row r="133">
          <cell r="I133">
            <v>44236</v>
          </cell>
          <cell r="K133" t="str">
            <v>Ok</v>
          </cell>
          <cell r="O133" t="str">
            <v>Não</v>
          </cell>
        </row>
        <row r="134">
          <cell r="I134">
            <v>44236</v>
          </cell>
          <cell r="K134" t="str">
            <v>Ok</v>
          </cell>
          <cell r="O134" t="str">
            <v>Não</v>
          </cell>
        </row>
        <row r="135">
          <cell r="I135">
            <v>44236</v>
          </cell>
          <cell r="K135" t="str">
            <v>Ok</v>
          </cell>
          <cell r="O135" t="str">
            <v>Não</v>
          </cell>
        </row>
        <row r="136">
          <cell r="I136">
            <v>44238</v>
          </cell>
          <cell r="K136" t="str">
            <v>Ok</v>
          </cell>
          <cell r="O136" t="str">
            <v>Sim</v>
          </cell>
        </row>
        <row r="137">
          <cell r="I137">
            <v>44239</v>
          </cell>
          <cell r="K137" t="str">
            <v>Ok</v>
          </cell>
          <cell r="O137" t="str">
            <v>Sim</v>
          </cell>
        </row>
        <row r="138">
          <cell r="I138">
            <v>44239</v>
          </cell>
          <cell r="K138" t="str">
            <v>Ok</v>
          </cell>
          <cell r="O138" t="str">
            <v>Sim</v>
          </cell>
        </row>
        <row r="139">
          <cell r="I139">
            <v>44238</v>
          </cell>
          <cell r="K139" t="str">
            <v>Ok</v>
          </cell>
          <cell r="O139" t="str">
            <v>Sim</v>
          </cell>
        </row>
        <row r="140">
          <cell r="I140">
            <v>44249</v>
          </cell>
          <cell r="K140" t="str">
            <v>Ok</v>
          </cell>
          <cell r="O140" t="str">
            <v>Sim</v>
          </cell>
        </row>
        <row r="141">
          <cell r="K141" t="str">
            <v>Ok</v>
          </cell>
          <cell r="O141" t="str">
            <v>Sim</v>
          </cell>
        </row>
        <row r="142">
          <cell r="I142">
            <v>44245</v>
          </cell>
          <cell r="K142" t="str">
            <v>Ok</v>
          </cell>
          <cell r="O142" t="str">
            <v>Sim</v>
          </cell>
        </row>
        <row r="143">
          <cell r="I143">
            <v>44236</v>
          </cell>
          <cell r="K143" t="str">
            <v>Ok</v>
          </cell>
          <cell r="O143" t="str">
            <v>Não</v>
          </cell>
        </row>
        <row r="144">
          <cell r="I144">
            <v>44229</v>
          </cell>
          <cell r="K144" t="str">
            <v>Ok</v>
          </cell>
          <cell r="O144" t="str">
            <v>Sim</v>
          </cell>
        </row>
        <row r="145">
          <cell r="I145">
            <v>44198</v>
          </cell>
          <cell r="K145" t="str">
            <v>Ok</v>
          </cell>
          <cell r="O145" t="str">
            <v>Não</v>
          </cell>
        </row>
        <row r="146">
          <cell r="I146">
            <v>44250</v>
          </cell>
          <cell r="K146" t="str">
            <v>Ok</v>
          </cell>
          <cell r="O146" t="str">
            <v>Sim</v>
          </cell>
        </row>
        <row r="147">
          <cell r="I147">
            <v>44250</v>
          </cell>
          <cell r="K147" t="str">
            <v>Ok</v>
          </cell>
          <cell r="O147" t="str">
            <v>Sim</v>
          </cell>
        </row>
        <row r="148">
          <cell r="K148" t="str">
            <v>Ok</v>
          </cell>
          <cell r="O148" t="str">
            <v>Não</v>
          </cell>
        </row>
        <row r="149">
          <cell r="I149">
            <v>44251</v>
          </cell>
          <cell r="K149" t="str">
            <v>Ok</v>
          </cell>
          <cell r="O149" t="str">
            <v>Sim</v>
          </cell>
        </row>
        <row r="150">
          <cell r="I150">
            <v>44250</v>
          </cell>
          <cell r="K150" t="str">
            <v>Ok</v>
          </cell>
          <cell r="O150" t="str">
            <v>Sim</v>
          </cell>
        </row>
        <row r="151">
          <cell r="K151" t="str">
            <v>Ok</v>
          </cell>
          <cell r="O151" t="str">
            <v>Sim</v>
          </cell>
        </row>
        <row r="152">
          <cell r="K152" t="str">
            <v>Ok</v>
          </cell>
          <cell r="O152" t="str">
            <v>Não</v>
          </cell>
        </row>
        <row r="153">
          <cell r="I153">
            <v>44253</v>
          </cell>
          <cell r="K153" t="str">
            <v>Ok</v>
          </cell>
          <cell r="O153" t="str">
            <v>Sim</v>
          </cell>
        </row>
        <row r="154">
          <cell r="I154">
            <v>44253</v>
          </cell>
          <cell r="K154" t="str">
            <v>Ok</v>
          </cell>
          <cell r="O154" t="str">
            <v>Sim</v>
          </cell>
        </row>
        <row r="155">
          <cell r="I155">
            <v>44256</v>
          </cell>
          <cell r="K155" t="str">
            <v>Ok</v>
          </cell>
          <cell r="O155" t="str">
            <v>Sim</v>
          </cell>
        </row>
        <row r="156">
          <cell r="I156">
            <v>44216</v>
          </cell>
          <cell r="K156" t="str">
            <v>Aguardando Aprovação</v>
          </cell>
          <cell r="O156" t="str">
            <v>Sim</v>
          </cell>
        </row>
        <row r="157">
          <cell r="I157">
            <v>44216</v>
          </cell>
          <cell r="K157" t="str">
            <v>Aguardando Aprovação</v>
          </cell>
          <cell r="O157" t="str">
            <v>Sim</v>
          </cell>
        </row>
        <row r="158">
          <cell r="K158" t="str">
            <v>Novo</v>
          </cell>
        </row>
        <row r="159">
          <cell r="I159">
            <v>44214</v>
          </cell>
          <cell r="K159" t="str">
            <v>Aguardando Aprovação</v>
          </cell>
          <cell r="O159" t="str">
            <v>Sim</v>
          </cell>
        </row>
        <row r="160">
          <cell r="K160" t="str">
            <v>Novo</v>
          </cell>
        </row>
        <row r="161">
          <cell r="K161" t="str">
            <v>Novo</v>
          </cell>
        </row>
        <row r="162">
          <cell r="I162">
            <v>44214</v>
          </cell>
          <cell r="K162" t="str">
            <v>Aguardando Aprovação</v>
          </cell>
          <cell r="O162" t="str">
            <v>Sim</v>
          </cell>
        </row>
        <row r="163">
          <cell r="K163" t="str">
            <v>Novo</v>
          </cell>
        </row>
        <row r="164">
          <cell r="K164" t="str">
            <v>Novo</v>
          </cell>
        </row>
        <row r="165">
          <cell r="K165" t="str">
            <v>Novo</v>
          </cell>
        </row>
        <row r="166">
          <cell r="K166" t="str">
            <v>Novo</v>
          </cell>
        </row>
        <row r="167">
          <cell r="K167" t="str">
            <v>Novo</v>
          </cell>
        </row>
        <row r="168">
          <cell r="I168">
            <v>44144</v>
          </cell>
          <cell r="K168" t="str">
            <v>Novo</v>
          </cell>
        </row>
        <row r="169">
          <cell r="I169">
            <v>44124</v>
          </cell>
          <cell r="K169" t="str">
            <v>Novo</v>
          </cell>
        </row>
        <row r="170">
          <cell r="I170">
            <v>44104</v>
          </cell>
          <cell r="K170" t="str">
            <v>Novo</v>
          </cell>
        </row>
        <row r="171">
          <cell r="I171">
            <v>44027</v>
          </cell>
          <cell r="K171" t="str">
            <v>Aguardando Aprovação</v>
          </cell>
        </row>
        <row r="172">
          <cell r="K172" t="str">
            <v>Novo</v>
          </cell>
        </row>
        <row r="173">
          <cell r="I173">
            <v>44118</v>
          </cell>
          <cell r="K173" t="str">
            <v>Novo</v>
          </cell>
        </row>
        <row r="174">
          <cell r="I174">
            <v>44132</v>
          </cell>
          <cell r="K174" t="str">
            <v>Novo</v>
          </cell>
        </row>
        <row r="175">
          <cell r="I175">
            <v>44117</v>
          </cell>
          <cell r="K175" t="str">
            <v>Novo</v>
          </cell>
        </row>
        <row r="176">
          <cell r="I176">
            <v>44118</v>
          </cell>
          <cell r="K176" t="str">
            <v>Novo</v>
          </cell>
        </row>
        <row r="177">
          <cell r="I177">
            <v>44119</v>
          </cell>
          <cell r="K177" t="str">
            <v>Novo</v>
          </cell>
        </row>
        <row r="178">
          <cell r="I178">
            <v>44120</v>
          </cell>
          <cell r="K178" t="str">
            <v>Novo</v>
          </cell>
        </row>
        <row r="179">
          <cell r="I179">
            <v>44123</v>
          </cell>
          <cell r="K179" t="str">
            <v>Novo</v>
          </cell>
        </row>
        <row r="180">
          <cell r="I180">
            <v>44118</v>
          </cell>
          <cell r="K180" t="str">
            <v>Novo</v>
          </cell>
        </row>
        <row r="181">
          <cell r="K181" t="str">
            <v>Novo</v>
          </cell>
        </row>
        <row r="182">
          <cell r="I182">
            <v>43951</v>
          </cell>
          <cell r="K182" t="str">
            <v>Novo</v>
          </cell>
        </row>
        <row r="183">
          <cell r="I183">
            <v>43983</v>
          </cell>
          <cell r="K183" t="str">
            <v>Novo</v>
          </cell>
        </row>
        <row r="184">
          <cell r="I184">
            <v>43908</v>
          </cell>
          <cell r="K184" t="str">
            <v>Novo</v>
          </cell>
        </row>
        <row r="185">
          <cell r="I185">
            <v>44119</v>
          </cell>
          <cell r="K185" t="str">
            <v>Novo</v>
          </cell>
        </row>
        <row r="186">
          <cell r="I186">
            <v>44119</v>
          </cell>
          <cell r="K186" t="str">
            <v>Novo</v>
          </cell>
        </row>
        <row r="187">
          <cell r="I187">
            <v>44119</v>
          </cell>
          <cell r="K187" t="str">
            <v>Novo</v>
          </cell>
        </row>
        <row r="188">
          <cell r="I188">
            <v>44117</v>
          </cell>
          <cell r="K188" t="str">
            <v>Novo</v>
          </cell>
        </row>
        <row r="189">
          <cell r="I189">
            <v>44117</v>
          </cell>
          <cell r="K189" t="str">
            <v>Novo</v>
          </cell>
        </row>
        <row r="190">
          <cell r="I190">
            <v>44117</v>
          </cell>
          <cell r="K190" t="str">
            <v>Novo</v>
          </cell>
        </row>
        <row r="191">
          <cell r="I191">
            <v>44076</v>
          </cell>
          <cell r="K191" t="str">
            <v>Novo</v>
          </cell>
        </row>
        <row r="192">
          <cell r="I192">
            <v>44105</v>
          </cell>
          <cell r="K192" t="str">
            <v>Novo</v>
          </cell>
        </row>
        <row r="193">
          <cell r="I193">
            <v>44090</v>
          </cell>
          <cell r="K193" t="str">
            <v>Novo</v>
          </cell>
        </row>
        <row r="194">
          <cell r="I194">
            <v>44090</v>
          </cell>
          <cell r="K194" t="str">
            <v>Novo</v>
          </cell>
        </row>
        <row r="195">
          <cell r="I195">
            <v>44090</v>
          </cell>
          <cell r="K195" t="str">
            <v>Novo</v>
          </cell>
        </row>
        <row r="196">
          <cell r="I196">
            <v>44090</v>
          </cell>
          <cell r="K196" t="str">
            <v>Novo</v>
          </cell>
        </row>
        <row r="197">
          <cell r="I197">
            <v>44090</v>
          </cell>
          <cell r="K197" t="str">
            <v>Novo</v>
          </cell>
        </row>
        <row r="198">
          <cell r="I198">
            <v>44083</v>
          </cell>
          <cell r="K198" t="str">
            <v>Novo</v>
          </cell>
        </row>
        <row r="199">
          <cell r="I199">
            <v>44083</v>
          </cell>
          <cell r="K199" t="str">
            <v>Novo</v>
          </cell>
        </row>
        <row r="200">
          <cell r="I200">
            <v>44069</v>
          </cell>
          <cell r="K200" t="str">
            <v>Novo</v>
          </cell>
        </row>
        <row r="201">
          <cell r="I201">
            <v>44069</v>
          </cell>
          <cell r="K201" t="str">
            <v>Novo</v>
          </cell>
        </row>
        <row r="202">
          <cell r="K202" t="str">
            <v>Cancelado</v>
          </cell>
          <cell r="O202" t="str">
            <v>Não</v>
          </cell>
        </row>
        <row r="203">
          <cell r="K203" t="str">
            <v>Aguardando Aprovação</v>
          </cell>
          <cell r="O203" t="str">
            <v>Sim</v>
          </cell>
        </row>
        <row r="204">
          <cell r="K204" t="str">
            <v>Aguardando Aprovação</v>
          </cell>
          <cell r="O204" t="str">
            <v>Sim</v>
          </cell>
        </row>
        <row r="205">
          <cell r="I205">
            <v>44246</v>
          </cell>
          <cell r="K205" t="str">
            <v>Aguardando Aprovação</v>
          </cell>
          <cell r="O205" t="str">
            <v>Não</v>
          </cell>
        </row>
        <row r="206">
          <cell r="K206" t="str">
            <v>Novo</v>
          </cell>
          <cell r="O206" t="str">
            <v>Sim</v>
          </cell>
        </row>
        <row r="207">
          <cell r="K207" t="str">
            <v>Aguardando Aprovação</v>
          </cell>
          <cell r="O207" t="str">
            <v>Sim</v>
          </cell>
        </row>
        <row r="208">
          <cell r="K208" t="str">
            <v>Aguardando Aprovação</v>
          </cell>
          <cell r="O208" t="str">
            <v>Sim</v>
          </cell>
        </row>
        <row r="209">
          <cell r="K209" t="str">
            <v>Novo</v>
          </cell>
          <cell r="O209" t="str">
            <v>Sim</v>
          </cell>
        </row>
        <row r="210">
          <cell r="K210" t="str">
            <v>Novo</v>
          </cell>
          <cell r="O210" t="str">
            <v>Não</v>
          </cell>
        </row>
        <row r="211">
          <cell r="K211" t="str">
            <v>Aguardando Aprovação</v>
          </cell>
          <cell r="O211" t="str">
            <v>Não</v>
          </cell>
        </row>
        <row r="212">
          <cell r="K212" t="str">
            <v>Aguardando Aprovação</v>
          </cell>
          <cell r="O212" t="str">
            <v>Não</v>
          </cell>
        </row>
        <row r="213">
          <cell r="K213" t="str">
            <v>Aguardando Aprovação</v>
          </cell>
          <cell r="O213" t="str">
            <v>Sim</v>
          </cell>
        </row>
        <row r="214">
          <cell r="K214" t="str">
            <v>Aguardando Aprovação</v>
          </cell>
          <cell r="O214" t="str">
            <v>Sim</v>
          </cell>
        </row>
        <row r="215">
          <cell r="K215" t="str">
            <v>Aguardando Aprovação</v>
          </cell>
          <cell r="O215" t="str">
            <v>Sim</v>
          </cell>
        </row>
        <row r="216">
          <cell r="K216" t="str">
            <v>Novo</v>
          </cell>
          <cell r="O216" t="str">
            <v>Sim</v>
          </cell>
        </row>
        <row r="217">
          <cell r="K217" t="str">
            <v>Aguardando Aprovação</v>
          </cell>
          <cell r="O217" t="str">
            <v>Não</v>
          </cell>
        </row>
        <row r="218">
          <cell r="K218" t="str">
            <v>Aguardando Aprovação</v>
          </cell>
          <cell r="O218" t="str">
            <v>Não</v>
          </cell>
        </row>
        <row r="219">
          <cell r="K219" t="str">
            <v>Aguardando Aprovação</v>
          </cell>
          <cell r="O219" t="str">
            <v>Não</v>
          </cell>
        </row>
        <row r="220">
          <cell r="K220" t="str">
            <v>Aguardando Aprovação</v>
          </cell>
          <cell r="O220" t="str">
            <v>Não</v>
          </cell>
        </row>
        <row r="221">
          <cell r="K221" t="str">
            <v>Aguardando Aprovação</v>
          </cell>
          <cell r="O221" t="str">
            <v>Não</v>
          </cell>
        </row>
        <row r="222">
          <cell r="K222" t="str">
            <v>Novo</v>
          </cell>
          <cell r="O222" t="str">
            <v>Não</v>
          </cell>
        </row>
        <row r="223">
          <cell r="K223" t="str">
            <v>Novo</v>
          </cell>
          <cell r="O223" t="str">
            <v>Sim</v>
          </cell>
        </row>
        <row r="224">
          <cell r="K224" t="str">
            <v>Novo</v>
          </cell>
          <cell r="O224" t="str">
            <v>Sim</v>
          </cell>
        </row>
        <row r="225">
          <cell r="K225" t="str">
            <v>Novo</v>
          </cell>
          <cell r="O225" t="str">
            <v>Não</v>
          </cell>
        </row>
        <row r="226">
          <cell r="I226">
            <v>44252</v>
          </cell>
          <cell r="K226" t="str">
            <v>Aguardando Aprovação</v>
          </cell>
          <cell r="O226" t="str">
            <v>Sim</v>
          </cell>
        </row>
        <row r="227">
          <cell r="K227" t="str">
            <v>Novo</v>
          </cell>
          <cell r="O227" t="str">
            <v>Não</v>
          </cell>
        </row>
        <row r="228">
          <cell r="K228" t="str">
            <v>Novo</v>
          </cell>
          <cell r="O228" t="str">
            <v>Não</v>
          </cell>
        </row>
        <row r="229">
          <cell r="K229" t="str">
            <v>Novo</v>
          </cell>
          <cell r="O229" t="str">
            <v>Sim</v>
          </cell>
        </row>
        <row r="230">
          <cell r="K230" t="str">
            <v>Novo</v>
          </cell>
          <cell r="O230" t="str">
            <v>Sim</v>
          </cell>
        </row>
        <row r="231">
          <cell r="K231" t="str">
            <v>Novo</v>
          </cell>
          <cell r="O231" t="str">
            <v>Sim</v>
          </cell>
        </row>
      </sheetData>
      <sheetData sheetId="1"/>
      <sheetData sheetId="2">
        <row r="3">
          <cell r="A3" t="str">
            <v>SIM</v>
          </cell>
          <cell r="O3" t="str">
            <v>&gt;=01/01/2021</v>
          </cell>
        </row>
        <row r="4">
          <cell r="A4" t="str">
            <v>NÃO</v>
          </cell>
          <cell r="O4" t="str">
            <v>&lt;=31/01/2021</v>
          </cell>
        </row>
      </sheetData>
      <sheetData sheetId="3"/>
      <sheetData sheetId="4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242" dataDxfId="240" headerRowBorderDxfId="241" tableBorderDxfId="239" totalsRowBorderDxfId="238">
  <autoFilter ref="A1:R71" xr:uid="{6E2E79EF-F309-4C9F-9A79-E8E4560B1C6E}"/>
  <tableColumns count="18">
    <tableColumn id="1" xr3:uid="{AA9474B7-B0E6-4ED1-A889-DC49C3017BE6}" name="Cliente" dataDxfId="237"/>
    <tableColumn id="2" xr3:uid="{71C5FC51-17FD-49BF-928D-AF7DA7C4B279}" name="Origem" dataDxfId="236"/>
    <tableColumn id="3" xr3:uid="{B61C151D-50E1-4F68-A3A8-1967222967D6}" name="Atribuição" dataDxfId="235"/>
    <tableColumn id="4" xr3:uid="{3F35109B-2DCE-4E6C-8C3A-BEB9AED94A76}" name="Nome do Chamado" dataDxfId="234"/>
    <tableColumn id="5" xr3:uid="{10B07128-997C-4420-9D2C-698A29765E53}" name="Peça" dataDxfId="233"/>
    <tableColumn id="6" xr3:uid="{AADB728B-F848-4D3B-8C17-E24D1983A39C}" name="Quantidade" dataDxfId="232"/>
    <tableColumn id="7" xr3:uid="{437F6107-1008-48CF-B2D5-F5AC0D61EE30}" name="Data de Solicitação" dataDxfId="231"/>
    <tableColumn id="8" xr3:uid="{FAC57980-05E9-44E5-8DA7-0E158AD55E5A}" name="Prazo" dataDxfId="230"/>
    <tableColumn id="9" xr3:uid="{CAA8285B-B46B-4BDE-B877-B5C32501D4E6}" name="Data de Conclusão" dataDxfId="229"/>
    <tableColumn id="10" xr3:uid="{BA6D3D44-F25D-47A5-ACA7-33B6FCC7B11A}" name="Observações" dataDxfId="228"/>
    <tableColumn id="11" xr3:uid="{253BE95D-FC40-46C2-98C5-BFA1C07C53AF}" name="Status" dataDxfId="227"/>
    <tableColumn id="12" xr3:uid="{8D479A52-10BC-4B39-A0AC-26C28E34A2CC}" name="Categoria" dataDxfId="226"/>
    <tableColumn id="13" xr3:uid="{7D91B75D-15A0-4D8A-9AFB-0D9CC06E3D1D}" name="Serviço" dataDxfId="225"/>
    <tableColumn id="14" xr3:uid="{1D3AEBD6-0E74-42EB-B39B-91F793773254}" name="Alterações" dataDxfId="224"/>
    <tableColumn id="15" xr3:uid="{B8CA9CDD-E5D3-4D50-ABAD-155C6384A2B0}" name="Gôndola" dataDxfId="223"/>
    <tableColumn id="16" xr3:uid="{1E3E1768-1660-4ABE-B683-39994F7AE447}" name="Boas Práticas" dataDxfId="222"/>
    <tableColumn id="17" xr3:uid="{FD3685A8-CB89-448B-A814-535B7121D451}" name="Briefing" dataDxfId="221"/>
    <tableColumn id="18" xr3:uid="{F92CAB28-F3F2-4F2E-A59B-21F8EE572616}" name="Retorno à Central" dataDxfId="22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219" dataDxfId="217" headerRowBorderDxfId="218" tableBorderDxfId="216" totalsRowBorderDxfId="215">
  <autoFilter ref="A1:R85" xr:uid="{68CD74F5-752D-481F-9B05-B28045B15865}"/>
  <tableColumns count="18">
    <tableColumn id="1" xr3:uid="{38B8A345-5E5C-417E-88CE-69825C4878DD}" name="Cliente" dataDxfId="214"/>
    <tableColumn id="2" xr3:uid="{DA526638-866B-43E6-828F-4A5DA1B27E75}" name="Origem" dataDxfId="213"/>
    <tableColumn id="3" xr3:uid="{1366CDEC-730B-4322-B8F0-65BB3E1B6E04}" name="Atribuição" dataDxfId="212"/>
    <tableColumn id="4" xr3:uid="{4794EF17-CA86-4B1A-BCDB-D84A88CE250F}" name="Nome do Chamado" dataDxfId="211"/>
    <tableColumn id="5" xr3:uid="{5DFF4F66-1716-4783-AB7C-8DA68F69328D}" name="Peça" dataDxfId="210"/>
    <tableColumn id="6" xr3:uid="{711B3A3F-ABC7-4FF4-8DBB-0CE530D76505}" name="Quantidade" dataDxfId="209"/>
    <tableColumn id="7" xr3:uid="{463DF918-A0AF-4200-B575-B0253C623059}" name="Data de Solicitação" dataDxfId="208"/>
    <tableColumn id="8" xr3:uid="{EB46F7A8-55AD-4B59-ADF9-EDB748BE387E}" name="Prazo" dataDxfId="207"/>
    <tableColumn id="9" xr3:uid="{88DE93A5-27A0-44E5-809D-3F346FC5A4D0}" name="Data de Conclusão" dataDxfId="206"/>
    <tableColumn id="10" xr3:uid="{4BFBB660-7757-48AA-861A-B14764E4A186}" name="Observações" dataDxfId="205"/>
    <tableColumn id="11" xr3:uid="{BF756D26-ECA1-45C6-A3FB-1321F8370EC5}" name="Status" dataDxfId="204"/>
    <tableColumn id="12" xr3:uid="{8EB39143-C671-4371-968E-D3672D37B7D5}" name="Categoria" dataDxfId="203"/>
    <tableColumn id="13" xr3:uid="{EE7C0EF2-8E0A-4A3F-A5AF-1644D5D84C1D}" name="Serviço" dataDxfId="202"/>
    <tableColumn id="14" xr3:uid="{9B1371D9-0EA0-46F6-977A-DD58DF43A466}" name="Alterações" dataDxfId="201"/>
    <tableColumn id="15" xr3:uid="{8FC57AF6-EE27-4AE3-B676-1DA0D2406F51}" name="Gôndola" dataDxfId="200"/>
    <tableColumn id="16" xr3:uid="{FCAC1112-74A1-4BAC-AED3-AEC8A957527A}" name="Boas Práticas" dataDxfId="199"/>
    <tableColumn id="17" xr3:uid="{2927CA9E-7E94-45D6-A66D-D3A14C710411}" name="Briefing" dataDxfId="198"/>
    <tableColumn id="18" xr3:uid="{8268800D-61EF-48E2-89E7-47114467A312}" name="Retorno à Central" dataDxfId="19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F24AC4-9010-4C84-9691-2CEC9F529228}" name="Tabela134232526" displayName="Tabela134232526" ref="A1:R85" totalsRowShown="0" headerRowDxfId="173" dataDxfId="172" headerRowBorderDxfId="170" tableBorderDxfId="171" totalsRowBorderDxfId="169">
  <autoFilter ref="A1:R85" xr:uid="{06E85367-1E39-4DF8-BDF1-DCBB55765D7C}"/>
  <tableColumns count="18">
    <tableColumn id="1" xr3:uid="{10817205-246B-4244-9C20-1B8BD6CBCE1C}" name="Cliente" dataDxfId="168"/>
    <tableColumn id="2" xr3:uid="{18BCBF91-019F-48CC-8F1C-EB96558AC7C1}" name="Origem" dataDxfId="167"/>
    <tableColumn id="3" xr3:uid="{CF004BBF-FD68-4964-B9E5-501F68D8D432}" name="Atribuição" dataDxfId="166"/>
    <tableColumn id="4" xr3:uid="{9C8C81BC-CFAF-41DE-81ED-FEA34F675671}" name="Nome do Chamado" dataDxfId="165"/>
    <tableColumn id="5" xr3:uid="{91701125-E141-45B7-B801-959031F47988}" name="Peça" dataDxfId="164"/>
    <tableColumn id="6" xr3:uid="{BC94A7FF-9CD1-4901-ABA2-577AE3EBF250}" name="Quantidade" dataDxfId="163"/>
    <tableColumn id="7" xr3:uid="{909E0387-E56B-45D0-8A20-7CE83A49B3B1}" name="Data de Solicitação" dataDxfId="162"/>
    <tableColumn id="8" xr3:uid="{EF128CDC-0703-463F-82B3-5CF5D49BF9FC}" name="Prazo" dataDxfId="161"/>
    <tableColumn id="9" xr3:uid="{1B10E73C-1B0E-4E68-B2DC-25DE5D7E9FEC}" name="Data de Conclusão" dataDxfId="160"/>
    <tableColumn id="10" xr3:uid="{F26AE66E-9B0A-472B-86F2-8CE25A6F0555}" name="Observações" dataDxfId="159"/>
    <tableColumn id="11" xr3:uid="{05C6FEDD-56E9-4ADB-ACE7-4F7ABF096E6C}" name="Status" dataDxfId="158"/>
    <tableColumn id="12" xr3:uid="{08298DC8-208F-4CBA-A7A0-E5FA32E2ECCB}" name="Categoria" dataDxfId="157"/>
    <tableColumn id="13" xr3:uid="{A94F49FA-9F23-4875-9CFD-1A370991996F}" name="Serviço" dataDxfId="156"/>
    <tableColumn id="14" xr3:uid="{43781A27-066B-47D5-91D3-89585076A66C}" name="Alterações" dataDxfId="155"/>
    <tableColumn id="15" xr3:uid="{6B906001-E983-4038-BBF9-DE5D5BE42144}" name="Gôndola" dataDxfId="154"/>
    <tableColumn id="16" xr3:uid="{17322B37-EB11-4E69-A447-DA581BAF745C}" name="Boas Práticas" dataDxfId="153"/>
    <tableColumn id="17" xr3:uid="{41464AF5-4F82-43AA-A430-4A2AD61FE119}" name="Briefing" dataDxfId="152"/>
    <tableColumn id="18" xr3:uid="{D0EBDBF3-6066-4F65-9EAA-383251E4EC2F}" name="Retorno à Central" dataDxfId="15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47B071-6FD0-4ACB-A473-BEB56116EC6E}" name="Tabela134232525" displayName="Tabela134232525" ref="A1:R130" totalsRowShown="0" headerRowDxfId="196" dataDxfId="194" headerRowBorderDxfId="195" tableBorderDxfId="193" totalsRowBorderDxfId="192">
  <autoFilter ref="A1:R130" xr:uid="{A7D0B3B0-18C7-40E9-A209-001A51174EE9}"/>
  <tableColumns count="18">
    <tableColumn id="1" xr3:uid="{E78EB55E-22EC-49AE-934D-A5F6D2A10AD6}" name="Cliente" dataDxfId="191"/>
    <tableColumn id="2" xr3:uid="{D287397E-7DAD-476E-9D4E-2F70A9356081}" name="Origem" dataDxfId="190"/>
    <tableColumn id="3" xr3:uid="{842E44FF-6C63-437A-9232-2D92CA7FC96C}" name="Atribuição" dataDxfId="189"/>
    <tableColumn id="4" xr3:uid="{EFF18FA6-5ED5-4E4B-81B0-00FC85C12961}" name="Nome do Chamado" dataDxfId="188"/>
    <tableColumn id="5" xr3:uid="{1D7A7654-4757-4B6D-B5B8-05D8D191A1DE}" name="Peça" dataDxfId="187"/>
    <tableColumn id="6" xr3:uid="{07D41F48-018F-403F-B1C6-7C2D21447C46}" name="Quantidade" dataDxfId="186"/>
    <tableColumn id="7" xr3:uid="{34EE053B-7C60-4EFD-B06E-AEA4B5C37CE0}" name="Data de Solicitação" dataDxfId="185"/>
    <tableColumn id="8" xr3:uid="{855F5765-2B3C-45FD-B5AD-FA768981183D}" name="Prazo" dataDxfId="184"/>
    <tableColumn id="9" xr3:uid="{C4FC7DC6-3C92-41FE-8F62-B0A1132A3B93}" name="Data de Conclusão" dataDxfId="183"/>
    <tableColumn id="10" xr3:uid="{27275BC4-0B5C-44E3-B4C6-31F85078FE17}" name="Observações" dataDxfId="182"/>
    <tableColumn id="11" xr3:uid="{3BC32972-A4EF-4060-87EC-52F1F110CFAD}" name="Status" dataDxfId="181"/>
    <tableColumn id="12" xr3:uid="{D192247F-CA9C-4552-B1D7-C7539ABA0E71}" name="Categoria" dataDxfId="180"/>
    <tableColumn id="13" xr3:uid="{24DC1268-EBE9-48DC-9C96-9D7D2EBC9E5B}" name="Serviço" dataDxfId="179"/>
    <tableColumn id="14" xr3:uid="{530F4DD6-89DA-45A3-B576-80DE9A7B3EF0}" name="Alterações" dataDxfId="178"/>
    <tableColumn id="15" xr3:uid="{BEBBC6BA-E0EF-4A5B-9394-8AB3E7500FD6}" name="Gôndola" dataDxfId="177"/>
    <tableColumn id="16" xr3:uid="{7E1FD262-78B6-4938-B3E7-95C27F4EC181}" name="Boas Práticas" dataDxfId="176"/>
    <tableColumn id="17" xr3:uid="{2882D0B1-363A-42BA-8AB0-46C835F3727B}" name="Briefing" dataDxfId="175"/>
    <tableColumn id="18" xr3:uid="{6AE01A6F-BCB2-455B-BB47-796BFA49BCE6}" name="Retorno à Central" dataDxfId="17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43"/>
  <sheetViews>
    <sheetView tabSelected="1" topLeftCell="D1" zoomScale="85" zoomScaleNormal="85" workbookViewId="0">
      <selection activeCell="S10" sqref="S10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37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x14ac:dyDescent="0.25">
      <c r="A2" t="s">
        <v>18</v>
      </c>
      <c r="B2">
        <v>198501</v>
      </c>
      <c r="C2" t="s">
        <v>19</v>
      </c>
      <c r="D2" t="s">
        <v>20</v>
      </c>
      <c r="E2" t="s">
        <v>21</v>
      </c>
      <c r="F2">
        <v>4</v>
      </c>
      <c r="G2">
        <v>44132</v>
      </c>
      <c r="H2">
        <v>44216</v>
      </c>
      <c r="I2" s="5">
        <v>44218</v>
      </c>
      <c r="K2" s="5" t="s">
        <v>22</v>
      </c>
      <c r="L2" t="s">
        <v>23</v>
      </c>
      <c r="M2" t="s">
        <v>24</v>
      </c>
      <c r="N2">
        <v>3</v>
      </c>
      <c r="O2" t="s">
        <v>25</v>
      </c>
      <c r="P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215118</v>
      </c>
      <c r="C3" t="s">
        <v>30</v>
      </c>
      <c r="D3" t="s">
        <v>31</v>
      </c>
      <c r="E3" t="s">
        <v>32</v>
      </c>
      <c r="F3">
        <v>1</v>
      </c>
      <c r="G3">
        <v>44214</v>
      </c>
      <c r="H3">
        <v>44218</v>
      </c>
      <c r="I3" s="5">
        <v>44218</v>
      </c>
      <c r="K3" s="5" t="s">
        <v>22</v>
      </c>
      <c r="L3" t="s">
        <v>33</v>
      </c>
      <c r="M3" t="s">
        <v>24</v>
      </c>
      <c r="N3">
        <v>0</v>
      </c>
      <c r="O3" t="s">
        <v>26</v>
      </c>
      <c r="P3" t="s">
        <v>26</v>
      </c>
      <c r="Q3" t="s">
        <v>27</v>
      </c>
      <c r="R3" t="s">
        <v>28</v>
      </c>
    </row>
    <row r="4" spans="1:18" x14ac:dyDescent="0.25">
      <c r="A4" t="s">
        <v>29</v>
      </c>
      <c r="B4">
        <v>215118</v>
      </c>
      <c r="C4" t="s">
        <v>30</v>
      </c>
      <c r="D4" t="s">
        <v>31</v>
      </c>
      <c r="E4" t="s">
        <v>34</v>
      </c>
      <c r="F4">
        <v>1</v>
      </c>
      <c r="G4">
        <v>44214</v>
      </c>
      <c r="H4">
        <v>44218</v>
      </c>
      <c r="I4" s="5">
        <v>44218</v>
      </c>
      <c r="K4" s="5" t="s">
        <v>22</v>
      </c>
      <c r="L4" t="s">
        <v>33</v>
      </c>
      <c r="M4" t="s">
        <v>24</v>
      </c>
      <c r="N4">
        <v>0</v>
      </c>
      <c r="O4" t="s">
        <v>26</v>
      </c>
      <c r="P4" t="s">
        <v>26</v>
      </c>
      <c r="Q4" t="s">
        <v>27</v>
      </c>
      <c r="R4" t="s">
        <v>28</v>
      </c>
    </row>
    <row r="5" spans="1:18" x14ac:dyDescent="0.25">
      <c r="A5" t="s">
        <v>29</v>
      </c>
      <c r="B5">
        <v>215118</v>
      </c>
      <c r="C5" t="s">
        <v>30</v>
      </c>
      <c r="D5" t="s">
        <v>31</v>
      </c>
      <c r="E5" t="s">
        <v>35</v>
      </c>
      <c r="F5">
        <v>7</v>
      </c>
      <c r="G5">
        <v>44214</v>
      </c>
      <c r="H5">
        <v>44218</v>
      </c>
      <c r="I5" s="5">
        <v>44218</v>
      </c>
      <c r="K5" s="5" t="s">
        <v>22</v>
      </c>
      <c r="L5" t="s">
        <v>33</v>
      </c>
      <c r="M5" t="s">
        <v>24</v>
      </c>
      <c r="N5">
        <v>1</v>
      </c>
      <c r="O5" t="s">
        <v>26</v>
      </c>
      <c r="P5" t="s">
        <v>26</v>
      </c>
      <c r="Q5" t="s">
        <v>27</v>
      </c>
      <c r="R5" t="s">
        <v>28</v>
      </c>
    </row>
    <row r="6" spans="1:18" x14ac:dyDescent="0.25">
      <c r="A6" t="s">
        <v>36</v>
      </c>
      <c r="B6">
        <v>214003</v>
      </c>
      <c r="C6" t="s">
        <v>19</v>
      </c>
      <c r="D6" t="s">
        <v>37</v>
      </c>
      <c r="E6" t="s">
        <v>38</v>
      </c>
      <c r="F6">
        <v>1</v>
      </c>
      <c r="G6">
        <v>44210</v>
      </c>
      <c r="H6">
        <v>44215</v>
      </c>
      <c r="I6" s="5">
        <v>44215</v>
      </c>
      <c r="K6" s="5" t="s">
        <v>22</v>
      </c>
      <c r="L6" t="s">
        <v>23</v>
      </c>
      <c r="M6" t="s">
        <v>24</v>
      </c>
      <c r="O6" t="s">
        <v>25</v>
      </c>
      <c r="P6" t="s">
        <v>25</v>
      </c>
      <c r="Q6" t="s">
        <v>28</v>
      </c>
      <c r="R6" t="s">
        <v>28</v>
      </c>
    </row>
    <row r="7" spans="1:18" x14ac:dyDescent="0.25">
      <c r="A7" t="s">
        <v>39</v>
      </c>
      <c r="B7">
        <v>214035</v>
      </c>
      <c r="C7" t="s">
        <v>30</v>
      </c>
      <c r="D7" t="s">
        <v>40</v>
      </c>
      <c r="E7" t="s">
        <v>32</v>
      </c>
      <c r="F7">
        <v>1</v>
      </c>
      <c r="G7">
        <v>44208</v>
      </c>
      <c r="H7">
        <v>44216</v>
      </c>
      <c r="I7" s="5">
        <v>44216</v>
      </c>
      <c r="K7" s="5" t="s">
        <v>22</v>
      </c>
      <c r="L7" t="s">
        <v>41</v>
      </c>
      <c r="M7" t="s">
        <v>24</v>
      </c>
      <c r="N7">
        <v>1</v>
      </c>
      <c r="O7" t="s">
        <v>26</v>
      </c>
      <c r="P7" t="s">
        <v>26</v>
      </c>
      <c r="Q7" t="s">
        <v>27</v>
      </c>
      <c r="R7" t="s">
        <v>28</v>
      </c>
    </row>
    <row r="8" spans="1:18" x14ac:dyDescent="0.25">
      <c r="A8" t="s">
        <v>39</v>
      </c>
      <c r="B8">
        <v>214035</v>
      </c>
      <c r="C8" t="s">
        <v>30</v>
      </c>
      <c r="D8" t="s">
        <v>40</v>
      </c>
      <c r="E8" t="s">
        <v>34</v>
      </c>
      <c r="F8">
        <v>1</v>
      </c>
      <c r="G8">
        <v>44208</v>
      </c>
      <c r="H8">
        <v>44216</v>
      </c>
      <c r="I8" s="5">
        <v>44216</v>
      </c>
      <c r="K8" s="5" t="s">
        <v>22</v>
      </c>
      <c r="L8" t="s">
        <v>41</v>
      </c>
      <c r="M8" t="s">
        <v>24</v>
      </c>
      <c r="N8">
        <v>1</v>
      </c>
      <c r="O8" t="s">
        <v>26</v>
      </c>
      <c r="P8" t="s">
        <v>26</v>
      </c>
      <c r="Q8" t="s">
        <v>27</v>
      </c>
      <c r="R8" t="s">
        <v>28</v>
      </c>
    </row>
    <row r="9" spans="1:18" x14ac:dyDescent="0.25">
      <c r="A9" t="s">
        <v>36</v>
      </c>
      <c r="B9">
        <v>214003</v>
      </c>
      <c r="C9" t="s">
        <v>19</v>
      </c>
      <c r="D9" t="s">
        <v>37</v>
      </c>
      <c r="E9" t="s">
        <v>42</v>
      </c>
      <c r="F9">
        <v>1</v>
      </c>
      <c r="G9">
        <v>44210</v>
      </c>
      <c r="H9">
        <v>44215</v>
      </c>
      <c r="I9" s="5">
        <v>44215</v>
      </c>
      <c r="K9" s="5" t="s">
        <v>22</v>
      </c>
      <c r="L9" t="s">
        <v>23</v>
      </c>
      <c r="M9" t="s">
        <v>24</v>
      </c>
      <c r="O9" t="s">
        <v>25</v>
      </c>
      <c r="P9" t="s">
        <v>25</v>
      </c>
      <c r="Q9" t="s">
        <v>28</v>
      </c>
      <c r="R9" t="s">
        <v>28</v>
      </c>
    </row>
    <row r="10" spans="1:18" x14ac:dyDescent="0.25">
      <c r="A10" t="s">
        <v>36</v>
      </c>
      <c r="B10">
        <v>214003</v>
      </c>
      <c r="C10" t="s">
        <v>19</v>
      </c>
      <c r="D10" t="s">
        <v>37</v>
      </c>
      <c r="E10" t="s">
        <v>43</v>
      </c>
      <c r="F10">
        <v>1</v>
      </c>
      <c r="G10">
        <v>44210</v>
      </c>
      <c r="H10">
        <v>44215</v>
      </c>
      <c r="I10" s="5">
        <v>44215</v>
      </c>
      <c r="K10" s="5" t="s">
        <v>22</v>
      </c>
      <c r="L10" t="s">
        <v>23</v>
      </c>
      <c r="M10" t="s">
        <v>24</v>
      </c>
      <c r="O10" t="s">
        <v>25</v>
      </c>
      <c r="P10" t="s">
        <v>25</v>
      </c>
      <c r="Q10" t="s">
        <v>28</v>
      </c>
      <c r="R10" t="s">
        <v>28</v>
      </c>
    </row>
    <row r="11" spans="1:18" x14ac:dyDescent="0.25">
      <c r="A11" t="s">
        <v>36</v>
      </c>
      <c r="B11">
        <v>214003</v>
      </c>
      <c r="C11" t="s">
        <v>19</v>
      </c>
      <c r="D11" t="s">
        <v>37</v>
      </c>
      <c r="E11" t="s">
        <v>34</v>
      </c>
      <c r="F11">
        <v>1</v>
      </c>
      <c r="G11">
        <v>44210</v>
      </c>
      <c r="H11">
        <v>44215</v>
      </c>
      <c r="I11" s="5">
        <v>44215</v>
      </c>
      <c r="K11" s="5" t="s">
        <v>22</v>
      </c>
      <c r="L11" t="s">
        <v>23</v>
      </c>
      <c r="M11" t="s">
        <v>24</v>
      </c>
      <c r="O11" t="s">
        <v>25</v>
      </c>
      <c r="P11" t="s">
        <v>25</v>
      </c>
      <c r="Q11" t="s">
        <v>28</v>
      </c>
      <c r="R11" t="s">
        <v>28</v>
      </c>
    </row>
    <row r="12" spans="1:18" x14ac:dyDescent="0.25">
      <c r="A12" t="s">
        <v>36</v>
      </c>
      <c r="B12">
        <v>214003</v>
      </c>
      <c r="C12" t="s">
        <v>19</v>
      </c>
      <c r="D12" t="s">
        <v>37</v>
      </c>
      <c r="E12" t="s">
        <v>44</v>
      </c>
      <c r="F12">
        <v>1</v>
      </c>
      <c r="G12">
        <v>44210</v>
      </c>
      <c r="H12">
        <v>44215</v>
      </c>
      <c r="I12" s="5">
        <v>44215</v>
      </c>
      <c r="K12" s="5" t="s">
        <v>22</v>
      </c>
      <c r="L12" t="s">
        <v>23</v>
      </c>
      <c r="M12" t="s">
        <v>24</v>
      </c>
      <c r="O12" t="s">
        <v>25</v>
      </c>
      <c r="P12" t="s">
        <v>25</v>
      </c>
      <c r="Q12" t="s">
        <v>28</v>
      </c>
      <c r="R12" t="s">
        <v>28</v>
      </c>
    </row>
    <row r="13" spans="1:18" x14ac:dyDescent="0.25">
      <c r="A13" t="s">
        <v>36</v>
      </c>
      <c r="B13">
        <v>214003</v>
      </c>
      <c r="C13" t="s">
        <v>19</v>
      </c>
      <c r="D13" t="s">
        <v>37</v>
      </c>
      <c r="E13" t="s">
        <v>32</v>
      </c>
      <c r="F13">
        <v>1</v>
      </c>
      <c r="G13">
        <v>44210</v>
      </c>
      <c r="H13">
        <v>44215</v>
      </c>
      <c r="I13" s="5">
        <v>44215</v>
      </c>
      <c r="K13" s="5" t="s">
        <v>22</v>
      </c>
      <c r="L13" t="s">
        <v>23</v>
      </c>
      <c r="M13" t="s">
        <v>24</v>
      </c>
      <c r="O13" t="s">
        <v>25</v>
      </c>
      <c r="P13" t="s">
        <v>25</v>
      </c>
      <c r="Q13" t="s">
        <v>28</v>
      </c>
      <c r="R13" t="s">
        <v>28</v>
      </c>
    </row>
    <row r="14" spans="1:18" x14ac:dyDescent="0.25">
      <c r="A14" t="s">
        <v>36</v>
      </c>
      <c r="B14">
        <v>214003</v>
      </c>
      <c r="C14" t="s">
        <v>19</v>
      </c>
      <c r="D14" t="s">
        <v>37</v>
      </c>
      <c r="E14" t="s">
        <v>45</v>
      </c>
      <c r="F14">
        <v>1</v>
      </c>
      <c r="G14">
        <v>44210</v>
      </c>
      <c r="H14">
        <v>44215</v>
      </c>
      <c r="I14" s="5">
        <v>44215</v>
      </c>
      <c r="K14" s="5" t="s">
        <v>22</v>
      </c>
      <c r="L14" t="s">
        <v>23</v>
      </c>
      <c r="M14" t="s">
        <v>24</v>
      </c>
      <c r="O14" t="s">
        <v>25</v>
      </c>
      <c r="P14" t="s">
        <v>25</v>
      </c>
      <c r="Q14" t="s">
        <v>28</v>
      </c>
      <c r="R14" t="s">
        <v>28</v>
      </c>
    </row>
    <row r="15" spans="1:18" x14ac:dyDescent="0.25">
      <c r="A15" t="s">
        <v>46</v>
      </c>
      <c r="B15">
        <v>213500</v>
      </c>
      <c r="C15" t="s">
        <v>19</v>
      </c>
      <c r="D15" t="s">
        <v>47</v>
      </c>
      <c r="E15" t="s">
        <v>48</v>
      </c>
      <c r="F15">
        <v>1</v>
      </c>
      <c r="G15">
        <v>44207</v>
      </c>
      <c r="H15">
        <v>44211</v>
      </c>
      <c r="I15" s="5">
        <v>44222</v>
      </c>
      <c r="K15" s="5" t="s">
        <v>22</v>
      </c>
      <c r="L15" t="s">
        <v>23</v>
      </c>
      <c r="M15" t="s">
        <v>24</v>
      </c>
      <c r="N15">
        <v>3</v>
      </c>
      <c r="O15" t="s">
        <v>25</v>
      </c>
      <c r="P15" t="s">
        <v>25</v>
      </c>
      <c r="Q15" t="s">
        <v>27</v>
      </c>
      <c r="R15" t="s">
        <v>27</v>
      </c>
    </row>
    <row r="16" spans="1:18" x14ac:dyDescent="0.25">
      <c r="A16" t="s">
        <v>46</v>
      </c>
      <c r="B16">
        <v>213500</v>
      </c>
      <c r="C16" t="s">
        <v>19</v>
      </c>
      <c r="D16" t="s">
        <v>47</v>
      </c>
      <c r="E16" t="s">
        <v>32</v>
      </c>
      <c r="F16">
        <v>1</v>
      </c>
      <c r="G16">
        <v>44207</v>
      </c>
      <c r="H16">
        <v>44211</v>
      </c>
      <c r="I16" s="5">
        <v>44222</v>
      </c>
      <c r="K16" s="5" t="s">
        <v>22</v>
      </c>
      <c r="L16" t="s">
        <v>23</v>
      </c>
      <c r="M16" t="s">
        <v>24</v>
      </c>
      <c r="N16">
        <v>3</v>
      </c>
      <c r="O16" t="s">
        <v>25</v>
      </c>
      <c r="P16" t="s">
        <v>25</v>
      </c>
      <c r="Q16" t="s">
        <v>49</v>
      </c>
      <c r="R16" t="s">
        <v>49</v>
      </c>
    </row>
    <row r="17" spans="1:18" x14ac:dyDescent="0.25">
      <c r="A17" t="s">
        <v>46</v>
      </c>
      <c r="B17">
        <v>213500</v>
      </c>
      <c r="C17" t="s">
        <v>19</v>
      </c>
      <c r="D17" t="s">
        <v>47</v>
      </c>
      <c r="E17" t="s">
        <v>45</v>
      </c>
      <c r="F17">
        <v>1</v>
      </c>
      <c r="G17">
        <v>44207</v>
      </c>
      <c r="H17">
        <v>44211</v>
      </c>
      <c r="I17" s="5">
        <v>44222</v>
      </c>
      <c r="K17" s="5" t="s">
        <v>22</v>
      </c>
      <c r="L17" t="s">
        <v>23</v>
      </c>
      <c r="M17" t="s">
        <v>24</v>
      </c>
      <c r="N17">
        <v>3</v>
      </c>
      <c r="O17" t="s">
        <v>25</v>
      </c>
      <c r="P17" t="s">
        <v>25</v>
      </c>
      <c r="Q17" t="s">
        <v>50</v>
      </c>
      <c r="R17" t="s">
        <v>50</v>
      </c>
    </row>
    <row r="18" spans="1:18" x14ac:dyDescent="0.25">
      <c r="A18" t="s">
        <v>46</v>
      </c>
      <c r="B18">
        <v>213500</v>
      </c>
      <c r="C18" t="s">
        <v>19</v>
      </c>
      <c r="D18" t="s">
        <v>47</v>
      </c>
      <c r="E18" t="s">
        <v>35</v>
      </c>
      <c r="F18">
        <v>1</v>
      </c>
      <c r="G18">
        <v>44207</v>
      </c>
      <c r="H18">
        <v>44211</v>
      </c>
      <c r="I18" s="5">
        <v>44222</v>
      </c>
      <c r="K18" s="5" t="s">
        <v>22</v>
      </c>
      <c r="L18" t="s">
        <v>23</v>
      </c>
      <c r="M18" t="s">
        <v>24</v>
      </c>
      <c r="N18">
        <v>3</v>
      </c>
      <c r="O18" t="s">
        <v>25</v>
      </c>
      <c r="P18" t="s">
        <v>25</v>
      </c>
      <c r="Q18" t="s">
        <v>51</v>
      </c>
      <c r="R18" t="s">
        <v>51</v>
      </c>
    </row>
    <row r="19" spans="1:18" x14ac:dyDescent="0.25">
      <c r="A19" t="s">
        <v>39</v>
      </c>
      <c r="B19">
        <v>212637</v>
      </c>
      <c r="C19" t="s">
        <v>19</v>
      </c>
      <c r="D19" t="s">
        <v>52</v>
      </c>
      <c r="E19" t="s">
        <v>34</v>
      </c>
      <c r="F19">
        <v>2</v>
      </c>
      <c r="G19">
        <v>44202</v>
      </c>
      <c r="H19">
        <v>44203</v>
      </c>
      <c r="I19" s="5">
        <v>44203</v>
      </c>
      <c r="K19" s="5" t="s">
        <v>22</v>
      </c>
      <c r="L19" t="s">
        <v>33</v>
      </c>
      <c r="M19" t="s">
        <v>24</v>
      </c>
      <c r="N19">
        <v>1</v>
      </c>
      <c r="O19" t="s">
        <v>25</v>
      </c>
      <c r="P19" t="s">
        <v>26</v>
      </c>
      <c r="Q19" t="s">
        <v>28</v>
      </c>
      <c r="R19" t="s">
        <v>53</v>
      </c>
    </row>
    <row r="20" spans="1:18" x14ac:dyDescent="0.25">
      <c r="A20" t="s">
        <v>54</v>
      </c>
      <c r="B20">
        <v>179193</v>
      </c>
      <c r="C20" t="s">
        <v>55</v>
      </c>
      <c r="D20" t="s">
        <v>56</v>
      </c>
      <c r="E20" t="s">
        <v>34</v>
      </c>
      <c r="F20">
        <v>2</v>
      </c>
      <c r="G20">
        <v>44039</v>
      </c>
      <c r="I20" s="5">
        <v>44046</v>
      </c>
      <c r="K20" s="5" t="s">
        <v>22</v>
      </c>
      <c r="L20" t="s">
        <v>57</v>
      </c>
      <c r="O20" t="s">
        <v>25</v>
      </c>
      <c r="P20" t="s">
        <v>26</v>
      </c>
      <c r="Q20" t="s">
        <v>28</v>
      </c>
      <c r="R20" t="s">
        <v>27</v>
      </c>
    </row>
    <row r="21" spans="1:18" x14ac:dyDescent="0.25">
      <c r="A21" t="s">
        <v>58</v>
      </c>
      <c r="B21">
        <v>190879</v>
      </c>
      <c r="C21" t="s">
        <v>55</v>
      </c>
      <c r="D21" t="s">
        <v>59</v>
      </c>
      <c r="E21" t="s">
        <v>60</v>
      </c>
      <c r="F21">
        <v>1</v>
      </c>
      <c r="G21">
        <v>44096</v>
      </c>
      <c r="I21" s="5">
        <v>44112</v>
      </c>
      <c r="K21" s="5" t="s">
        <v>22</v>
      </c>
      <c r="L21" t="s">
        <v>41</v>
      </c>
      <c r="M21" t="s">
        <v>24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58</v>
      </c>
      <c r="B22">
        <v>190879</v>
      </c>
      <c r="C22" t="s">
        <v>55</v>
      </c>
      <c r="D22" t="s">
        <v>59</v>
      </c>
      <c r="E22" t="s">
        <v>61</v>
      </c>
      <c r="F22">
        <v>1</v>
      </c>
      <c r="G22">
        <v>44096</v>
      </c>
      <c r="I22" s="5">
        <v>44112</v>
      </c>
      <c r="K22" s="5" t="s">
        <v>22</v>
      </c>
      <c r="L22" t="s">
        <v>33</v>
      </c>
      <c r="M22" t="s">
        <v>24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58</v>
      </c>
      <c r="B23">
        <v>190879</v>
      </c>
      <c r="C23" t="s">
        <v>55</v>
      </c>
      <c r="D23" t="s">
        <v>59</v>
      </c>
      <c r="E23" t="s">
        <v>62</v>
      </c>
      <c r="F23">
        <v>3</v>
      </c>
      <c r="G23">
        <v>44096</v>
      </c>
      <c r="I23" s="5">
        <v>44112</v>
      </c>
      <c r="K23" s="5" t="s">
        <v>22</v>
      </c>
      <c r="L23" t="s">
        <v>41</v>
      </c>
      <c r="M23" t="s">
        <v>24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58</v>
      </c>
      <c r="B24">
        <v>190879</v>
      </c>
      <c r="C24" t="s">
        <v>63</v>
      </c>
      <c r="D24" t="s">
        <v>59</v>
      </c>
      <c r="E24" t="s">
        <v>64</v>
      </c>
      <c r="F24">
        <v>1</v>
      </c>
      <c r="G24">
        <v>44096</v>
      </c>
      <c r="I24" s="5">
        <v>44221</v>
      </c>
      <c r="K24" s="5" t="s">
        <v>22</v>
      </c>
      <c r="L24" t="s">
        <v>57</v>
      </c>
      <c r="M24" t="s">
        <v>24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58</v>
      </c>
      <c r="B25">
        <v>214128</v>
      </c>
      <c r="C25" t="s">
        <v>63</v>
      </c>
      <c r="D25" t="s">
        <v>65</v>
      </c>
      <c r="E25" t="s">
        <v>66</v>
      </c>
      <c r="F25">
        <v>1</v>
      </c>
      <c r="G25">
        <v>44209</v>
      </c>
      <c r="I25" s="5">
        <v>44216</v>
      </c>
      <c r="K25" s="5" t="s">
        <v>22</v>
      </c>
      <c r="L25" t="s">
        <v>57</v>
      </c>
      <c r="M25" t="s">
        <v>24</v>
      </c>
      <c r="O25" t="s">
        <v>25</v>
      </c>
      <c r="P25" t="s">
        <v>25</v>
      </c>
      <c r="Q25" t="s">
        <v>53</v>
      </c>
      <c r="R25" t="s">
        <v>53</v>
      </c>
    </row>
    <row r="26" spans="1:18" x14ac:dyDescent="0.25">
      <c r="A26" t="s">
        <v>58</v>
      </c>
      <c r="B26">
        <v>214128</v>
      </c>
      <c r="C26" t="s">
        <v>63</v>
      </c>
      <c r="D26" t="s">
        <v>65</v>
      </c>
      <c r="E26" t="s">
        <v>61</v>
      </c>
      <c r="F26">
        <v>1</v>
      </c>
      <c r="G26">
        <v>44209</v>
      </c>
      <c r="I26" s="5">
        <v>44216</v>
      </c>
      <c r="K26" s="5" t="s">
        <v>22</v>
      </c>
      <c r="L26" t="s">
        <v>57</v>
      </c>
      <c r="M26" t="s">
        <v>24</v>
      </c>
      <c r="O26" t="s">
        <v>25</v>
      </c>
      <c r="P26" t="s">
        <v>25</v>
      </c>
      <c r="Q26" t="s">
        <v>53</v>
      </c>
      <c r="R26" t="s">
        <v>53</v>
      </c>
    </row>
    <row r="27" spans="1:18" x14ac:dyDescent="0.25">
      <c r="A27" t="s">
        <v>67</v>
      </c>
      <c r="B27">
        <v>216194</v>
      </c>
      <c r="C27" t="s">
        <v>63</v>
      </c>
      <c r="D27" t="s">
        <v>68</v>
      </c>
      <c r="E27" t="s">
        <v>48</v>
      </c>
      <c r="F27">
        <v>2</v>
      </c>
      <c r="G27">
        <v>44218</v>
      </c>
      <c r="H27">
        <v>44218</v>
      </c>
      <c r="I27" s="5">
        <v>44218</v>
      </c>
      <c r="K27" s="5" t="s">
        <v>22</v>
      </c>
      <c r="L27" t="s">
        <v>57</v>
      </c>
      <c r="M27" t="s">
        <v>24</v>
      </c>
      <c r="O27" t="s">
        <v>25</v>
      </c>
      <c r="P27" t="s">
        <v>26</v>
      </c>
      <c r="Q27" t="s">
        <v>27</v>
      </c>
      <c r="R27" t="s">
        <v>28</v>
      </c>
    </row>
    <row r="28" spans="1:18" x14ac:dyDescent="0.25">
      <c r="A28" t="s">
        <v>67</v>
      </c>
      <c r="B28">
        <v>216194</v>
      </c>
      <c r="C28" t="s">
        <v>63</v>
      </c>
      <c r="D28" t="s">
        <v>68</v>
      </c>
      <c r="E28" t="s">
        <v>34</v>
      </c>
      <c r="F28">
        <v>2</v>
      </c>
      <c r="G28">
        <v>44218</v>
      </c>
      <c r="H28">
        <v>44218</v>
      </c>
      <c r="I28" s="5">
        <v>44218</v>
      </c>
      <c r="K28" s="5" t="s">
        <v>22</v>
      </c>
      <c r="L28" t="s">
        <v>57</v>
      </c>
      <c r="M28" t="s">
        <v>24</v>
      </c>
      <c r="O28" t="s">
        <v>25</v>
      </c>
      <c r="P28" t="s">
        <v>26</v>
      </c>
      <c r="Q28" t="s">
        <v>27</v>
      </c>
      <c r="R28" t="s">
        <v>28</v>
      </c>
    </row>
    <row r="29" spans="1:18" x14ac:dyDescent="0.25">
      <c r="A29" t="s">
        <v>67</v>
      </c>
      <c r="B29">
        <v>216194</v>
      </c>
      <c r="C29" t="s">
        <v>63</v>
      </c>
      <c r="D29" t="s">
        <v>68</v>
      </c>
      <c r="E29" t="s">
        <v>35</v>
      </c>
      <c r="F29">
        <v>2</v>
      </c>
      <c r="G29">
        <v>44218</v>
      </c>
      <c r="H29">
        <v>44218</v>
      </c>
      <c r="I29" s="5">
        <v>44218</v>
      </c>
      <c r="K29" s="5" t="s">
        <v>22</v>
      </c>
      <c r="L29" t="s">
        <v>57</v>
      </c>
      <c r="M29" t="s">
        <v>24</v>
      </c>
      <c r="O29" t="s">
        <v>25</v>
      </c>
      <c r="P29" t="s">
        <v>26</v>
      </c>
      <c r="Q29" t="s">
        <v>27</v>
      </c>
      <c r="R29" t="s">
        <v>28</v>
      </c>
    </row>
    <row r="30" spans="1:18" x14ac:dyDescent="0.25">
      <c r="A30" t="s">
        <v>29</v>
      </c>
      <c r="B30">
        <v>212059</v>
      </c>
      <c r="C30" t="s">
        <v>19</v>
      </c>
      <c r="D30" t="s">
        <v>69</v>
      </c>
      <c r="E30" t="s">
        <v>43</v>
      </c>
      <c r="F30">
        <v>1</v>
      </c>
      <c r="G30">
        <v>44210</v>
      </c>
      <c r="H30">
        <v>44214</v>
      </c>
      <c r="I30" s="5">
        <v>44211</v>
      </c>
      <c r="K30" s="5" t="s">
        <v>22</v>
      </c>
      <c r="L30" t="s">
        <v>33</v>
      </c>
      <c r="M30" t="s">
        <v>24</v>
      </c>
      <c r="O30" t="s">
        <v>25</v>
      </c>
      <c r="P30" t="s">
        <v>25</v>
      </c>
      <c r="Q30" t="s">
        <v>53</v>
      </c>
      <c r="R30" t="s">
        <v>53</v>
      </c>
    </row>
    <row r="31" spans="1:18" x14ac:dyDescent="0.25">
      <c r="A31" t="s">
        <v>70</v>
      </c>
      <c r="B31">
        <v>215322</v>
      </c>
      <c r="C31" t="s">
        <v>30</v>
      </c>
      <c r="D31" t="s">
        <v>71</v>
      </c>
      <c r="E31" t="s">
        <v>72</v>
      </c>
      <c r="F31">
        <v>1</v>
      </c>
      <c r="G31">
        <v>44215</v>
      </c>
      <c r="H31">
        <v>44221</v>
      </c>
      <c r="I31" s="5">
        <v>44221</v>
      </c>
      <c r="K31" s="5" t="s">
        <v>22</v>
      </c>
      <c r="L31" t="s">
        <v>57</v>
      </c>
      <c r="M31" t="s">
        <v>24</v>
      </c>
      <c r="N31">
        <v>0</v>
      </c>
      <c r="O31" t="s">
        <v>25</v>
      </c>
      <c r="P31" t="s">
        <v>26</v>
      </c>
      <c r="Q31" t="s">
        <v>53</v>
      </c>
      <c r="R31" t="s">
        <v>73</v>
      </c>
    </row>
    <row r="32" spans="1:18" x14ac:dyDescent="0.25">
      <c r="A32" t="s">
        <v>46</v>
      </c>
      <c r="B32">
        <v>215073</v>
      </c>
      <c r="C32" t="s">
        <v>63</v>
      </c>
      <c r="D32" t="s">
        <v>74</v>
      </c>
      <c r="E32" t="s">
        <v>66</v>
      </c>
      <c r="F32">
        <v>1</v>
      </c>
      <c r="G32">
        <v>44214</v>
      </c>
      <c r="H32">
        <v>44218</v>
      </c>
      <c r="K32" s="5" t="s">
        <v>22</v>
      </c>
      <c r="L32" t="s">
        <v>57</v>
      </c>
      <c r="M32" t="s">
        <v>24</v>
      </c>
      <c r="O32" t="s">
        <v>25</v>
      </c>
      <c r="P32" t="s">
        <v>26</v>
      </c>
      <c r="Q32" t="s">
        <v>28</v>
      </c>
      <c r="R32" t="s">
        <v>53</v>
      </c>
    </row>
    <row r="33" spans="1:18" x14ac:dyDescent="0.25">
      <c r="A33" t="s">
        <v>29</v>
      </c>
      <c r="B33">
        <v>212059</v>
      </c>
      <c r="C33" t="s">
        <v>19</v>
      </c>
      <c r="D33" t="s">
        <v>69</v>
      </c>
      <c r="E33" t="s">
        <v>34</v>
      </c>
      <c r="F33">
        <v>1</v>
      </c>
      <c r="G33">
        <v>44210</v>
      </c>
      <c r="H33">
        <v>44214</v>
      </c>
      <c r="I33" s="5">
        <v>44211</v>
      </c>
      <c r="K33" s="5" t="s">
        <v>22</v>
      </c>
      <c r="L33" t="s">
        <v>33</v>
      </c>
      <c r="M33" t="s">
        <v>24</v>
      </c>
      <c r="O33" t="s">
        <v>25</v>
      </c>
      <c r="P33" t="s">
        <v>25</v>
      </c>
      <c r="Q33" t="s">
        <v>53</v>
      </c>
      <c r="R33" t="s">
        <v>53</v>
      </c>
    </row>
    <row r="34" spans="1:18" x14ac:dyDescent="0.25">
      <c r="A34" t="s">
        <v>29</v>
      </c>
      <c r="B34">
        <v>212059</v>
      </c>
      <c r="C34" t="s">
        <v>19</v>
      </c>
      <c r="D34" t="s">
        <v>69</v>
      </c>
      <c r="E34" t="s">
        <v>32</v>
      </c>
      <c r="F34">
        <v>1</v>
      </c>
      <c r="G34">
        <v>44210</v>
      </c>
      <c r="H34">
        <v>44214</v>
      </c>
      <c r="I34" s="5">
        <v>44211</v>
      </c>
      <c r="K34" s="5" t="s">
        <v>22</v>
      </c>
      <c r="L34" t="s">
        <v>33</v>
      </c>
      <c r="M34" t="s">
        <v>24</v>
      </c>
      <c r="O34" t="s">
        <v>25</v>
      </c>
      <c r="P34" t="s">
        <v>25</v>
      </c>
      <c r="Q34" t="s">
        <v>53</v>
      </c>
      <c r="R34" t="s">
        <v>53</v>
      </c>
    </row>
    <row r="35" spans="1:18" x14ac:dyDescent="0.25">
      <c r="A35" t="s">
        <v>29</v>
      </c>
      <c r="B35">
        <v>212059</v>
      </c>
      <c r="C35" t="s">
        <v>19</v>
      </c>
      <c r="D35" t="s">
        <v>69</v>
      </c>
      <c r="E35" t="s">
        <v>75</v>
      </c>
      <c r="F35">
        <v>1</v>
      </c>
      <c r="G35">
        <v>44210</v>
      </c>
      <c r="H35">
        <v>44214</v>
      </c>
      <c r="I35" s="5">
        <v>44211</v>
      </c>
      <c r="K35" s="5" t="s">
        <v>22</v>
      </c>
      <c r="L35" t="s">
        <v>33</v>
      </c>
      <c r="M35" t="s">
        <v>24</v>
      </c>
      <c r="O35" t="s">
        <v>25</v>
      </c>
      <c r="P35" t="s">
        <v>25</v>
      </c>
      <c r="Q35" t="s">
        <v>53</v>
      </c>
      <c r="R35" t="s">
        <v>53</v>
      </c>
    </row>
    <row r="36" spans="1:18" x14ac:dyDescent="0.25">
      <c r="A36" t="s">
        <v>29</v>
      </c>
      <c r="B36">
        <v>212059</v>
      </c>
      <c r="C36" t="s">
        <v>19</v>
      </c>
      <c r="D36" t="s">
        <v>69</v>
      </c>
      <c r="E36" t="s">
        <v>48</v>
      </c>
      <c r="F36">
        <v>1</v>
      </c>
      <c r="G36">
        <v>44210</v>
      </c>
      <c r="H36">
        <v>44214</v>
      </c>
      <c r="I36" s="5">
        <v>44211</v>
      </c>
      <c r="K36" s="5" t="s">
        <v>22</v>
      </c>
      <c r="L36" t="s">
        <v>33</v>
      </c>
      <c r="M36" t="s">
        <v>24</v>
      </c>
      <c r="O36" t="s">
        <v>25</v>
      </c>
      <c r="P36" t="s">
        <v>25</v>
      </c>
      <c r="Q36" t="s">
        <v>53</v>
      </c>
      <c r="R36" t="s">
        <v>53</v>
      </c>
    </row>
    <row r="37" spans="1:18" x14ac:dyDescent="0.25">
      <c r="A37" t="s">
        <v>29</v>
      </c>
      <c r="B37">
        <v>212059</v>
      </c>
      <c r="C37" t="s">
        <v>19</v>
      </c>
      <c r="D37" t="s">
        <v>69</v>
      </c>
      <c r="E37" t="s">
        <v>35</v>
      </c>
      <c r="F37">
        <v>5</v>
      </c>
      <c r="G37">
        <v>44210</v>
      </c>
      <c r="H37">
        <v>44214</v>
      </c>
      <c r="I37" s="5">
        <v>44211</v>
      </c>
      <c r="K37" s="5" t="s">
        <v>22</v>
      </c>
      <c r="L37" t="s">
        <v>33</v>
      </c>
      <c r="M37" t="s">
        <v>24</v>
      </c>
      <c r="O37" t="s">
        <v>25</v>
      </c>
      <c r="P37" t="s">
        <v>25</v>
      </c>
      <c r="Q37" t="s">
        <v>53</v>
      </c>
      <c r="R37" t="s">
        <v>53</v>
      </c>
    </row>
    <row r="38" spans="1:18" x14ac:dyDescent="0.25">
      <c r="A38" t="s">
        <v>76</v>
      </c>
      <c r="B38">
        <v>215220</v>
      </c>
      <c r="C38" t="s">
        <v>19</v>
      </c>
      <c r="D38" t="s">
        <v>77</v>
      </c>
      <c r="E38" t="s">
        <v>35</v>
      </c>
      <c r="F38">
        <v>1</v>
      </c>
      <c r="G38">
        <v>44214</v>
      </c>
      <c r="H38">
        <v>44221</v>
      </c>
      <c r="I38" s="5">
        <v>44224</v>
      </c>
      <c r="K38" s="5" t="s">
        <v>22</v>
      </c>
      <c r="L38" t="s">
        <v>23</v>
      </c>
      <c r="M38" t="s">
        <v>24</v>
      </c>
      <c r="N38">
        <v>1</v>
      </c>
      <c r="O38" t="s">
        <v>25</v>
      </c>
      <c r="P38" t="s">
        <v>25</v>
      </c>
      <c r="Q38" t="s">
        <v>28</v>
      </c>
      <c r="R38" t="s">
        <v>53</v>
      </c>
    </row>
    <row r="39" spans="1:18" x14ac:dyDescent="0.25">
      <c r="A39" t="s">
        <v>39</v>
      </c>
      <c r="B39">
        <v>189842</v>
      </c>
      <c r="C39" t="s">
        <v>30</v>
      </c>
      <c r="D39" t="s">
        <v>78</v>
      </c>
      <c r="E39" t="s">
        <v>34</v>
      </c>
      <c r="F39">
        <v>7</v>
      </c>
      <c r="G39">
        <v>44221</v>
      </c>
      <c r="H39">
        <v>44221</v>
      </c>
      <c r="I39" s="5">
        <v>44221</v>
      </c>
      <c r="K39" s="5" t="s">
        <v>22</v>
      </c>
      <c r="L39" t="s">
        <v>33</v>
      </c>
      <c r="M39" t="s">
        <v>24</v>
      </c>
      <c r="N39">
        <v>2</v>
      </c>
      <c r="O39" t="s">
        <v>25</v>
      </c>
      <c r="P39" t="s">
        <v>26</v>
      </c>
      <c r="Q39" t="s">
        <v>28</v>
      </c>
      <c r="R39" t="s">
        <v>53</v>
      </c>
    </row>
    <row r="40" spans="1:18" x14ac:dyDescent="0.25">
      <c r="A40" t="s">
        <v>39</v>
      </c>
      <c r="B40">
        <v>189842</v>
      </c>
      <c r="C40" t="s">
        <v>30</v>
      </c>
      <c r="D40" t="s">
        <v>78</v>
      </c>
      <c r="E40" t="s">
        <v>32</v>
      </c>
      <c r="F40">
        <v>1</v>
      </c>
      <c r="G40">
        <v>44221</v>
      </c>
      <c r="H40">
        <v>44221</v>
      </c>
      <c r="I40" s="5">
        <v>44221</v>
      </c>
      <c r="K40" s="5" t="s">
        <v>22</v>
      </c>
      <c r="L40" t="s">
        <v>33</v>
      </c>
      <c r="M40" t="s">
        <v>24</v>
      </c>
      <c r="N40">
        <v>2</v>
      </c>
      <c r="O40" t="s">
        <v>25</v>
      </c>
      <c r="P40" t="s">
        <v>26</v>
      </c>
      <c r="Q40" t="s">
        <v>28</v>
      </c>
      <c r="R40" t="s">
        <v>53</v>
      </c>
    </row>
    <row r="41" spans="1:18" x14ac:dyDescent="0.25">
      <c r="A41" t="s">
        <v>39</v>
      </c>
      <c r="B41">
        <v>189842</v>
      </c>
      <c r="C41" t="s">
        <v>30</v>
      </c>
      <c r="D41" t="s">
        <v>78</v>
      </c>
      <c r="E41" t="s">
        <v>66</v>
      </c>
      <c r="F41">
        <v>5</v>
      </c>
      <c r="G41">
        <v>44221</v>
      </c>
      <c r="H41">
        <v>44221</v>
      </c>
      <c r="I41" s="5">
        <v>44221</v>
      </c>
      <c r="K41" s="5" t="s">
        <v>22</v>
      </c>
      <c r="L41" t="s">
        <v>33</v>
      </c>
      <c r="M41" t="s">
        <v>24</v>
      </c>
      <c r="N41">
        <v>2</v>
      </c>
      <c r="O41" t="s">
        <v>25</v>
      </c>
      <c r="P41" t="s">
        <v>26</v>
      </c>
      <c r="Q41" t="s">
        <v>28</v>
      </c>
      <c r="R41" t="s">
        <v>53</v>
      </c>
    </row>
    <row r="42" spans="1:18" x14ac:dyDescent="0.25">
      <c r="A42" t="s">
        <v>39</v>
      </c>
      <c r="B42">
        <v>189842</v>
      </c>
      <c r="C42" t="s">
        <v>55</v>
      </c>
      <c r="D42" t="s">
        <v>78</v>
      </c>
      <c r="E42" t="s">
        <v>34</v>
      </c>
      <c r="F42">
        <v>24</v>
      </c>
      <c r="G42">
        <v>44090</v>
      </c>
      <c r="H42">
        <v>44211</v>
      </c>
      <c r="I42" s="5">
        <v>44211</v>
      </c>
      <c r="K42" s="5" t="s">
        <v>22</v>
      </c>
      <c r="L42" t="s">
        <v>33</v>
      </c>
      <c r="M42" t="s">
        <v>24</v>
      </c>
    </row>
    <row r="43" spans="1:18" x14ac:dyDescent="0.25">
      <c r="A43" t="s">
        <v>39</v>
      </c>
      <c r="B43">
        <v>189842</v>
      </c>
      <c r="C43" t="s">
        <v>55</v>
      </c>
      <c r="D43" t="s">
        <v>78</v>
      </c>
      <c r="E43" t="s">
        <v>79</v>
      </c>
      <c r="F43">
        <v>11</v>
      </c>
      <c r="G43">
        <v>44090</v>
      </c>
      <c r="H43">
        <v>44211</v>
      </c>
      <c r="I43" s="5">
        <v>44211</v>
      </c>
      <c r="K43" s="5" t="s">
        <v>22</v>
      </c>
      <c r="L43" t="s">
        <v>33</v>
      </c>
      <c r="M43" t="s">
        <v>79</v>
      </c>
    </row>
    <row r="44" spans="1:18" x14ac:dyDescent="0.25">
      <c r="A44" t="s">
        <v>39</v>
      </c>
      <c r="B44">
        <v>189842</v>
      </c>
      <c r="C44" t="s">
        <v>55</v>
      </c>
      <c r="D44" t="s">
        <v>78</v>
      </c>
      <c r="E44" t="s">
        <v>80</v>
      </c>
      <c r="F44">
        <v>31</v>
      </c>
      <c r="G44">
        <v>44090</v>
      </c>
      <c r="H44">
        <v>44211</v>
      </c>
      <c r="I44" s="5">
        <v>44211</v>
      </c>
      <c r="K44" s="5" t="s">
        <v>22</v>
      </c>
      <c r="L44" t="s">
        <v>33</v>
      </c>
      <c r="M44" t="s">
        <v>79</v>
      </c>
    </row>
    <row r="45" spans="1:18" x14ac:dyDescent="0.25">
      <c r="A45" t="s">
        <v>39</v>
      </c>
      <c r="B45">
        <v>189842</v>
      </c>
      <c r="C45" t="s">
        <v>55</v>
      </c>
      <c r="D45" t="s">
        <v>78</v>
      </c>
      <c r="E45" t="s">
        <v>81</v>
      </c>
      <c r="F45">
        <v>20</v>
      </c>
      <c r="G45">
        <v>44090</v>
      </c>
      <c r="H45">
        <v>44211</v>
      </c>
      <c r="I45" s="5">
        <v>44211</v>
      </c>
      <c r="K45" s="5" t="s">
        <v>22</v>
      </c>
      <c r="L45" t="s">
        <v>33</v>
      </c>
      <c r="M45" t="s">
        <v>24</v>
      </c>
    </row>
    <row r="46" spans="1:18" x14ac:dyDescent="0.25">
      <c r="A46" t="s">
        <v>39</v>
      </c>
      <c r="B46">
        <v>189842</v>
      </c>
      <c r="C46" t="s">
        <v>55</v>
      </c>
      <c r="D46" t="s">
        <v>78</v>
      </c>
      <c r="E46" t="s">
        <v>82</v>
      </c>
      <c r="F46">
        <v>1</v>
      </c>
      <c r="G46">
        <v>44090</v>
      </c>
      <c r="H46">
        <v>44211</v>
      </c>
      <c r="I46" s="5">
        <v>44211</v>
      </c>
      <c r="K46" s="5" t="s">
        <v>22</v>
      </c>
      <c r="L46" t="s">
        <v>41</v>
      </c>
      <c r="M46" t="s">
        <v>24</v>
      </c>
    </row>
    <row r="47" spans="1:18" x14ac:dyDescent="0.25">
      <c r="A47" t="s">
        <v>39</v>
      </c>
      <c r="B47">
        <v>189842</v>
      </c>
      <c r="C47" t="s">
        <v>55</v>
      </c>
      <c r="D47" t="s">
        <v>78</v>
      </c>
      <c r="E47" t="s">
        <v>66</v>
      </c>
      <c r="F47">
        <v>1</v>
      </c>
      <c r="G47">
        <v>44090</v>
      </c>
      <c r="H47">
        <v>44211</v>
      </c>
      <c r="I47" s="5">
        <v>44211</v>
      </c>
      <c r="K47" s="5" t="s">
        <v>22</v>
      </c>
      <c r="L47" t="s">
        <v>41</v>
      </c>
      <c r="M47" t="s">
        <v>24</v>
      </c>
    </row>
    <row r="48" spans="1:18" x14ac:dyDescent="0.25">
      <c r="A48" t="s">
        <v>76</v>
      </c>
      <c r="B48">
        <v>215220</v>
      </c>
      <c r="C48" t="s">
        <v>19</v>
      </c>
      <c r="D48" t="s">
        <v>77</v>
      </c>
      <c r="E48" t="s">
        <v>48</v>
      </c>
      <c r="F48">
        <v>1</v>
      </c>
      <c r="G48">
        <v>44214</v>
      </c>
      <c r="H48">
        <v>44221</v>
      </c>
      <c r="I48" s="5">
        <v>44224</v>
      </c>
      <c r="K48" s="5" t="s">
        <v>22</v>
      </c>
      <c r="L48" t="s">
        <v>23</v>
      </c>
      <c r="M48" t="s">
        <v>24</v>
      </c>
      <c r="N48">
        <v>1</v>
      </c>
      <c r="O48" t="s">
        <v>25</v>
      </c>
      <c r="P48" t="s">
        <v>25</v>
      </c>
      <c r="Q48" t="s">
        <v>28</v>
      </c>
      <c r="R48" t="s">
        <v>53</v>
      </c>
    </row>
    <row r="49" spans="1:18" x14ac:dyDescent="0.25">
      <c r="A49" t="s">
        <v>76</v>
      </c>
      <c r="B49">
        <v>215220</v>
      </c>
      <c r="C49" t="s">
        <v>19</v>
      </c>
      <c r="D49" t="s">
        <v>77</v>
      </c>
      <c r="E49" t="s">
        <v>32</v>
      </c>
      <c r="F49">
        <v>1</v>
      </c>
      <c r="G49">
        <v>44214</v>
      </c>
      <c r="H49">
        <v>44221</v>
      </c>
      <c r="I49" s="5">
        <v>44224</v>
      </c>
      <c r="K49" s="5" t="s">
        <v>22</v>
      </c>
      <c r="L49" t="s">
        <v>23</v>
      </c>
      <c r="M49" t="s">
        <v>24</v>
      </c>
      <c r="N49">
        <v>1</v>
      </c>
      <c r="O49" t="s">
        <v>25</v>
      </c>
      <c r="P49" t="s">
        <v>25</v>
      </c>
      <c r="Q49" t="s">
        <v>28</v>
      </c>
      <c r="R49" t="s">
        <v>53</v>
      </c>
    </row>
    <row r="50" spans="1:18" x14ac:dyDescent="0.25">
      <c r="A50" t="s">
        <v>76</v>
      </c>
      <c r="B50">
        <v>215220</v>
      </c>
      <c r="C50" t="s">
        <v>19</v>
      </c>
      <c r="D50" t="s">
        <v>77</v>
      </c>
      <c r="E50" t="s">
        <v>45</v>
      </c>
      <c r="F50">
        <v>1</v>
      </c>
      <c r="G50">
        <v>44214</v>
      </c>
      <c r="H50">
        <v>44221</v>
      </c>
      <c r="I50" s="5">
        <v>44224</v>
      </c>
      <c r="K50" s="5" t="s">
        <v>22</v>
      </c>
      <c r="L50" t="s">
        <v>23</v>
      </c>
      <c r="M50" t="s">
        <v>24</v>
      </c>
      <c r="N50">
        <v>1</v>
      </c>
      <c r="O50" t="s">
        <v>25</v>
      </c>
      <c r="P50" t="s">
        <v>25</v>
      </c>
      <c r="Q50" t="s">
        <v>28</v>
      </c>
      <c r="R50" t="s">
        <v>53</v>
      </c>
    </row>
    <row r="51" spans="1:18" x14ac:dyDescent="0.25">
      <c r="A51" t="s">
        <v>67</v>
      </c>
      <c r="B51">
        <v>217161</v>
      </c>
      <c r="C51" t="s">
        <v>30</v>
      </c>
      <c r="D51" t="s">
        <v>83</v>
      </c>
      <c r="E51" t="s">
        <v>43</v>
      </c>
      <c r="F51">
        <v>2</v>
      </c>
      <c r="G51">
        <v>44223</v>
      </c>
      <c r="H51">
        <v>44224</v>
      </c>
      <c r="I51" s="5">
        <v>44224</v>
      </c>
      <c r="K51" s="5" t="s">
        <v>22</v>
      </c>
      <c r="L51" t="s">
        <v>33</v>
      </c>
      <c r="M51" t="s">
        <v>24</v>
      </c>
      <c r="O51" t="s">
        <v>25</v>
      </c>
      <c r="P51" t="s">
        <v>26</v>
      </c>
      <c r="Q51" t="s">
        <v>28</v>
      </c>
      <c r="R51" t="s">
        <v>27</v>
      </c>
    </row>
    <row r="52" spans="1:18" x14ac:dyDescent="0.25">
      <c r="A52" t="s">
        <v>54</v>
      </c>
      <c r="B52">
        <v>179192</v>
      </c>
      <c r="C52" t="s">
        <v>55</v>
      </c>
      <c r="D52" t="s">
        <v>84</v>
      </c>
      <c r="E52" t="s">
        <v>66</v>
      </c>
      <c r="F52">
        <v>3</v>
      </c>
      <c r="G52">
        <v>44039</v>
      </c>
      <c r="I52" s="5">
        <v>44211</v>
      </c>
      <c r="K52" s="5" t="s">
        <v>22</v>
      </c>
      <c r="L52" t="s">
        <v>41</v>
      </c>
      <c r="M52" t="s">
        <v>24</v>
      </c>
      <c r="O52" t="s">
        <v>26</v>
      </c>
      <c r="P52" t="s">
        <v>25</v>
      </c>
      <c r="Q52" t="s">
        <v>28</v>
      </c>
      <c r="R52" t="s">
        <v>53</v>
      </c>
    </row>
    <row r="53" spans="1:18" x14ac:dyDescent="0.25">
      <c r="A53" t="s">
        <v>54</v>
      </c>
      <c r="B53">
        <v>179192</v>
      </c>
      <c r="C53" t="s">
        <v>55</v>
      </c>
      <c r="D53" t="s">
        <v>84</v>
      </c>
      <c r="E53" t="s">
        <v>34</v>
      </c>
      <c r="F53">
        <v>4</v>
      </c>
      <c r="G53">
        <v>44039</v>
      </c>
      <c r="I53" s="5">
        <v>44211</v>
      </c>
      <c r="J53" s="5" t="s">
        <v>85</v>
      </c>
      <c r="K53" s="5" t="s">
        <v>22</v>
      </c>
      <c r="L53" t="s">
        <v>33</v>
      </c>
      <c r="M53" t="s">
        <v>24</v>
      </c>
      <c r="O53" t="s">
        <v>25</v>
      </c>
      <c r="P53" t="s">
        <v>25</v>
      </c>
      <c r="Q53" t="s">
        <v>28</v>
      </c>
      <c r="R53" t="s">
        <v>53</v>
      </c>
    </row>
    <row r="54" spans="1:18" x14ac:dyDescent="0.25">
      <c r="A54" t="s">
        <v>54</v>
      </c>
      <c r="B54">
        <v>179192</v>
      </c>
      <c r="C54" t="s">
        <v>55</v>
      </c>
      <c r="D54" t="s">
        <v>84</v>
      </c>
      <c r="E54" t="s">
        <v>34</v>
      </c>
      <c r="F54">
        <v>5</v>
      </c>
      <c r="G54">
        <v>44039</v>
      </c>
      <c r="I54" s="5">
        <v>44211</v>
      </c>
      <c r="J54" s="5" t="s">
        <v>86</v>
      </c>
      <c r="K54" s="5" t="s">
        <v>22</v>
      </c>
      <c r="L54" t="s">
        <v>41</v>
      </c>
      <c r="M54" t="s">
        <v>24</v>
      </c>
      <c r="O54" t="s">
        <v>26</v>
      </c>
      <c r="P54" t="s">
        <v>25</v>
      </c>
      <c r="Q54" t="s">
        <v>28</v>
      </c>
      <c r="R54" t="s">
        <v>53</v>
      </c>
    </row>
    <row r="55" spans="1:18" x14ac:dyDescent="0.25">
      <c r="A55" t="s">
        <v>54</v>
      </c>
      <c r="B55">
        <v>179192</v>
      </c>
      <c r="C55" t="s">
        <v>55</v>
      </c>
      <c r="D55" t="s">
        <v>84</v>
      </c>
      <c r="E55" t="s">
        <v>80</v>
      </c>
      <c r="F55">
        <v>5</v>
      </c>
      <c r="G55">
        <v>44039</v>
      </c>
      <c r="I55" s="5">
        <v>44211</v>
      </c>
      <c r="J55" s="5" t="s">
        <v>87</v>
      </c>
      <c r="K55" s="5" t="s">
        <v>22</v>
      </c>
      <c r="L55" t="s">
        <v>41</v>
      </c>
      <c r="M55" t="s">
        <v>24</v>
      </c>
      <c r="O55" t="s">
        <v>26</v>
      </c>
      <c r="P55" t="s">
        <v>25</v>
      </c>
      <c r="Q55" t="s">
        <v>28</v>
      </c>
      <c r="R55" t="s">
        <v>53</v>
      </c>
    </row>
    <row r="56" spans="1:18" x14ac:dyDescent="0.25">
      <c r="A56" t="s">
        <v>54</v>
      </c>
      <c r="B56">
        <v>179192</v>
      </c>
      <c r="C56" t="s">
        <v>55</v>
      </c>
      <c r="D56" t="s">
        <v>84</v>
      </c>
      <c r="E56" t="s">
        <v>61</v>
      </c>
      <c r="F56">
        <v>2</v>
      </c>
      <c r="G56">
        <v>44039</v>
      </c>
      <c r="I56" s="5">
        <v>44211</v>
      </c>
      <c r="K56" s="5" t="s">
        <v>22</v>
      </c>
      <c r="L56" t="s">
        <v>33</v>
      </c>
      <c r="M56" t="s">
        <v>24</v>
      </c>
      <c r="O56" t="s">
        <v>25</v>
      </c>
      <c r="P56" t="s">
        <v>25</v>
      </c>
      <c r="Q56" t="s">
        <v>28</v>
      </c>
      <c r="R56" t="s">
        <v>53</v>
      </c>
    </row>
    <row r="57" spans="1:18" x14ac:dyDescent="0.25">
      <c r="A57" t="s">
        <v>54</v>
      </c>
      <c r="B57">
        <v>179192</v>
      </c>
      <c r="C57" t="s">
        <v>55</v>
      </c>
      <c r="D57" t="s">
        <v>84</v>
      </c>
      <c r="E57" t="s">
        <v>88</v>
      </c>
      <c r="F57">
        <v>1</v>
      </c>
      <c r="G57">
        <v>44039</v>
      </c>
      <c r="I57" s="5">
        <v>44211</v>
      </c>
      <c r="K57" s="5" t="s">
        <v>22</v>
      </c>
      <c r="L57" t="s">
        <v>41</v>
      </c>
      <c r="M57" t="s">
        <v>24</v>
      </c>
      <c r="O57" t="s">
        <v>26</v>
      </c>
      <c r="P57" t="s">
        <v>25</v>
      </c>
      <c r="Q57" t="s">
        <v>28</v>
      </c>
      <c r="R57" t="s">
        <v>53</v>
      </c>
    </row>
    <row r="58" spans="1:18" x14ac:dyDescent="0.25">
      <c r="A58" t="s">
        <v>54</v>
      </c>
      <c r="B58">
        <v>179192</v>
      </c>
      <c r="C58" t="s">
        <v>55</v>
      </c>
      <c r="D58" t="s">
        <v>84</v>
      </c>
      <c r="E58" t="s">
        <v>62</v>
      </c>
      <c r="F58">
        <v>2</v>
      </c>
      <c r="G58">
        <v>44039</v>
      </c>
      <c r="I58" s="5">
        <v>44211</v>
      </c>
      <c r="K58" s="5" t="s">
        <v>22</v>
      </c>
      <c r="L58" t="s">
        <v>41</v>
      </c>
      <c r="M58" t="s">
        <v>24</v>
      </c>
      <c r="O58" t="s">
        <v>26</v>
      </c>
      <c r="P58" t="s">
        <v>25</v>
      </c>
      <c r="Q58" t="s">
        <v>28</v>
      </c>
      <c r="R58" t="s">
        <v>53</v>
      </c>
    </row>
    <row r="59" spans="1:18" x14ac:dyDescent="0.25">
      <c r="A59" t="s">
        <v>54</v>
      </c>
      <c r="B59">
        <v>179192</v>
      </c>
      <c r="C59" t="s">
        <v>55</v>
      </c>
      <c r="D59" t="s">
        <v>84</v>
      </c>
      <c r="E59" t="s">
        <v>80</v>
      </c>
      <c r="F59">
        <v>3</v>
      </c>
      <c r="G59">
        <v>44039</v>
      </c>
      <c r="I59" s="5">
        <v>44211</v>
      </c>
      <c r="K59" s="5" t="s">
        <v>22</v>
      </c>
      <c r="L59" t="s">
        <v>41</v>
      </c>
      <c r="M59" t="s">
        <v>24</v>
      </c>
      <c r="O59" t="s">
        <v>26</v>
      </c>
      <c r="P59" t="s">
        <v>25</v>
      </c>
      <c r="Q59" t="s">
        <v>28</v>
      </c>
      <c r="R59" t="s">
        <v>53</v>
      </c>
    </row>
    <row r="60" spans="1:18" x14ac:dyDescent="0.25">
      <c r="A60" t="s">
        <v>54</v>
      </c>
      <c r="B60">
        <v>179192</v>
      </c>
      <c r="C60" t="s">
        <v>55</v>
      </c>
      <c r="D60" t="s">
        <v>84</v>
      </c>
      <c r="E60" t="s">
        <v>79</v>
      </c>
      <c r="F60">
        <v>1</v>
      </c>
      <c r="G60">
        <v>44039</v>
      </c>
      <c r="I60" s="5">
        <v>44211</v>
      </c>
      <c r="K60" s="5" t="s">
        <v>22</v>
      </c>
      <c r="L60" t="s">
        <v>41</v>
      </c>
      <c r="M60" t="s">
        <v>24</v>
      </c>
      <c r="O60" t="s">
        <v>26</v>
      </c>
      <c r="P60" t="s">
        <v>25</v>
      </c>
      <c r="Q60" t="s">
        <v>28</v>
      </c>
      <c r="R60" t="s">
        <v>53</v>
      </c>
    </row>
    <row r="61" spans="1:18" x14ac:dyDescent="0.25">
      <c r="A61" t="s">
        <v>54</v>
      </c>
      <c r="B61">
        <v>179192</v>
      </c>
      <c r="C61" t="s">
        <v>55</v>
      </c>
      <c r="D61" t="s">
        <v>84</v>
      </c>
      <c r="E61" t="s">
        <v>48</v>
      </c>
      <c r="F61">
        <v>6</v>
      </c>
      <c r="G61">
        <v>44039</v>
      </c>
      <c r="I61" s="5">
        <v>44211</v>
      </c>
      <c r="K61" s="5" t="s">
        <v>22</v>
      </c>
      <c r="L61" t="s">
        <v>33</v>
      </c>
      <c r="M61" t="s">
        <v>24</v>
      </c>
      <c r="O61" t="s">
        <v>25</v>
      </c>
      <c r="P61" t="s">
        <v>25</v>
      </c>
      <c r="Q61" t="s">
        <v>28</v>
      </c>
      <c r="R61" t="s">
        <v>53</v>
      </c>
    </row>
    <row r="62" spans="1:18" x14ac:dyDescent="0.25">
      <c r="A62" t="s">
        <v>54</v>
      </c>
      <c r="B62">
        <v>179192</v>
      </c>
      <c r="C62" t="s">
        <v>55</v>
      </c>
      <c r="D62" t="s">
        <v>84</v>
      </c>
      <c r="E62" t="s">
        <v>89</v>
      </c>
      <c r="F62">
        <v>4</v>
      </c>
      <c r="G62">
        <v>44039</v>
      </c>
      <c r="I62" s="5">
        <v>44211</v>
      </c>
      <c r="K62" s="5" t="s">
        <v>22</v>
      </c>
      <c r="L62" t="s">
        <v>33</v>
      </c>
      <c r="M62" t="s">
        <v>24</v>
      </c>
      <c r="O62" t="s">
        <v>25</v>
      </c>
      <c r="P62" t="s">
        <v>25</v>
      </c>
      <c r="Q62" t="s">
        <v>28</v>
      </c>
      <c r="R62" t="s">
        <v>53</v>
      </c>
    </row>
    <row r="63" spans="1:18" x14ac:dyDescent="0.25">
      <c r="A63" t="s">
        <v>54</v>
      </c>
      <c r="B63">
        <v>179192</v>
      </c>
      <c r="C63" t="s">
        <v>55</v>
      </c>
      <c r="D63" t="s">
        <v>84</v>
      </c>
      <c r="E63" t="s">
        <v>32</v>
      </c>
      <c r="F63">
        <v>3</v>
      </c>
      <c r="G63">
        <v>44039</v>
      </c>
      <c r="I63" s="5">
        <v>44211</v>
      </c>
      <c r="K63" s="5" t="s">
        <v>22</v>
      </c>
      <c r="L63" t="s">
        <v>33</v>
      </c>
      <c r="M63" t="s">
        <v>24</v>
      </c>
      <c r="O63" t="s">
        <v>25</v>
      </c>
      <c r="P63" t="s">
        <v>25</v>
      </c>
      <c r="Q63" t="s">
        <v>28</v>
      </c>
      <c r="R63" t="s">
        <v>53</v>
      </c>
    </row>
    <row r="64" spans="1:18" x14ac:dyDescent="0.25">
      <c r="A64" t="s">
        <v>54</v>
      </c>
      <c r="B64">
        <v>179192</v>
      </c>
      <c r="C64" t="s">
        <v>55</v>
      </c>
      <c r="D64" t="s">
        <v>84</v>
      </c>
      <c r="E64" t="s">
        <v>35</v>
      </c>
      <c r="F64">
        <v>14</v>
      </c>
      <c r="G64">
        <v>44039</v>
      </c>
      <c r="I64" s="5">
        <v>44211</v>
      </c>
      <c r="J64" s="5" t="s">
        <v>90</v>
      </c>
      <c r="K64" s="5" t="s">
        <v>22</v>
      </c>
      <c r="L64" t="s">
        <v>41</v>
      </c>
      <c r="M64" t="s">
        <v>24</v>
      </c>
      <c r="O64" t="s">
        <v>26</v>
      </c>
      <c r="P64" t="s">
        <v>25</v>
      </c>
      <c r="Q64" t="s">
        <v>28</v>
      </c>
      <c r="R64" t="s">
        <v>53</v>
      </c>
    </row>
    <row r="65" spans="1:18" x14ac:dyDescent="0.25">
      <c r="A65" t="s">
        <v>54</v>
      </c>
      <c r="B65">
        <v>179192</v>
      </c>
      <c r="C65" t="s">
        <v>55</v>
      </c>
      <c r="D65" t="s">
        <v>84</v>
      </c>
      <c r="E65" t="s">
        <v>35</v>
      </c>
      <c r="F65">
        <v>2</v>
      </c>
      <c r="G65">
        <v>44039</v>
      </c>
      <c r="I65" s="5">
        <v>44211</v>
      </c>
      <c r="J65" s="5" t="s">
        <v>91</v>
      </c>
      <c r="K65" s="5" t="s">
        <v>22</v>
      </c>
      <c r="L65" t="s">
        <v>41</v>
      </c>
      <c r="M65" t="s">
        <v>24</v>
      </c>
      <c r="O65" t="s">
        <v>26</v>
      </c>
      <c r="P65" t="s">
        <v>25</v>
      </c>
      <c r="Q65" t="s">
        <v>28</v>
      </c>
      <c r="R65" t="s">
        <v>53</v>
      </c>
    </row>
    <row r="66" spans="1:18" x14ac:dyDescent="0.25">
      <c r="A66" t="s">
        <v>54</v>
      </c>
      <c r="B66">
        <v>179192</v>
      </c>
      <c r="C66" t="s">
        <v>55</v>
      </c>
      <c r="D66" t="s">
        <v>84</v>
      </c>
      <c r="E66" t="s">
        <v>92</v>
      </c>
      <c r="F66">
        <v>5</v>
      </c>
      <c r="G66">
        <v>44039</v>
      </c>
      <c r="I66" s="5">
        <v>44211</v>
      </c>
      <c r="K66" s="5" t="s">
        <v>22</v>
      </c>
      <c r="L66" t="s">
        <v>33</v>
      </c>
      <c r="M66" t="s">
        <v>24</v>
      </c>
      <c r="O66" t="s">
        <v>25</v>
      </c>
      <c r="P66" t="s">
        <v>25</v>
      </c>
      <c r="Q66" t="s">
        <v>28</v>
      </c>
      <c r="R66" t="s">
        <v>53</v>
      </c>
    </row>
    <row r="67" spans="1:18" x14ac:dyDescent="0.25">
      <c r="A67" t="s">
        <v>54</v>
      </c>
      <c r="B67">
        <v>179192</v>
      </c>
      <c r="C67" t="s">
        <v>55</v>
      </c>
      <c r="D67" t="s">
        <v>84</v>
      </c>
      <c r="E67" t="s">
        <v>42</v>
      </c>
      <c r="F67">
        <v>2</v>
      </c>
      <c r="G67">
        <v>44039</v>
      </c>
      <c r="I67" s="5">
        <v>44211</v>
      </c>
      <c r="K67" s="5" t="s">
        <v>22</v>
      </c>
      <c r="L67" t="s">
        <v>33</v>
      </c>
      <c r="M67" t="s">
        <v>24</v>
      </c>
      <c r="O67" t="s">
        <v>25</v>
      </c>
      <c r="P67" t="s">
        <v>25</v>
      </c>
      <c r="Q67" t="s">
        <v>28</v>
      </c>
      <c r="R67" t="s">
        <v>53</v>
      </c>
    </row>
    <row r="68" spans="1:18" x14ac:dyDescent="0.25">
      <c r="A68" t="s">
        <v>54</v>
      </c>
      <c r="C68" t="s">
        <v>55</v>
      </c>
      <c r="D68" t="s">
        <v>84</v>
      </c>
      <c r="E68" t="s">
        <v>93</v>
      </c>
      <c r="F68">
        <v>1</v>
      </c>
      <c r="G68">
        <v>44039</v>
      </c>
      <c r="I68" s="5">
        <v>44211</v>
      </c>
      <c r="K68" s="5" t="s">
        <v>22</v>
      </c>
      <c r="L68" t="s">
        <v>33</v>
      </c>
      <c r="M68" t="s">
        <v>24</v>
      </c>
      <c r="O68" t="s">
        <v>25</v>
      </c>
      <c r="P68" t="s">
        <v>25</v>
      </c>
      <c r="Q68" t="s">
        <v>28</v>
      </c>
      <c r="R68" t="s">
        <v>53</v>
      </c>
    </row>
    <row r="69" spans="1:18" x14ac:dyDescent="0.25">
      <c r="A69" t="s">
        <v>54</v>
      </c>
      <c r="B69">
        <v>179192</v>
      </c>
      <c r="C69" t="s">
        <v>55</v>
      </c>
      <c r="D69" t="s">
        <v>84</v>
      </c>
      <c r="E69" t="s">
        <v>82</v>
      </c>
      <c r="F69">
        <v>6</v>
      </c>
      <c r="G69">
        <v>44039</v>
      </c>
      <c r="I69" s="5">
        <v>44211</v>
      </c>
      <c r="K69" s="5" t="s">
        <v>22</v>
      </c>
      <c r="L69" t="s">
        <v>41</v>
      </c>
      <c r="M69" t="s">
        <v>24</v>
      </c>
      <c r="O69" t="s">
        <v>26</v>
      </c>
      <c r="P69" t="s">
        <v>25</v>
      </c>
      <c r="Q69" t="s">
        <v>28</v>
      </c>
      <c r="R69" t="s">
        <v>53</v>
      </c>
    </row>
    <row r="70" spans="1:18" x14ac:dyDescent="0.25">
      <c r="A70" t="s">
        <v>94</v>
      </c>
      <c r="B70" t="s">
        <v>95</v>
      </c>
      <c r="C70" t="s">
        <v>30</v>
      </c>
      <c r="D70" t="s">
        <v>96</v>
      </c>
      <c r="E70" t="s">
        <v>34</v>
      </c>
      <c r="F70">
        <v>1</v>
      </c>
      <c r="G70">
        <v>44224</v>
      </c>
      <c r="H70">
        <v>44224</v>
      </c>
      <c r="I70" s="5">
        <v>44224</v>
      </c>
      <c r="K70" s="5" t="s">
        <v>22</v>
      </c>
      <c r="L70" t="s">
        <v>41</v>
      </c>
      <c r="M70" t="s">
        <v>24</v>
      </c>
      <c r="N70">
        <v>3</v>
      </c>
      <c r="O70" t="s">
        <v>26</v>
      </c>
      <c r="P70" t="s">
        <v>26</v>
      </c>
      <c r="Q70" t="s">
        <v>28</v>
      </c>
      <c r="R70" t="s">
        <v>28</v>
      </c>
    </row>
    <row r="71" spans="1:18" x14ac:dyDescent="0.25">
      <c r="A71" t="s">
        <v>39</v>
      </c>
      <c r="B71" t="s">
        <v>95</v>
      </c>
      <c r="C71" t="s">
        <v>30</v>
      </c>
      <c r="D71" t="s">
        <v>97</v>
      </c>
      <c r="E71" t="s">
        <v>66</v>
      </c>
      <c r="F71">
        <v>4</v>
      </c>
      <c r="G71">
        <v>44222</v>
      </c>
      <c r="H71">
        <v>44222</v>
      </c>
      <c r="I71" s="5">
        <v>44222</v>
      </c>
      <c r="K71" s="5" t="s">
        <v>22</v>
      </c>
      <c r="L71" t="s">
        <v>23</v>
      </c>
      <c r="M71" t="s">
        <v>24</v>
      </c>
      <c r="N71">
        <v>2</v>
      </c>
      <c r="O71" t="s">
        <v>25</v>
      </c>
      <c r="P71" t="s">
        <v>26</v>
      </c>
      <c r="Q71" t="s">
        <v>28</v>
      </c>
      <c r="R71" t="s">
        <v>28</v>
      </c>
    </row>
    <row r="72" spans="1:18" x14ac:dyDescent="0.25">
      <c r="A72" t="s">
        <v>54</v>
      </c>
      <c r="C72" t="s">
        <v>55</v>
      </c>
      <c r="D72" t="s">
        <v>98</v>
      </c>
      <c r="E72" t="s">
        <v>34</v>
      </c>
      <c r="F72">
        <v>34</v>
      </c>
      <c r="G72">
        <v>44188</v>
      </c>
      <c r="H72">
        <v>44194</v>
      </c>
      <c r="I72" s="5">
        <v>44194</v>
      </c>
      <c r="K72" s="5" t="s">
        <v>22</v>
      </c>
      <c r="L72" t="s">
        <v>41</v>
      </c>
      <c r="M72" t="s">
        <v>24</v>
      </c>
      <c r="O72" t="s">
        <v>26</v>
      </c>
      <c r="Q72" t="s">
        <v>53</v>
      </c>
      <c r="R72" t="s">
        <v>28</v>
      </c>
    </row>
    <row r="73" spans="1:18" x14ac:dyDescent="0.25">
      <c r="A73" t="s">
        <v>18</v>
      </c>
      <c r="B73">
        <v>208701</v>
      </c>
      <c r="C73" t="s">
        <v>55</v>
      </c>
      <c r="D73" t="s">
        <v>99</v>
      </c>
      <c r="E73" t="s">
        <v>32</v>
      </c>
      <c r="F73">
        <v>10</v>
      </c>
      <c r="G73">
        <v>44180</v>
      </c>
      <c r="H73">
        <v>44194</v>
      </c>
      <c r="I73" s="5">
        <v>44183</v>
      </c>
      <c r="K73" s="5" t="s">
        <v>22</v>
      </c>
      <c r="L73" t="s">
        <v>23</v>
      </c>
      <c r="M73" t="s">
        <v>24</v>
      </c>
      <c r="N73">
        <v>3</v>
      </c>
      <c r="O73" t="s">
        <v>25</v>
      </c>
      <c r="Q73" t="s">
        <v>28</v>
      </c>
      <c r="R73" t="s">
        <v>73</v>
      </c>
    </row>
    <row r="74" spans="1:18" x14ac:dyDescent="0.25">
      <c r="A74" t="s">
        <v>54</v>
      </c>
      <c r="B74">
        <v>179192</v>
      </c>
      <c r="C74" t="s">
        <v>55</v>
      </c>
      <c r="D74" t="s">
        <v>98</v>
      </c>
      <c r="E74" t="s">
        <v>34</v>
      </c>
      <c r="F74">
        <v>3</v>
      </c>
      <c r="G74">
        <v>44180.510289351849</v>
      </c>
      <c r="H74">
        <v>44174</v>
      </c>
      <c r="I74" s="5">
        <v>44174</v>
      </c>
      <c r="K74" s="5" t="s">
        <v>22</v>
      </c>
      <c r="L74" t="s">
        <v>41</v>
      </c>
      <c r="M74" t="s">
        <v>24</v>
      </c>
      <c r="O74" t="s">
        <v>26</v>
      </c>
      <c r="Q74" t="s">
        <v>53</v>
      </c>
      <c r="R74" t="s">
        <v>28</v>
      </c>
    </row>
    <row r="75" spans="1:18" x14ac:dyDescent="0.25">
      <c r="A75" t="s">
        <v>54</v>
      </c>
      <c r="B75">
        <v>179192</v>
      </c>
      <c r="C75" t="s">
        <v>55</v>
      </c>
      <c r="D75" t="s">
        <v>98</v>
      </c>
      <c r="E75" t="s">
        <v>32</v>
      </c>
      <c r="F75">
        <v>12</v>
      </c>
      <c r="G75">
        <v>44173</v>
      </c>
      <c r="H75">
        <v>44174</v>
      </c>
      <c r="I75" s="5">
        <v>44174</v>
      </c>
      <c r="K75" s="5" t="s">
        <v>22</v>
      </c>
      <c r="L75" t="s">
        <v>41</v>
      </c>
      <c r="M75" t="s">
        <v>24</v>
      </c>
      <c r="N75">
        <v>4</v>
      </c>
      <c r="O75" t="s">
        <v>26</v>
      </c>
      <c r="Q75" t="s">
        <v>28</v>
      </c>
      <c r="R75" t="s">
        <v>28</v>
      </c>
    </row>
    <row r="76" spans="1:18" x14ac:dyDescent="0.25">
      <c r="A76" t="s">
        <v>54</v>
      </c>
      <c r="B76">
        <v>179192</v>
      </c>
      <c r="C76" t="s">
        <v>55</v>
      </c>
      <c r="D76" t="s">
        <v>98</v>
      </c>
      <c r="E76" t="s">
        <v>62</v>
      </c>
      <c r="F76">
        <v>3</v>
      </c>
      <c r="G76">
        <v>44134</v>
      </c>
      <c r="H76">
        <v>44134</v>
      </c>
      <c r="I76" s="5">
        <v>44134</v>
      </c>
      <c r="K76" s="5" t="s">
        <v>22</v>
      </c>
      <c r="L76" t="s">
        <v>41</v>
      </c>
      <c r="M76" t="s">
        <v>24</v>
      </c>
      <c r="N76">
        <v>2</v>
      </c>
      <c r="O76" t="s">
        <v>26</v>
      </c>
      <c r="Q76" t="s">
        <v>28</v>
      </c>
      <c r="R76" t="s">
        <v>28</v>
      </c>
    </row>
    <row r="77" spans="1:18" x14ac:dyDescent="0.25">
      <c r="A77" t="s">
        <v>39</v>
      </c>
      <c r="B77">
        <v>198253</v>
      </c>
      <c r="C77" t="s">
        <v>19</v>
      </c>
      <c r="D77" t="s">
        <v>100</v>
      </c>
      <c r="E77" t="s">
        <v>21</v>
      </c>
      <c r="F77">
        <v>2</v>
      </c>
      <c r="G77">
        <v>44140.671620370369</v>
      </c>
      <c r="H77">
        <v>44140</v>
      </c>
      <c r="I77" s="5">
        <v>44159</v>
      </c>
      <c r="K77" s="5" t="s">
        <v>22</v>
      </c>
      <c r="L77" t="s">
        <v>23</v>
      </c>
      <c r="M77" t="s">
        <v>24</v>
      </c>
      <c r="N77">
        <v>1</v>
      </c>
      <c r="O77" t="s">
        <v>25</v>
      </c>
      <c r="P77" t="s">
        <v>25</v>
      </c>
      <c r="Q77" t="s">
        <v>28</v>
      </c>
      <c r="R77" t="s">
        <v>28</v>
      </c>
    </row>
    <row r="78" spans="1:18" x14ac:dyDescent="0.25">
      <c r="A78" t="s">
        <v>67</v>
      </c>
      <c r="B78">
        <v>216194</v>
      </c>
      <c r="C78" t="s">
        <v>19</v>
      </c>
      <c r="D78" t="s">
        <v>68</v>
      </c>
      <c r="E78" t="s">
        <v>32</v>
      </c>
      <c r="F78">
        <v>1</v>
      </c>
      <c r="G78">
        <v>44218</v>
      </c>
      <c r="H78">
        <v>44221</v>
      </c>
      <c r="I78" s="5">
        <v>44221</v>
      </c>
      <c r="K78" s="5" t="s">
        <v>22</v>
      </c>
      <c r="L78" t="s">
        <v>57</v>
      </c>
      <c r="M78" t="s">
        <v>24</v>
      </c>
      <c r="N78">
        <v>2</v>
      </c>
      <c r="O78" t="s">
        <v>25</v>
      </c>
      <c r="P78" t="s">
        <v>26</v>
      </c>
      <c r="Q78" t="s">
        <v>27</v>
      </c>
      <c r="R78" t="s">
        <v>28</v>
      </c>
    </row>
    <row r="79" spans="1:18" x14ac:dyDescent="0.25">
      <c r="A79" t="s">
        <v>67</v>
      </c>
      <c r="B79">
        <v>216194</v>
      </c>
      <c r="C79" t="s">
        <v>19</v>
      </c>
      <c r="D79" t="s">
        <v>68</v>
      </c>
      <c r="E79" t="s">
        <v>32</v>
      </c>
      <c r="F79">
        <v>1</v>
      </c>
      <c r="G79">
        <v>44218</v>
      </c>
      <c r="H79">
        <v>44221</v>
      </c>
      <c r="I79" s="5">
        <v>44221</v>
      </c>
      <c r="K79" s="5" t="s">
        <v>22</v>
      </c>
      <c r="N79">
        <v>2</v>
      </c>
      <c r="O79" t="s">
        <v>25</v>
      </c>
      <c r="P79" t="s">
        <v>26</v>
      </c>
      <c r="Q79" t="s">
        <v>27</v>
      </c>
      <c r="R79" t="s">
        <v>28</v>
      </c>
    </row>
    <row r="80" spans="1:18" x14ac:dyDescent="0.25">
      <c r="A80" t="s">
        <v>67</v>
      </c>
      <c r="B80">
        <v>216194</v>
      </c>
      <c r="C80" t="s">
        <v>19</v>
      </c>
      <c r="D80" t="s">
        <v>68</v>
      </c>
      <c r="E80" t="s">
        <v>92</v>
      </c>
      <c r="F80">
        <v>1</v>
      </c>
      <c r="G80">
        <v>44218</v>
      </c>
      <c r="H80">
        <v>44221</v>
      </c>
      <c r="I80" s="5">
        <v>44221</v>
      </c>
      <c r="K80" s="5" t="s">
        <v>22</v>
      </c>
    </row>
    <row r="81" spans="1:18" x14ac:dyDescent="0.25">
      <c r="A81" t="s">
        <v>36</v>
      </c>
      <c r="B81">
        <v>214006</v>
      </c>
      <c r="C81" t="s">
        <v>30</v>
      </c>
      <c r="D81" t="s">
        <v>101</v>
      </c>
      <c r="E81" t="s">
        <v>34</v>
      </c>
      <c r="F81">
        <v>1</v>
      </c>
      <c r="G81">
        <v>44208</v>
      </c>
      <c r="H81">
        <v>44232</v>
      </c>
      <c r="I81" s="5">
        <v>44236</v>
      </c>
      <c r="K81" s="5" t="s">
        <v>22</v>
      </c>
      <c r="L81" t="s">
        <v>41</v>
      </c>
      <c r="M81" t="s">
        <v>24</v>
      </c>
      <c r="O81" t="s">
        <v>26</v>
      </c>
      <c r="P81" t="s">
        <v>26</v>
      </c>
      <c r="Q81" t="s">
        <v>28</v>
      </c>
    </row>
    <row r="82" spans="1:18" x14ac:dyDescent="0.25">
      <c r="A82" t="s">
        <v>36</v>
      </c>
      <c r="B82">
        <v>214006</v>
      </c>
      <c r="C82" t="s">
        <v>30</v>
      </c>
      <c r="D82" t="s">
        <v>101</v>
      </c>
      <c r="E82" t="s">
        <v>48</v>
      </c>
      <c r="F82">
        <v>1</v>
      </c>
      <c r="G82">
        <v>44208</v>
      </c>
      <c r="H82">
        <v>44232</v>
      </c>
      <c r="I82" s="5">
        <v>44236</v>
      </c>
      <c r="K82" s="5" t="s">
        <v>22</v>
      </c>
      <c r="L82" t="s">
        <v>41</v>
      </c>
      <c r="M82" t="s">
        <v>24</v>
      </c>
      <c r="O82" t="s">
        <v>26</v>
      </c>
      <c r="P82" t="s">
        <v>26</v>
      </c>
      <c r="Q82" t="s">
        <v>28</v>
      </c>
    </row>
    <row r="83" spans="1:18" x14ac:dyDescent="0.25">
      <c r="A83" t="s">
        <v>36</v>
      </c>
      <c r="B83">
        <v>214006</v>
      </c>
      <c r="C83" t="s">
        <v>30</v>
      </c>
      <c r="D83" t="s">
        <v>101</v>
      </c>
      <c r="E83" t="s">
        <v>32</v>
      </c>
      <c r="F83">
        <v>1</v>
      </c>
      <c r="G83">
        <v>44208</v>
      </c>
      <c r="H83">
        <v>44232</v>
      </c>
      <c r="I83" s="5">
        <v>44236</v>
      </c>
      <c r="K83" s="5" t="s">
        <v>22</v>
      </c>
      <c r="L83" t="s">
        <v>41</v>
      </c>
      <c r="M83" t="s">
        <v>24</v>
      </c>
      <c r="O83" t="s">
        <v>26</v>
      </c>
      <c r="P83" t="s">
        <v>26</v>
      </c>
      <c r="Q83" t="s">
        <v>28</v>
      </c>
    </row>
    <row r="84" spans="1:18" x14ac:dyDescent="0.25">
      <c r="A84" t="s">
        <v>36</v>
      </c>
      <c r="B84">
        <v>214001</v>
      </c>
      <c r="C84" t="s">
        <v>30</v>
      </c>
      <c r="D84" t="s">
        <v>102</v>
      </c>
      <c r="E84" t="s">
        <v>34</v>
      </c>
      <c r="F84">
        <v>1</v>
      </c>
      <c r="G84">
        <v>44208</v>
      </c>
      <c r="H84">
        <v>44228</v>
      </c>
      <c r="I84" s="5">
        <v>44229</v>
      </c>
      <c r="K84" s="5" t="s">
        <v>22</v>
      </c>
      <c r="L84" t="s">
        <v>41</v>
      </c>
      <c r="M84" t="s">
        <v>24</v>
      </c>
      <c r="O84" t="s">
        <v>26</v>
      </c>
      <c r="P84" t="s">
        <v>26</v>
      </c>
      <c r="Q84" t="s">
        <v>28</v>
      </c>
    </row>
    <row r="85" spans="1:18" x14ac:dyDescent="0.25">
      <c r="A85" t="s">
        <v>36</v>
      </c>
      <c r="B85">
        <v>214001</v>
      </c>
      <c r="C85" t="s">
        <v>30</v>
      </c>
      <c r="D85" t="s">
        <v>102</v>
      </c>
      <c r="E85" t="s">
        <v>48</v>
      </c>
      <c r="F85">
        <v>1</v>
      </c>
      <c r="G85">
        <v>44208</v>
      </c>
      <c r="H85">
        <v>44228</v>
      </c>
      <c r="I85" s="5">
        <v>44229</v>
      </c>
      <c r="K85" s="5" t="s">
        <v>22</v>
      </c>
      <c r="L85" t="s">
        <v>41</v>
      </c>
      <c r="M85" t="s">
        <v>24</v>
      </c>
      <c r="O85" t="s">
        <v>26</v>
      </c>
      <c r="P85" t="s">
        <v>26</v>
      </c>
      <c r="Q85" t="s">
        <v>28</v>
      </c>
    </row>
    <row r="86" spans="1:18" x14ac:dyDescent="0.25">
      <c r="A86" t="s">
        <v>36</v>
      </c>
      <c r="B86">
        <v>214001</v>
      </c>
      <c r="C86" t="s">
        <v>30</v>
      </c>
      <c r="D86" t="s">
        <v>102</v>
      </c>
      <c r="E86" t="s">
        <v>32</v>
      </c>
      <c r="F86">
        <v>1</v>
      </c>
      <c r="G86">
        <v>44208</v>
      </c>
      <c r="H86">
        <v>44228</v>
      </c>
      <c r="I86" s="5">
        <v>44229</v>
      </c>
      <c r="K86" s="5" t="s">
        <v>22</v>
      </c>
      <c r="L86" t="s">
        <v>41</v>
      </c>
      <c r="M86" t="s">
        <v>24</v>
      </c>
      <c r="O86" t="s">
        <v>26</v>
      </c>
      <c r="P86" t="s">
        <v>26</v>
      </c>
      <c r="Q86" t="s">
        <v>28</v>
      </c>
    </row>
    <row r="87" spans="1:18" x14ac:dyDescent="0.25">
      <c r="A87" t="s">
        <v>36</v>
      </c>
      <c r="B87">
        <v>214001</v>
      </c>
      <c r="C87" t="s">
        <v>30</v>
      </c>
      <c r="D87" t="s">
        <v>102</v>
      </c>
      <c r="E87" t="s">
        <v>43</v>
      </c>
      <c r="F87">
        <v>1</v>
      </c>
      <c r="G87">
        <v>44208</v>
      </c>
      <c r="H87">
        <v>44228</v>
      </c>
      <c r="I87" s="5">
        <v>44229</v>
      </c>
      <c r="K87" s="5" t="s">
        <v>22</v>
      </c>
      <c r="L87" t="s">
        <v>41</v>
      </c>
      <c r="M87" t="s">
        <v>24</v>
      </c>
      <c r="O87" t="s">
        <v>26</v>
      </c>
      <c r="P87" t="s">
        <v>26</v>
      </c>
      <c r="Q87" t="s">
        <v>28</v>
      </c>
    </row>
    <row r="88" spans="1:18" x14ac:dyDescent="0.25">
      <c r="A88" t="s">
        <v>36</v>
      </c>
      <c r="B88">
        <v>214001</v>
      </c>
      <c r="C88" t="s">
        <v>30</v>
      </c>
      <c r="D88" t="s">
        <v>102</v>
      </c>
      <c r="E88" t="s">
        <v>35</v>
      </c>
      <c r="F88">
        <v>3</v>
      </c>
      <c r="G88">
        <v>44208</v>
      </c>
      <c r="H88">
        <v>44228</v>
      </c>
      <c r="I88" s="5">
        <v>44229</v>
      </c>
      <c r="K88" s="5" t="s">
        <v>22</v>
      </c>
      <c r="L88" t="s">
        <v>41</v>
      </c>
      <c r="M88" t="s">
        <v>24</v>
      </c>
      <c r="O88" t="s">
        <v>26</v>
      </c>
      <c r="P88" t="s">
        <v>26</v>
      </c>
      <c r="Q88" t="s">
        <v>28</v>
      </c>
    </row>
    <row r="89" spans="1:18" x14ac:dyDescent="0.25">
      <c r="A89" t="s">
        <v>36</v>
      </c>
      <c r="B89">
        <v>214001</v>
      </c>
      <c r="C89" t="s">
        <v>30</v>
      </c>
      <c r="D89" t="s">
        <v>102</v>
      </c>
      <c r="E89" t="s">
        <v>66</v>
      </c>
      <c r="F89">
        <v>1</v>
      </c>
      <c r="G89">
        <v>44208</v>
      </c>
      <c r="H89">
        <v>44228</v>
      </c>
      <c r="I89" s="5">
        <v>44229</v>
      </c>
      <c r="K89" s="5" t="s">
        <v>22</v>
      </c>
      <c r="L89" t="s">
        <v>41</v>
      </c>
      <c r="M89" t="s">
        <v>24</v>
      </c>
      <c r="O89" t="s">
        <v>26</v>
      </c>
      <c r="P89" t="s">
        <v>26</v>
      </c>
      <c r="Q89" t="s">
        <v>28</v>
      </c>
    </row>
    <row r="90" spans="1:18" x14ac:dyDescent="0.25">
      <c r="A90" t="s">
        <v>67</v>
      </c>
      <c r="B90">
        <v>216500</v>
      </c>
      <c r="C90" t="s">
        <v>19</v>
      </c>
      <c r="D90" t="s">
        <v>103</v>
      </c>
      <c r="E90" t="s">
        <v>21</v>
      </c>
      <c r="F90">
        <v>1</v>
      </c>
      <c r="G90">
        <v>44223</v>
      </c>
      <c r="H90">
        <v>44224</v>
      </c>
      <c r="I90" s="5">
        <v>44229</v>
      </c>
      <c r="K90" s="5" t="s">
        <v>22</v>
      </c>
      <c r="L90" t="s">
        <v>33</v>
      </c>
      <c r="M90" t="s">
        <v>24</v>
      </c>
      <c r="O90" t="s">
        <v>25</v>
      </c>
      <c r="P90" t="s">
        <v>26</v>
      </c>
      <c r="Q90" t="s">
        <v>28</v>
      </c>
      <c r="R90" t="s">
        <v>53</v>
      </c>
    </row>
    <row r="91" spans="1:18" x14ac:dyDescent="0.25">
      <c r="A91" t="s">
        <v>67</v>
      </c>
      <c r="B91">
        <v>216500</v>
      </c>
      <c r="C91" t="s">
        <v>19</v>
      </c>
      <c r="D91" t="s">
        <v>103</v>
      </c>
      <c r="E91" t="s">
        <v>62</v>
      </c>
      <c r="F91">
        <v>1</v>
      </c>
      <c r="G91">
        <v>44223</v>
      </c>
      <c r="H91">
        <v>44224</v>
      </c>
      <c r="I91" s="5">
        <v>44229</v>
      </c>
      <c r="K91" s="5" t="s">
        <v>22</v>
      </c>
      <c r="L91" t="s">
        <v>33</v>
      </c>
      <c r="M91" t="s">
        <v>24</v>
      </c>
      <c r="O91" t="s">
        <v>25</v>
      </c>
      <c r="P91" t="s">
        <v>26</v>
      </c>
      <c r="Q91" t="s">
        <v>28</v>
      </c>
      <c r="R91" t="s">
        <v>53</v>
      </c>
    </row>
    <row r="92" spans="1:18" ht="60" x14ac:dyDescent="0.25">
      <c r="A92" t="s">
        <v>39</v>
      </c>
      <c r="B92" t="s">
        <v>95</v>
      </c>
      <c r="C92" t="s">
        <v>30</v>
      </c>
      <c r="D92" t="s">
        <v>104</v>
      </c>
      <c r="E92" t="s">
        <v>105</v>
      </c>
      <c r="F92">
        <v>1</v>
      </c>
      <c r="G92">
        <v>44218</v>
      </c>
      <c r="H92">
        <v>44225</v>
      </c>
      <c r="I92" s="5">
        <v>44225</v>
      </c>
      <c r="K92" s="5" t="s">
        <v>22</v>
      </c>
      <c r="L92" t="s">
        <v>23</v>
      </c>
      <c r="M92" s="36" t="s">
        <v>106</v>
      </c>
      <c r="O92" t="s">
        <v>25</v>
      </c>
      <c r="P92" t="s">
        <v>26</v>
      </c>
      <c r="Q92" t="s">
        <v>53</v>
      </c>
      <c r="R92" t="s">
        <v>53</v>
      </c>
    </row>
    <row r="93" spans="1:18" x14ac:dyDescent="0.25">
      <c r="A93" t="s">
        <v>39</v>
      </c>
      <c r="B93" t="s">
        <v>95</v>
      </c>
      <c r="C93" t="s">
        <v>30</v>
      </c>
      <c r="D93" t="s">
        <v>104</v>
      </c>
      <c r="E93" t="s">
        <v>34</v>
      </c>
      <c r="F93">
        <v>2</v>
      </c>
      <c r="G93">
        <v>44218</v>
      </c>
      <c r="H93">
        <v>44225</v>
      </c>
      <c r="I93" s="5">
        <v>44225</v>
      </c>
      <c r="J93" s="5" t="s">
        <v>107</v>
      </c>
      <c r="K93" s="5" t="s">
        <v>22</v>
      </c>
      <c r="L93" t="s">
        <v>23</v>
      </c>
      <c r="M93" t="s">
        <v>24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39</v>
      </c>
      <c r="B94" t="s">
        <v>95</v>
      </c>
      <c r="C94" t="s">
        <v>30</v>
      </c>
      <c r="D94" t="s">
        <v>104</v>
      </c>
      <c r="E94" t="s">
        <v>108</v>
      </c>
      <c r="F94">
        <v>1</v>
      </c>
      <c r="G94">
        <v>44218</v>
      </c>
      <c r="H94">
        <v>44225</v>
      </c>
      <c r="I94" s="5">
        <v>44225</v>
      </c>
      <c r="J94" s="5" t="s">
        <v>109</v>
      </c>
      <c r="K94" s="5" t="s">
        <v>22</v>
      </c>
      <c r="L94" t="s">
        <v>23</v>
      </c>
      <c r="M94" t="s">
        <v>24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39</v>
      </c>
      <c r="B95" t="s">
        <v>95</v>
      </c>
      <c r="C95" t="s">
        <v>30</v>
      </c>
      <c r="D95" t="s">
        <v>104</v>
      </c>
      <c r="E95" t="s">
        <v>32</v>
      </c>
      <c r="F95">
        <v>1</v>
      </c>
      <c r="G95">
        <v>44218</v>
      </c>
      <c r="H95">
        <v>44225</v>
      </c>
      <c r="I95" s="5">
        <v>44225</v>
      </c>
      <c r="J95" s="5" t="s">
        <v>109</v>
      </c>
      <c r="K95" s="5" t="s">
        <v>22</v>
      </c>
      <c r="L95" t="s">
        <v>23</v>
      </c>
      <c r="M95" t="s">
        <v>24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39</v>
      </c>
      <c r="B96" t="s">
        <v>95</v>
      </c>
      <c r="C96" t="s">
        <v>30</v>
      </c>
      <c r="D96" t="s">
        <v>104</v>
      </c>
      <c r="E96" t="s">
        <v>48</v>
      </c>
      <c r="F96">
        <v>1</v>
      </c>
      <c r="G96">
        <v>44218</v>
      </c>
      <c r="H96">
        <v>44225</v>
      </c>
      <c r="I96" s="5">
        <v>44225</v>
      </c>
      <c r="J96" s="5" t="s">
        <v>110</v>
      </c>
      <c r="K96" s="5" t="s">
        <v>22</v>
      </c>
      <c r="L96" t="s">
        <v>23</v>
      </c>
      <c r="M96" t="s">
        <v>24</v>
      </c>
      <c r="O96" t="s">
        <v>26</v>
      </c>
      <c r="P96" t="s">
        <v>26</v>
      </c>
      <c r="Q96" t="s">
        <v>53</v>
      </c>
      <c r="R96" t="s">
        <v>53</v>
      </c>
    </row>
    <row r="97" spans="1:18" x14ac:dyDescent="0.25">
      <c r="A97" t="s">
        <v>70</v>
      </c>
      <c r="B97">
        <v>216974</v>
      </c>
      <c r="C97" t="s">
        <v>19</v>
      </c>
      <c r="D97" t="s">
        <v>111</v>
      </c>
      <c r="E97" t="s">
        <v>44</v>
      </c>
      <c r="F97">
        <v>1</v>
      </c>
      <c r="G97">
        <v>44222</v>
      </c>
      <c r="H97">
        <v>44229</v>
      </c>
      <c r="I97" s="5">
        <v>44229</v>
      </c>
      <c r="K97" s="5" t="s">
        <v>22</v>
      </c>
      <c r="L97" t="s">
        <v>57</v>
      </c>
      <c r="M97" t="s">
        <v>24</v>
      </c>
      <c r="O97" t="s">
        <v>25</v>
      </c>
      <c r="P97" t="s">
        <v>26</v>
      </c>
      <c r="Q97" t="s">
        <v>28</v>
      </c>
      <c r="R97" t="s">
        <v>27</v>
      </c>
    </row>
    <row r="98" spans="1:18" x14ac:dyDescent="0.25">
      <c r="A98" t="s">
        <v>112</v>
      </c>
      <c r="B98">
        <v>217140</v>
      </c>
      <c r="C98" t="s">
        <v>19</v>
      </c>
      <c r="D98" t="s">
        <v>113</v>
      </c>
      <c r="E98" t="s">
        <v>43</v>
      </c>
      <c r="F98">
        <v>1</v>
      </c>
      <c r="G98">
        <v>44223</v>
      </c>
      <c r="H98">
        <v>44229</v>
      </c>
      <c r="I98" s="5">
        <v>44229</v>
      </c>
      <c r="K98" s="5" t="s">
        <v>22</v>
      </c>
      <c r="L98" t="s">
        <v>57</v>
      </c>
      <c r="M98" t="s">
        <v>24</v>
      </c>
      <c r="O98" t="s">
        <v>25</v>
      </c>
      <c r="P98" t="s">
        <v>26</v>
      </c>
      <c r="Q98" t="s">
        <v>27</v>
      </c>
    </row>
    <row r="99" spans="1:18" x14ac:dyDescent="0.25">
      <c r="A99" t="s">
        <v>112</v>
      </c>
      <c r="B99">
        <v>217140</v>
      </c>
      <c r="C99" t="s">
        <v>19</v>
      </c>
      <c r="D99" t="s">
        <v>113</v>
      </c>
      <c r="E99" t="s">
        <v>34</v>
      </c>
      <c r="F99">
        <v>1</v>
      </c>
      <c r="G99">
        <v>44223</v>
      </c>
      <c r="H99">
        <v>44229</v>
      </c>
      <c r="I99" s="5">
        <v>44229</v>
      </c>
      <c r="K99" s="5" t="s">
        <v>22</v>
      </c>
      <c r="L99" t="s">
        <v>57</v>
      </c>
      <c r="M99" t="s">
        <v>24</v>
      </c>
      <c r="O99" t="s">
        <v>25</v>
      </c>
      <c r="P99" t="s">
        <v>26</v>
      </c>
      <c r="Q99" t="s">
        <v>27</v>
      </c>
    </row>
    <row r="100" spans="1:18" x14ac:dyDescent="0.25">
      <c r="A100" t="s">
        <v>112</v>
      </c>
      <c r="B100">
        <v>217140</v>
      </c>
      <c r="C100" t="s">
        <v>19</v>
      </c>
      <c r="D100" t="s">
        <v>113</v>
      </c>
      <c r="E100" t="s">
        <v>44</v>
      </c>
      <c r="F100">
        <v>1</v>
      </c>
      <c r="G100">
        <v>44223</v>
      </c>
      <c r="H100">
        <v>44229</v>
      </c>
      <c r="I100" s="5">
        <v>44229</v>
      </c>
      <c r="K100" s="5" t="s">
        <v>22</v>
      </c>
      <c r="L100" t="s">
        <v>57</v>
      </c>
      <c r="M100" t="s">
        <v>24</v>
      </c>
      <c r="O100" t="s">
        <v>25</v>
      </c>
      <c r="P100" t="s">
        <v>26</v>
      </c>
      <c r="Q100" t="s">
        <v>27</v>
      </c>
    </row>
    <row r="101" spans="1:18" x14ac:dyDescent="0.25">
      <c r="A101" t="s">
        <v>112</v>
      </c>
      <c r="B101">
        <v>217140</v>
      </c>
      <c r="C101" t="s">
        <v>19</v>
      </c>
      <c r="D101" t="s">
        <v>113</v>
      </c>
      <c r="E101" t="s">
        <v>32</v>
      </c>
      <c r="F101">
        <v>1</v>
      </c>
      <c r="G101">
        <v>44223</v>
      </c>
      <c r="H101">
        <v>44229</v>
      </c>
      <c r="I101" s="5">
        <v>44229</v>
      </c>
      <c r="K101" s="5" t="s">
        <v>22</v>
      </c>
      <c r="L101" t="s">
        <v>57</v>
      </c>
      <c r="M101" t="s">
        <v>24</v>
      </c>
      <c r="O101" t="s">
        <v>25</v>
      </c>
      <c r="P101" t="s">
        <v>26</v>
      </c>
      <c r="Q101" t="s">
        <v>27</v>
      </c>
    </row>
    <row r="102" spans="1:18" x14ac:dyDescent="0.25">
      <c r="A102" t="s">
        <v>112</v>
      </c>
      <c r="B102">
        <v>217140</v>
      </c>
      <c r="C102" t="s">
        <v>19</v>
      </c>
      <c r="D102" t="s">
        <v>113</v>
      </c>
      <c r="E102" t="s">
        <v>93</v>
      </c>
      <c r="F102">
        <v>1</v>
      </c>
      <c r="G102">
        <v>44223</v>
      </c>
      <c r="H102">
        <v>44229</v>
      </c>
      <c r="I102" s="5">
        <v>44229</v>
      </c>
      <c r="K102" s="5" t="s">
        <v>22</v>
      </c>
      <c r="L102" t="s">
        <v>57</v>
      </c>
      <c r="M102" t="s">
        <v>24</v>
      </c>
      <c r="O102" t="s">
        <v>25</v>
      </c>
      <c r="P102" t="s">
        <v>26</v>
      </c>
      <c r="Q102" t="s">
        <v>27</v>
      </c>
    </row>
    <row r="103" spans="1:18" x14ac:dyDescent="0.25">
      <c r="A103" t="s">
        <v>112</v>
      </c>
      <c r="B103">
        <v>217140</v>
      </c>
      <c r="C103" t="s">
        <v>19</v>
      </c>
      <c r="D103" t="s">
        <v>113</v>
      </c>
      <c r="E103" t="s">
        <v>108</v>
      </c>
      <c r="F103">
        <v>1</v>
      </c>
      <c r="G103">
        <v>44223</v>
      </c>
      <c r="H103">
        <v>44229</v>
      </c>
      <c r="I103" s="5">
        <v>44229</v>
      </c>
      <c r="K103" s="5" t="s">
        <v>22</v>
      </c>
      <c r="L103" t="s">
        <v>57</v>
      </c>
      <c r="M103" t="s">
        <v>24</v>
      </c>
      <c r="O103" t="s">
        <v>25</v>
      </c>
      <c r="P103" t="s">
        <v>26</v>
      </c>
      <c r="Q103" t="s">
        <v>27</v>
      </c>
    </row>
    <row r="104" spans="1:18" x14ac:dyDescent="0.25">
      <c r="A104" t="s">
        <v>112</v>
      </c>
      <c r="B104">
        <v>217140</v>
      </c>
      <c r="C104" t="s">
        <v>19</v>
      </c>
      <c r="D104" t="s">
        <v>113</v>
      </c>
      <c r="E104" t="s">
        <v>92</v>
      </c>
      <c r="F104">
        <v>1</v>
      </c>
      <c r="G104">
        <v>44223</v>
      </c>
      <c r="H104">
        <v>44229</v>
      </c>
      <c r="I104" s="5">
        <v>44229</v>
      </c>
      <c r="K104" s="5" t="s">
        <v>22</v>
      </c>
      <c r="L104" t="s">
        <v>57</v>
      </c>
      <c r="M104" t="s">
        <v>24</v>
      </c>
      <c r="O104" t="s">
        <v>25</v>
      </c>
      <c r="P104" t="s">
        <v>26</v>
      </c>
      <c r="Q104" t="s">
        <v>27</v>
      </c>
    </row>
    <row r="105" spans="1:18" x14ac:dyDescent="0.25">
      <c r="A105" t="s">
        <v>39</v>
      </c>
      <c r="B105">
        <v>218126</v>
      </c>
      <c r="C105" t="s">
        <v>30</v>
      </c>
      <c r="D105" t="s">
        <v>114</v>
      </c>
      <c r="E105" t="s">
        <v>34</v>
      </c>
      <c r="F105">
        <v>2</v>
      </c>
      <c r="G105">
        <v>44228</v>
      </c>
      <c r="H105">
        <v>44230</v>
      </c>
      <c r="I105" s="5">
        <v>44230</v>
      </c>
      <c r="K105" s="5" t="s">
        <v>22</v>
      </c>
      <c r="L105" t="s">
        <v>41</v>
      </c>
      <c r="M105" t="s">
        <v>24</v>
      </c>
    </row>
    <row r="106" spans="1:18" x14ac:dyDescent="0.25">
      <c r="A106" t="s">
        <v>18</v>
      </c>
      <c r="B106">
        <v>217549</v>
      </c>
      <c r="C106" t="s">
        <v>30</v>
      </c>
      <c r="D106" t="s">
        <v>115</v>
      </c>
      <c r="E106" t="s">
        <v>116</v>
      </c>
      <c r="F106">
        <v>1</v>
      </c>
      <c r="G106">
        <v>44255</v>
      </c>
      <c r="H106">
        <v>44231</v>
      </c>
      <c r="I106" s="5">
        <v>44232</v>
      </c>
      <c r="K106" s="5" t="s">
        <v>22</v>
      </c>
      <c r="L106" t="s">
        <v>23</v>
      </c>
      <c r="M106" t="s">
        <v>24</v>
      </c>
      <c r="O106" t="s">
        <v>25</v>
      </c>
    </row>
    <row r="107" spans="1:18" x14ac:dyDescent="0.25">
      <c r="A107" t="s">
        <v>54</v>
      </c>
      <c r="B107">
        <v>218206</v>
      </c>
      <c r="C107" t="s">
        <v>19</v>
      </c>
      <c r="D107" t="s">
        <v>117</v>
      </c>
      <c r="E107" t="s">
        <v>42</v>
      </c>
      <c r="F107">
        <v>4</v>
      </c>
      <c r="G107">
        <v>44229</v>
      </c>
      <c r="H107">
        <v>44230</v>
      </c>
      <c r="I107" s="5">
        <v>44230</v>
      </c>
      <c r="K107" s="5" t="s">
        <v>22</v>
      </c>
      <c r="L107" t="s">
        <v>33</v>
      </c>
      <c r="M107" t="s">
        <v>24</v>
      </c>
      <c r="O107" t="s">
        <v>25</v>
      </c>
      <c r="Q107" t="s">
        <v>28</v>
      </c>
      <c r="R107" t="s">
        <v>27</v>
      </c>
    </row>
    <row r="108" spans="1:18" x14ac:dyDescent="0.25">
      <c r="A108" t="s">
        <v>54</v>
      </c>
      <c r="B108">
        <v>218206</v>
      </c>
      <c r="C108" t="s">
        <v>19</v>
      </c>
      <c r="D108" t="s">
        <v>117</v>
      </c>
      <c r="E108" t="s">
        <v>44</v>
      </c>
      <c r="F108">
        <v>2</v>
      </c>
      <c r="G108">
        <v>44229</v>
      </c>
      <c r="H108">
        <v>44230</v>
      </c>
      <c r="I108" s="5">
        <v>44230</v>
      </c>
      <c r="K108" s="5" t="s">
        <v>22</v>
      </c>
      <c r="L108" t="s">
        <v>33</v>
      </c>
      <c r="M108" t="s">
        <v>24</v>
      </c>
      <c r="O108" t="s">
        <v>25</v>
      </c>
      <c r="Q108" t="s">
        <v>118</v>
      </c>
      <c r="R108" t="s">
        <v>49</v>
      </c>
    </row>
    <row r="109" spans="1:18" x14ac:dyDescent="0.25">
      <c r="A109" t="s">
        <v>54</v>
      </c>
      <c r="B109">
        <v>218206</v>
      </c>
      <c r="C109" t="s">
        <v>19</v>
      </c>
      <c r="D109" t="s">
        <v>117</v>
      </c>
      <c r="E109" t="s">
        <v>34</v>
      </c>
      <c r="F109">
        <v>2</v>
      </c>
      <c r="G109">
        <v>44229</v>
      </c>
      <c r="H109">
        <v>44230</v>
      </c>
      <c r="I109" s="5">
        <v>44230</v>
      </c>
      <c r="K109" s="5" t="s">
        <v>22</v>
      </c>
      <c r="L109" t="s">
        <v>33</v>
      </c>
      <c r="M109" t="s">
        <v>24</v>
      </c>
      <c r="O109" t="s">
        <v>25</v>
      </c>
      <c r="Q109" t="s">
        <v>119</v>
      </c>
      <c r="R109" t="s">
        <v>50</v>
      </c>
    </row>
    <row r="110" spans="1:18" x14ac:dyDescent="0.25">
      <c r="A110" t="s">
        <v>54</v>
      </c>
      <c r="B110">
        <v>218206</v>
      </c>
      <c r="C110" t="s">
        <v>19</v>
      </c>
      <c r="D110" t="s">
        <v>117</v>
      </c>
      <c r="E110" t="s">
        <v>48</v>
      </c>
      <c r="F110">
        <v>4</v>
      </c>
      <c r="G110">
        <v>44229</v>
      </c>
      <c r="H110">
        <v>44230</v>
      </c>
      <c r="I110" s="5">
        <v>44230</v>
      </c>
      <c r="K110" s="5" t="s">
        <v>22</v>
      </c>
      <c r="L110" t="s">
        <v>33</v>
      </c>
      <c r="M110" t="s">
        <v>24</v>
      </c>
      <c r="O110" t="s">
        <v>25</v>
      </c>
      <c r="Q110" t="s">
        <v>120</v>
      </c>
      <c r="R110" t="s">
        <v>51</v>
      </c>
    </row>
    <row r="111" spans="1:18" x14ac:dyDescent="0.25">
      <c r="A111" t="s">
        <v>39</v>
      </c>
      <c r="B111">
        <v>218502</v>
      </c>
      <c r="C111" t="s">
        <v>19</v>
      </c>
      <c r="D111" t="s">
        <v>121</v>
      </c>
      <c r="E111" t="s">
        <v>34</v>
      </c>
      <c r="F111">
        <v>1</v>
      </c>
      <c r="G111">
        <v>44229</v>
      </c>
      <c r="H111">
        <v>44230</v>
      </c>
      <c r="I111" s="5">
        <v>44230</v>
      </c>
      <c r="K111" s="5" t="s">
        <v>22</v>
      </c>
      <c r="L111" t="s">
        <v>23</v>
      </c>
      <c r="M111" t="s">
        <v>24</v>
      </c>
      <c r="O111" t="s">
        <v>25</v>
      </c>
      <c r="P111" t="s">
        <v>26</v>
      </c>
      <c r="Q111" t="s">
        <v>53</v>
      </c>
      <c r="R111" t="s">
        <v>28</v>
      </c>
    </row>
    <row r="112" spans="1:18" x14ac:dyDescent="0.25">
      <c r="A112" t="s">
        <v>39</v>
      </c>
      <c r="B112">
        <v>218502</v>
      </c>
      <c r="C112" t="s">
        <v>19</v>
      </c>
      <c r="D112" t="s">
        <v>121</v>
      </c>
      <c r="E112" t="s">
        <v>32</v>
      </c>
      <c r="F112">
        <v>1</v>
      </c>
      <c r="G112">
        <v>44229</v>
      </c>
      <c r="H112">
        <v>44230</v>
      </c>
      <c r="I112" s="5">
        <v>44230</v>
      </c>
      <c r="K112" s="5" t="s">
        <v>22</v>
      </c>
      <c r="L112" t="s">
        <v>23</v>
      </c>
      <c r="M112" t="s">
        <v>24</v>
      </c>
      <c r="O112" t="s">
        <v>25</v>
      </c>
      <c r="P112" t="s">
        <v>26</v>
      </c>
      <c r="Q112" t="s">
        <v>53</v>
      </c>
      <c r="R112" t="s">
        <v>28</v>
      </c>
    </row>
    <row r="113" spans="1:18" x14ac:dyDescent="0.25">
      <c r="A113" t="s">
        <v>18</v>
      </c>
      <c r="B113">
        <v>217553</v>
      </c>
      <c r="C113" t="s">
        <v>63</v>
      </c>
      <c r="D113" t="s">
        <v>122</v>
      </c>
      <c r="E113" t="s">
        <v>66</v>
      </c>
      <c r="F113">
        <v>1</v>
      </c>
      <c r="G113">
        <v>44255</v>
      </c>
      <c r="H113">
        <v>44230</v>
      </c>
      <c r="K113" s="5" t="s">
        <v>22</v>
      </c>
      <c r="L113" t="s">
        <v>57</v>
      </c>
      <c r="M113" t="s">
        <v>24</v>
      </c>
      <c r="O113" t="s">
        <v>25</v>
      </c>
    </row>
    <row r="114" spans="1:18" x14ac:dyDescent="0.25">
      <c r="A114" t="s">
        <v>94</v>
      </c>
      <c r="B114">
        <v>213012</v>
      </c>
      <c r="C114" t="s">
        <v>19</v>
      </c>
      <c r="D114" t="s">
        <v>123</v>
      </c>
      <c r="E114" t="s">
        <v>44</v>
      </c>
      <c r="F114">
        <v>1</v>
      </c>
      <c r="G114">
        <v>44203</v>
      </c>
      <c r="H114">
        <v>44204</v>
      </c>
      <c r="K114" s="5" t="s">
        <v>22</v>
      </c>
      <c r="L114" t="s">
        <v>57</v>
      </c>
      <c r="M114" t="s">
        <v>24</v>
      </c>
      <c r="O114" t="s">
        <v>25</v>
      </c>
      <c r="P114" t="s">
        <v>26</v>
      </c>
      <c r="Q114" t="s">
        <v>27</v>
      </c>
      <c r="R114" t="s">
        <v>27</v>
      </c>
    </row>
    <row r="115" spans="1:18" x14ac:dyDescent="0.25">
      <c r="A115" t="s">
        <v>94</v>
      </c>
      <c r="B115">
        <v>213012</v>
      </c>
      <c r="C115" t="s">
        <v>19</v>
      </c>
      <c r="D115" t="s">
        <v>123</v>
      </c>
      <c r="E115" t="s">
        <v>38</v>
      </c>
      <c r="F115">
        <v>1</v>
      </c>
      <c r="G115">
        <v>44203</v>
      </c>
      <c r="H115">
        <v>44204</v>
      </c>
      <c r="K115" s="5" t="s">
        <v>22</v>
      </c>
      <c r="L115" t="s">
        <v>57</v>
      </c>
      <c r="M115" t="s">
        <v>24</v>
      </c>
      <c r="O115" t="s">
        <v>25</v>
      </c>
      <c r="P115" t="s">
        <v>26</v>
      </c>
      <c r="Q115" t="s">
        <v>27</v>
      </c>
      <c r="R115" t="s">
        <v>27</v>
      </c>
    </row>
    <row r="116" spans="1:18" x14ac:dyDescent="0.25">
      <c r="A116" t="s">
        <v>18</v>
      </c>
      <c r="B116">
        <v>213356</v>
      </c>
      <c r="C116" t="s">
        <v>55</v>
      </c>
      <c r="D116" t="s">
        <v>124</v>
      </c>
      <c r="E116" t="s">
        <v>72</v>
      </c>
      <c r="F116">
        <v>1</v>
      </c>
      <c r="G116">
        <v>44204</v>
      </c>
      <c r="H116">
        <v>44204</v>
      </c>
      <c r="K116" s="5" t="s">
        <v>22</v>
      </c>
      <c r="L116" t="s">
        <v>57</v>
      </c>
      <c r="M116" t="s">
        <v>24</v>
      </c>
      <c r="O116" t="s">
        <v>25</v>
      </c>
      <c r="P116" t="s">
        <v>26</v>
      </c>
      <c r="Q116" t="s">
        <v>28</v>
      </c>
      <c r="R116" t="s">
        <v>28</v>
      </c>
    </row>
    <row r="117" spans="1:18" x14ac:dyDescent="0.25">
      <c r="A117" t="s">
        <v>39</v>
      </c>
      <c r="B117">
        <v>173565</v>
      </c>
      <c r="C117" t="s">
        <v>55</v>
      </c>
      <c r="D117" t="s">
        <v>125</v>
      </c>
      <c r="E117" t="s">
        <v>82</v>
      </c>
      <c r="F117">
        <v>1</v>
      </c>
      <c r="G117">
        <v>44008</v>
      </c>
      <c r="H117">
        <v>44069</v>
      </c>
      <c r="J117" s="5" t="s">
        <v>126</v>
      </c>
      <c r="K117" s="5" t="s">
        <v>22</v>
      </c>
      <c r="L117" t="s">
        <v>41</v>
      </c>
      <c r="M117" t="s">
        <v>24</v>
      </c>
      <c r="N117">
        <v>1</v>
      </c>
      <c r="O117" t="s">
        <v>26</v>
      </c>
      <c r="P117" t="s">
        <v>26</v>
      </c>
      <c r="Q117" t="s">
        <v>28</v>
      </c>
      <c r="R117" t="s">
        <v>28</v>
      </c>
    </row>
    <row r="118" spans="1:18" x14ac:dyDescent="0.25">
      <c r="A118" t="s">
        <v>39</v>
      </c>
      <c r="B118">
        <v>173565</v>
      </c>
      <c r="C118" t="s">
        <v>55</v>
      </c>
      <c r="D118" t="s">
        <v>125</v>
      </c>
      <c r="E118" t="s">
        <v>82</v>
      </c>
      <c r="F118">
        <v>1</v>
      </c>
      <c r="G118">
        <v>44008</v>
      </c>
      <c r="H118">
        <v>44069</v>
      </c>
      <c r="J118" s="5" t="s">
        <v>127</v>
      </c>
      <c r="K118" s="5" t="s">
        <v>22</v>
      </c>
      <c r="L118" t="s">
        <v>41</v>
      </c>
      <c r="M118" t="s">
        <v>24</v>
      </c>
      <c r="N118">
        <v>1</v>
      </c>
      <c r="O118" t="s">
        <v>26</v>
      </c>
      <c r="P118" t="s">
        <v>26</v>
      </c>
      <c r="Q118" t="s">
        <v>28</v>
      </c>
      <c r="R118" t="s">
        <v>28</v>
      </c>
    </row>
    <row r="119" spans="1:18" x14ac:dyDescent="0.25">
      <c r="A119" t="s">
        <v>39</v>
      </c>
      <c r="B119">
        <v>173565</v>
      </c>
      <c r="C119" t="s">
        <v>55</v>
      </c>
      <c r="D119" t="s">
        <v>125</v>
      </c>
      <c r="E119" t="s">
        <v>66</v>
      </c>
      <c r="F119">
        <v>1</v>
      </c>
      <c r="G119">
        <v>44008</v>
      </c>
      <c r="H119">
        <v>44069</v>
      </c>
      <c r="K119" s="5" t="s">
        <v>22</v>
      </c>
      <c r="L119" t="s">
        <v>41</v>
      </c>
      <c r="M119" t="s">
        <v>24</v>
      </c>
      <c r="N119">
        <v>1</v>
      </c>
      <c r="O119" t="s">
        <v>26</v>
      </c>
      <c r="P119" t="s">
        <v>26</v>
      </c>
      <c r="Q119" t="s">
        <v>28</v>
      </c>
      <c r="R119" t="s">
        <v>28</v>
      </c>
    </row>
    <row r="120" spans="1:18" x14ac:dyDescent="0.25">
      <c r="A120" t="s">
        <v>128</v>
      </c>
      <c r="B120">
        <v>218925</v>
      </c>
      <c r="C120" t="s">
        <v>19</v>
      </c>
      <c r="D120" t="s">
        <v>129</v>
      </c>
      <c r="E120" t="s">
        <v>43</v>
      </c>
      <c r="F120">
        <v>1</v>
      </c>
      <c r="G120">
        <v>44230</v>
      </c>
      <c r="H120">
        <v>44236</v>
      </c>
      <c r="I120" s="5">
        <v>44236</v>
      </c>
      <c r="K120" s="5" t="s">
        <v>22</v>
      </c>
      <c r="L120" t="s">
        <v>33</v>
      </c>
      <c r="M120" t="s">
        <v>24</v>
      </c>
      <c r="N120">
        <v>1</v>
      </c>
      <c r="O120" t="s">
        <v>25</v>
      </c>
      <c r="P120" t="s">
        <v>26</v>
      </c>
      <c r="Q120" t="s">
        <v>28</v>
      </c>
      <c r="R120" t="s">
        <v>53</v>
      </c>
    </row>
    <row r="121" spans="1:18" x14ac:dyDescent="0.25">
      <c r="A121" t="s">
        <v>70</v>
      </c>
      <c r="B121">
        <v>218864</v>
      </c>
      <c r="C121" t="s">
        <v>63</v>
      </c>
      <c r="D121" t="s">
        <v>130</v>
      </c>
      <c r="E121" t="s">
        <v>130</v>
      </c>
      <c r="F121">
        <v>1</v>
      </c>
      <c r="G121">
        <v>44230</v>
      </c>
      <c r="H121">
        <v>44232</v>
      </c>
      <c r="K121" s="5" t="s">
        <v>22</v>
      </c>
      <c r="L121" t="s">
        <v>57</v>
      </c>
      <c r="M121" t="s">
        <v>24</v>
      </c>
      <c r="O121" t="s">
        <v>25</v>
      </c>
      <c r="P121" t="s">
        <v>26</v>
      </c>
      <c r="Q121" t="s">
        <v>53</v>
      </c>
      <c r="R121" t="s">
        <v>53</v>
      </c>
    </row>
    <row r="122" spans="1:18" x14ac:dyDescent="0.25">
      <c r="A122" t="s">
        <v>29</v>
      </c>
      <c r="B122">
        <v>219822</v>
      </c>
      <c r="C122" t="s">
        <v>19</v>
      </c>
      <c r="D122" t="s">
        <v>131</v>
      </c>
      <c r="E122" t="s">
        <v>61</v>
      </c>
      <c r="F122">
        <v>1</v>
      </c>
      <c r="G122">
        <v>44235</v>
      </c>
      <c r="H122">
        <v>44235</v>
      </c>
      <c r="I122" s="5">
        <v>44235</v>
      </c>
      <c r="K122" s="5" t="s">
        <v>22</v>
      </c>
      <c r="L122" t="s">
        <v>23</v>
      </c>
      <c r="M122" t="s">
        <v>24</v>
      </c>
      <c r="O122" t="s">
        <v>25</v>
      </c>
      <c r="Q122" t="s">
        <v>53</v>
      </c>
      <c r="R122" t="s">
        <v>53</v>
      </c>
    </row>
    <row r="123" spans="1:18" x14ac:dyDescent="0.25">
      <c r="A123" t="s">
        <v>128</v>
      </c>
      <c r="B123">
        <v>218925</v>
      </c>
      <c r="C123" t="s">
        <v>19</v>
      </c>
      <c r="D123" t="s">
        <v>129</v>
      </c>
      <c r="E123" t="s">
        <v>32</v>
      </c>
      <c r="F123">
        <v>1</v>
      </c>
      <c r="G123">
        <v>44230</v>
      </c>
      <c r="H123">
        <v>44236</v>
      </c>
      <c r="I123" s="5">
        <v>44236</v>
      </c>
      <c r="K123" s="5" t="s">
        <v>22</v>
      </c>
      <c r="L123" t="s">
        <v>33</v>
      </c>
      <c r="M123" t="s">
        <v>24</v>
      </c>
      <c r="N123">
        <v>1</v>
      </c>
      <c r="O123" t="s">
        <v>25</v>
      </c>
      <c r="P123" t="s">
        <v>26</v>
      </c>
      <c r="Q123" t="s">
        <v>28</v>
      </c>
      <c r="R123" t="s">
        <v>53</v>
      </c>
    </row>
    <row r="124" spans="1:18" x14ac:dyDescent="0.25">
      <c r="A124" t="s">
        <v>132</v>
      </c>
      <c r="B124">
        <v>218963</v>
      </c>
      <c r="C124" t="s">
        <v>19</v>
      </c>
      <c r="D124" t="s">
        <v>133</v>
      </c>
      <c r="E124" t="s">
        <v>61</v>
      </c>
      <c r="F124">
        <v>1</v>
      </c>
      <c r="G124">
        <v>44230</v>
      </c>
      <c r="H124">
        <v>44236</v>
      </c>
      <c r="I124" s="5">
        <v>44236</v>
      </c>
      <c r="K124" s="5" t="s">
        <v>22</v>
      </c>
      <c r="L124" t="s">
        <v>23</v>
      </c>
      <c r="M124" t="s">
        <v>24</v>
      </c>
      <c r="O124" t="s">
        <v>25</v>
      </c>
      <c r="Q124" t="s">
        <v>28</v>
      </c>
      <c r="R124" t="s">
        <v>27</v>
      </c>
    </row>
    <row r="125" spans="1:18" x14ac:dyDescent="0.25">
      <c r="A125" t="s">
        <v>70</v>
      </c>
      <c r="B125">
        <v>219755</v>
      </c>
      <c r="C125" t="s">
        <v>30</v>
      </c>
      <c r="D125" t="s">
        <v>134</v>
      </c>
      <c r="E125" t="s">
        <v>48</v>
      </c>
      <c r="F125">
        <v>1</v>
      </c>
      <c r="G125">
        <v>44232</v>
      </c>
      <c r="H125">
        <v>44237</v>
      </c>
      <c r="I125" s="5">
        <v>44248</v>
      </c>
      <c r="K125" s="5" t="s">
        <v>22</v>
      </c>
      <c r="L125" t="s">
        <v>41</v>
      </c>
      <c r="M125" t="s">
        <v>24</v>
      </c>
      <c r="O125" t="s">
        <v>26</v>
      </c>
      <c r="P125" t="s">
        <v>26</v>
      </c>
      <c r="Q125" t="s">
        <v>73</v>
      </c>
    </row>
    <row r="126" spans="1:18" x14ac:dyDescent="0.25">
      <c r="A126" t="s">
        <v>70</v>
      </c>
      <c r="B126">
        <v>219755</v>
      </c>
      <c r="C126" t="s">
        <v>30</v>
      </c>
      <c r="D126" t="s">
        <v>134</v>
      </c>
      <c r="E126" t="s">
        <v>34</v>
      </c>
      <c r="F126">
        <v>1</v>
      </c>
      <c r="G126">
        <v>44232</v>
      </c>
      <c r="H126">
        <v>44237</v>
      </c>
      <c r="I126" s="5">
        <v>44248</v>
      </c>
      <c r="K126" s="5" t="s">
        <v>22</v>
      </c>
      <c r="L126" t="s">
        <v>41</v>
      </c>
      <c r="M126" t="s">
        <v>24</v>
      </c>
      <c r="O126" t="s">
        <v>26</v>
      </c>
      <c r="P126" t="s">
        <v>26</v>
      </c>
      <c r="Q126" t="s">
        <v>73</v>
      </c>
    </row>
    <row r="127" spans="1:18" x14ac:dyDescent="0.25">
      <c r="A127" t="s">
        <v>36</v>
      </c>
      <c r="B127">
        <v>219991</v>
      </c>
      <c r="C127" t="s">
        <v>19</v>
      </c>
      <c r="D127" t="s">
        <v>135</v>
      </c>
      <c r="E127" t="s">
        <v>43</v>
      </c>
      <c r="F127">
        <v>13</v>
      </c>
      <c r="G127">
        <v>44235</v>
      </c>
      <c r="H127">
        <v>44244</v>
      </c>
      <c r="I127" s="5">
        <v>44238</v>
      </c>
      <c r="K127" s="5" t="s">
        <v>22</v>
      </c>
      <c r="L127" t="s">
        <v>23</v>
      </c>
      <c r="M127" t="s">
        <v>24</v>
      </c>
      <c r="O127" t="s">
        <v>25</v>
      </c>
      <c r="P127" t="s">
        <v>26</v>
      </c>
      <c r="Q127" t="s">
        <v>53</v>
      </c>
      <c r="R127" t="s">
        <v>53</v>
      </c>
    </row>
    <row r="128" spans="1:18" x14ac:dyDescent="0.25">
      <c r="A128" t="s">
        <v>36</v>
      </c>
      <c r="B128">
        <v>219991</v>
      </c>
      <c r="C128" t="s">
        <v>19</v>
      </c>
      <c r="D128" t="s">
        <v>135</v>
      </c>
      <c r="E128" t="s">
        <v>38</v>
      </c>
      <c r="F128">
        <v>13</v>
      </c>
      <c r="G128">
        <v>44235</v>
      </c>
      <c r="H128">
        <v>44244</v>
      </c>
      <c r="I128" s="5">
        <v>44238</v>
      </c>
      <c r="K128" s="5" t="s">
        <v>22</v>
      </c>
      <c r="L128" t="s">
        <v>23</v>
      </c>
      <c r="M128" t="s">
        <v>24</v>
      </c>
      <c r="O128" t="s">
        <v>25</v>
      </c>
      <c r="P128" t="s">
        <v>26</v>
      </c>
      <c r="Q128" t="s">
        <v>53</v>
      </c>
      <c r="R128" t="s">
        <v>53</v>
      </c>
    </row>
    <row r="129" spans="1:18" x14ac:dyDescent="0.25">
      <c r="A129" t="s">
        <v>36</v>
      </c>
      <c r="B129">
        <v>219991</v>
      </c>
      <c r="C129" t="s">
        <v>19</v>
      </c>
      <c r="D129" t="s">
        <v>135</v>
      </c>
      <c r="E129" t="s">
        <v>32</v>
      </c>
      <c r="F129">
        <v>13</v>
      </c>
      <c r="G129">
        <v>44235</v>
      </c>
      <c r="H129">
        <v>44244</v>
      </c>
      <c r="I129" s="5">
        <v>44238</v>
      </c>
      <c r="K129" s="5" t="s">
        <v>22</v>
      </c>
      <c r="L129" t="s">
        <v>23</v>
      </c>
      <c r="M129" t="s">
        <v>24</v>
      </c>
      <c r="O129" t="s">
        <v>25</v>
      </c>
      <c r="P129" t="s">
        <v>26</v>
      </c>
      <c r="Q129" t="s">
        <v>53</v>
      </c>
      <c r="R129" t="s">
        <v>53</v>
      </c>
    </row>
    <row r="130" spans="1:18" x14ac:dyDescent="0.25">
      <c r="A130" t="s">
        <v>36</v>
      </c>
      <c r="B130">
        <v>219991</v>
      </c>
      <c r="C130" t="s">
        <v>19</v>
      </c>
      <c r="D130" t="s">
        <v>135</v>
      </c>
      <c r="E130" t="s">
        <v>48</v>
      </c>
      <c r="F130">
        <v>1</v>
      </c>
      <c r="G130">
        <v>44235</v>
      </c>
      <c r="H130">
        <v>44244</v>
      </c>
      <c r="I130" s="5">
        <v>44238</v>
      </c>
      <c r="K130" s="5" t="s">
        <v>22</v>
      </c>
      <c r="L130" t="s">
        <v>23</v>
      </c>
      <c r="M130" t="s">
        <v>24</v>
      </c>
      <c r="O130" t="s">
        <v>25</v>
      </c>
      <c r="P130" t="s">
        <v>26</v>
      </c>
      <c r="Q130" t="s">
        <v>53</v>
      </c>
      <c r="R130" t="s">
        <v>53</v>
      </c>
    </row>
    <row r="131" spans="1:18" x14ac:dyDescent="0.25">
      <c r="A131" t="s">
        <v>36</v>
      </c>
      <c r="B131">
        <v>219991</v>
      </c>
      <c r="C131" t="s">
        <v>19</v>
      </c>
      <c r="D131" t="s">
        <v>135</v>
      </c>
      <c r="E131" t="s">
        <v>92</v>
      </c>
      <c r="F131">
        <v>1</v>
      </c>
      <c r="G131">
        <v>44235</v>
      </c>
      <c r="H131">
        <v>44244</v>
      </c>
      <c r="I131" s="5">
        <v>44238</v>
      </c>
      <c r="K131" s="5" t="s">
        <v>22</v>
      </c>
      <c r="L131" t="s">
        <v>23</v>
      </c>
      <c r="M131" t="s">
        <v>24</v>
      </c>
      <c r="O131" t="s">
        <v>25</v>
      </c>
      <c r="P131" t="s">
        <v>26</v>
      </c>
      <c r="Q131" t="s">
        <v>53</v>
      </c>
      <c r="R131" t="s">
        <v>53</v>
      </c>
    </row>
    <row r="132" spans="1:18" x14ac:dyDescent="0.25">
      <c r="A132" t="s">
        <v>36</v>
      </c>
      <c r="B132">
        <v>213148</v>
      </c>
      <c r="C132" t="s">
        <v>19</v>
      </c>
      <c r="D132" t="s">
        <v>136</v>
      </c>
      <c r="E132" t="s">
        <v>34</v>
      </c>
      <c r="F132">
        <v>2</v>
      </c>
      <c r="G132">
        <v>44203</v>
      </c>
      <c r="H132">
        <v>44221</v>
      </c>
      <c r="I132" s="5">
        <v>44236</v>
      </c>
      <c r="K132" s="5" t="s">
        <v>22</v>
      </c>
      <c r="L132" t="s">
        <v>41</v>
      </c>
      <c r="M132" t="s">
        <v>24</v>
      </c>
      <c r="O132" t="s">
        <v>26</v>
      </c>
      <c r="P132" t="s">
        <v>26</v>
      </c>
      <c r="Q132" t="s">
        <v>28</v>
      </c>
      <c r="R132" t="s">
        <v>53</v>
      </c>
    </row>
    <row r="133" spans="1:18" x14ac:dyDescent="0.25">
      <c r="A133" t="s">
        <v>36</v>
      </c>
      <c r="B133">
        <v>213148</v>
      </c>
      <c r="C133" t="s">
        <v>19</v>
      </c>
      <c r="D133" t="s">
        <v>136</v>
      </c>
      <c r="E133" t="s">
        <v>43</v>
      </c>
      <c r="F133">
        <v>2</v>
      </c>
      <c r="G133">
        <v>44203</v>
      </c>
      <c r="H133">
        <v>44221</v>
      </c>
      <c r="I133" s="5">
        <v>44236</v>
      </c>
      <c r="K133" s="5" t="s">
        <v>22</v>
      </c>
      <c r="L133" t="s">
        <v>41</v>
      </c>
      <c r="M133" t="s">
        <v>24</v>
      </c>
      <c r="O133" t="s">
        <v>26</v>
      </c>
      <c r="P133" t="s">
        <v>26</v>
      </c>
      <c r="Q133" t="s">
        <v>28</v>
      </c>
      <c r="R133" t="s">
        <v>53</v>
      </c>
    </row>
    <row r="134" spans="1:18" x14ac:dyDescent="0.25">
      <c r="A134" t="s">
        <v>36</v>
      </c>
      <c r="B134">
        <v>213148</v>
      </c>
      <c r="C134" t="s">
        <v>19</v>
      </c>
      <c r="D134" t="s">
        <v>136</v>
      </c>
      <c r="E134" t="s">
        <v>48</v>
      </c>
      <c r="F134">
        <v>2</v>
      </c>
      <c r="G134">
        <v>44203</v>
      </c>
      <c r="H134">
        <v>44221</v>
      </c>
      <c r="I134" s="5">
        <v>44236</v>
      </c>
      <c r="K134" s="5" t="s">
        <v>22</v>
      </c>
      <c r="L134" t="s">
        <v>41</v>
      </c>
      <c r="M134" t="s">
        <v>24</v>
      </c>
      <c r="O134" t="s">
        <v>26</v>
      </c>
      <c r="P134" t="s">
        <v>26</v>
      </c>
      <c r="Q134" t="s">
        <v>28</v>
      </c>
      <c r="R134" t="s">
        <v>53</v>
      </c>
    </row>
    <row r="135" spans="1:18" x14ac:dyDescent="0.25">
      <c r="A135" t="s">
        <v>36</v>
      </c>
      <c r="B135">
        <v>213148</v>
      </c>
      <c r="C135" t="s">
        <v>19</v>
      </c>
      <c r="D135" t="s">
        <v>136</v>
      </c>
      <c r="E135" t="s">
        <v>48</v>
      </c>
      <c r="F135">
        <v>8</v>
      </c>
      <c r="G135">
        <v>44203</v>
      </c>
      <c r="H135">
        <v>44221</v>
      </c>
      <c r="I135" s="5">
        <v>44236</v>
      </c>
      <c r="K135" s="5" t="s">
        <v>22</v>
      </c>
      <c r="L135" t="s">
        <v>41</v>
      </c>
      <c r="M135" t="s">
        <v>24</v>
      </c>
      <c r="O135" t="s">
        <v>26</v>
      </c>
      <c r="P135" t="s">
        <v>26</v>
      </c>
      <c r="Q135" t="s">
        <v>28</v>
      </c>
      <c r="R135" t="s">
        <v>53</v>
      </c>
    </row>
    <row r="136" spans="1:18" x14ac:dyDescent="0.25">
      <c r="A136" t="s">
        <v>39</v>
      </c>
      <c r="B136">
        <v>220827</v>
      </c>
      <c r="C136" t="s">
        <v>30</v>
      </c>
      <c r="D136" t="s">
        <v>137</v>
      </c>
      <c r="E136" t="s">
        <v>34</v>
      </c>
      <c r="F136">
        <v>1</v>
      </c>
      <c r="G136">
        <v>44238</v>
      </c>
      <c r="H136">
        <v>44238</v>
      </c>
      <c r="I136" s="5">
        <v>44238</v>
      </c>
      <c r="K136" s="5" t="s">
        <v>22</v>
      </c>
      <c r="L136" t="s">
        <v>23</v>
      </c>
      <c r="M136" t="s">
        <v>24</v>
      </c>
      <c r="O136" t="s">
        <v>25</v>
      </c>
      <c r="P136" t="s">
        <v>26</v>
      </c>
      <c r="Q136" t="s">
        <v>28</v>
      </c>
    </row>
    <row r="137" spans="1:18" x14ac:dyDescent="0.25">
      <c r="A137" t="s">
        <v>29</v>
      </c>
      <c r="B137">
        <v>220694</v>
      </c>
      <c r="C137" t="s">
        <v>19</v>
      </c>
      <c r="D137" t="s">
        <v>138</v>
      </c>
      <c r="E137" t="s">
        <v>139</v>
      </c>
      <c r="F137">
        <v>2</v>
      </c>
      <c r="G137">
        <v>44237</v>
      </c>
      <c r="H137">
        <v>44238</v>
      </c>
      <c r="I137" s="5">
        <v>44239</v>
      </c>
      <c r="K137" s="5" t="s">
        <v>22</v>
      </c>
      <c r="L137" t="s">
        <v>33</v>
      </c>
      <c r="M137" t="s">
        <v>24</v>
      </c>
      <c r="O137" t="s">
        <v>25</v>
      </c>
      <c r="P137" t="s">
        <v>25</v>
      </c>
      <c r="Q137" t="s">
        <v>28</v>
      </c>
      <c r="R137" t="s">
        <v>53</v>
      </c>
    </row>
    <row r="138" spans="1:18" x14ac:dyDescent="0.25">
      <c r="A138" t="s">
        <v>29</v>
      </c>
      <c r="B138">
        <v>220694</v>
      </c>
      <c r="C138" t="s">
        <v>19</v>
      </c>
      <c r="D138" t="s">
        <v>138</v>
      </c>
      <c r="E138" t="s">
        <v>89</v>
      </c>
      <c r="F138">
        <v>6</v>
      </c>
      <c r="G138">
        <v>44237</v>
      </c>
      <c r="H138">
        <v>44238</v>
      </c>
      <c r="I138" s="5">
        <v>44239</v>
      </c>
      <c r="K138" s="5" t="s">
        <v>22</v>
      </c>
      <c r="L138" t="s">
        <v>33</v>
      </c>
      <c r="M138" t="s">
        <v>24</v>
      </c>
      <c r="O138" t="s">
        <v>25</v>
      </c>
      <c r="P138" t="s">
        <v>25</v>
      </c>
      <c r="Q138" t="s">
        <v>28</v>
      </c>
      <c r="R138" t="s">
        <v>53</v>
      </c>
    </row>
    <row r="139" spans="1:18" x14ac:dyDescent="0.25">
      <c r="A139" t="s">
        <v>29</v>
      </c>
      <c r="B139">
        <v>220594</v>
      </c>
      <c r="C139" t="s">
        <v>19</v>
      </c>
      <c r="D139" t="s">
        <v>140</v>
      </c>
      <c r="E139" t="s">
        <v>141</v>
      </c>
      <c r="F139">
        <v>1</v>
      </c>
      <c r="G139">
        <v>44237</v>
      </c>
      <c r="H139">
        <v>44238</v>
      </c>
      <c r="I139" s="5">
        <v>44238</v>
      </c>
      <c r="K139" s="5" t="s">
        <v>22</v>
      </c>
      <c r="L139" t="s">
        <v>57</v>
      </c>
      <c r="M139" t="s">
        <v>24</v>
      </c>
      <c r="O139" t="s">
        <v>25</v>
      </c>
      <c r="Q139" t="s">
        <v>28</v>
      </c>
    </row>
    <row r="140" spans="1:18" x14ac:dyDescent="0.25">
      <c r="A140" t="s">
        <v>29</v>
      </c>
      <c r="B140">
        <v>221313</v>
      </c>
      <c r="C140" t="s">
        <v>19</v>
      </c>
      <c r="D140" t="s">
        <v>142</v>
      </c>
      <c r="E140" t="s">
        <v>61</v>
      </c>
      <c r="F140">
        <v>1</v>
      </c>
      <c r="G140">
        <v>44239</v>
      </c>
      <c r="H140">
        <v>44245</v>
      </c>
      <c r="I140" s="5">
        <v>44249</v>
      </c>
      <c r="K140" s="5" t="s">
        <v>22</v>
      </c>
      <c r="L140" t="s">
        <v>33</v>
      </c>
      <c r="M140" t="s">
        <v>24</v>
      </c>
      <c r="N140">
        <v>1</v>
      </c>
      <c r="O140" t="s">
        <v>25</v>
      </c>
      <c r="P140" t="s">
        <v>25</v>
      </c>
      <c r="Q140" t="s">
        <v>28</v>
      </c>
      <c r="R140" t="s">
        <v>53</v>
      </c>
    </row>
    <row r="141" spans="1:18" x14ac:dyDescent="0.25">
      <c r="A141" t="s">
        <v>67</v>
      </c>
      <c r="B141">
        <v>218839</v>
      </c>
      <c r="C141" t="s">
        <v>63</v>
      </c>
      <c r="D141" t="s">
        <v>143</v>
      </c>
      <c r="E141" t="s">
        <v>72</v>
      </c>
      <c r="F141">
        <v>1</v>
      </c>
      <c r="G141">
        <v>44230</v>
      </c>
      <c r="H141">
        <v>44235</v>
      </c>
      <c r="K141" s="5" t="s">
        <v>22</v>
      </c>
      <c r="L141" t="s">
        <v>57</v>
      </c>
      <c r="M141" t="s">
        <v>24</v>
      </c>
      <c r="O141" t="s">
        <v>25</v>
      </c>
      <c r="Q141" t="s">
        <v>28</v>
      </c>
      <c r="R141" t="s">
        <v>53</v>
      </c>
    </row>
    <row r="142" spans="1:18" x14ac:dyDescent="0.25">
      <c r="A142" t="s">
        <v>39</v>
      </c>
      <c r="B142">
        <v>221808</v>
      </c>
      <c r="C142" t="s">
        <v>30</v>
      </c>
      <c r="D142" t="s">
        <v>137</v>
      </c>
      <c r="E142" t="s">
        <v>34</v>
      </c>
      <c r="F142">
        <v>1</v>
      </c>
      <c r="G142">
        <v>44245</v>
      </c>
      <c r="H142">
        <v>44245</v>
      </c>
      <c r="I142" s="5">
        <v>44245</v>
      </c>
      <c r="K142" s="5" t="s">
        <v>22</v>
      </c>
      <c r="L142" t="s">
        <v>23</v>
      </c>
      <c r="M142" t="s">
        <v>24</v>
      </c>
      <c r="O142" t="s">
        <v>25</v>
      </c>
      <c r="Q142" t="s">
        <v>28</v>
      </c>
    </row>
    <row r="143" spans="1:18" x14ac:dyDescent="0.25">
      <c r="A143" t="s">
        <v>144</v>
      </c>
      <c r="B143" t="s">
        <v>95</v>
      </c>
      <c r="C143" t="s">
        <v>30</v>
      </c>
      <c r="D143" t="s">
        <v>145</v>
      </c>
      <c r="E143" t="s">
        <v>146</v>
      </c>
      <c r="F143">
        <v>2</v>
      </c>
      <c r="G143">
        <v>44236</v>
      </c>
      <c r="H143">
        <v>44236</v>
      </c>
      <c r="I143" s="5">
        <v>44236</v>
      </c>
      <c r="K143" s="5" t="s">
        <v>22</v>
      </c>
      <c r="L143" t="s">
        <v>41</v>
      </c>
      <c r="M143" t="s">
        <v>24</v>
      </c>
      <c r="N143">
        <v>2</v>
      </c>
      <c r="O143" t="s">
        <v>26</v>
      </c>
      <c r="P143" t="s">
        <v>26</v>
      </c>
      <c r="Q143" t="s">
        <v>27</v>
      </c>
      <c r="R143" t="s">
        <v>27</v>
      </c>
    </row>
    <row r="144" spans="1:18" x14ac:dyDescent="0.25">
      <c r="A144" t="s">
        <v>39</v>
      </c>
      <c r="B144" t="s">
        <v>95</v>
      </c>
      <c r="C144" t="s">
        <v>30</v>
      </c>
      <c r="D144" t="s">
        <v>147</v>
      </c>
      <c r="E144" t="s">
        <v>66</v>
      </c>
      <c r="F144">
        <v>1</v>
      </c>
      <c r="G144">
        <v>44229</v>
      </c>
      <c r="H144">
        <v>44229</v>
      </c>
      <c r="I144" s="5">
        <v>44229</v>
      </c>
      <c r="K144" s="5" t="s">
        <v>22</v>
      </c>
      <c r="L144" t="s">
        <v>23</v>
      </c>
      <c r="M144" t="s">
        <v>24</v>
      </c>
      <c r="O144" t="s">
        <v>25</v>
      </c>
      <c r="P144" t="s">
        <v>26</v>
      </c>
      <c r="Q144" t="s">
        <v>53</v>
      </c>
      <c r="R144" t="s">
        <v>53</v>
      </c>
    </row>
    <row r="145" spans="1:18" x14ac:dyDescent="0.25">
      <c r="A145" t="s">
        <v>39</v>
      </c>
      <c r="B145">
        <v>209685</v>
      </c>
      <c r="C145" t="s">
        <v>19</v>
      </c>
      <c r="D145" t="s">
        <v>148</v>
      </c>
      <c r="E145" t="s">
        <v>34</v>
      </c>
      <c r="F145">
        <v>1</v>
      </c>
      <c r="G145">
        <v>44551</v>
      </c>
      <c r="H145">
        <v>44553</v>
      </c>
      <c r="I145" s="5">
        <v>44198</v>
      </c>
      <c r="K145" s="5" t="s">
        <v>22</v>
      </c>
      <c r="L145" t="s">
        <v>41</v>
      </c>
      <c r="M145" t="s">
        <v>24</v>
      </c>
      <c r="O145" t="s">
        <v>26</v>
      </c>
    </row>
    <row r="146" spans="1:18" x14ac:dyDescent="0.25">
      <c r="A146" t="s">
        <v>67</v>
      </c>
      <c r="B146">
        <v>222213</v>
      </c>
      <c r="C146" t="s">
        <v>19</v>
      </c>
      <c r="D146" t="s">
        <v>149</v>
      </c>
      <c r="E146" t="s">
        <v>34</v>
      </c>
      <c r="F146">
        <v>2</v>
      </c>
      <c r="G146">
        <v>44246</v>
      </c>
      <c r="H146">
        <v>44250</v>
      </c>
      <c r="I146" s="5">
        <v>44250</v>
      </c>
      <c r="K146" s="5" t="s">
        <v>22</v>
      </c>
      <c r="L146" t="s">
        <v>33</v>
      </c>
      <c r="M146" t="s">
        <v>24</v>
      </c>
      <c r="O146" t="s">
        <v>25</v>
      </c>
      <c r="P146" t="s">
        <v>26</v>
      </c>
      <c r="Q146" t="s">
        <v>28</v>
      </c>
      <c r="R146" t="s">
        <v>28</v>
      </c>
    </row>
    <row r="147" spans="1:18" x14ac:dyDescent="0.25">
      <c r="A147" t="s">
        <v>67</v>
      </c>
      <c r="B147">
        <v>222213</v>
      </c>
      <c r="C147" t="s">
        <v>19</v>
      </c>
      <c r="D147" t="s">
        <v>149</v>
      </c>
      <c r="E147" t="s">
        <v>32</v>
      </c>
      <c r="F147">
        <v>2</v>
      </c>
      <c r="G147">
        <v>44246</v>
      </c>
      <c r="H147">
        <v>44250</v>
      </c>
      <c r="I147" s="5">
        <v>44250</v>
      </c>
      <c r="K147" s="5" t="s">
        <v>22</v>
      </c>
      <c r="L147" t="s">
        <v>33</v>
      </c>
      <c r="M147" t="s">
        <v>24</v>
      </c>
      <c r="O147" t="s">
        <v>25</v>
      </c>
      <c r="P147" t="s">
        <v>26</v>
      </c>
      <c r="Q147" t="s">
        <v>28</v>
      </c>
      <c r="R147" t="s">
        <v>28</v>
      </c>
    </row>
    <row r="148" spans="1:18" x14ac:dyDescent="0.25">
      <c r="A148" t="s">
        <v>54</v>
      </c>
      <c r="B148">
        <v>222473</v>
      </c>
      <c r="C148" t="s">
        <v>63</v>
      </c>
      <c r="D148" t="s">
        <v>150</v>
      </c>
      <c r="E148" t="s">
        <v>151</v>
      </c>
      <c r="F148">
        <v>7</v>
      </c>
      <c r="G148">
        <v>44249</v>
      </c>
      <c r="H148">
        <v>44249</v>
      </c>
      <c r="K148" s="5" t="s">
        <v>22</v>
      </c>
      <c r="L148" t="s">
        <v>57</v>
      </c>
      <c r="M148" t="s">
        <v>24</v>
      </c>
      <c r="O148" t="s">
        <v>26</v>
      </c>
      <c r="Q148" t="s">
        <v>28</v>
      </c>
      <c r="R148" t="s">
        <v>28</v>
      </c>
    </row>
    <row r="149" spans="1:18" x14ac:dyDescent="0.25">
      <c r="A149" t="s">
        <v>39</v>
      </c>
      <c r="B149">
        <v>223252</v>
      </c>
      <c r="C149" t="s">
        <v>30</v>
      </c>
      <c r="D149" t="s">
        <v>152</v>
      </c>
      <c r="E149" t="s">
        <v>34</v>
      </c>
      <c r="F149">
        <v>1</v>
      </c>
      <c r="G149">
        <v>44251</v>
      </c>
      <c r="H149">
        <v>44251</v>
      </c>
      <c r="I149" s="5">
        <v>44251</v>
      </c>
      <c r="K149" s="5" t="s">
        <v>22</v>
      </c>
      <c r="L149" t="s">
        <v>23</v>
      </c>
      <c r="M149" t="s">
        <v>24</v>
      </c>
      <c r="N149">
        <v>3</v>
      </c>
      <c r="O149" t="s">
        <v>25</v>
      </c>
      <c r="Q149" t="s">
        <v>28</v>
      </c>
    </row>
    <row r="150" spans="1:18" x14ac:dyDescent="0.25">
      <c r="A150" t="s">
        <v>46</v>
      </c>
      <c r="B150">
        <v>222723</v>
      </c>
      <c r="C150" t="s">
        <v>30</v>
      </c>
      <c r="D150" t="s">
        <v>153</v>
      </c>
      <c r="E150" t="s">
        <v>72</v>
      </c>
      <c r="F150">
        <v>1</v>
      </c>
      <c r="G150">
        <v>44250</v>
      </c>
      <c r="H150">
        <v>44253</v>
      </c>
      <c r="I150" s="5">
        <v>44250</v>
      </c>
      <c r="K150" s="5" t="s">
        <v>22</v>
      </c>
      <c r="L150" t="s">
        <v>57</v>
      </c>
      <c r="M150" t="s">
        <v>24</v>
      </c>
      <c r="O150" t="s">
        <v>25</v>
      </c>
      <c r="Q150" t="s">
        <v>27</v>
      </c>
    </row>
    <row r="151" spans="1:18" x14ac:dyDescent="0.25">
      <c r="A151" t="s">
        <v>29</v>
      </c>
      <c r="B151">
        <v>22281</v>
      </c>
      <c r="C151" t="s">
        <v>63</v>
      </c>
      <c r="D151" t="s">
        <v>154</v>
      </c>
      <c r="E151" t="s">
        <v>155</v>
      </c>
      <c r="F151">
        <v>1</v>
      </c>
      <c r="G151">
        <v>44246</v>
      </c>
      <c r="H151">
        <v>44251</v>
      </c>
      <c r="K151" s="5" t="s">
        <v>22</v>
      </c>
      <c r="L151" t="s">
        <v>57</v>
      </c>
      <c r="M151" t="s">
        <v>24</v>
      </c>
      <c r="O151" t="s">
        <v>25</v>
      </c>
      <c r="Q151" t="s">
        <v>53</v>
      </c>
      <c r="R151" t="s">
        <v>53</v>
      </c>
    </row>
    <row r="152" spans="1:18" x14ac:dyDescent="0.25">
      <c r="A152" t="s">
        <v>128</v>
      </c>
      <c r="B152">
        <v>222424</v>
      </c>
      <c r="C152" t="s">
        <v>63</v>
      </c>
      <c r="D152" t="s">
        <v>156</v>
      </c>
      <c r="E152" t="s">
        <v>79</v>
      </c>
      <c r="F152">
        <v>0</v>
      </c>
      <c r="G152">
        <v>44249</v>
      </c>
      <c r="H152">
        <v>44253</v>
      </c>
      <c r="K152" s="5" t="s">
        <v>22</v>
      </c>
      <c r="L152" t="s">
        <v>41</v>
      </c>
      <c r="M152" t="s">
        <v>79</v>
      </c>
      <c r="O152" t="s">
        <v>26</v>
      </c>
      <c r="Q152" t="s">
        <v>27</v>
      </c>
    </row>
    <row r="153" spans="1:18" x14ac:dyDescent="0.25">
      <c r="A153" t="s">
        <v>39</v>
      </c>
      <c r="B153">
        <v>223640</v>
      </c>
      <c r="C153" t="s">
        <v>19</v>
      </c>
      <c r="D153" t="s">
        <v>157</v>
      </c>
      <c r="E153" t="s">
        <v>34</v>
      </c>
      <c r="F153">
        <v>1</v>
      </c>
      <c r="G153">
        <v>44252</v>
      </c>
      <c r="H153">
        <v>44253</v>
      </c>
      <c r="I153" s="5">
        <v>44253</v>
      </c>
      <c r="K153" s="5" t="s">
        <v>22</v>
      </c>
      <c r="L153" t="s">
        <v>23</v>
      </c>
      <c r="M153" t="s">
        <v>24</v>
      </c>
      <c r="O153" t="s">
        <v>25</v>
      </c>
      <c r="Q153" t="s">
        <v>53</v>
      </c>
      <c r="R153" t="s">
        <v>53</v>
      </c>
    </row>
    <row r="154" spans="1:18" x14ac:dyDescent="0.25">
      <c r="A154" t="s">
        <v>39</v>
      </c>
      <c r="B154">
        <v>223640</v>
      </c>
      <c r="C154" t="s">
        <v>19</v>
      </c>
      <c r="D154" t="s">
        <v>157</v>
      </c>
      <c r="E154" t="s">
        <v>32</v>
      </c>
      <c r="F154">
        <v>1</v>
      </c>
      <c r="G154">
        <v>44252</v>
      </c>
      <c r="H154">
        <v>44253</v>
      </c>
      <c r="I154" s="5">
        <v>44253</v>
      </c>
      <c r="K154" s="5" t="s">
        <v>22</v>
      </c>
      <c r="L154" t="s">
        <v>23</v>
      </c>
      <c r="M154" t="s">
        <v>24</v>
      </c>
      <c r="O154" t="s">
        <v>25</v>
      </c>
      <c r="Q154" t="s">
        <v>53</v>
      </c>
      <c r="R154" t="s">
        <v>53</v>
      </c>
    </row>
    <row r="155" spans="1:18" x14ac:dyDescent="0.25">
      <c r="A155" t="s">
        <v>39</v>
      </c>
      <c r="B155">
        <v>223735</v>
      </c>
      <c r="C155" t="s">
        <v>30</v>
      </c>
      <c r="D155" t="s">
        <v>158</v>
      </c>
      <c r="E155" t="s">
        <v>34</v>
      </c>
      <c r="F155">
        <v>1</v>
      </c>
      <c r="G155">
        <v>44252</v>
      </c>
      <c r="H155">
        <v>44256</v>
      </c>
      <c r="I155" s="5">
        <v>44256</v>
      </c>
      <c r="K155" s="5" t="s">
        <v>22</v>
      </c>
      <c r="L155" t="s">
        <v>23</v>
      </c>
      <c r="M155" t="s">
        <v>24</v>
      </c>
      <c r="O155" t="s">
        <v>25</v>
      </c>
      <c r="Q155" t="s">
        <v>53</v>
      </c>
    </row>
    <row r="156" spans="1:18" ht="60" x14ac:dyDescent="0.25">
      <c r="A156" t="s">
        <v>36</v>
      </c>
      <c r="B156">
        <v>216047</v>
      </c>
      <c r="C156" t="s">
        <v>30</v>
      </c>
      <c r="D156" t="s">
        <v>197</v>
      </c>
      <c r="E156" t="s">
        <v>34</v>
      </c>
      <c r="F156">
        <v>1</v>
      </c>
      <c r="G156">
        <v>44266</v>
      </c>
      <c r="H156">
        <v>44272</v>
      </c>
      <c r="I156" s="5">
        <v>44271</v>
      </c>
      <c r="K156" s="5" t="s">
        <v>22</v>
      </c>
      <c r="L156" t="s">
        <v>33</v>
      </c>
      <c r="M156" s="36" t="s">
        <v>198</v>
      </c>
      <c r="O156" t="s">
        <v>26</v>
      </c>
      <c r="P156" t="s">
        <v>26</v>
      </c>
      <c r="Q156" t="s">
        <v>28</v>
      </c>
    </row>
    <row r="157" spans="1:18" ht="60" x14ac:dyDescent="0.25">
      <c r="A157" t="s">
        <v>36</v>
      </c>
      <c r="B157">
        <v>216047</v>
      </c>
      <c r="C157" t="s">
        <v>30</v>
      </c>
      <c r="D157" t="s">
        <v>197</v>
      </c>
      <c r="E157" t="s">
        <v>34</v>
      </c>
      <c r="F157">
        <v>1</v>
      </c>
      <c r="G157">
        <v>44266</v>
      </c>
      <c r="H157">
        <v>44272</v>
      </c>
      <c r="I157" s="5">
        <v>44271</v>
      </c>
      <c r="K157" s="5" t="s">
        <v>22</v>
      </c>
      <c r="L157" t="s">
        <v>33</v>
      </c>
      <c r="M157" s="36" t="s">
        <v>198</v>
      </c>
      <c r="O157" t="s">
        <v>26</v>
      </c>
      <c r="P157" t="s">
        <v>26</v>
      </c>
      <c r="Q157" t="s">
        <v>28</v>
      </c>
    </row>
    <row r="158" spans="1:18" ht="60" x14ac:dyDescent="0.25">
      <c r="A158" t="s">
        <v>36</v>
      </c>
      <c r="B158">
        <v>216047</v>
      </c>
      <c r="C158" t="s">
        <v>30</v>
      </c>
      <c r="D158" t="s">
        <v>197</v>
      </c>
      <c r="E158" t="s">
        <v>35</v>
      </c>
      <c r="F158">
        <v>3</v>
      </c>
      <c r="G158">
        <v>44266</v>
      </c>
      <c r="H158">
        <v>44272</v>
      </c>
      <c r="I158" s="5">
        <v>44271</v>
      </c>
      <c r="K158" s="5" t="s">
        <v>22</v>
      </c>
      <c r="L158" t="s">
        <v>33</v>
      </c>
      <c r="M158" s="36" t="s">
        <v>198</v>
      </c>
      <c r="O158" t="s">
        <v>26</v>
      </c>
      <c r="P158" t="s">
        <v>26</v>
      </c>
      <c r="Q158" t="s">
        <v>28</v>
      </c>
    </row>
    <row r="159" spans="1:18" ht="60" x14ac:dyDescent="0.25">
      <c r="A159" t="s">
        <v>36</v>
      </c>
      <c r="B159">
        <v>216047</v>
      </c>
      <c r="C159" t="s">
        <v>30</v>
      </c>
      <c r="D159" t="s">
        <v>197</v>
      </c>
      <c r="E159" t="s">
        <v>48</v>
      </c>
      <c r="F159">
        <v>1</v>
      </c>
      <c r="G159">
        <v>44266</v>
      </c>
      <c r="H159">
        <v>44272</v>
      </c>
      <c r="I159" s="5">
        <v>44271</v>
      </c>
      <c r="K159" s="5" t="s">
        <v>22</v>
      </c>
      <c r="L159" t="s">
        <v>33</v>
      </c>
      <c r="M159" s="36" t="s">
        <v>198</v>
      </c>
      <c r="O159" t="s">
        <v>26</v>
      </c>
      <c r="P159" t="s">
        <v>26</v>
      </c>
      <c r="Q159" t="s">
        <v>28</v>
      </c>
    </row>
    <row r="160" spans="1:18" ht="60" x14ac:dyDescent="0.25">
      <c r="A160" t="s">
        <v>36</v>
      </c>
      <c r="B160">
        <v>216047</v>
      </c>
      <c r="C160" t="s">
        <v>30</v>
      </c>
      <c r="D160" t="s">
        <v>197</v>
      </c>
      <c r="E160" t="s">
        <v>42</v>
      </c>
      <c r="F160">
        <v>1</v>
      </c>
      <c r="G160">
        <v>44266</v>
      </c>
      <c r="H160">
        <v>44272</v>
      </c>
      <c r="I160" s="5">
        <v>44271</v>
      </c>
      <c r="K160" s="5" t="s">
        <v>22</v>
      </c>
      <c r="L160" t="s">
        <v>33</v>
      </c>
      <c r="M160" s="36" t="s">
        <v>198</v>
      </c>
      <c r="O160" t="s">
        <v>26</v>
      </c>
      <c r="P160" t="s">
        <v>26</v>
      </c>
      <c r="Q160" t="s">
        <v>28</v>
      </c>
    </row>
    <row r="161" spans="1:18" ht="60" x14ac:dyDescent="0.25">
      <c r="A161" t="s">
        <v>36</v>
      </c>
      <c r="B161">
        <v>216047</v>
      </c>
      <c r="C161" t="s">
        <v>30</v>
      </c>
      <c r="D161" t="s">
        <v>197</v>
      </c>
      <c r="E161" t="s">
        <v>32</v>
      </c>
      <c r="F161">
        <v>1</v>
      </c>
      <c r="G161">
        <v>44266</v>
      </c>
      <c r="H161">
        <v>44272</v>
      </c>
      <c r="I161" s="5">
        <v>44271</v>
      </c>
      <c r="K161" s="5" t="s">
        <v>22</v>
      </c>
      <c r="L161" t="s">
        <v>33</v>
      </c>
      <c r="M161" s="36" t="s">
        <v>198</v>
      </c>
      <c r="O161" t="s">
        <v>26</v>
      </c>
      <c r="P161" t="s">
        <v>26</v>
      </c>
      <c r="Q161" t="s">
        <v>28</v>
      </c>
    </row>
    <row r="162" spans="1:18" ht="60" x14ac:dyDescent="0.25">
      <c r="A162" t="s">
        <v>36</v>
      </c>
      <c r="B162">
        <v>216047</v>
      </c>
      <c r="C162" t="s">
        <v>30</v>
      </c>
      <c r="D162" t="s">
        <v>197</v>
      </c>
      <c r="E162" t="s">
        <v>66</v>
      </c>
      <c r="F162">
        <v>1</v>
      </c>
      <c r="G162">
        <v>44217</v>
      </c>
      <c r="H162">
        <v>44246</v>
      </c>
      <c r="I162" s="5">
        <v>44246</v>
      </c>
      <c r="K162" s="5" t="s">
        <v>22</v>
      </c>
      <c r="L162" t="s">
        <v>41</v>
      </c>
      <c r="M162" s="36" t="s">
        <v>198</v>
      </c>
      <c r="O162" t="s">
        <v>26</v>
      </c>
      <c r="P162" t="s">
        <v>26</v>
      </c>
      <c r="Q162" t="s">
        <v>28</v>
      </c>
    </row>
    <row r="163" spans="1:18" ht="60" x14ac:dyDescent="0.25">
      <c r="A163" t="s">
        <v>36</v>
      </c>
      <c r="B163">
        <v>216047</v>
      </c>
      <c r="C163" t="s">
        <v>30</v>
      </c>
      <c r="D163" t="s">
        <v>197</v>
      </c>
      <c r="E163" t="s">
        <v>72</v>
      </c>
      <c r="F163">
        <v>1</v>
      </c>
      <c r="G163">
        <v>44217</v>
      </c>
      <c r="H163">
        <v>44246</v>
      </c>
      <c r="I163" s="5">
        <v>44246</v>
      </c>
      <c r="K163" s="5" t="s">
        <v>22</v>
      </c>
      <c r="L163" t="s">
        <v>41</v>
      </c>
      <c r="M163" s="36" t="s">
        <v>198</v>
      </c>
      <c r="O163" t="s">
        <v>26</v>
      </c>
      <c r="P163" t="s">
        <v>26</v>
      </c>
      <c r="Q163" t="s">
        <v>28</v>
      </c>
    </row>
    <row r="164" spans="1:18" x14ac:dyDescent="0.25">
      <c r="A164" t="s">
        <v>29</v>
      </c>
      <c r="B164">
        <v>217017</v>
      </c>
      <c r="C164" t="s">
        <v>19</v>
      </c>
      <c r="D164" t="s">
        <v>199</v>
      </c>
      <c r="E164" t="s">
        <v>72</v>
      </c>
      <c r="F164">
        <v>1</v>
      </c>
      <c r="G164">
        <v>44224</v>
      </c>
      <c r="H164">
        <v>44229</v>
      </c>
      <c r="I164" s="5">
        <v>44258</v>
      </c>
      <c r="K164" s="5" t="s">
        <v>22</v>
      </c>
      <c r="L164" t="s">
        <v>57</v>
      </c>
      <c r="M164" t="s">
        <v>24</v>
      </c>
      <c r="O164" t="s">
        <v>25</v>
      </c>
      <c r="P164" t="s">
        <v>26</v>
      </c>
      <c r="Q164" t="s">
        <v>28</v>
      </c>
      <c r="R164" t="s">
        <v>28</v>
      </c>
    </row>
    <row r="165" spans="1:18" x14ac:dyDescent="0.25">
      <c r="A165" t="s">
        <v>46</v>
      </c>
      <c r="B165">
        <v>221895</v>
      </c>
      <c r="C165" t="s">
        <v>19</v>
      </c>
      <c r="D165" t="s">
        <v>203</v>
      </c>
      <c r="E165" t="s">
        <v>42</v>
      </c>
      <c r="F165">
        <v>1</v>
      </c>
      <c r="G165">
        <v>44245</v>
      </c>
      <c r="H165">
        <v>44246</v>
      </c>
      <c r="I165" s="5">
        <v>44245</v>
      </c>
      <c r="K165" s="5" t="s">
        <v>22</v>
      </c>
      <c r="L165" t="s">
        <v>33</v>
      </c>
      <c r="M165" t="s">
        <v>24</v>
      </c>
      <c r="O165" t="s">
        <v>25</v>
      </c>
      <c r="P165" t="s">
        <v>25</v>
      </c>
      <c r="Q165" t="s">
        <v>28</v>
      </c>
      <c r="R165" t="s">
        <v>28</v>
      </c>
    </row>
    <row r="166" spans="1:18" x14ac:dyDescent="0.25">
      <c r="A166" t="s">
        <v>36</v>
      </c>
      <c r="B166">
        <v>222168</v>
      </c>
      <c r="C166" t="s">
        <v>19</v>
      </c>
      <c r="D166" t="s">
        <v>205</v>
      </c>
      <c r="E166" t="s">
        <v>34</v>
      </c>
      <c r="F166">
        <v>2</v>
      </c>
      <c r="G166">
        <v>44246</v>
      </c>
      <c r="H166">
        <v>44253</v>
      </c>
      <c r="I166" s="5">
        <v>44253</v>
      </c>
      <c r="K166" s="5" t="s">
        <v>22</v>
      </c>
      <c r="L166" t="s">
        <v>33</v>
      </c>
      <c r="M166" t="s">
        <v>24</v>
      </c>
      <c r="O166" t="s">
        <v>26</v>
      </c>
      <c r="P166" t="s">
        <v>26</v>
      </c>
      <c r="Q166" t="s">
        <v>28</v>
      </c>
      <c r="R166" t="s">
        <v>53</v>
      </c>
    </row>
    <row r="167" spans="1:18" x14ac:dyDescent="0.25">
      <c r="A167" t="s">
        <v>36</v>
      </c>
      <c r="B167">
        <v>222168</v>
      </c>
      <c r="C167" t="s">
        <v>19</v>
      </c>
      <c r="D167" t="s">
        <v>205</v>
      </c>
      <c r="E167" t="s">
        <v>43</v>
      </c>
      <c r="F167">
        <v>2</v>
      </c>
      <c r="G167">
        <v>44246</v>
      </c>
      <c r="H167">
        <v>44253</v>
      </c>
      <c r="I167" s="5">
        <v>44253</v>
      </c>
      <c r="K167" s="5" t="s">
        <v>22</v>
      </c>
      <c r="L167" t="s">
        <v>33</v>
      </c>
      <c r="M167" t="s">
        <v>24</v>
      </c>
      <c r="O167" t="s">
        <v>26</v>
      </c>
      <c r="P167" t="s">
        <v>26</v>
      </c>
      <c r="Q167" t="s">
        <v>28</v>
      </c>
      <c r="R167" t="s">
        <v>53</v>
      </c>
    </row>
    <row r="168" spans="1:18" x14ac:dyDescent="0.25">
      <c r="A168" t="s">
        <v>36</v>
      </c>
      <c r="B168">
        <v>222168</v>
      </c>
      <c r="C168" t="s">
        <v>19</v>
      </c>
      <c r="D168" t="s">
        <v>205</v>
      </c>
      <c r="E168" t="s">
        <v>35</v>
      </c>
      <c r="F168">
        <v>4</v>
      </c>
      <c r="G168">
        <v>44246</v>
      </c>
      <c r="H168">
        <v>44253</v>
      </c>
      <c r="I168" s="5">
        <v>44253</v>
      </c>
      <c r="K168" s="5" t="s">
        <v>22</v>
      </c>
      <c r="L168" t="s">
        <v>33</v>
      </c>
      <c r="M168" t="s">
        <v>24</v>
      </c>
      <c r="O168" t="s">
        <v>26</v>
      </c>
      <c r="P168" t="s">
        <v>26</v>
      </c>
      <c r="Q168" t="s">
        <v>28</v>
      </c>
      <c r="R168" t="s">
        <v>53</v>
      </c>
    </row>
    <row r="169" spans="1:18" x14ac:dyDescent="0.25">
      <c r="A169" t="s">
        <v>36</v>
      </c>
      <c r="B169">
        <v>222168</v>
      </c>
      <c r="C169" t="s">
        <v>19</v>
      </c>
      <c r="D169" t="s">
        <v>205</v>
      </c>
      <c r="E169" t="s">
        <v>92</v>
      </c>
      <c r="F169">
        <v>2</v>
      </c>
      <c r="G169">
        <v>44246</v>
      </c>
      <c r="H169">
        <v>44253</v>
      </c>
      <c r="I169" s="5">
        <v>44253</v>
      </c>
      <c r="K169" s="5" t="s">
        <v>22</v>
      </c>
      <c r="L169" t="s">
        <v>33</v>
      </c>
      <c r="M169" t="s">
        <v>24</v>
      </c>
      <c r="O169" t="s">
        <v>26</v>
      </c>
      <c r="P169" t="s">
        <v>26</v>
      </c>
      <c r="Q169" t="s">
        <v>28</v>
      </c>
      <c r="R169" t="s">
        <v>53</v>
      </c>
    </row>
    <row r="170" spans="1:18" x14ac:dyDescent="0.25">
      <c r="A170" t="s">
        <v>36</v>
      </c>
      <c r="B170">
        <v>222168</v>
      </c>
      <c r="C170" t="s">
        <v>19</v>
      </c>
      <c r="D170" t="s">
        <v>205</v>
      </c>
      <c r="E170" t="s">
        <v>75</v>
      </c>
      <c r="F170">
        <v>1</v>
      </c>
      <c r="G170">
        <v>44246</v>
      </c>
      <c r="H170">
        <v>44256</v>
      </c>
      <c r="I170" s="5">
        <v>44256</v>
      </c>
      <c r="K170" s="5" t="s">
        <v>22</v>
      </c>
      <c r="L170" t="s">
        <v>33</v>
      </c>
      <c r="M170" t="s">
        <v>24</v>
      </c>
      <c r="O170" t="s">
        <v>26</v>
      </c>
      <c r="P170" t="s">
        <v>26</v>
      </c>
      <c r="Q170" t="s">
        <v>28</v>
      </c>
      <c r="R170" t="s">
        <v>53</v>
      </c>
    </row>
    <row r="171" spans="1:18" x14ac:dyDescent="0.25">
      <c r="A171" t="s">
        <v>144</v>
      </c>
      <c r="B171">
        <v>222495</v>
      </c>
      <c r="C171" t="s">
        <v>19</v>
      </c>
      <c r="D171" t="s">
        <v>209</v>
      </c>
      <c r="E171" t="s">
        <v>72</v>
      </c>
      <c r="F171">
        <v>2</v>
      </c>
      <c r="G171">
        <v>44249</v>
      </c>
      <c r="H171">
        <v>44257</v>
      </c>
      <c r="I171" s="5">
        <v>44250</v>
      </c>
      <c r="K171" s="5" t="s">
        <v>22</v>
      </c>
      <c r="L171" t="s">
        <v>57</v>
      </c>
      <c r="M171" t="s">
        <v>24</v>
      </c>
      <c r="O171" t="s">
        <v>25</v>
      </c>
      <c r="Q171" t="s">
        <v>28</v>
      </c>
      <c r="R171" t="s">
        <v>27</v>
      </c>
    </row>
    <row r="172" spans="1:18" x14ac:dyDescent="0.25">
      <c r="A172" t="s">
        <v>36</v>
      </c>
      <c r="B172">
        <v>221022</v>
      </c>
      <c r="C172" t="s">
        <v>30</v>
      </c>
      <c r="D172" t="s">
        <v>210</v>
      </c>
      <c r="E172" t="s">
        <v>35</v>
      </c>
      <c r="F172">
        <v>1</v>
      </c>
      <c r="G172">
        <v>44258</v>
      </c>
      <c r="H172">
        <v>44259</v>
      </c>
      <c r="I172" s="5">
        <v>44259</v>
      </c>
      <c r="K172" s="5" t="s">
        <v>22</v>
      </c>
      <c r="L172" t="s">
        <v>23</v>
      </c>
      <c r="M172" t="s">
        <v>24</v>
      </c>
      <c r="O172" t="s">
        <v>25</v>
      </c>
      <c r="P172" t="s">
        <v>25</v>
      </c>
      <c r="Q172" t="s">
        <v>53</v>
      </c>
    </row>
    <row r="173" spans="1:18" x14ac:dyDescent="0.25">
      <c r="A173" t="s">
        <v>36</v>
      </c>
      <c r="B173">
        <v>221022</v>
      </c>
      <c r="C173" t="s">
        <v>30</v>
      </c>
      <c r="D173" t="s">
        <v>210</v>
      </c>
      <c r="E173" t="s">
        <v>48</v>
      </c>
      <c r="F173">
        <v>1</v>
      </c>
      <c r="G173">
        <v>44258</v>
      </c>
      <c r="H173">
        <v>44259</v>
      </c>
      <c r="I173" s="5">
        <v>44259</v>
      </c>
      <c r="K173" s="5" t="s">
        <v>22</v>
      </c>
      <c r="L173" t="s">
        <v>23</v>
      </c>
      <c r="M173" t="s">
        <v>24</v>
      </c>
      <c r="O173" t="s">
        <v>25</v>
      </c>
      <c r="P173" t="s">
        <v>25</v>
      </c>
      <c r="Q173" t="s">
        <v>53</v>
      </c>
    </row>
    <row r="174" spans="1:18" x14ac:dyDescent="0.25">
      <c r="A174" t="s">
        <v>36</v>
      </c>
      <c r="B174">
        <v>221022</v>
      </c>
      <c r="C174" t="s">
        <v>30</v>
      </c>
      <c r="D174" t="s">
        <v>210</v>
      </c>
      <c r="E174" t="s">
        <v>32</v>
      </c>
      <c r="F174">
        <v>1</v>
      </c>
      <c r="G174">
        <v>44258</v>
      </c>
      <c r="H174">
        <v>44259</v>
      </c>
      <c r="I174" s="5">
        <v>44259</v>
      </c>
      <c r="K174" s="5" t="s">
        <v>22</v>
      </c>
      <c r="L174" t="s">
        <v>23</v>
      </c>
      <c r="M174" t="s">
        <v>24</v>
      </c>
      <c r="O174" t="s">
        <v>25</v>
      </c>
      <c r="P174" t="s">
        <v>25</v>
      </c>
      <c r="Q174" t="s">
        <v>53</v>
      </c>
    </row>
    <row r="175" spans="1:18" x14ac:dyDescent="0.25">
      <c r="A175" t="s">
        <v>36</v>
      </c>
      <c r="B175">
        <v>221022</v>
      </c>
      <c r="C175" t="s">
        <v>30</v>
      </c>
      <c r="D175" t="s">
        <v>210</v>
      </c>
      <c r="E175" t="s">
        <v>34</v>
      </c>
      <c r="F175">
        <v>1</v>
      </c>
      <c r="G175">
        <v>44258</v>
      </c>
      <c r="H175">
        <v>44259</v>
      </c>
      <c r="I175" s="5">
        <v>44259</v>
      </c>
      <c r="K175" s="5" t="s">
        <v>22</v>
      </c>
      <c r="L175" t="s">
        <v>23</v>
      </c>
      <c r="M175" t="s">
        <v>24</v>
      </c>
      <c r="O175" t="s">
        <v>25</v>
      </c>
      <c r="P175" t="s">
        <v>25</v>
      </c>
      <c r="Q175" t="s">
        <v>53</v>
      </c>
    </row>
    <row r="176" spans="1:18" x14ac:dyDescent="0.25">
      <c r="A176" t="s">
        <v>36</v>
      </c>
      <c r="B176">
        <v>221022</v>
      </c>
      <c r="C176" t="s">
        <v>30</v>
      </c>
      <c r="D176" t="s">
        <v>210</v>
      </c>
      <c r="E176" t="s">
        <v>211</v>
      </c>
      <c r="F176">
        <v>2</v>
      </c>
      <c r="G176">
        <v>44258</v>
      </c>
      <c r="H176">
        <v>44259</v>
      </c>
      <c r="I176" s="5">
        <v>44259</v>
      </c>
      <c r="K176" s="5" t="s">
        <v>22</v>
      </c>
      <c r="L176" t="s">
        <v>23</v>
      </c>
      <c r="M176" t="s">
        <v>24</v>
      </c>
      <c r="O176" t="s">
        <v>25</v>
      </c>
      <c r="P176" t="s">
        <v>25</v>
      </c>
      <c r="Q176" t="s">
        <v>53</v>
      </c>
    </row>
    <row r="177" spans="1:18" x14ac:dyDescent="0.25">
      <c r="A177" t="s">
        <v>36</v>
      </c>
      <c r="B177">
        <v>221022</v>
      </c>
      <c r="C177" t="s">
        <v>30</v>
      </c>
      <c r="D177" t="s">
        <v>210</v>
      </c>
      <c r="E177" t="s">
        <v>42</v>
      </c>
      <c r="F177">
        <v>1</v>
      </c>
      <c r="G177">
        <v>44258</v>
      </c>
      <c r="H177">
        <v>44259</v>
      </c>
      <c r="I177" s="5">
        <v>44259</v>
      </c>
      <c r="K177" s="5" t="s">
        <v>22</v>
      </c>
      <c r="L177" t="s">
        <v>23</v>
      </c>
      <c r="M177" t="s">
        <v>24</v>
      </c>
      <c r="O177" t="s">
        <v>25</v>
      </c>
      <c r="P177" t="s">
        <v>25</v>
      </c>
      <c r="Q177" t="s">
        <v>53</v>
      </c>
    </row>
    <row r="178" spans="1:18" x14ac:dyDescent="0.25">
      <c r="A178" t="s">
        <v>36</v>
      </c>
      <c r="B178">
        <v>221022</v>
      </c>
      <c r="C178" t="s">
        <v>30</v>
      </c>
      <c r="D178" t="s">
        <v>210</v>
      </c>
      <c r="E178" t="s">
        <v>61</v>
      </c>
      <c r="F178">
        <v>1</v>
      </c>
      <c r="G178">
        <v>44238</v>
      </c>
      <c r="H178">
        <v>44252</v>
      </c>
      <c r="I178" s="5">
        <v>44252</v>
      </c>
      <c r="K178" s="5" t="s">
        <v>22</v>
      </c>
      <c r="L178" t="s">
        <v>23</v>
      </c>
      <c r="M178" t="s">
        <v>24</v>
      </c>
      <c r="O178" t="s">
        <v>25</v>
      </c>
      <c r="P178" t="s">
        <v>25</v>
      </c>
      <c r="Q178" t="s">
        <v>53</v>
      </c>
    </row>
    <row r="179" spans="1:18" x14ac:dyDescent="0.25">
      <c r="A179" t="s">
        <v>18</v>
      </c>
      <c r="B179">
        <v>223415</v>
      </c>
      <c r="C179" t="s">
        <v>30</v>
      </c>
      <c r="D179" t="s">
        <v>212</v>
      </c>
      <c r="E179" t="s">
        <v>79</v>
      </c>
      <c r="F179">
        <v>1</v>
      </c>
      <c r="G179">
        <v>44252</v>
      </c>
      <c r="H179">
        <v>44256</v>
      </c>
      <c r="I179" s="5">
        <v>44256</v>
      </c>
      <c r="J179" s="5" t="s">
        <v>213</v>
      </c>
      <c r="K179" s="5" t="s">
        <v>22</v>
      </c>
      <c r="L179" t="s">
        <v>41</v>
      </c>
      <c r="M179" t="s">
        <v>24</v>
      </c>
      <c r="O179" t="s">
        <v>26</v>
      </c>
    </row>
    <row r="180" spans="1:18" x14ac:dyDescent="0.25">
      <c r="A180" t="s">
        <v>36</v>
      </c>
      <c r="B180">
        <v>224201</v>
      </c>
      <c r="C180" t="s">
        <v>19</v>
      </c>
      <c r="D180" t="s">
        <v>215</v>
      </c>
      <c r="E180" t="s">
        <v>43</v>
      </c>
      <c r="F180">
        <v>4</v>
      </c>
      <c r="G180">
        <v>44256</v>
      </c>
      <c r="H180">
        <v>44258</v>
      </c>
      <c r="I180" s="5">
        <v>44267</v>
      </c>
      <c r="K180" s="5" t="s">
        <v>22</v>
      </c>
      <c r="L180" t="s">
        <v>41</v>
      </c>
      <c r="M180" t="s">
        <v>24</v>
      </c>
      <c r="N180">
        <v>1</v>
      </c>
      <c r="O180" t="s">
        <v>26</v>
      </c>
      <c r="P180" t="s">
        <v>26</v>
      </c>
      <c r="Q180" t="s">
        <v>27</v>
      </c>
      <c r="R180" t="s">
        <v>53</v>
      </c>
    </row>
    <row r="181" spans="1:18" x14ac:dyDescent="0.25">
      <c r="A181" t="s">
        <v>128</v>
      </c>
      <c r="B181">
        <v>224161</v>
      </c>
      <c r="C181" t="s">
        <v>19</v>
      </c>
      <c r="D181" t="s">
        <v>216</v>
      </c>
      <c r="E181" t="s">
        <v>217</v>
      </c>
      <c r="F181">
        <v>2</v>
      </c>
      <c r="G181">
        <v>44256</v>
      </c>
      <c r="H181">
        <v>44257</v>
      </c>
      <c r="I181" s="5">
        <v>44258</v>
      </c>
      <c r="K181" s="5" t="s">
        <v>22</v>
      </c>
      <c r="L181" t="s">
        <v>33</v>
      </c>
      <c r="M181" t="s">
        <v>24</v>
      </c>
      <c r="O181" t="s">
        <v>25</v>
      </c>
      <c r="Q181" t="s">
        <v>28</v>
      </c>
      <c r="R181" t="s">
        <v>53</v>
      </c>
    </row>
    <row r="182" spans="1:18" x14ac:dyDescent="0.25">
      <c r="A182" t="s">
        <v>36</v>
      </c>
      <c r="B182">
        <v>224201</v>
      </c>
      <c r="C182" t="s">
        <v>19</v>
      </c>
      <c r="D182" t="s">
        <v>215</v>
      </c>
      <c r="E182" t="s">
        <v>48</v>
      </c>
      <c r="F182">
        <v>2</v>
      </c>
      <c r="G182">
        <v>44256</v>
      </c>
      <c r="H182">
        <v>44258</v>
      </c>
      <c r="I182" s="5">
        <v>44267</v>
      </c>
      <c r="K182" s="5" t="s">
        <v>22</v>
      </c>
      <c r="L182" t="s">
        <v>41</v>
      </c>
      <c r="M182" t="s">
        <v>24</v>
      </c>
      <c r="N182">
        <v>1</v>
      </c>
      <c r="O182" t="s">
        <v>26</v>
      </c>
      <c r="P182" t="s">
        <v>26</v>
      </c>
      <c r="Q182" t="s">
        <v>27</v>
      </c>
      <c r="R182" t="s">
        <v>53</v>
      </c>
    </row>
    <row r="183" spans="1:18" x14ac:dyDescent="0.25">
      <c r="A183" t="s">
        <v>36</v>
      </c>
      <c r="B183">
        <v>224201</v>
      </c>
      <c r="C183" t="s">
        <v>19</v>
      </c>
      <c r="D183" t="s">
        <v>215</v>
      </c>
      <c r="E183" t="s">
        <v>32</v>
      </c>
      <c r="F183">
        <v>2</v>
      </c>
      <c r="G183">
        <v>44256</v>
      </c>
      <c r="H183">
        <v>44258</v>
      </c>
      <c r="I183" s="5">
        <v>44267</v>
      </c>
      <c r="K183" s="5" t="s">
        <v>22</v>
      </c>
      <c r="L183" t="s">
        <v>41</v>
      </c>
      <c r="M183" t="s">
        <v>24</v>
      </c>
      <c r="N183">
        <v>1</v>
      </c>
      <c r="O183" t="s">
        <v>26</v>
      </c>
      <c r="P183" t="s">
        <v>26</v>
      </c>
      <c r="Q183" t="s">
        <v>27</v>
      </c>
      <c r="R183" t="s">
        <v>53</v>
      </c>
    </row>
    <row r="184" spans="1:18" x14ac:dyDescent="0.25">
      <c r="A184" t="s">
        <v>36</v>
      </c>
      <c r="B184">
        <v>224201</v>
      </c>
      <c r="C184" t="s">
        <v>19</v>
      </c>
      <c r="D184" t="s">
        <v>215</v>
      </c>
      <c r="E184" t="s">
        <v>35</v>
      </c>
      <c r="F184">
        <v>6</v>
      </c>
      <c r="G184">
        <v>44256</v>
      </c>
      <c r="H184">
        <v>44258</v>
      </c>
      <c r="I184" s="5">
        <v>44267</v>
      </c>
      <c r="K184" s="5" t="s">
        <v>22</v>
      </c>
      <c r="L184" t="s">
        <v>41</v>
      </c>
      <c r="M184" t="s">
        <v>24</v>
      </c>
      <c r="N184">
        <v>1</v>
      </c>
      <c r="O184" t="s">
        <v>26</v>
      </c>
      <c r="P184" t="s">
        <v>26</v>
      </c>
      <c r="Q184" t="s">
        <v>27</v>
      </c>
      <c r="R184" t="s">
        <v>53</v>
      </c>
    </row>
    <row r="185" spans="1:18" x14ac:dyDescent="0.25">
      <c r="A185" t="s">
        <v>36</v>
      </c>
      <c r="B185">
        <v>224201</v>
      </c>
      <c r="C185" t="s">
        <v>19</v>
      </c>
      <c r="D185" t="s">
        <v>215</v>
      </c>
      <c r="E185" t="s">
        <v>92</v>
      </c>
      <c r="F185">
        <v>2</v>
      </c>
      <c r="G185">
        <v>44256</v>
      </c>
      <c r="H185">
        <v>44258</v>
      </c>
      <c r="I185" s="5">
        <v>44267</v>
      </c>
      <c r="K185" s="5" t="s">
        <v>22</v>
      </c>
      <c r="L185" t="s">
        <v>41</v>
      </c>
      <c r="M185" t="s">
        <v>24</v>
      </c>
      <c r="N185">
        <v>1</v>
      </c>
      <c r="O185" t="s">
        <v>26</v>
      </c>
      <c r="P185" t="s">
        <v>26</v>
      </c>
      <c r="Q185" t="s">
        <v>27</v>
      </c>
      <c r="R185" t="s">
        <v>53</v>
      </c>
    </row>
    <row r="186" spans="1:18" x14ac:dyDescent="0.25">
      <c r="A186" t="s">
        <v>67</v>
      </c>
      <c r="B186">
        <v>223817</v>
      </c>
      <c r="C186" t="s">
        <v>19</v>
      </c>
      <c r="D186" t="s">
        <v>218</v>
      </c>
      <c r="E186" t="s">
        <v>151</v>
      </c>
      <c r="F186">
        <v>6</v>
      </c>
      <c r="G186">
        <v>44253</v>
      </c>
      <c r="H186">
        <v>44257</v>
      </c>
      <c r="I186" s="5">
        <v>44270</v>
      </c>
      <c r="K186" s="5" t="s">
        <v>22</v>
      </c>
      <c r="L186" t="s">
        <v>33</v>
      </c>
      <c r="M186" t="s">
        <v>24</v>
      </c>
      <c r="O186" t="s">
        <v>25</v>
      </c>
      <c r="Q186" t="s">
        <v>27</v>
      </c>
      <c r="R186" t="s">
        <v>53</v>
      </c>
    </row>
    <row r="187" spans="1:18" x14ac:dyDescent="0.25">
      <c r="A187" t="s">
        <v>67</v>
      </c>
      <c r="B187">
        <v>223817</v>
      </c>
      <c r="C187" t="s">
        <v>19</v>
      </c>
      <c r="D187" t="s">
        <v>218</v>
      </c>
      <c r="E187" t="s">
        <v>62</v>
      </c>
      <c r="F187">
        <v>2</v>
      </c>
      <c r="G187">
        <v>44253</v>
      </c>
      <c r="H187">
        <v>44257</v>
      </c>
      <c r="I187" s="5">
        <v>44270</v>
      </c>
      <c r="K187" s="5" t="s">
        <v>22</v>
      </c>
      <c r="L187" t="s">
        <v>33</v>
      </c>
      <c r="M187" t="s">
        <v>24</v>
      </c>
      <c r="O187" t="s">
        <v>25</v>
      </c>
      <c r="Q187" t="s">
        <v>27</v>
      </c>
      <c r="R187" t="s">
        <v>53</v>
      </c>
    </row>
    <row r="188" spans="1:18" x14ac:dyDescent="0.25">
      <c r="A188" t="s">
        <v>29</v>
      </c>
      <c r="B188">
        <v>225001</v>
      </c>
      <c r="C188" t="s">
        <v>30</v>
      </c>
      <c r="D188" t="s">
        <v>219</v>
      </c>
      <c r="E188" t="s">
        <v>35</v>
      </c>
      <c r="F188">
        <v>4</v>
      </c>
      <c r="G188">
        <v>44258</v>
      </c>
      <c r="H188">
        <v>44263</v>
      </c>
      <c r="I188" s="5">
        <v>44263</v>
      </c>
      <c r="K188" s="5" t="s">
        <v>22</v>
      </c>
      <c r="L188" t="s">
        <v>41</v>
      </c>
      <c r="M188" t="s">
        <v>24</v>
      </c>
    </row>
    <row r="189" spans="1:18" x14ac:dyDescent="0.25">
      <c r="A189" t="s">
        <v>29</v>
      </c>
      <c r="B189">
        <v>225001</v>
      </c>
      <c r="C189" t="s">
        <v>30</v>
      </c>
      <c r="D189" t="s">
        <v>219</v>
      </c>
      <c r="E189" t="s">
        <v>48</v>
      </c>
      <c r="F189">
        <v>1</v>
      </c>
      <c r="G189">
        <v>44258</v>
      </c>
      <c r="H189">
        <v>44263</v>
      </c>
      <c r="I189" s="5">
        <v>44263</v>
      </c>
      <c r="K189" s="5" t="s">
        <v>22</v>
      </c>
      <c r="L189" t="s">
        <v>41</v>
      </c>
      <c r="M189" t="s">
        <v>24</v>
      </c>
    </row>
    <row r="190" spans="1:18" x14ac:dyDescent="0.25">
      <c r="A190" t="s">
        <v>29</v>
      </c>
      <c r="B190">
        <v>225001</v>
      </c>
      <c r="C190" t="s">
        <v>30</v>
      </c>
      <c r="D190" t="s">
        <v>219</v>
      </c>
      <c r="E190" t="s">
        <v>32</v>
      </c>
      <c r="F190">
        <v>1</v>
      </c>
      <c r="G190">
        <v>44258</v>
      </c>
      <c r="H190">
        <v>44263</v>
      </c>
      <c r="I190" s="5">
        <v>44263</v>
      </c>
      <c r="K190" s="5" t="s">
        <v>22</v>
      </c>
      <c r="L190" t="s">
        <v>41</v>
      </c>
      <c r="M190" t="s">
        <v>24</v>
      </c>
      <c r="O190" t="s">
        <v>26</v>
      </c>
      <c r="Q190" t="s">
        <v>28</v>
      </c>
    </row>
    <row r="191" spans="1:18" x14ac:dyDescent="0.25">
      <c r="A191" t="s">
        <v>36</v>
      </c>
      <c r="B191">
        <v>224536</v>
      </c>
      <c r="C191" t="s">
        <v>19</v>
      </c>
      <c r="D191" t="s">
        <v>220</v>
      </c>
      <c r="E191" t="s">
        <v>21</v>
      </c>
      <c r="F191">
        <v>1</v>
      </c>
      <c r="G191">
        <v>44257</v>
      </c>
      <c r="H191">
        <v>44260</v>
      </c>
      <c r="I191" s="5">
        <v>44264</v>
      </c>
      <c r="K191" s="5" t="s">
        <v>22</v>
      </c>
      <c r="L191" t="s">
        <v>33</v>
      </c>
      <c r="M191" t="s">
        <v>24</v>
      </c>
      <c r="N191">
        <v>1</v>
      </c>
      <c r="O191" t="s">
        <v>25</v>
      </c>
      <c r="P191" t="s">
        <v>25</v>
      </c>
      <c r="Q191" t="s">
        <v>28</v>
      </c>
      <c r="R191" t="s">
        <v>53</v>
      </c>
    </row>
    <row r="192" spans="1:18" x14ac:dyDescent="0.25">
      <c r="A192" t="s">
        <v>46</v>
      </c>
      <c r="B192">
        <v>222723</v>
      </c>
      <c r="C192" t="s">
        <v>30</v>
      </c>
      <c r="D192" t="s">
        <v>153</v>
      </c>
      <c r="E192" t="s">
        <v>72</v>
      </c>
      <c r="F192">
        <v>1</v>
      </c>
      <c r="G192">
        <v>44250</v>
      </c>
      <c r="H192">
        <v>44263</v>
      </c>
      <c r="K192" s="5" t="s">
        <v>22</v>
      </c>
      <c r="L192" t="s">
        <v>57</v>
      </c>
      <c r="M192" t="s">
        <v>24</v>
      </c>
      <c r="O192" t="s">
        <v>25</v>
      </c>
      <c r="Q192" t="s">
        <v>27</v>
      </c>
      <c r="R192" t="s">
        <v>27</v>
      </c>
    </row>
    <row r="193" spans="1:18" x14ac:dyDescent="0.25">
      <c r="A193" t="s">
        <v>46</v>
      </c>
      <c r="B193">
        <v>224892</v>
      </c>
      <c r="C193" t="s">
        <v>30</v>
      </c>
      <c r="D193" t="s">
        <v>221</v>
      </c>
      <c r="E193" t="s">
        <v>34</v>
      </c>
      <c r="F193">
        <v>1</v>
      </c>
      <c r="G193">
        <v>44267</v>
      </c>
      <c r="H193">
        <v>44271</v>
      </c>
      <c r="I193" s="5">
        <v>44271</v>
      </c>
      <c r="K193" s="5" t="s">
        <v>22</v>
      </c>
      <c r="L193" t="s">
        <v>33</v>
      </c>
      <c r="M193" t="s">
        <v>24</v>
      </c>
      <c r="N193">
        <v>2</v>
      </c>
      <c r="O193" t="s">
        <v>25</v>
      </c>
      <c r="Q193" t="s">
        <v>28</v>
      </c>
    </row>
    <row r="194" spans="1:18" x14ac:dyDescent="0.25">
      <c r="A194" t="s">
        <v>46</v>
      </c>
      <c r="B194">
        <v>224892</v>
      </c>
      <c r="C194" t="s">
        <v>30</v>
      </c>
      <c r="D194" t="s">
        <v>221</v>
      </c>
      <c r="E194" t="s">
        <v>89</v>
      </c>
      <c r="F194">
        <v>1</v>
      </c>
      <c r="G194">
        <v>44267</v>
      </c>
      <c r="H194">
        <v>44271</v>
      </c>
      <c r="I194" s="5">
        <v>44271</v>
      </c>
      <c r="K194" s="5" t="s">
        <v>22</v>
      </c>
      <c r="L194" t="s">
        <v>33</v>
      </c>
      <c r="M194" t="s">
        <v>24</v>
      </c>
      <c r="N194">
        <v>2</v>
      </c>
      <c r="O194" t="s">
        <v>25</v>
      </c>
      <c r="Q194" t="s">
        <v>28</v>
      </c>
    </row>
    <row r="195" spans="1:18" x14ac:dyDescent="0.25">
      <c r="A195" t="s">
        <v>46</v>
      </c>
      <c r="B195">
        <v>224892</v>
      </c>
      <c r="C195" t="s">
        <v>30</v>
      </c>
      <c r="D195" t="s">
        <v>221</v>
      </c>
      <c r="E195" t="s">
        <v>35</v>
      </c>
      <c r="F195">
        <v>4</v>
      </c>
      <c r="G195">
        <v>44267</v>
      </c>
      <c r="H195">
        <v>44271</v>
      </c>
      <c r="I195" s="5">
        <v>44271</v>
      </c>
      <c r="K195" s="5" t="s">
        <v>22</v>
      </c>
      <c r="L195" t="s">
        <v>33</v>
      </c>
      <c r="M195" t="s">
        <v>24</v>
      </c>
      <c r="N195">
        <v>2</v>
      </c>
      <c r="O195" t="s">
        <v>25</v>
      </c>
      <c r="Q195" t="s">
        <v>28</v>
      </c>
    </row>
    <row r="196" spans="1:18" x14ac:dyDescent="0.25">
      <c r="A196" t="s">
        <v>46</v>
      </c>
      <c r="B196">
        <v>224892</v>
      </c>
      <c r="C196" t="s">
        <v>30</v>
      </c>
      <c r="D196" t="s">
        <v>221</v>
      </c>
      <c r="E196" t="s">
        <v>42</v>
      </c>
      <c r="F196">
        <v>3</v>
      </c>
      <c r="G196">
        <v>44267</v>
      </c>
      <c r="H196">
        <v>44271</v>
      </c>
      <c r="I196" s="5">
        <v>44271</v>
      </c>
      <c r="K196" s="5" t="s">
        <v>22</v>
      </c>
      <c r="L196" t="s">
        <v>33</v>
      </c>
      <c r="M196" t="s">
        <v>24</v>
      </c>
      <c r="N196">
        <v>2</v>
      </c>
      <c r="O196" t="s">
        <v>25</v>
      </c>
      <c r="Q196" t="s">
        <v>28</v>
      </c>
    </row>
    <row r="197" spans="1:18" x14ac:dyDescent="0.25">
      <c r="A197" t="s">
        <v>46</v>
      </c>
      <c r="B197">
        <v>224892</v>
      </c>
      <c r="C197" t="s">
        <v>30</v>
      </c>
      <c r="D197" t="s">
        <v>221</v>
      </c>
      <c r="E197" t="s">
        <v>32</v>
      </c>
      <c r="F197">
        <v>1</v>
      </c>
      <c r="G197">
        <v>44267</v>
      </c>
      <c r="H197">
        <v>44271</v>
      </c>
      <c r="I197" s="5">
        <v>44271</v>
      </c>
      <c r="K197" s="5" t="s">
        <v>22</v>
      </c>
      <c r="L197" t="s">
        <v>33</v>
      </c>
      <c r="M197" t="s">
        <v>24</v>
      </c>
      <c r="N197">
        <v>2</v>
      </c>
      <c r="O197" t="s">
        <v>25</v>
      </c>
      <c r="Q197" t="s">
        <v>28</v>
      </c>
    </row>
    <row r="198" spans="1:18" x14ac:dyDescent="0.25">
      <c r="A198" t="s">
        <v>46</v>
      </c>
      <c r="B198">
        <v>224892</v>
      </c>
      <c r="C198" t="s">
        <v>30</v>
      </c>
      <c r="D198" t="s">
        <v>221</v>
      </c>
      <c r="E198" t="s">
        <v>88</v>
      </c>
      <c r="F198">
        <v>1</v>
      </c>
      <c r="G198">
        <v>44267</v>
      </c>
      <c r="H198">
        <v>44271</v>
      </c>
      <c r="I198" s="5">
        <v>44271</v>
      </c>
      <c r="J198" s="5" t="s">
        <v>406</v>
      </c>
      <c r="K198" s="5" t="s">
        <v>22</v>
      </c>
      <c r="L198" t="s">
        <v>33</v>
      </c>
      <c r="M198" t="s">
        <v>24</v>
      </c>
      <c r="N198">
        <v>2</v>
      </c>
      <c r="O198" t="s">
        <v>25</v>
      </c>
      <c r="Q198" t="s">
        <v>28</v>
      </c>
    </row>
    <row r="199" spans="1:18" x14ac:dyDescent="0.25">
      <c r="A199" t="s">
        <v>46</v>
      </c>
      <c r="B199">
        <v>224892</v>
      </c>
      <c r="C199" t="s">
        <v>30</v>
      </c>
      <c r="D199" t="s">
        <v>221</v>
      </c>
      <c r="E199" t="s">
        <v>61</v>
      </c>
      <c r="F199">
        <v>1</v>
      </c>
      <c r="G199">
        <v>44260</v>
      </c>
      <c r="H199">
        <v>44265</v>
      </c>
      <c r="I199" s="5">
        <v>44265</v>
      </c>
      <c r="K199" s="5" t="s">
        <v>22</v>
      </c>
      <c r="L199" t="s">
        <v>33</v>
      </c>
      <c r="M199" t="s">
        <v>24</v>
      </c>
      <c r="N199">
        <v>2</v>
      </c>
      <c r="O199" t="s">
        <v>25</v>
      </c>
      <c r="Q199" t="s">
        <v>28</v>
      </c>
    </row>
    <row r="200" spans="1:18" x14ac:dyDescent="0.25">
      <c r="A200" t="s">
        <v>222</v>
      </c>
      <c r="B200">
        <v>225692</v>
      </c>
      <c r="C200" t="s">
        <v>30</v>
      </c>
      <c r="D200" t="s">
        <v>223</v>
      </c>
      <c r="E200" t="s">
        <v>35</v>
      </c>
      <c r="F200">
        <v>1</v>
      </c>
      <c r="G200">
        <v>44260</v>
      </c>
      <c r="H200">
        <v>44266</v>
      </c>
      <c r="I200" s="5">
        <v>44266</v>
      </c>
      <c r="K200" s="5" t="s">
        <v>22</v>
      </c>
      <c r="L200" t="s">
        <v>41</v>
      </c>
      <c r="M200" t="s">
        <v>24</v>
      </c>
      <c r="O200" t="s">
        <v>26</v>
      </c>
      <c r="Q200" t="s">
        <v>28</v>
      </c>
    </row>
    <row r="201" spans="1:18" x14ac:dyDescent="0.25">
      <c r="A201" t="s">
        <v>222</v>
      </c>
      <c r="B201">
        <v>225692</v>
      </c>
      <c r="C201" t="s">
        <v>30</v>
      </c>
      <c r="D201" t="s">
        <v>223</v>
      </c>
      <c r="E201" t="s">
        <v>48</v>
      </c>
      <c r="F201">
        <v>1</v>
      </c>
      <c r="G201">
        <v>44260</v>
      </c>
      <c r="H201">
        <v>44266</v>
      </c>
      <c r="I201" s="5">
        <v>44266</v>
      </c>
      <c r="K201" s="5" t="s">
        <v>22</v>
      </c>
      <c r="L201" t="s">
        <v>41</v>
      </c>
      <c r="M201" t="s">
        <v>24</v>
      </c>
      <c r="O201" t="s">
        <v>26</v>
      </c>
      <c r="Q201" t="s">
        <v>28</v>
      </c>
    </row>
    <row r="202" spans="1:18" x14ac:dyDescent="0.25">
      <c r="A202" t="s">
        <v>29</v>
      </c>
      <c r="B202">
        <v>225795</v>
      </c>
      <c r="C202" t="s">
        <v>19</v>
      </c>
      <c r="D202" t="s">
        <v>224</v>
      </c>
      <c r="E202" t="s">
        <v>34</v>
      </c>
      <c r="F202">
        <v>2</v>
      </c>
      <c r="G202">
        <v>44263</v>
      </c>
      <c r="H202">
        <v>44265</v>
      </c>
      <c r="I202" s="5">
        <v>44265</v>
      </c>
      <c r="K202" s="5" t="s">
        <v>22</v>
      </c>
      <c r="L202" t="s">
        <v>33</v>
      </c>
      <c r="M202" t="s">
        <v>24</v>
      </c>
      <c r="O202" t="s">
        <v>25</v>
      </c>
      <c r="Q202" t="s">
        <v>28</v>
      </c>
      <c r="R202" t="s">
        <v>53</v>
      </c>
    </row>
    <row r="203" spans="1:18" x14ac:dyDescent="0.25">
      <c r="A203" t="s">
        <v>29</v>
      </c>
      <c r="B203">
        <v>225795</v>
      </c>
      <c r="C203" t="s">
        <v>19</v>
      </c>
      <c r="D203" t="s">
        <v>224</v>
      </c>
      <c r="E203" t="s">
        <v>42</v>
      </c>
      <c r="F203">
        <v>4</v>
      </c>
      <c r="G203">
        <v>44263</v>
      </c>
      <c r="H203">
        <v>44265</v>
      </c>
      <c r="I203" s="5">
        <v>44265</v>
      </c>
      <c r="K203" s="5" t="s">
        <v>22</v>
      </c>
      <c r="L203" t="s">
        <v>33</v>
      </c>
      <c r="M203" t="s">
        <v>24</v>
      </c>
      <c r="O203" t="s">
        <v>25</v>
      </c>
      <c r="Q203" t="s">
        <v>28</v>
      </c>
      <c r="R203" t="s">
        <v>53</v>
      </c>
    </row>
    <row r="204" spans="1:18" x14ac:dyDescent="0.25">
      <c r="A204" t="s">
        <v>29</v>
      </c>
      <c r="B204">
        <v>225795</v>
      </c>
      <c r="C204" t="s">
        <v>19</v>
      </c>
      <c r="D204" t="s">
        <v>224</v>
      </c>
      <c r="E204" t="s">
        <v>32</v>
      </c>
      <c r="F204">
        <v>4</v>
      </c>
      <c r="G204">
        <v>44263</v>
      </c>
      <c r="H204">
        <v>44265</v>
      </c>
      <c r="I204" s="5">
        <v>44265</v>
      </c>
      <c r="K204" s="5" t="s">
        <v>22</v>
      </c>
      <c r="L204" t="s">
        <v>33</v>
      </c>
      <c r="M204" t="s">
        <v>24</v>
      </c>
      <c r="O204" t="s">
        <v>25</v>
      </c>
      <c r="Q204" t="s">
        <v>28</v>
      </c>
      <c r="R204" t="s">
        <v>53</v>
      </c>
    </row>
    <row r="205" spans="1:18" x14ac:dyDescent="0.25">
      <c r="A205" t="s">
        <v>29</v>
      </c>
      <c r="B205">
        <v>225795</v>
      </c>
      <c r="C205" t="s">
        <v>19</v>
      </c>
      <c r="D205" t="s">
        <v>224</v>
      </c>
      <c r="E205" t="s">
        <v>44</v>
      </c>
      <c r="F205">
        <v>2</v>
      </c>
      <c r="G205">
        <v>44263</v>
      </c>
      <c r="H205">
        <v>44265</v>
      </c>
      <c r="I205" s="5">
        <v>44265</v>
      </c>
      <c r="K205" s="5" t="s">
        <v>22</v>
      </c>
      <c r="L205" t="s">
        <v>33</v>
      </c>
      <c r="M205" t="s">
        <v>24</v>
      </c>
      <c r="O205" t="s">
        <v>25</v>
      </c>
      <c r="Q205" t="s">
        <v>28</v>
      </c>
      <c r="R205" t="s">
        <v>53</v>
      </c>
    </row>
    <row r="206" spans="1:18" x14ac:dyDescent="0.25">
      <c r="A206" t="s">
        <v>39</v>
      </c>
      <c r="B206" t="s">
        <v>95</v>
      </c>
      <c r="C206" t="s">
        <v>30</v>
      </c>
      <c r="D206" t="s">
        <v>225</v>
      </c>
      <c r="E206" t="s">
        <v>226</v>
      </c>
      <c r="F206">
        <v>1</v>
      </c>
      <c r="G206">
        <v>44264</v>
      </c>
      <c r="H206">
        <v>44266</v>
      </c>
      <c r="I206" s="5">
        <v>44266</v>
      </c>
      <c r="K206" s="5" t="s">
        <v>22</v>
      </c>
      <c r="L206" t="s">
        <v>23</v>
      </c>
      <c r="M206" t="s">
        <v>24</v>
      </c>
      <c r="O206" t="s">
        <v>25</v>
      </c>
      <c r="Q206" t="s">
        <v>28</v>
      </c>
    </row>
    <row r="207" spans="1:18" x14ac:dyDescent="0.25">
      <c r="A207" t="s">
        <v>39</v>
      </c>
      <c r="B207">
        <v>226583</v>
      </c>
      <c r="C207" t="s">
        <v>19</v>
      </c>
      <c r="D207" t="s">
        <v>137</v>
      </c>
      <c r="E207" t="s">
        <v>34</v>
      </c>
      <c r="F207">
        <v>1</v>
      </c>
      <c r="G207">
        <v>44267</v>
      </c>
      <c r="H207">
        <v>44270</v>
      </c>
      <c r="I207" s="5">
        <v>44270</v>
      </c>
      <c r="J207" s="5" t="s">
        <v>227</v>
      </c>
      <c r="K207" s="5" t="s">
        <v>22</v>
      </c>
      <c r="L207" t="s">
        <v>23</v>
      </c>
      <c r="M207" t="s">
        <v>24</v>
      </c>
      <c r="O207" t="s">
        <v>25</v>
      </c>
      <c r="Q207" t="s">
        <v>28</v>
      </c>
      <c r="R207" t="s">
        <v>28</v>
      </c>
    </row>
    <row r="208" spans="1:18" x14ac:dyDescent="0.25">
      <c r="A208" t="s">
        <v>39</v>
      </c>
      <c r="B208">
        <v>226583</v>
      </c>
      <c r="C208" t="s">
        <v>19</v>
      </c>
      <c r="D208" t="s">
        <v>137</v>
      </c>
      <c r="E208" t="s">
        <v>34</v>
      </c>
      <c r="F208">
        <v>1</v>
      </c>
      <c r="G208">
        <v>44267</v>
      </c>
      <c r="H208">
        <v>44267</v>
      </c>
      <c r="I208" s="5">
        <v>44267</v>
      </c>
      <c r="J208" s="5" t="s">
        <v>228</v>
      </c>
      <c r="K208" s="5" t="s">
        <v>22</v>
      </c>
      <c r="L208" t="s">
        <v>23</v>
      </c>
      <c r="M208" t="s">
        <v>24</v>
      </c>
      <c r="O208" t="s">
        <v>25</v>
      </c>
      <c r="Q208" t="s">
        <v>28</v>
      </c>
      <c r="R208" t="s">
        <v>28</v>
      </c>
    </row>
    <row r="209" spans="1:18" x14ac:dyDescent="0.25">
      <c r="A209" t="s">
        <v>39</v>
      </c>
      <c r="B209">
        <v>226583</v>
      </c>
      <c r="C209" t="s">
        <v>19</v>
      </c>
      <c r="D209" t="s">
        <v>137</v>
      </c>
      <c r="E209" t="s">
        <v>34</v>
      </c>
      <c r="F209">
        <v>1</v>
      </c>
      <c r="G209">
        <v>44265</v>
      </c>
      <c r="H209">
        <v>44266</v>
      </c>
      <c r="I209" s="5">
        <v>44266</v>
      </c>
      <c r="K209" s="5" t="s">
        <v>22</v>
      </c>
      <c r="L209" t="s">
        <v>23</v>
      </c>
      <c r="M209" t="s">
        <v>24</v>
      </c>
      <c r="O209" t="s">
        <v>25</v>
      </c>
      <c r="Q209" t="s">
        <v>28</v>
      </c>
      <c r="R209" t="s">
        <v>28</v>
      </c>
    </row>
    <row r="210" spans="1:18" x14ac:dyDescent="0.25">
      <c r="A210" t="s">
        <v>39</v>
      </c>
      <c r="B210">
        <v>226583</v>
      </c>
      <c r="C210" t="s">
        <v>19</v>
      </c>
      <c r="D210" t="s">
        <v>137</v>
      </c>
      <c r="E210" t="s">
        <v>34</v>
      </c>
      <c r="F210">
        <v>1</v>
      </c>
      <c r="G210">
        <v>44267</v>
      </c>
      <c r="H210">
        <v>44270</v>
      </c>
      <c r="I210" s="5">
        <v>44272</v>
      </c>
      <c r="J210" s="5" t="s">
        <v>229</v>
      </c>
      <c r="K210" s="5" t="s">
        <v>22</v>
      </c>
      <c r="L210" t="s">
        <v>23</v>
      </c>
      <c r="M210" t="s">
        <v>24</v>
      </c>
      <c r="O210" t="s">
        <v>25</v>
      </c>
      <c r="Q210" t="s">
        <v>28</v>
      </c>
      <c r="R210" t="s">
        <v>28</v>
      </c>
    </row>
    <row r="211" spans="1:18" x14ac:dyDescent="0.25">
      <c r="A211" t="s">
        <v>39</v>
      </c>
      <c r="B211">
        <v>226583</v>
      </c>
      <c r="C211" t="s">
        <v>19</v>
      </c>
      <c r="D211" t="s">
        <v>137</v>
      </c>
      <c r="E211" t="s">
        <v>34</v>
      </c>
      <c r="F211">
        <v>1</v>
      </c>
      <c r="G211">
        <v>44277</v>
      </c>
      <c r="H211">
        <v>44277</v>
      </c>
      <c r="I211" s="5">
        <v>44277</v>
      </c>
      <c r="J211" s="5" t="s">
        <v>230</v>
      </c>
      <c r="K211" s="5" t="s">
        <v>22</v>
      </c>
      <c r="L211" t="s">
        <v>23</v>
      </c>
      <c r="M211" t="s">
        <v>24</v>
      </c>
      <c r="O211" t="s">
        <v>25</v>
      </c>
      <c r="Q211" t="s">
        <v>28</v>
      </c>
      <c r="R211" t="s">
        <v>28</v>
      </c>
    </row>
    <row r="212" spans="1:18" x14ac:dyDescent="0.25">
      <c r="A212" t="s">
        <v>39</v>
      </c>
      <c r="B212">
        <v>226583</v>
      </c>
      <c r="C212" t="s">
        <v>19</v>
      </c>
      <c r="D212" t="s">
        <v>137</v>
      </c>
      <c r="E212" t="s">
        <v>34</v>
      </c>
      <c r="F212">
        <v>1</v>
      </c>
      <c r="G212">
        <v>44279</v>
      </c>
      <c r="H212">
        <v>44279</v>
      </c>
      <c r="I212" s="5">
        <v>44279</v>
      </c>
      <c r="J212" s="5" t="s">
        <v>231</v>
      </c>
      <c r="K212" s="5" t="s">
        <v>22</v>
      </c>
      <c r="L212" t="s">
        <v>23</v>
      </c>
      <c r="M212" t="s">
        <v>24</v>
      </c>
      <c r="O212" t="s">
        <v>25</v>
      </c>
      <c r="Q212" t="s">
        <v>28</v>
      </c>
      <c r="R212" t="s">
        <v>28</v>
      </c>
    </row>
    <row r="213" spans="1:18" x14ac:dyDescent="0.25">
      <c r="A213" t="s">
        <v>39</v>
      </c>
      <c r="B213">
        <v>226583</v>
      </c>
      <c r="C213" t="s">
        <v>19</v>
      </c>
      <c r="D213" t="s">
        <v>137</v>
      </c>
      <c r="E213" t="s">
        <v>34</v>
      </c>
      <c r="F213">
        <v>2</v>
      </c>
      <c r="G213">
        <v>44281</v>
      </c>
      <c r="H213">
        <v>44281</v>
      </c>
      <c r="I213" s="5">
        <v>44281</v>
      </c>
      <c r="J213" s="5" t="s">
        <v>407</v>
      </c>
      <c r="K213" s="5" t="s">
        <v>22</v>
      </c>
      <c r="L213" t="s">
        <v>23</v>
      </c>
      <c r="M213" t="s">
        <v>24</v>
      </c>
      <c r="O213" t="s">
        <v>25</v>
      </c>
      <c r="Q213" t="s">
        <v>28</v>
      </c>
      <c r="R213" t="s">
        <v>28</v>
      </c>
    </row>
    <row r="214" spans="1:18" x14ac:dyDescent="0.25">
      <c r="A214" t="s">
        <v>39</v>
      </c>
      <c r="B214">
        <v>226583</v>
      </c>
      <c r="C214" t="s">
        <v>19</v>
      </c>
      <c r="D214" t="s">
        <v>137</v>
      </c>
      <c r="E214" t="s">
        <v>34</v>
      </c>
      <c r="F214">
        <v>2</v>
      </c>
      <c r="G214">
        <v>44284</v>
      </c>
      <c r="H214">
        <v>44284</v>
      </c>
      <c r="I214" s="5">
        <v>44284</v>
      </c>
      <c r="J214" s="5" t="s">
        <v>408</v>
      </c>
      <c r="K214" s="5" t="s">
        <v>22</v>
      </c>
      <c r="L214" t="s">
        <v>23</v>
      </c>
      <c r="M214" t="s">
        <v>24</v>
      </c>
      <c r="O214" t="s">
        <v>25</v>
      </c>
      <c r="Q214" t="s">
        <v>28</v>
      </c>
      <c r="R214" t="s">
        <v>28</v>
      </c>
    </row>
    <row r="215" spans="1:18" x14ac:dyDescent="0.25">
      <c r="A215" t="s">
        <v>39</v>
      </c>
      <c r="B215">
        <v>226583</v>
      </c>
      <c r="C215" t="s">
        <v>19</v>
      </c>
      <c r="D215" t="s">
        <v>137</v>
      </c>
      <c r="E215" t="s">
        <v>34</v>
      </c>
      <c r="F215">
        <v>1</v>
      </c>
      <c r="G215">
        <v>44285</v>
      </c>
      <c r="H215">
        <v>44285</v>
      </c>
      <c r="I215" s="5">
        <v>44285</v>
      </c>
      <c r="J215" s="5" t="s">
        <v>409</v>
      </c>
      <c r="K215" s="5" t="s">
        <v>22</v>
      </c>
      <c r="L215" t="s">
        <v>23</v>
      </c>
      <c r="M215" t="s">
        <v>24</v>
      </c>
      <c r="O215" t="s">
        <v>25</v>
      </c>
      <c r="Q215" t="s">
        <v>28</v>
      </c>
      <c r="R215" t="s">
        <v>28</v>
      </c>
    </row>
    <row r="216" spans="1:18" x14ac:dyDescent="0.25">
      <c r="A216" t="s">
        <v>39</v>
      </c>
      <c r="B216" t="s">
        <v>95</v>
      </c>
      <c r="C216" t="s">
        <v>30</v>
      </c>
      <c r="D216" t="s">
        <v>232</v>
      </c>
      <c r="E216" t="s">
        <v>226</v>
      </c>
      <c r="F216">
        <v>1</v>
      </c>
      <c r="G216">
        <v>44477</v>
      </c>
      <c r="H216">
        <v>44265</v>
      </c>
      <c r="I216" s="5">
        <v>44265</v>
      </c>
      <c r="K216" s="5" t="s">
        <v>22</v>
      </c>
      <c r="L216" t="s">
        <v>33</v>
      </c>
      <c r="M216" t="s">
        <v>24</v>
      </c>
      <c r="O216" t="s">
        <v>25</v>
      </c>
      <c r="Q216" t="s">
        <v>53</v>
      </c>
      <c r="R216" t="s">
        <v>53</v>
      </c>
    </row>
    <row r="217" spans="1:18" x14ac:dyDescent="0.25">
      <c r="A217" t="s">
        <v>39</v>
      </c>
      <c r="B217" t="s">
        <v>95</v>
      </c>
      <c r="C217" t="s">
        <v>30</v>
      </c>
      <c r="D217" t="s">
        <v>233</v>
      </c>
      <c r="E217" t="s">
        <v>226</v>
      </c>
      <c r="F217">
        <v>1</v>
      </c>
      <c r="G217">
        <v>44477</v>
      </c>
      <c r="H217">
        <v>44265</v>
      </c>
      <c r="I217" s="5">
        <v>44265</v>
      </c>
      <c r="K217" s="5" t="s">
        <v>22</v>
      </c>
      <c r="L217" t="s">
        <v>33</v>
      </c>
      <c r="M217" t="s">
        <v>24</v>
      </c>
      <c r="O217" t="s">
        <v>25</v>
      </c>
      <c r="Q217" t="s">
        <v>53</v>
      </c>
      <c r="R217" t="s">
        <v>53</v>
      </c>
    </row>
    <row r="218" spans="1:18" x14ac:dyDescent="0.25">
      <c r="A218" t="s">
        <v>70</v>
      </c>
      <c r="B218">
        <v>223889</v>
      </c>
      <c r="C218" t="s">
        <v>30</v>
      </c>
      <c r="D218" t="s">
        <v>234</v>
      </c>
      <c r="E218" t="s">
        <v>43</v>
      </c>
      <c r="F218">
        <v>1</v>
      </c>
      <c r="G218">
        <v>44253</v>
      </c>
      <c r="H218">
        <v>44271</v>
      </c>
      <c r="I218" s="5">
        <v>44273</v>
      </c>
      <c r="K218" s="5" t="s">
        <v>22</v>
      </c>
      <c r="L218" t="s">
        <v>33</v>
      </c>
      <c r="M218" t="s">
        <v>24</v>
      </c>
      <c r="O218" t="s">
        <v>25</v>
      </c>
      <c r="Q218" t="s">
        <v>28</v>
      </c>
    </row>
    <row r="219" spans="1:18" x14ac:dyDescent="0.25">
      <c r="A219" t="s">
        <v>29</v>
      </c>
      <c r="B219">
        <v>226373</v>
      </c>
      <c r="C219" t="s">
        <v>19</v>
      </c>
      <c r="D219" t="s">
        <v>236</v>
      </c>
      <c r="E219" t="s">
        <v>72</v>
      </c>
      <c r="F219">
        <v>1</v>
      </c>
      <c r="G219">
        <v>44265</v>
      </c>
      <c r="H219">
        <v>44267</v>
      </c>
      <c r="K219" s="5" t="s">
        <v>22</v>
      </c>
      <c r="L219" t="s">
        <v>57</v>
      </c>
      <c r="M219" t="s">
        <v>24</v>
      </c>
      <c r="O219" t="s">
        <v>25</v>
      </c>
      <c r="Q219" t="s">
        <v>28</v>
      </c>
      <c r="R219" t="s">
        <v>53</v>
      </c>
    </row>
    <row r="220" spans="1:18" x14ac:dyDescent="0.25">
      <c r="A220" t="s">
        <v>144</v>
      </c>
      <c r="B220">
        <v>226745</v>
      </c>
      <c r="C220" t="s">
        <v>19</v>
      </c>
      <c r="D220" t="s">
        <v>237</v>
      </c>
      <c r="E220" t="s">
        <v>34</v>
      </c>
      <c r="F220">
        <v>1</v>
      </c>
      <c r="G220">
        <v>44266</v>
      </c>
      <c r="H220">
        <v>44270</v>
      </c>
      <c r="K220" s="5" t="s">
        <v>22</v>
      </c>
      <c r="L220" t="s">
        <v>33</v>
      </c>
      <c r="M220" t="s">
        <v>24</v>
      </c>
      <c r="O220" t="s">
        <v>25</v>
      </c>
      <c r="Q220" t="s">
        <v>28</v>
      </c>
      <c r="R220" t="s">
        <v>53</v>
      </c>
    </row>
    <row r="221" spans="1:18" x14ac:dyDescent="0.25">
      <c r="A221" t="s">
        <v>144</v>
      </c>
      <c r="B221">
        <v>226745</v>
      </c>
      <c r="C221" t="s">
        <v>19</v>
      </c>
      <c r="D221" t="s">
        <v>237</v>
      </c>
      <c r="E221" t="s">
        <v>32</v>
      </c>
      <c r="F221">
        <v>1</v>
      </c>
      <c r="G221">
        <v>44266</v>
      </c>
      <c r="H221">
        <v>44270</v>
      </c>
      <c r="K221" s="5" t="s">
        <v>22</v>
      </c>
      <c r="L221" t="s">
        <v>33</v>
      </c>
      <c r="M221" t="s">
        <v>24</v>
      </c>
      <c r="O221" t="s">
        <v>25</v>
      </c>
      <c r="Q221" t="s">
        <v>28</v>
      </c>
      <c r="R221" t="s">
        <v>53</v>
      </c>
    </row>
    <row r="222" spans="1:18" x14ac:dyDescent="0.25">
      <c r="A222" t="s">
        <v>144</v>
      </c>
      <c r="B222">
        <v>226745</v>
      </c>
      <c r="C222" t="s">
        <v>19</v>
      </c>
      <c r="D222" t="s">
        <v>237</v>
      </c>
      <c r="E222" t="s">
        <v>92</v>
      </c>
      <c r="F222">
        <v>1</v>
      </c>
      <c r="G222">
        <v>44266</v>
      </c>
      <c r="H222">
        <v>44270</v>
      </c>
      <c r="K222" s="5" t="s">
        <v>22</v>
      </c>
      <c r="L222" t="s">
        <v>33</v>
      </c>
      <c r="M222" t="s">
        <v>24</v>
      </c>
      <c r="O222" t="s">
        <v>25</v>
      </c>
      <c r="Q222" t="s">
        <v>28</v>
      </c>
      <c r="R222" t="s">
        <v>53</v>
      </c>
    </row>
    <row r="223" spans="1:18" x14ac:dyDescent="0.25">
      <c r="A223" t="s">
        <v>18</v>
      </c>
      <c r="B223">
        <v>226949</v>
      </c>
      <c r="C223" t="s">
        <v>19</v>
      </c>
      <c r="D223" t="s">
        <v>238</v>
      </c>
      <c r="E223" t="s">
        <v>34</v>
      </c>
      <c r="F223">
        <v>2</v>
      </c>
      <c r="G223">
        <v>44266</v>
      </c>
      <c r="H223">
        <v>44267</v>
      </c>
      <c r="I223" s="5">
        <v>44271</v>
      </c>
      <c r="K223" s="5" t="s">
        <v>22</v>
      </c>
      <c r="L223" t="s">
        <v>33</v>
      </c>
      <c r="M223" t="s">
        <v>24</v>
      </c>
      <c r="N223">
        <v>1</v>
      </c>
      <c r="O223" t="s">
        <v>25</v>
      </c>
      <c r="P223" t="s">
        <v>25</v>
      </c>
      <c r="Q223" t="s">
        <v>28</v>
      </c>
      <c r="R223" t="s">
        <v>53</v>
      </c>
    </row>
    <row r="224" spans="1:18" x14ac:dyDescent="0.25">
      <c r="A224" t="s">
        <v>18</v>
      </c>
      <c r="B224">
        <v>226949</v>
      </c>
      <c r="C224" t="s">
        <v>19</v>
      </c>
      <c r="D224" t="s">
        <v>238</v>
      </c>
      <c r="E224" t="s">
        <v>35</v>
      </c>
      <c r="F224">
        <v>4</v>
      </c>
      <c r="G224">
        <v>44266</v>
      </c>
      <c r="H224">
        <v>44267</v>
      </c>
      <c r="I224" s="5">
        <v>44271</v>
      </c>
      <c r="K224" s="5" t="s">
        <v>22</v>
      </c>
      <c r="L224" t="s">
        <v>33</v>
      </c>
      <c r="M224" t="s">
        <v>24</v>
      </c>
      <c r="N224">
        <v>1</v>
      </c>
      <c r="O224" t="s">
        <v>25</v>
      </c>
      <c r="P224" t="s">
        <v>25</v>
      </c>
      <c r="Q224" t="s">
        <v>28</v>
      </c>
      <c r="R224" t="s">
        <v>53</v>
      </c>
    </row>
    <row r="225" spans="1:18" x14ac:dyDescent="0.25">
      <c r="A225" t="s">
        <v>18</v>
      </c>
      <c r="B225">
        <v>226949</v>
      </c>
      <c r="C225" t="s">
        <v>19</v>
      </c>
      <c r="D225" t="s">
        <v>238</v>
      </c>
      <c r="E225" t="s">
        <v>32</v>
      </c>
      <c r="F225">
        <v>1</v>
      </c>
      <c r="G225">
        <v>44266</v>
      </c>
      <c r="H225">
        <v>44267</v>
      </c>
      <c r="I225" s="5">
        <v>44271</v>
      </c>
      <c r="K225" s="5" t="s">
        <v>22</v>
      </c>
      <c r="L225" t="s">
        <v>33</v>
      </c>
      <c r="M225" t="s">
        <v>24</v>
      </c>
      <c r="O225" t="s">
        <v>25</v>
      </c>
      <c r="P225" t="s">
        <v>25</v>
      </c>
      <c r="Q225" t="s">
        <v>28</v>
      </c>
      <c r="R225" t="s">
        <v>53</v>
      </c>
    </row>
    <row r="226" spans="1:18" x14ac:dyDescent="0.25">
      <c r="A226" t="s">
        <v>18</v>
      </c>
      <c r="B226">
        <v>226949</v>
      </c>
      <c r="C226" t="s">
        <v>19</v>
      </c>
      <c r="D226" t="s">
        <v>238</v>
      </c>
      <c r="E226" t="s">
        <v>93</v>
      </c>
      <c r="F226">
        <v>1</v>
      </c>
      <c r="G226">
        <v>44266</v>
      </c>
      <c r="H226">
        <v>44267</v>
      </c>
      <c r="I226" s="5">
        <v>44271</v>
      </c>
      <c r="K226" s="5" t="s">
        <v>22</v>
      </c>
      <c r="L226" t="s">
        <v>33</v>
      </c>
      <c r="M226" t="s">
        <v>24</v>
      </c>
      <c r="N226">
        <v>1</v>
      </c>
      <c r="O226" t="s">
        <v>25</v>
      </c>
      <c r="P226" t="s">
        <v>25</v>
      </c>
      <c r="Q226" t="s">
        <v>28</v>
      </c>
      <c r="R226" t="s">
        <v>53</v>
      </c>
    </row>
    <row r="227" spans="1:18" x14ac:dyDescent="0.25">
      <c r="A227" t="s">
        <v>18</v>
      </c>
      <c r="B227">
        <v>226949</v>
      </c>
      <c r="C227" t="s">
        <v>19</v>
      </c>
      <c r="D227" t="s">
        <v>238</v>
      </c>
      <c r="E227" t="s">
        <v>48</v>
      </c>
      <c r="F227">
        <v>1</v>
      </c>
      <c r="G227">
        <v>44266</v>
      </c>
      <c r="H227">
        <v>44267</v>
      </c>
      <c r="I227" s="5">
        <v>44271</v>
      </c>
      <c r="K227" s="5" t="s">
        <v>22</v>
      </c>
      <c r="L227" t="s">
        <v>33</v>
      </c>
      <c r="M227" t="s">
        <v>24</v>
      </c>
      <c r="N227">
        <v>1</v>
      </c>
      <c r="O227" t="s">
        <v>25</v>
      </c>
      <c r="P227" t="s">
        <v>25</v>
      </c>
      <c r="Q227" t="s">
        <v>28</v>
      </c>
      <c r="R227" t="s">
        <v>53</v>
      </c>
    </row>
    <row r="228" spans="1:18" x14ac:dyDescent="0.25">
      <c r="A228" t="s">
        <v>36</v>
      </c>
      <c r="B228">
        <v>226995</v>
      </c>
      <c r="C228" t="s">
        <v>19</v>
      </c>
      <c r="D228" t="s">
        <v>241</v>
      </c>
      <c r="E228" t="s">
        <v>242</v>
      </c>
      <c r="F228">
        <v>1</v>
      </c>
      <c r="G228">
        <v>44267</v>
      </c>
      <c r="H228">
        <v>44270</v>
      </c>
      <c r="I228" s="5">
        <v>44271</v>
      </c>
      <c r="K228" s="5" t="s">
        <v>22</v>
      </c>
      <c r="L228" t="s">
        <v>33</v>
      </c>
      <c r="M228" t="s">
        <v>24</v>
      </c>
      <c r="O228" t="s">
        <v>25</v>
      </c>
      <c r="Q228" t="s">
        <v>53</v>
      </c>
    </row>
    <row r="229" spans="1:18" x14ac:dyDescent="0.25">
      <c r="A229" t="s">
        <v>36</v>
      </c>
      <c r="B229">
        <v>227227</v>
      </c>
      <c r="C229" t="s">
        <v>19</v>
      </c>
      <c r="D229" t="s">
        <v>243</v>
      </c>
      <c r="E229" t="s">
        <v>242</v>
      </c>
      <c r="F229">
        <v>1</v>
      </c>
      <c r="G229">
        <v>44267</v>
      </c>
      <c r="H229">
        <v>44271</v>
      </c>
      <c r="I229" s="5">
        <v>44277</v>
      </c>
      <c r="K229" s="5" t="s">
        <v>22</v>
      </c>
      <c r="L229" t="s">
        <v>33</v>
      </c>
      <c r="M229" t="s">
        <v>24</v>
      </c>
      <c r="N229">
        <v>1</v>
      </c>
      <c r="O229" t="s">
        <v>25</v>
      </c>
      <c r="P229" t="s">
        <v>25</v>
      </c>
      <c r="Q229" t="s">
        <v>53</v>
      </c>
    </row>
    <row r="230" spans="1:18" x14ac:dyDescent="0.25">
      <c r="A230" t="s">
        <v>67</v>
      </c>
      <c r="B230">
        <v>227517</v>
      </c>
      <c r="C230" t="s">
        <v>30</v>
      </c>
      <c r="D230" t="s">
        <v>245</v>
      </c>
      <c r="E230" t="s">
        <v>105</v>
      </c>
      <c r="F230">
        <v>1</v>
      </c>
      <c r="G230">
        <v>44270</v>
      </c>
      <c r="H230">
        <v>44280</v>
      </c>
      <c r="I230" s="5">
        <v>44280</v>
      </c>
      <c r="J230" s="5" t="s">
        <v>411</v>
      </c>
      <c r="K230" s="5" t="s">
        <v>22</v>
      </c>
      <c r="L230" t="s">
        <v>41</v>
      </c>
      <c r="M230" t="s">
        <v>24</v>
      </c>
      <c r="O230" t="s">
        <v>26</v>
      </c>
      <c r="Q230" t="s">
        <v>27</v>
      </c>
    </row>
    <row r="231" spans="1:18" x14ac:dyDescent="0.25">
      <c r="A231" t="s">
        <v>67</v>
      </c>
      <c r="B231">
        <v>227517</v>
      </c>
      <c r="C231" t="s">
        <v>30</v>
      </c>
      <c r="D231" t="s">
        <v>245</v>
      </c>
      <c r="E231" t="s">
        <v>105</v>
      </c>
      <c r="F231">
        <v>1</v>
      </c>
      <c r="G231">
        <v>44270</v>
      </c>
      <c r="H231">
        <v>44280</v>
      </c>
      <c r="I231" s="5">
        <v>44280</v>
      </c>
      <c r="J231" s="5" t="s">
        <v>412</v>
      </c>
      <c r="K231" s="5" t="s">
        <v>22</v>
      </c>
      <c r="L231" t="s">
        <v>41</v>
      </c>
      <c r="M231" t="s">
        <v>24</v>
      </c>
      <c r="O231" t="s">
        <v>26</v>
      </c>
      <c r="Q231" t="s">
        <v>27</v>
      </c>
    </row>
    <row r="232" spans="1:18" x14ac:dyDescent="0.25">
      <c r="A232" t="s">
        <v>128</v>
      </c>
      <c r="B232">
        <v>227893</v>
      </c>
      <c r="C232" t="s">
        <v>30</v>
      </c>
      <c r="D232" t="s">
        <v>247</v>
      </c>
      <c r="E232" t="s">
        <v>79</v>
      </c>
      <c r="F232">
        <v>8</v>
      </c>
      <c r="G232">
        <v>44271</v>
      </c>
      <c r="H232">
        <v>44274</v>
      </c>
      <c r="K232" s="5" t="s">
        <v>22</v>
      </c>
      <c r="L232" t="s">
        <v>57</v>
      </c>
      <c r="M232" t="s">
        <v>24</v>
      </c>
      <c r="O232" t="s">
        <v>25</v>
      </c>
      <c r="Q232" t="s">
        <v>28</v>
      </c>
      <c r="R232" t="s">
        <v>28</v>
      </c>
    </row>
    <row r="233" spans="1:18" x14ac:dyDescent="0.25">
      <c r="A233" t="s">
        <v>39</v>
      </c>
      <c r="B233" t="s">
        <v>95</v>
      </c>
      <c r="C233" t="s">
        <v>19</v>
      </c>
      <c r="D233" t="s">
        <v>249</v>
      </c>
      <c r="E233" t="s">
        <v>75</v>
      </c>
      <c r="F233">
        <v>1</v>
      </c>
      <c r="G233">
        <v>44274</v>
      </c>
      <c r="H233">
        <v>44277</v>
      </c>
      <c r="I233" s="5">
        <v>44274</v>
      </c>
      <c r="K233" s="5" t="s">
        <v>22</v>
      </c>
      <c r="L233" t="s">
        <v>33</v>
      </c>
      <c r="M233" t="s">
        <v>79</v>
      </c>
      <c r="O233" t="s">
        <v>26</v>
      </c>
      <c r="Q233" t="s">
        <v>53</v>
      </c>
      <c r="R233" t="s">
        <v>53</v>
      </c>
    </row>
    <row r="234" spans="1:18" x14ac:dyDescent="0.25">
      <c r="A234" t="s">
        <v>39</v>
      </c>
      <c r="B234" t="s">
        <v>95</v>
      </c>
      <c r="C234" t="s">
        <v>19</v>
      </c>
      <c r="D234" t="s">
        <v>249</v>
      </c>
      <c r="E234" t="s">
        <v>93</v>
      </c>
      <c r="F234">
        <v>1</v>
      </c>
      <c r="G234">
        <v>44274</v>
      </c>
      <c r="H234">
        <v>44277</v>
      </c>
      <c r="I234" s="5">
        <v>44274</v>
      </c>
      <c r="K234" s="5" t="s">
        <v>22</v>
      </c>
      <c r="L234" t="s">
        <v>33</v>
      </c>
      <c r="M234" t="s">
        <v>79</v>
      </c>
      <c r="O234" t="s">
        <v>26</v>
      </c>
      <c r="Q234" t="s">
        <v>53</v>
      </c>
      <c r="R234" t="s">
        <v>53</v>
      </c>
    </row>
    <row r="235" spans="1:18" x14ac:dyDescent="0.25">
      <c r="A235" t="s">
        <v>36</v>
      </c>
      <c r="B235">
        <v>229693</v>
      </c>
      <c r="C235" t="s">
        <v>19</v>
      </c>
      <c r="D235" t="s">
        <v>261</v>
      </c>
      <c r="E235" t="s">
        <v>34</v>
      </c>
      <c r="F235">
        <v>2</v>
      </c>
      <c r="G235">
        <v>44279</v>
      </c>
      <c r="H235">
        <v>44286</v>
      </c>
      <c r="I235" s="5">
        <v>44286</v>
      </c>
      <c r="K235" s="5" t="s">
        <v>22</v>
      </c>
      <c r="L235" t="s">
        <v>41</v>
      </c>
      <c r="M235" t="s">
        <v>24</v>
      </c>
      <c r="O235" t="s">
        <v>25</v>
      </c>
      <c r="Q235" t="s">
        <v>28</v>
      </c>
    </row>
    <row r="236" spans="1:18" x14ac:dyDescent="0.25">
      <c r="A236" t="s">
        <v>36</v>
      </c>
      <c r="B236">
        <v>229693</v>
      </c>
      <c r="C236" t="s">
        <v>19</v>
      </c>
      <c r="D236" t="s">
        <v>261</v>
      </c>
      <c r="E236" t="s">
        <v>32</v>
      </c>
      <c r="F236">
        <v>2</v>
      </c>
      <c r="G236">
        <v>44279</v>
      </c>
      <c r="H236">
        <v>44286</v>
      </c>
      <c r="I236" s="5">
        <v>44286</v>
      </c>
      <c r="K236" s="5" t="s">
        <v>22</v>
      </c>
      <c r="L236" t="s">
        <v>41</v>
      </c>
      <c r="M236" t="s">
        <v>24</v>
      </c>
      <c r="O236" t="s">
        <v>25</v>
      </c>
      <c r="Q236" t="s">
        <v>28</v>
      </c>
    </row>
    <row r="237" spans="1:18" x14ac:dyDescent="0.25">
      <c r="A237" t="s">
        <v>29</v>
      </c>
      <c r="B237">
        <v>228655</v>
      </c>
      <c r="C237" t="s">
        <v>63</v>
      </c>
      <c r="D237" t="s">
        <v>262</v>
      </c>
      <c r="E237" t="s">
        <v>79</v>
      </c>
      <c r="F237">
        <v>4</v>
      </c>
      <c r="G237">
        <v>44274</v>
      </c>
      <c r="H237">
        <v>44280</v>
      </c>
      <c r="K237" s="5" t="s">
        <v>22</v>
      </c>
      <c r="L237" t="s">
        <v>57</v>
      </c>
      <c r="M237" t="s">
        <v>79</v>
      </c>
      <c r="O237" t="s">
        <v>25</v>
      </c>
      <c r="Q237" t="s">
        <v>28</v>
      </c>
      <c r="R237" t="s">
        <v>53</v>
      </c>
    </row>
    <row r="238" spans="1:18" x14ac:dyDescent="0.25">
      <c r="A238" t="s">
        <v>29</v>
      </c>
      <c r="B238">
        <v>228655</v>
      </c>
      <c r="C238" t="s">
        <v>63</v>
      </c>
      <c r="D238" t="s">
        <v>262</v>
      </c>
      <c r="E238" t="s">
        <v>92</v>
      </c>
      <c r="F238">
        <v>1</v>
      </c>
      <c r="G238">
        <v>44274</v>
      </c>
      <c r="H238">
        <v>44280</v>
      </c>
      <c r="K238" s="5" t="s">
        <v>22</v>
      </c>
      <c r="L238" t="s">
        <v>57</v>
      </c>
      <c r="M238" t="s">
        <v>24</v>
      </c>
      <c r="O238" t="s">
        <v>25</v>
      </c>
      <c r="Q238" t="s">
        <v>28</v>
      </c>
      <c r="R238" t="s">
        <v>53</v>
      </c>
    </row>
    <row r="239" spans="1:18" x14ac:dyDescent="0.25">
      <c r="A239" t="s">
        <v>112</v>
      </c>
      <c r="B239">
        <v>229235</v>
      </c>
      <c r="C239" t="s">
        <v>30</v>
      </c>
      <c r="D239" t="s">
        <v>264</v>
      </c>
      <c r="E239" t="s">
        <v>72</v>
      </c>
      <c r="F239">
        <v>1</v>
      </c>
      <c r="G239">
        <v>44278</v>
      </c>
      <c r="H239">
        <v>44280</v>
      </c>
      <c r="I239" s="5">
        <v>44280</v>
      </c>
      <c r="K239" s="5" t="s">
        <v>22</v>
      </c>
      <c r="L239" t="s">
        <v>57</v>
      </c>
      <c r="M239" t="s">
        <v>24</v>
      </c>
      <c r="O239" t="s">
        <v>25</v>
      </c>
      <c r="Q239" t="s">
        <v>28</v>
      </c>
    </row>
    <row r="240" spans="1:18" x14ac:dyDescent="0.25">
      <c r="A240" t="s">
        <v>46</v>
      </c>
      <c r="B240">
        <v>214279</v>
      </c>
      <c r="C240" t="s">
        <v>30</v>
      </c>
      <c r="D240" t="s">
        <v>159</v>
      </c>
      <c r="E240" t="s">
        <v>34</v>
      </c>
      <c r="F240">
        <v>1</v>
      </c>
      <c r="G240">
        <v>44209</v>
      </c>
      <c r="H240">
        <v>44216</v>
      </c>
      <c r="I240" s="5">
        <v>44216</v>
      </c>
      <c r="K240" s="5" t="s">
        <v>160</v>
      </c>
      <c r="L240" t="s">
        <v>23</v>
      </c>
      <c r="M240" t="s">
        <v>24</v>
      </c>
      <c r="N240">
        <v>0</v>
      </c>
      <c r="O240" t="s">
        <v>25</v>
      </c>
      <c r="P240" t="s">
        <v>26</v>
      </c>
      <c r="Q240" t="s">
        <v>73</v>
      </c>
      <c r="R240" t="s">
        <v>73</v>
      </c>
    </row>
    <row r="241" spans="1:18" x14ac:dyDescent="0.25">
      <c r="A241" t="s">
        <v>46</v>
      </c>
      <c r="B241">
        <v>214279</v>
      </c>
      <c r="C241" t="s">
        <v>30</v>
      </c>
      <c r="D241" t="s">
        <v>159</v>
      </c>
      <c r="E241" t="s">
        <v>43</v>
      </c>
      <c r="F241">
        <v>1</v>
      </c>
      <c r="G241">
        <v>44209</v>
      </c>
      <c r="H241">
        <v>44216</v>
      </c>
      <c r="I241" s="5">
        <v>44216</v>
      </c>
      <c r="K241" s="5" t="s">
        <v>160</v>
      </c>
      <c r="L241" t="s">
        <v>23</v>
      </c>
      <c r="M241" t="s">
        <v>24</v>
      </c>
      <c r="N241">
        <v>2</v>
      </c>
      <c r="O241" t="s">
        <v>25</v>
      </c>
      <c r="P241" t="s">
        <v>26</v>
      </c>
      <c r="Q241" t="s">
        <v>73</v>
      </c>
      <c r="R241" t="s">
        <v>73</v>
      </c>
    </row>
    <row r="242" spans="1:18" x14ac:dyDescent="0.25">
      <c r="A242" t="s">
        <v>161</v>
      </c>
      <c r="B242">
        <v>213706</v>
      </c>
      <c r="C242" t="s">
        <v>55</v>
      </c>
      <c r="D242" t="s">
        <v>162</v>
      </c>
      <c r="G242">
        <v>44214.760844907411</v>
      </c>
      <c r="H242">
        <v>44218</v>
      </c>
      <c r="K242" s="5" t="s">
        <v>163</v>
      </c>
    </row>
    <row r="243" spans="1:18" x14ac:dyDescent="0.25">
      <c r="A243" t="s">
        <v>36</v>
      </c>
      <c r="B243">
        <v>214915</v>
      </c>
      <c r="C243" t="s">
        <v>19</v>
      </c>
      <c r="D243" t="s">
        <v>164</v>
      </c>
      <c r="E243" t="s">
        <v>34</v>
      </c>
      <c r="F243">
        <v>1</v>
      </c>
      <c r="G243">
        <v>44211</v>
      </c>
      <c r="H243">
        <v>44215</v>
      </c>
      <c r="I243" s="5">
        <v>44214</v>
      </c>
      <c r="K243" s="5" t="s">
        <v>160</v>
      </c>
      <c r="L243" t="s">
        <v>33</v>
      </c>
      <c r="M243" t="s">
        <v>24</v>
      </c>
      <c r="O243" t="s">
        <v>25</v>
      </c>
      <c r="P243" t="s">
        <v>25</v>
      </c>
      <c r="Q243" t="s">
        <v>53</v>
      </c>
      <c r="R243" t="s">
        <v>27</v>
      </c>
    </row>
    <row r="244" spans="1:18" x14ac:dyDescent="0.25">
      <c r="A244" t="s">
        <v>36</v>
      </c>
      <c r="B244">
        <v>215204</v>
      </c>
      <c r="C244" t="s">
        <v>55</v>
      </c>
      <c r="D244" t="s">
        <v>165</v>
      </c>
      <c r="G244">
        <v>44214.683125000003</v>
      </c>
      <c r="H244">
        <v>44228</v>
      </c>
      <c r="K244" s="5" t="s">
        <v>163</v>
      </c>
    </row>
    <row r="245" spans="1:18" x14ac:dyDescent="0.25">
      <c r="A245" t="s">
        <v>39</v>
      </c>
      <c r="B245">
        <v>214857</v>
      </c>
      <c r="C245" t="s">
        <v>55</v>
      </c>
      <c r="D245" t="s">
        <v>166</v>
      </c>
      <c r="G245">
        <v>44214.353356481479</v>
      </c>
      <c r="K245" s="5" t="s">
        <v>163</v>
      </c>
    </row>
    <row r="246" spans="1:18" x14ac:dyDescent="0.25">
      <c r="A246" t="s">
        <v>36</v>
      </c>
      <c r="B246">
        <v>214915</v>
      </c>
      <c r="C246" t="s">
        <v>19</v>
      </c>
      <c r="D246" t="s">
        <v>164</v>
      </c>
      <c r="E246" t="s">
        <v>32</v>
      </c>
      <c r="F246">
        <v>1</v>
      </c>
      <c r="G246">
        <v>44211</v>
      </c>
      <c r="H246">
        <v>44215</v>
      </c>
      <c r="I246" s="5">
        <v>44214</v>
      </c>
      <c r="K246" s="5" t="s">
        <v>160</v>
      </c>
      <c r="L246" t="s">
        <v>33</v>
      </c>
      <c r="M246" t="s">
        <v>24</v>
      </c>
      <c r="O246" t="s">
        <v>25</v>
      </c>
      <c r="P246" t="s">
        <v>25</v>
      </c>
      <c r="Q246" t="s">
        <v>53</v>
      </c>
      <c r="R246" t="s">
        <v>27</v>
      </c>
    </row>
    <row r="247" spans="1:18" x14ac:dyDescent="0.25">
      <c r="C247" t="s">
        <v>55</v>
      </c>
      <c r="D247" t="s">
        <v>167</v>
      </c>
      <c r="G247">
        <v>44214</v>
      </c>
      <c r="H247">
        <v>44218</v>
      </c>
      <c r="K247" s="5" t="s">
        <v>163</v>
      </c>
    </row>
    <row r="248" spans="1:18" x14ac:dyDescent="0.25">
      <c r="A248" t="s">
        <v>39</v>
      </c>
      <c r="B248">
        <v>213540</v>
      </c>
      <c r="C248" t="s">
        <v>55</v>
      </c>
      <c r="D248" t="s">
        <v>168</v>
      </c>
      <c r="G248">
        <v>44208.364039351851</v>
      </c>
      <c r="H248">
        <v>44216</v>
      </c>
      <c r="K248" s="5" t="s">
        <v>163</v>
      </c>
    </row>
    <row r="249" spans="1:18" x14ac:dyDescent="0.25">
      <c r="A249" t="s">
        <v>39</v>
      </c>
      <c r="B249">
        <v>213540</v>
      </c>
      <c r="C249" t="s">
        <v>55</v>
      </c>
      <c r="D249" t="s">
        <v>168</v>
      </c>
      <c r="G249">
        <v>44208.363854166666</v>
      </c>
      <c r="H249">
        <v>44216</v>
      </c>
      <c r="K249" s="5" t="s">
        <v>163</v>
      </c>
    </row>
    <row r="250" spans="1:18" x14ac:dyDescent="0.25">
      <c r="C250" t="s">
        <v>55</v>
      </c>
      <c r="D250" t="s">
        <v>169</v>
      </c>
      <c r="G250">
        <v>44203</v>
      </c>
      <c r="H250">
        <v>44218</v>
      </c>
      <c r="K250" s="5" t="s">
        <v>163</v>
      </c>
    </row>
    <row r="251" spans="1:18" x14ac:dyDescent="0.25">
      <c r="A251" t="s">
        <v>29</v>
      </c>
      <c r="B251">
        <v>212059</v>
      </c>
      <c r="C251" t="s">
        <v>55</v>
      </c>
      <c r="D251" t="s">
        <v>69</v>
      </c>
      <c r="G251">
        <v>44200</v>
      </c>
      <c r="H251">
        <v>44207</v>
      </c>
      <c r="K251" s="5" t="s">
        <v>163</v>
      </c>
    </row>
    <row r="252" spans="1:18" x14ac:dyDescent="0.25">
      <c r="A252" t="s">
        <v>39</v>
      </c>
      <c r="C252" t="s">
        <v>170</v>
      </c>
      <c r="D252" t="s">
        <v>171</v>
      </c>
      <c r="F252">
        <v>1</v>
      </c>
      <c r="G252">
        <v>44139</v>
      </c>
      <c r="H252">
        <v>44145</v>
      </c>
      <c r="I252" s="5">
        <v>44144</v>
      </c>
      <c r="K252" s="5" t="s">
        <v>163</v>
      </c>
    </row>
    <row r="253" spans="1:18" x14ac:dyDescent="0.25">
      <c r="A253" t="s">
        <v>54</v>
      </c>
      <c r="B253">
        <v>169096</v>
      </c>
      <c r="C253" t="s">
        <v>55</v>
      </c>
      <c r="D253" t="s">
        <v>172</v>
      </c>
      <c r="F253">
        <v>1</v>
      </c>
      <c r="G253">
        <v>44123</v>
      </c>
      <c r="I253" s="5">
        <v>44124</v>
      </c>
      <c r="K253" s="5" t="s">
        <v>163</v>
      </c>
      <c r="L253" t="s">
        <v>41</v>
      </c>
    </row>
    <row r="254" spans="1:18" x14ac:dyDescent="0.25">
      <c r="C254" t="s">
        <v>55</v>
      </c>
      <c r="F254">
        <v>1</v>
      </c>
      <c r="G254">
        <v>44104</v>
      </c>
      <c r="I254" s="5">
        <v>44104</v>
      </c>
      <c r="K254" s="5" t="s">
        <v>163</v>
      </c>
      <c r="L254" t="s">
        <v>41</v>
      </c>
    </row>
    <row r="255" spans="1:18" x14ac:dyDescent="0.25">
      <c r="A255" t="s">
        <v>54</v>
      </c>
      <c r="B255">
        <v>169096</v>
      </c>
      <c r="C255" t="s">
        <v>63</v>
      </c>
      <c r="D255" t="s">
        <v>172</v>
      </c>
      <c r="F255">
        <v>1</v>
      </c>
      <c r="G255">
        <v>43985</v>
      </c>
      <c r="I255" s="5">
        <v>44027</v>
      </c>
      <c r="K255" s="5" t="s">
        <v>160</v>
      </c>
      <c r="L255" t="s">
        <v>41</v>
      </c>
    </row>
    <row r="256" spans="1:18" x14ac:dyDescent="0.25">
      <c r="C256" t="s">
        <v>55</v>
      </c>
      <c r="D256" t="s">
        <v>173</v>
      </c>
      <c r="F256">
        <v>1</v>
      </c>
      <c r="G256">
        <v>44112</v>
      </c>
      <c r="K256" s="5" t="s">
        <v>163</v>
      </c>
      <c r="L256" t="s">
        <v>33</v>
      </c>
    </row>
    <row r="257" spans="1:17" x14ac:dyDescent="0.25">
      <c r="B257">
        <v>195215</v>
      </c>
      <c r="C257" t="s">
        <v>55</v>
      </c>
      <c r="D257" t="s">
        <v>174</v>
      </c>
      <c r="F257">
        <v>1</v>
      </c>
      <c r="G257">
        <v>44117</v>
      </c>
      <c r="I257" s="5">
        <v>44118</v>
      </c>
      <c r="K257" s="5" t="s">
        <v>163</v>
      </c>
      <c r="L257" t="s">
        <v>57</v>
      </c>
    </row>
    <row r="258" spans="1:17" x14ac:dyDescent="0.25">
      <c r="C258" t="s">
        <v>55</v>
      </c>
      <c r="D258" t="s">
        <v>175</v>
      </c>
      <c r="F258">
        <v>1</v>
      </c>
      <c r="G258">
        <v>44113</v>
      </c>
      <c r="I258" s="5">
        <v>44132</v>
      </c>
      <c r="K258" s="5" t="s">
        <v>163</v>
      </c>
      <c r="L258" t="s">
        <v>41</v>
      </c>
    </row>
    <row r="259" spans="1:17" x14ac:dyDescent="0.25">
      <c r="C259" t="s">
        <v>55</v>
      </c>
      <c r="D259" t="s">
        <v>176</v>
      </c>
      <c r="F259">
        <v>1</v>
      </c>
      <c r="G259">
        <v>44113</v>
      </c>
      <c r="I259" s="5">
        <v>44117</v>
      </c>
      <c r="K259" s="5" t="s">
        <v>163</v>
      </c>
      <c r="L259" t="s">
        <v>41</v>
      </c>
    </row>
    <row r="260" spans="1:17" x14ac:dyDescent="0.25">
      <c r="A260" t="s">
        <v>39</v>
      </c>
      <c r="B260">
        <v>195121</v>
      </c>
      <c r="C260" t="s">
        <v>55</v>
      </c>
      <c r="D260" t="s">
        <v>177</v>
      </c>
      <c r="F260">
        <v>1</v>
      </c>
      <c r="G260">
        <v>44117</v>
      </c>
      <c r="I260" s="5">
        <v>44118</v>
      </c>
      <c r="K260" s="5" t="s">
        <v>163</v>
      </c>
      <c r="L260" t="s">
        <v>23</v>
      </c>
    </row>
    <row r="261" spans="1:17" x14ac:dyDescent="0.25">
      <c r="A261" t="s">
        <v>39</v>
      </c>
      <c r="B261">
        <v>193661</v>
      </c>
      <c r="C261" t="s">
        <v>55</v>
      </c>
      <c r="D261" t="s">
        <v>178</v>
      </c>
      <c r="F261">
        <v>1</v>
      </c>
      <c r="G261">
        <v>44109</v>
      </c>
      <c r="I261" s="5">
        <v>44119</v>
      </c>
      <c r="K261" s="5" t="s">
        <v>163</v>
      </c>
      <c r="L261" t="s">
        <v>41</v>
      </c>
    </row>
    <row r="262" spans="1:17" x14ac:dyDescent="0.25">
      <c r="A262" t="s">
        <v>54</v>
      </c>
      <c r="B262">
        <v>193724</v>
      </c>
      <c r="C262" t="s">
        <v>55</v>
      </c>
      <c r="D262" t="s">
        <v>179</v>
      </c>
      <c r="F262">
        <v>1</v>
      </c>
      <c r="G262">
        <v>44109</v>
      </c>
      <c r="I262" s="5">
        <v>44120</v>
      </c>
      <c r="K262" s="5" t="s">
        <v>163</v>
      </c>
      <c r="L262" t="s">
        <v>41</v>
      </c>
    </row>
    <row r="263" spans="1:17" x14ac:dyDescent="0.25">
      <c r="A263" t="s">
        <v>67</v>
      </c>
      <c r="B263">
        <v>193091</v>
      </c>
      <c r="C263" t="s">
        <v>55</v>
      </c>
      <c r="D263" t="s">
        <v>180</v>
      </c>
      <c r="F263">
        <v>1</v>
      </c>
      <c r="G263">
        <v>44105</v>
      </c>
      <c r="I263" s="5">
        <v>44123</v>
      </c>
      <c r="K263" s="5" t="s">
        <v>163</v>
      </c>
      <c r="L263" t="s">
        <v>41</v>
      </c>
    </row>
    <row r="264" spans="1:17" x14ac:dyDescent="0.25">
      <c r="A264" t="s">
        <v>181</v>
      </c>
      <c r="B264">
        <v>193525</v>
      </c>
      <c r="C264" t="s">
        <v>55</v>
      </c>
      <c r="D264" t="s">
        <v>182</v>
      </c>
      <c r="F264">
        <v>1</v>
      </c>
      <c r="G264">
        <v>44106</v>
      </c>
      <c r="I264" s="5">
        <v>44118</v>
      </c>
      <c r="K264" s="5" t="s">
        <v>163</v>
      </c>
      <c r="L264" t="s">
        <v>41</v>
      </c>
      <c r="Q264" t="s">
        <v>28</v>
      </c>
    </row>
    <row r="265" spans="1:17" x14ac:dyDescent="0.25">
      <c r="A265" t="s">
        <v>39</v>
      </c>
      <c r="B265">
        <v>160587</v>
      </c>
      <c r="C265" t="s">
        <v>55</v>
      </c>
      <c r="D265" t="s">
        <v>183</v>
      </c>
      <c r="F265">
        <v>1</v>
      </c>
      <c r="G265">
        <v>43934</v>
      </c>
      <c r="K265" s="5" t="s">
        <v>163</v>
      </c>
      <c r="L265" t="s">
        <v>41</v>
      </c>
    </row>
    <row r="266" spans="1:17" x14ac:dyDescent="0.25">
      <c r="A266" t="s">
        <v>94</v>
      </c>
      <c r="B266">
        <v>160624</v>
      </c>
      <c r="C266" t="s">
        <v>55</v>
      </c>
      <c r="D266" t="s">
        <v>184</v>
      </c>
      <c r="F266">
        <v>1</v>
      </c>
      <c r="G266">
        <v>43934</v>
      </c>
      <c r="I266" s="5">
        <v>43951</v>
      </c>
      <c r="K266" s="5" t="s">
        <v>163</v>
      </c>
      <c r="L266" t="s">
        <v>41</v>
      </c>
    </row>
    <row r="267" spans="1:17" x14ac:dyDescent="0.25">
      <c r="A267" t="s">
        <v>39</v>
      </c>
      <c r="B267" t="s">
        <v>95</v>
      </c>
      <c r="C267" t="s">
        <v>55</v>
      </c>
      <c r="D267" t="s">
        <v>185</v>
      </c>
      <c r="F267">
        <v>1</v>
      </c>
      <c r="G267">
        <v>43949</v>
      </c>
      <c r="I267" s="5">
        <v>43983</v>
      </c>
      <c r="K267" s="5" t="s">
        <v>163</v>
      </c>
      <c r="L267" t="s">
        <v>33</v>
      </c>
    </row>
    <row r="268" spans="1:17" x14ac:dyDescent="0.25">
      <c r="A268" t="s">
        <v>39</v>
      </c>
      <c r="B268">
        <v>153722</v>
      </c>
      <c r="C268" t="s">
        <v>19</v>
      </c>
      <c r="D268" t="s">
        <v>186</v>
      </c>
      <c r="G268">
        <v>43894</v>
      </c>
      <c r="I268" s="5">
        <v>43908</v>
      </c>
      <c r="K268" s="5" t="s">
        <v>163</v>
      </c>
    </row>
    <row r="269" spans="1:17" x14ac:dyDescent="0.25">
      <c r="A269" t="s">
        <v>181</v>
      </c>
      <c r="B269">
        <v>193243</v>
      </c>
      <c r="C269" t="s">
        <v>55</v>
      </c>
      <c r="D269" t="s">
        <v>187</v>
      </c>
      <c r="F269">
        <v>2</v>
      </c>
      <c r="G269">
        <v>44105</v>
      </c>
      <c r="I269" s="5">
        <v>44119</v>
      </c>
      <c r="K269" s="5" t="s">
        <v>163</v>
      </c>
      <c r="L269" t="s">
        <v>23</v>
      </c>
    </row>
    <row r="270" spans="1:17" x14ac:dyDescent="0.25">
      <c r="A270" t="s">
        <v>181</v>
      </c>
      <c r="B270">
        <v>193243</v>
      </c>
      <c r="C270" t="s">
        <v>55</v>
      </c>
      <c r="D270" t="s">
        <v>187</v>
      </c>
      <c r="F270">
        <v>1</v>
      </c>
      <c r="G270">
        <v>44105</v>
      </c>
      <c r="I270" s="5">
        <v>44119</v>
      </c>
      <c r="K270" s="5" t="s">
        <v>163</v>
      </c>
      <c r="L270" t="s">
        <v>23</v>
      </c>
    </row>
    <row r="271" spans="1:17" x14ac:dyDescent="0.25">
      <c r="A271" t="s">
        <v>181</v>
      </c>
      <c r="B271">
        <v>193243</v>
      </c>
      <c r="C271" t="s">
        <v>55</v>
      </c>
      <c r="D271" t="s">
        <v>187</v>
      </c>
      <c r="F271">
        <v>1</v>
      </c>
      <c r="G271">
        <v>44105</v>
      </c>
      <c r="I271" s="5">
        <v>44119</v>
      </c>
      <c r="K271" s="5" t="s">
        <v>163</v>
      </c>
      <c r="L271" t="s">
        <v>23</v>
      </c>
    </row>
    <row r="272" spans="1:17" x14ac:dyDescent="0.25">
      <c r="A272" t="s">
        <v>46</v>
      </c>
      <c r="B272">
        <v>194777</v>
      </c>
      <c r="C272" t="s">
        <v>55</v>
      </c>
      <c r="D272" t="s">
        <v>173</v>
      </c>
      <c r="F272">
        <v>3</v>
      </c>
      <c r="G272">
        <v>44112</v>
      </c>
      <c r="I272" s="5">
        <v>44117</v>
      </c>
      <c r="K272" s="5" t="s">
        <v>163</v>
      </c>
      <c r="L272" t="s">
        <v>33</v>
      </c>
    </row>
    <row r="273" spans="1:17" x14ac:dyDescent="0.25">
      <c r="A273" t="s">
        <v>46</v>
      </c>
      <c r="B273">
        <v>194777</v>
      </c>
      <c r="C273" t="s">
        <v>55</v>
      </c>
      <c r="D273" t="s">
        <v>173</v>
      </c>
      <c r="F273">
        <v>1</v>
      </c>
      <c r="G273">
        <v>44112</v>
      </c>
      <c r="I273" s="5">
        <v>44117</v>
      </c>
      <c r="K273" s="5" t="s">
        <v>163</v>
      </c>
      <c r="L273" t="s">
        <v>33</v>
      </c>
    </row>
    <row r="274" spans="1:17" x14ac:dyDescent="0.25">
      <c r="A274" t="s">
        <v>46</v>
      </c>
      <c r="B274">
        <v>194777</v>
      </c>
      <c r="C274" t="s">
        <v>55</v>
      </c>
      <c r="D274" t="s">
        <v>173</v>
      </c>
      <c r="F274">
        <v>1</v>
      </c>
      <c r="G274">
        <v>44112</v>
      </c>
      <c r="I274" s="5">
        <v>44117</v>
      </c>
      <c r="K274" s="5" t="s">
        <v>163</v>
      </c>
      <c r="L274" t="s">
        <v>33</v>
      </c>
    </row>
    <row r="275" spans="1:17" x14ac:dyDescent="0.25">
      <c r="C275" t="s">
        <v>55</v>
      </c>
      <c r="D275" t="s">
        <v>188</v>
      </c>
      <c r="F275">
        <v>1</v>
      </c>
      <c r="G275">
        <v>44099</v>
      </c>
      <c r="I275" s="5">
        <v>44076</v>
      </c>
      <c r="K275" s="5" t="s">
        <v>163</v>
      </c>
      <c r="L275" t="s">
        <v>41</v>
      </c>
    </row>
    <row r="276" spans="1:17" x14ac:dyDescent="0.25">
      <c r="C276" t="s">
        <v>55</v>
      </c>
      <c r="D276" t="s">
        <v>189</v>
      </c>
      <c r="F276">
        <v>5</v>
      </c>
      <c r="G276">
        <v>44104</v>
      </c>
      <c r="I276" s="5">
        <v>44105</v>
      </c>
      <c r="K276" s="5" t="s">
        <v>163</v>
      </c>
      <c r="L276" t="s">
        <v>41</v>
      </c>
    </row>
    <row r="277" spans="1:17" x14ac:dyDescent="0.25">
      <c r="C277" t="s">
        <v>55</v>
      </c>
      <c r="D277" t="s">
        <v>190</v>
      </c>
      <c r="F277">
        <v>2</v>
      </c>
      <c r="G277">
        <v>44071</v>
      </c>
      <c r="I277" s="5">
        <v>44090</v>
      </c>
      <c r="K277" s="5" t="s">
        <v>163</v>
      </c>
      <c r="L277" t="s">
        <v>41</v>
      </c>
      <c r="N277">
        <v>2</v>
      </c>
    </row>
    <row r="278" spans="1:17" x14ac:dyDescent="0.25">
      <c r="C278" t="s">
        <v>55</v>
      </c>
      <c r="D278" t="s">
        <v>190</v>
      </c>
      <c r="F278">
        <v>1</v>
      </c>
      <c r="G278">
        <v>44071</v>
      </c>
      <c r="I278" s="5">
        <v>44090</v>
      </c>
      <c r="K278" s="5" t="s">
        <v>163</v>
      </c>
      <c r="L278" t="s">
        <v>41</v>
      </c>
      <c r="N278">
        <v>2</v>
      </c>
    </row>
    <row r="279" spans="1:17" x14ac:dyDescent="0.25">
      <c r="C279" t="s">
        <v>55</v>
      </c>
      <c r="D279" t="s">
        <v>190</v>
      </c>
      <c r="F279">
        <v>1</v>
      </c>
      <c r="G279">
        <v>44071</v>
      </c>
      <c r="I279" s="5">
        <v>44090</v>
      </c>
      <c r="K279" s="5" t="s">
        <v>163</v>
      </c>
      <c r="L279" t="s">
        <v>41</v>
      </c>
    </row>
    <row r="280" spans="1:17" x14ac:dyDescent="0.25">
      <c r="C280" t="s">
        <v>55</v>
      </c>
      <c r="D280" t="s">
        <v>190</v>
      </c>
      <c r="F280">
        <v>1</v>
      </c>
      <c r="G280">
        <v>44071</v>
      </c>
      <c r="I280" s="5">
        <v>44090</v>
      </c>
      <c r="K280" s="5" t="s">
        <v>163</v>
      </c>
      <c r="L280" t="s">
        <v>41</v>
      </c>
      <c r="N280">
        <v>2</v>
      </c>
    </row>
    <row r="281" spans="1:17" x14ac:dyDescent="0.25">
      <c r="C281" t="s">
        <v>55</v>
      </c>
      <c r="D281" t="s">
        <v>190</v>
      </c>
      <c r="F281">
        <v>1</v>
      </c>
      <c r="G281">
        <v>44071</v>
      </c>
      <c r="I281" s="5">
        <v>44090</v>
      </c>
      <c r="K281" s="5" t="s">
        <v>163</v>
      </c>
      <c r="L281" t="s">
        <v>41</v>
      </c>
      <c r="N281">
        <v>1</v>
      </c>
    </row>
    <row r="282" spans="1:17" x14ac:dyDescent="0.25">
      <c r="A282" t="s">
        <v>191</v>
      </c>
      <c r="C282" t="s">
        <v>55</v>
      </c>
      <c r="D282" t="s">
        <v>192</v>
      </c>
      <c r="F282">
        <v>2</v>
      </c>
      <c r="G282">
        <v>44062</v>
      </c>
      <c r="I282" s="5">
        <v>44083</v>
      </c>
      <c r="K282" s="5" t="s">
        <v>163</v>
      </c>
      <c r="L282" t="s">
        <v>41</v>
      </c>
    </row>
    <row r="283" spans="1:17" x14ac:dyDescent="0.25">
      <c r="A283" t="s">
        <v>191</v>
      </c>
      <c r="C283" t="s">
        <v>55</v>
      </c>
      <c r="D283" t="s">
        <v>192</v>
      </c>
      <c r="F283">
        <v>1</v>
      </c>
      <c r="G283">
        <v>44062</v>
      </c>
      <c r="I283" s="5">
        <v>44083</v>
      </c>
      <c r="K283" s="5" t="s">
        <v>163</v>
      </c>
      <c r="L283" t="s">
        <v>41</v>
      </c>
    </row>
    <row r="284" spans="1:17" x14ac:dyDescent="0.25">
      <c r="C284" t="s">
        <v>55</v>
      </c>
      <c r="D284" t="s">
        <v>193</v>
      </c>
      <c r="F284">
        <v>2</v>
      </c>
      <c r="G284">
        <v>44061</v>
      </c>
      <c r="I284" s="5">
        <v>44069</v>
      </c>
      <c r="K284" s="5" t="s">
        <v>163</v>
      </c>
      <c r="L284" t="s">
        <v>23</v>
      </c>
    </row>
    <row r="285" spans="1:17" x14ac:dyDescent="0.25">
      <c r="C285" t="s">
        <v>55</v>
      </c>
      <c r="D285" t="s">
        <v>193</v>
      </c>
      <c r="F285">
        <v>1</v>
      </c>
      <c r="G285">
        <v>44061</v>
      </c>
      <c r="I285" s="5">
        <v>44069</v>
      </c>
      <c r="K285" s="5" t="s">
        <v>163</v>
      </c>
      <c r="L285" t="s">
        <v>41</v>
      </c>
    </row>
    <row r="286" spans="1:17" x14ac:dyDescent="0.25">
      <c r="A286" t="s">
        <v>39</v>
      </c>
      <c r="B286">
        <v>215807</v>
      </c>
      <c r="C286" t="s">
        <v>30</v>
      </c>
      <c r="D286" t="s">
        <v>194</v>
      </c>
      <c r="E286" t="s">
        <v>61</v>
      </c>
      <c r="F286">
        <v>4</v>
      </c>
      <c r="G286">
        <v>44216</v>
      </c>
      <c r="H286">
        <v>44222</v>
      </c>
      <c r="K286" s="5" t="s">
        <v>195</v>
      </c>
      <c r="L286" t="s">
        <v>41</v>
      </c>
      <c r="M286" t="s">
        <v>24</v>
      </c>
      <c r="O286" t="s">
        <v>26</v>
      </c>
    </row>
    <row r="287" spans="1:17" x14ac:dyDescent="0.25">
      <c r="A287" t="s">
        <v>39</v>
      </c>
      <c r="B287">
        <v>216830</v>
      </c>
      <c r="C287" t="s">
        <v>19</v>
      </c>
      <c r="D287" t="s">
        <v>196</v>
      </c>
      <c r="E287" t="s">
        <v>34</v>
      </c>
      <c r="F287">
        <v>1</v>
      </c>
      <c r="G287">
        <v>44223</v>
      </c>
      <c r="H287">
        <v>44223</v>
      </c>
      <c r="K287" s="5" t="s">
        <v>160</v>
      </c>
      <c r="L287" t="s">
        <v>23</v>
      </c>
      <c r="M287" t="s">
        <v>24</v>
      </c>
      <c r="O287" t="s">
        <v>25</v>
      </c>
      <c r="P287" t="s">
        <v>25</v>
      </c>
      <c r="Q287" t="s">
        <v>28</v>
      </c>
    </row>
    <row r="288" spans="1:17" x14ac:dyDescent="0.25">
      <c r="A288" t="s">
        <v>39</v>
      </c>
      <c r="B288">
        <v>216830</v>
      </c>
      <c r="C288" t="s">
        <v>19</v>
      </c>
      <c r="D288" t="s">
        <v>196</v>
      </c>
      <c r="E288" t="s">
        <v>32</v>
      </c>
      <c r="F288">
        <v>1</v>
      </c>
      <c r="G288">
        <v>44223</v>
      </c>
      <c r="H288">
        <v>44223</v>
      </c>
      <c r="K288" s="5" t="s">
        <v>160</v>
      </c>
      <c r="L288" t="s">
        <v>23</v>
      </c>
      <c r="M288" t="s">
        <v>24</v>
      </c>
      <c r="O288" t="s">
        <v>25</v>
      </c>
      <c r="P288" t="s">
        <v>25</v>
      </c>
      <c r="Q288" t="s">
        <v>28</v>
      </c>
    </row>
    <row r="289" spans="1:18" ht="60" x14ac:dyDescent="0.25">
      <c r="A289" t="s">
        <v>36</v>
      </c>
      <c r="B289">
        <v>216047</v>
      </c>
      <c r="C289" t="s">
        <v>30</v>
      </c>
      <c r="D289" t="s">
        <v>197</v>
      </c>
      <c r="E289" t="s">
        <v>270</v>
      </c>
      <c r="F289">
        <v>1</v>
      </c>
      <c r="G289">
        <v>44266</v>
      </c>
      <c r="H289">
        <v>44286</v>
      </c>
      <c r="K289" s="5" t="s">
        <v>275</v>
      </c>
      <c r="L289" t="s">
        <v>33</v>
      </c>
      <c r="M289" s="36" t="s">
        <v>198</v>
      </c>
      <c r="O289" t="s">
        <v>26</v>
      </c>
      <c r="P289" t="s">
        <v>26</v>
      </c>
      <c r="Q289" t="s">
        <v>28</v>
      </c>
    </row>
    <row r="290" spans="1:18" ht="60" x14ac:dyDescent="0.25">
      <c r="A290" t="s">
        <v>36</v>
      </c>
      <c r="B290">
        <v>216047</v>
      </c>
      <c r="C290" t="s">
        <v>30</v>
      </c>
      <c r="D290" t="s">
        <v>197</v>
      </c>
      <c r="E290" t="s">
        <v>79</v>
      </c>
      <c r="F290">
        <v>1</v>
      </c>
      <c r="G290">
        <v>44266</v>
      </c>
      <c r="H290">
        <v>44286</v>
      </c>
      <c r="K290" s="5" t="s">
        <v>163</v>
      </c>
      <c r="L290" t="s">
        <v>33</v>
      </c>
      <c r="M290" s="36" t="s">
        <v>198</v>
      </c>
      <c r="O290" t="s">
        <v>26</v>
      </c>
      <c r="P290" t="s">
        <v>26</v>
      </c>
      <c r="Q290" t="s">
        <v>28</v>
      </c>
    </row>
    <row r="291" spans="1:18" x14ac:dyDescent="0.25">
      <c r="A291" t="s">
        <v>94</v>
      </c>
      <c r="B291">
        <v>217989</v>
      </c>
      <c r="C291" t="s">
        <v>19</v>
      </c>
      <c r="D291" t="s">
        <v>200</v>
      </c>
      <c r="E291" t="s">
        <v>34</v>
      </c>
      <c r="F291">
        <v>1</v>
      </c>
      <c r="G291">
        <v>44228</v>
      </c>
      <c r="H291">
        <v>44230</v>
      </c>
      <c r="K291" s="5" t="s">
        <v>160</v>
      </c>
      <c r="L291" t="s">
        <v>23</v>
      </c>
      <c r="M291" t="s">
        <v>24</v>
      </c>
      <c r="O291" t="s">
        <v>25</v>
      </c>
      <c r="Q291" t="s">
        <v>28</v>
      </c>
    </row>
    <row r="292" spans="1:18" x14ac:dyDescent="0.25">
      <c r="A292" t="s">
        <v>94</v>
      </c>
      <c r="B292">
        <v>217989</v>
      </c>
      <c r="C292" t="s">
        <v>19</v>
      </c>
      <c r="D292" t="s">
        <v>200</v>
      </c>
      <c r="E292" t="s">
        <v>32</v>
      </c>
      <c r="F292">
        <v>1</v>
      </c>
      <c r="G292">
        <v>44228</v>
      </c>
      <c r="H292">
        <v>44230</v>
      </c>
      <c r="K292" s="5" t="s">
        <v>160</v>
      </c>
      <c r="L292" t="s">
        <v>23</v>
      </c>
      <c r="M292" t="s">
        <v>24</v>
      </c>
      <c r="O292" t="s">
        <v>25</v>
      </c>
      <c r="Q292" t="s">
        <v>28</v>
      </c>
    </row>
    <row r="293" spans="1:18" x14ac:dyDescent="0.25">
      <c r="A293" t="s">
        <v>144</v>
      </c>
      <c r="B293">
        <v>218759</v>
      </c>
      <c r="C293" t="s">
        <v>19</v>
      </c>
      <c r="D293" t="s">
        <v>201</v>
      </c>
      <c r="E293" t="s">
        <v>34</v>
      </c>
      <c r="F293">
        <v>2</v>
      </c>
      <c r="G293">
        <v>44230</v>
      </c>
      <c r="H293">
        <v>44230</v>
      </c>
      <c r="K293" s="5" t="s">
        <v>163</v>
      </c>
      <c r="L293" t="s">
        <v>33</v>
      </c>
      <c r="M293" t="s">
        <v>24</v>
      </c>
      <c r="O293" t="s">
        <v>25</v>
      </c>
    </row>
    <row r="294" spans="1:18" x14ac:dyDescent="0.25">
      <c r="A294" t="s">
        <v>39</v>
      </c>
      <c r="B294">
        <v>219689</v>
      </c>
      <c r="C294" t="s">
        <v>19</v>
      </c>
      <c r="D294" t="s">
        <v>202</v>
      </c>
      <c r="E294" t="s">
        <v>82</v>
      </c>
      <c r="F294">
        <v>1</v>
      </c>
      <c r="G294">
        <v>44236</v>
      </c>
      <c r="H294">
        <v>44238</v>
      </c>
      <c r="K294" s="5" t="s">
        <v>163</v>
      </c>
      <c r="L294" t="s">
        <v>41</v>
      </c>
      <c r="M294" t="s">
        <v>24</v>
      </c>
      <c r="O294" t="s">
        <v>26</v>
      </c>
      <c r="P294" t="s">
        <v>25</v>
      </c>
      <c r="Q294" t="s">
        <v>28</v>
      </c>
    </row>
    <row r="295" spans="1:18" x14ac:dyDescent="0.25">
      <c r="A295" t="s">
        <v>39</v>
      </c>
      <c r="B295">
        <v>219689</v>
      </c>
      <c r="C295" t="s">
        <v>19</v>
      </c>
      <c r="D295" t="s">
        <v>202</v>
      </c>
      <c r="E295" t="s">
        <v>34</v>
      </c>
      <c r="F295">
        <v>1</v>
      </c>
      <c r="G295">
        <v>44236</v>
      </c>
      <c r="H295">
        <v>44238</v>
      </c>
      <c r="K295" s="5" t="s">
        <v>160</v>
      </c>
      <c r="L295" t="s">
        <v>23</v>
      </c>
      <c r="M295" t="s">
        <v>24</v>
      </c>
      <c r="O295" t="s">
        <v>26</v>
      </c>
      <c r="P295" t="s">
        <v>25</v>
      </c>
      <c r="Q295" t="s">
        <v>28</v>
      </c>
    </row>
    <row r="296" spans="1:18" x14ac:dyDescent="0.25">
      <c r="A296" t="s">
        <v>39</v>
      </c>
      <c r="B296">
        <v>219689</v>
      </c>
      <c r="C296" t="s">
        <v>19</v>
      </c>
      <c r="D296" t="s">
        <v>202</v>
      </c>
      <c r="E296" t="s">
        <v>32</v>
      </c>
      <c r="F296">
        <v>1</v>
      </c>
      <c r="G296">
        <v>44236</v>
      </c>
      <c r="H296">
        <v>44238</v>
      </c>
      <c r="K296" s="5" t="s">
        <v>160</v>
      </c>
      <c r="L296" t="s">
        <v>23</v>
      </c>
      <c r="M296" t="s">
        <v>24</v>
      </c>
      <c r="O296" t="s">
        <v>26</v>
      </c>
      <c r="P296" t="s">
        <v>25</v>
      </c>
      <c r="Q296" t="s">
        <v>28</v>
      </c>
    </row>
    <row r="297" spans="1:18" x14ac:dyDescent="0.25">
      <c r="A297" t="s">
        <v>39</v>
      </c>
      <c r="B297">
        <v>220202</v>
      </c>
      <c r="C297" t="s">
        <v>19</v>
      </c>
      <c r="D297" t="s">
        <v>202</v>
      </c>
      <c r="E297" t="s">
        <v>34</v>
      </c>
      <c r="F297">
        <v>1</v>
      </c>
      <c r="G297">
        <v>44236</v>
      </c>
      <c r="H297">
        <v>44236</v>
      </c>
      <c r="K297" s="5" t="s">
        <v>160</v>
      </c>
      <c r="L297" t="s">
        <v>23</v>
      </c>
      <c r="M297" t="s">
        <v>24</v>
      </c>
      <c r="O297" t="s">
        <v>25</v>
      </c>
      <c r="P297" t="s">
        <v>25</v>
      </c>
      <c r="Q297" t="s">
        <v>28</v>
      </c>
    </row>
    <row r="298" spans="1:18" x14ac:dyDescent="0.25">
      <c r="A298" t="s">
        <v>39</v>
      </c>
      <c r="B298">
        <v>220202</v>
      </c>
      <c r="C298" t="s">
        <v>19</v>
      </c>
      <c r="D298" t="s">
        <v>202</v>
      </c>
      <c r="E298" t="s">
        <v>32</v>
      </c>
      <c r="F298">
        <v>1</v>
      </c>
      <c r="G298">
        <v>44236</v>
      </c>
      <c r="H298">
        <v>44236</v>
      </c>
      <c r="K298" s="5" t="s">
        <v>160</v>
      </c>
      <c r="L298" t="s">
        <v>23</v>
      </c>
      <c r="M298" t="s">
        <v>24</v>
      </c>
      <c r="O298" t="s">
        <v>25</v>
      </c>
      <c r="P298" t="s">
        <v>25</v>
      </c>
      <c r="Q298" t="s">
        <v>28</v>
      </c>
    </row>
    <row r="299" spans="1:18" x14ac:dyDescent="0.25">
      <c r="A299" t="s">
        <v>112</v>
      </c>
      <c r="B299">
        <v>218999</v>
      </c>
      <c r="C299" t="s">
        <v>19</v>
      </c>
      <c r="D299" t="s">
        <v>204</v>
      </c>
      <c r="E299" t="s">
        <v>72</v>
      </c>
      <c r="F299">
        <v>1</v>
      </c>
      <c r="G299">
        <v>44230</v>
      </c>
      <c r="H299">
        <v>44249</v>
      </c>
      <c r="K299" s="5" t="s">
        <v>163</v>
      </c>
      <c r="L299" t="s">
        <v>23</v>
      </c>
      <c r="M299" t="s">
        <v>24</v>
      </c>
      <c r="O299" t="s">
        <v>25</v>
      </c>
      <c r="Q299" t="s">
        <v>27</v>
      </c>
    </row>
    <row r="300" spans="1:18" x14ac:dyDescent="0.25">
      <c r="A300" t="s">
        <v>94</v>
      </c>
      <c r="B300">
        <v>222688</v>
      </c>
      <c r="C300" t="s">
        <v>63</v>
      </c>
      <c r="D300" t="s">
        <v>206</v>
      </c>
      <c r="E300" t="s">
        <v>79</v>
      </c>
      <c r="F300">
        <v>1</v>
      </c>
      <c r="G300">
        <v>44249</v>
      </c>
      <c r="H300">
        <v>44258</v>
      </c>
      <c r="K300" s="5" t="s">
        <v>163</v>
      </c>
      <c r="L300" t="s">
        <v>41</v>
      </c>
      <c r="M300" t="s">
        <v>79</v>
      </c>
      <c r="O300" t="s">
        <v>26</v>
      </c>
      <c r="Q300" t="s">
        <v>28</v>
      </c>
    </row>
    <row r="301" spans="1:18" x14ac:dyDescent="0.25">
      <c r="A301" t="s">
        <v>144</v>
      </c>
      <c r="B301">
        <v>222008</v>
      </c>
      <c r="C301" t="s">
        <v>19</v>
      </c>
      <c r="D301" t="s">
        <v>207</v>
      </c>
      <c r="E301" t="s">
        <v>208</v>
      </c>
      <c r="F301">
        <v>1</v>
      </c>
      <c r="G301">
        <v>44245</v>
      </c>
      <c r="H301">
        <v>44258</v>
      </c>
      <c r="I301" s="5">
        <v>44263</v>
      </c>
      <c r="K301" s="5" t="s">
        <v>195</v>
      </c>
      <c r="L301" t="s">
        <v>33</v>
      </c>
      <c r="M301" t="s">
        <v>24</v>
      </c>
      <c r="O301" t="s">
        <v>25</v>
      </c>
      <c r="Q301" t="s">
        <v>28</v>
      </c>
      <c r="R301" t="s">
        <v>28</v>
      </c>
    </row>
    <row r="302" spans="1:18" x14ac:dyDescent="0.25">
      <c r="A302" t="s">
        <v>144</v>
      </c>
      <c r="B302">
        <v>222008</v>
      </c>
      <c r="C302" t="s">
        <v>19</v>
      </c>
      <c r="D302" t="s">
        <v>207</v>
      </c>
      <c r="E302" t="s">
        <v>62</v>
      </c>
      <c r="F302">
        <v>1</v>
      </c>
      <c r="G302">
        <v>44245</v>
      </c>
      <c r="H302">
        <v>44258</v>
      </c>
      <c r="I302" s="5">
        <v>44263</v>
      </c>
      <c r="K302" s="5" t="s">
        <v>195</v>
      </c>
      <c r="L302" t="s">
        <v>33</v>
      </c>
      <c r="M302" t="s">
        <v>24</v>
      </c>
      <c r="O302" t="s">
        <v>25</v>
      </c>
      <c r="Q302" t="s">
        <v>28</v>
      </c>
      <c r="R302" t="s">
        <v>28</v>
      </c>
    </row>
    <row r="303" spans="1:18" x14ac:dyDescent="0.25">
      <c r="A303" t="s">
        <v>36</v>
      </c>
      <c r="B303">
        <v>222168</v>
      </c>
      <c r="C303" t="s">
        <v>19</v>
      </c>
      <c r="D303" t="s">
        <v>136</v>
      </c>
      <c r="E303" t="s">
        <v>72</v>
      </c>
      <c r="F303">
        <v>1</v>
      </c>
      <c r="G303">
        <v>44246</v>
      </c>
      <c r="H303">
        <v>44253</v>
      </c>
      <c r="K303" s="5" t="s">
        <v>163</v>
      </c>
      <c r="L303" t="s">
        <v>41</v>
      </c>
      <c r="M303" t="s">
        <v>79</v>
      </c>
      <c r="O303" t="s">
        <v>26</v>
      </c>
      <c r="Q303" t="s">
        <v>28</v>
      </c>
    </row>
    <row r="304" spans="1:18" x14ac:dyDescent="0.25">
      <c r="A304" t="s">
        <v>94</v>
      </c>
      <c r="B304">
        <v>223995</v>
      </c>
      <c r="C304" t="s">
        <v>19</v>
      </c>
      <c r="D304" t="s">
        <v>214</v>
      </c>
      <c r="E304" t="s">
        <v>34</v>
      </c>
      <c r="F304">
        <v>1</v>
      </c>
      <c r="G304">
        <v>44253</v>
      </c>
      <c r="H304">
        <v>44258</v>
      </c>
      <c r="K304" s="5" t="s">
        <v>160</v>
      </c>
      <c r="L304" t="s">
        <v>41</v>
      </c>
      <c r="M304" t="s">
        <v>24</v>
      </c>
      <c r="O304" t="s">
        <v>26</v>
      </c>
      <c r="Q304" t="s">
        <v>28</v>
      </c>
    </row>
    <row r="305" spans="1:18" x14ac:dyDescent="0.25">
      <c r="A305" t="s">
        <v>94</v>
      </c>
      <c r="B305">
        <v>223995</v>
      </c>
      <c r="C305" t="s">
        <v>19</v>
      </c>
      <c r="D305" t="s">
        <v>214</v>
      </c>
      <c r="E305" t="s">
        <v>32</v>
      </c>
      <c r="F305">
        <v>1</v>
      </c>
      <c r="G305">
        <v>44253</v>
      </c>
      <c r="H305">
        <v>44258</v>
      </c>
      <c r="K305" s="5" t="s">
        <v>160</v>
      </c>
      <c r="L305" t="s">
        <v>41</v>
      </c>
      <c r="M305" t="s">
        <v>24</v>
      </c>
      <c r="O305" t="s">
        <v>26</v>
      </c>
      <c r="Q305" t="s">
        <v>28</v>
      </c>
    </row>
    <row r="306" spans="1:18" x14ac:dyDescent="0.25">
      <c r="A306" t="s">
        <v>39</v>
      </c>
      <c r="B306">
        <v>225198</v>
      </c>
      <c r="C306" t="s">
        <v>19</v>
      </c>
      <c r="D306" t="s">
        <v>157</v>
      </c>
      <c r="E306" t="s">
        <v>34</v>
      </c>
      <c r="F306">
        <v>1</v>
      </c>
      <c r="G306">
        <v>44259</v>
      </c>
      <c r="H306">
        <v>44259</v>
      </c>
      <c r="K306" s="5" t="s">
        <v>160</v>
      </c>
      <c r="L306" t="s">
        <v>33</v>
      </c>
      <c r="M306" t="s">
        <v>24</v>
      </c>
      <c r="O306" t="s">
        <v>26</v>
      </c>
      <c r="Q306" t="s">
        <v>28</v>
      </c>
      <c r="R306" t="s">
        <v>28</v>
      </c>
    </row>
    <row r="307" spans="1:18" x14ac:dyDescent="0.25">
      <c r="A307" t="s">
        <v>76</v>
      </c>
      <c r="B307">
        <v>226301</v>
      </c>
      <c r="C307" t="s">
        <v>19</v>
      </c>
      <c r="D307" t="s">
        <v>235</v>
      </c>
      <c r="E307" t="s">
        <v>34</v>
      </c>
      <c r="F307">
        <v>1</v>
      </c>
      <c r="G307">
        <v>44264</v>
      </c>
      <c r="H307">
        <v>44267</v>
      </c>
      <c r="K307" s="5" t="s">
        <v>160</v>
      </c>
      <c r="L307" t="s">
        <v>33</v>
      </c>
      <c r="M307" t="s">
        <v>24</v>
      </c>
      <c r="O307" t="s">
        <v>25</v>
      </c>
      <c r="Q307" t="s">
        <v>28</v>
      </c>
    </row>
    <row r="308" spans="1:18" x14ac:dyDescent="0.25">
      <c r="A308" t="s">
        <v>76</v>
      </c>
      <c r="B308">
        <v>226301</v>
      </c>
      <c r="C308" t="s">
        <v>19</v>
      </c>
      <c r="D308" t="s">
        <v>235</v>
      </c>
      <c r="E308" t="s">
        <v>48</v>
      </c>
      <c r="F308">
        <v>1</v>
      </c>
      <c r="G308">
        <v>44264</v>
      </c>
      <c r="H308">
        <v>44267</v>
      </c>
      <c r="K308" s="5" t="s">
        <v>160</v>
      </c>
      <c r="L308" t="s">
        <v>33</v>
      </c>
      <c r="M308" t="s">
        <v>24</v>
      </c>
      <c r="O308" t="s">
        <v>25</v>
      </c>
      <c r="Q308" t="s">
        <v>28</v>
      </c>
    </row>
    <row r="309" spans="1:18" x14ac:dyDescent="0.25">
      <c r="A309" t="s">
        <v>76</v>
      </c>
      <c r="B309">
        <v>226301</v>
      </c>
      <c r="C309" t="s">
        <v>19</v>
      </c>
      <c r="D309" t="s">
        <v>235</v>
      </c>
      <c r="E309" t="s">
        <v>32</v>
      </c>
      <c r="F309">
        <v>1</v>
      </c>
      <c r="G309">
        <v>44264</v>
      </c>
      <c r="H309">
        <v>44267</v>
      </c>
      <c r="K309" s="5" t="s">
        <v>160</v>
      </c>
      <c r="L309" t="s">
        <v>33</v>
      </c>
      <c r="M309" t="s">
        <v>24</v>
      </c>
      <c r="O309" t="s">
        <v>25</v>
      </c>
      <c r="Q309" t="s">
        <v>28</v>
      </c>
    </row>
    <row r="310" spans="1:18" x14ac:dyDescent="0.25">
      <c r="A310" t="s">
        <v>76</v>
      </c>
      <c r="B310">
        <v>226301</v>
      </c>
      <c r="C310" t="s">
        <v>19</v>
      </c>
      <c r="D310" t="s">
        <v>235</v>
      </c>
      <c r="E310" t="s">
        <v>38</v>
      </c>
      <c r="F310">
        <v>1</v>
      </c>
      <c r="G310">
        <v>44264</v>
      </c>
      <c r="H310">
        <v>44267</v>
      </c>
      <c r="K310" s="5" t="s">
        <v>160</v>
      </c>
      <c r="L310" t="s">
        <v>33</v>
      </c>
      <c r="M310" t="s">
        <v>24</v>
      </c>
      <c r="O310" t="s">
        <v>25</v>
      </c>
      <c r="Q310" t="s">
        <v>28</v>
      </c>
    </row>
    <row r="311" spans="1:18" x14ac:dyDescent="0.25">
      <c r="A311" t="s">
        <v>76</v>
      </c>
      <c r="B311">
        <v>226301</v>
      </c>
      <c r="C311" t="s">
        <v>19</v>
      </c>
      <c r="D311" t="s">
        <v>235</v>
      </c>
      <c r="E311" t="s">
        <v>44</v>
      </c>
      <c r="F311">
        <v>1</v>
      </c>
      <c r="G311">
        <v>44264</v>
      </c>
      <c r="H311">
        <v>44267</v>
      </c>
      <c r="K311" s="5" t="s">
        <v>160</v>
      </c>
      <c r="L311" t="s">
        <v>33</v>
      </c>
      <c r="M311" t="s">
        <v>24</v>
      </c>
      <c r="O311" t="s">
        <v>25</v>
      </c>
      <c r="Q311" t="s">
        <v>28</v>
      </c>
    </row>
    <row r="312" spans="1:18" x14ac:dyDescent="0.25">
      <c r="A312" t="s">
        <v>46</v>
      </c>
      <c r="B312">
        <v>226595</v>
      </c>
      <c r="C312" t="s">
        <v>30</v>
      </c>
      <c r="D312" t="s">
        <v>239</v>
      </c>
      <c r="E312" t="s">
        <v>34</v>
      </c>
      <c r="F312">
        <v>1</v>
      </c>
      <c r="G312">
        <v>44265</v>
      </c>
      <c r="H312">
        <v>44272</v>
      </c>
      <c r="I312" s="5">
        <v>44274</v>
      </c>
      <c r="K312" s="5" t="s">
        <v>160</v>
      </c>
      <c r="L312" t="s">
        <v>41</v>
      </c>
      <c r="M312" t="s">
        <v>24</v>
      </c>
      <c r="O312" t="s">
        <v>26</v>
      </c>
      <c r="Q312" t="s">
        <v>27</v>
      </c>
    </row>
    <row r="313" spans="1:18" x14ac:dyDescent="0.25">
      <c r="A313" t="s">
        <v>54</v>
      </c>
      <c r="B313">
        <v>226994</v>
      </c>
      <c r="C313" t="s">
        <v>19</v>
      </c>
      <c r="D313" t="s">
        <v>240</v>
      </c>
      <c r="E313" t="s">
        <v>32</v>
      </c>
      <c r="F313">
        <v>9</v>
      </c>
      <c r="G313">
        <v>44267</v>
      </c>
      <c r="H313">
        <v>44274</v>
      </c>
      <c r="K313" s="5" t="s">
        <v>160</v>
      </c>
      <c r="L313" t="s">
        <v>33</v>
      </c>
      <c r="M313" t="s">
        <v>24</v>
      </c>
      <c r="O313" t="s">
        <v>25</v>
      </c>
      <c r="P313" t="s">
        <v>25</v>
      </c>
      <c r="Q313" t="s">
        <v>28</v>
      </c>
    </row>
    <row r="314" spans="1:18" x14ac:dyDescent="0.25">
      <c r="A314" t="s">
        <v>54</v>
      </c>
      <c r="B314">
        <v>226994</v>
      </c>
      <c r="C314" t="s">
        <v>19</v>
      </c>
      <c r="D314" t="s">
        <v>240</v>
      </c>
      <c r="E314" t="s">
        <v>93</v>
      </c>
      <c r="F314">
        <v>9</v>
      </c>
      <c r="G314">
        <v>44267</v>
      </c>
      <c r="H314">
        <v>44274</v>
      </c>
      <c r="K314" s="5" t="s">
        <v>160</v>
      </c>
      <c r="L314" t="s">
        <v>33</v>
      </c>
      <c r="M314" t="s">
        <v>24</v>
      </c>
      <c r="O314" t="s">
        <v>25</v>
      </c>
      <c r="P314" t="s">
        <v>25</v>
      </c>
      <c r="Q314" t="s">
        <v>28</v>
      </c>
    </row>
    <row r="315" spans="1:18" x14ac:dyDescent="0.25">
      <c r="A315" t="s">
        <v>54</v>
      </c>
      <c r="B315">
        <v>226994</v>
      </c>
      <c r="C315" t="s">
        <v>19</v>
      </c>
      <c r="D315" t="s">
        <v>240</v>
      </c>
      <c r="E315" t="s">
        <v>34</v>
      </c>
      <c r="F315">
        <v>9</v>
      </c>
      <c r="G315">
        <v>44267</v>
      </c>
      <c r="H315">
        <v>44274</v>
      </c>
      <c r="K315" s="5" t="s">
        <v>160</v>
      </c>
      <c r="L315" t="s">
        <v>33</v>
      </c>
      <c r="M315" t="s">
        <v>24</v>
      </c>
      <c r="O315" t="s">
        <v>25</v>
      </c>
      <c r="P315" t="s">
        <v>25</v>
      </c>
      <c r="Q315" t="s">
        <v>28</v>
      </c>
    </row>
    <row r="316" spans="1:18" x14ac:dyDescent="0.25">
      <c r="A316" t="s">
        <v>54</v>
      </c>
      <c r="B316">
        <v>226994</v>
      </c>
      <c r="C316" t="s">
        <v>19</v>
      </c>
      <c r="D316" t="s">
        <v>240</v>
      </c>
      <c r="E316" t="s">
        <v>35</v>
      </c>
      <c r="F316">
        <v>30</v>
      </c>
      <c r="G316">
        <v>44267</v>
      </c>
      <c r="H316">
        <v>44274</v>
      </c>
      <c r="K316" s="5" t="s">
        <v>160</v>
      </c>
      <c r="L316" t="s">
        <v>33</v>
      </c>
      <c r="M316" t="s">
        <v>24</v>
      </c>
      <c r="O316" t="s">
        <v>25</v>
      </c>
      <c r="P316" t="s">
        <v>25</v>
      </c>
      <c r="Q316" t="s">
        <v>28</v>
      </c>
    </row>
    <row r="317" spans="1:18" x14ac:dyDescent="0.25">
      <c r="A317" t="s">
        <v>29</v>
      </c>
      <c r="B317">
        <v>224197</v>
      </c>
      <c r="C317" t="s">
        <v>63</v>
      </c>
      <c r="D317" t="s">
        <v>244</v>
      </c>
      <c r="E317" t="s">
        <v>79</v>
      </c>
      <c r="F317">
        <v>1</v>
      </c>
      <c r="G317">
        <v>44256</v>
      </c>
      <c r="H317">
        <v>44274</v>
      </c>
      <c r="K317" s="5" t="s">
        <v>163</v>
      </c>
      <c r="L317" t="s">
        <v>41</v>
      </c>
      <c r="M317" t="s">
        <v>24</v>
      </c>
      <c r="O317" t="s">
        <v>26</v>
      </c>
      <c r="Q317" t="s">
        <v>28</v>
      </c>
    </row>
    <row r="318" spans="1:18" x14ac:dyDescent="0.25">
      <c r="A318" t="s">
        <v>67</v>
      </c>
      <c r="B318">
        <v>227517</v>
      </c>
      <c r="C318" t="s">
        <v>30</v>
      </c>
      <c r="D318" t="s">
        <v>245</v>
      </c>
      <c r="E318" t="s">
        <v>105</v>
      </c>
      <c r="F318">
        <v>1</v>
      </c>
      <c r="G318">
        <v>44270</v>
      </c>
      <c r="H318">
        <v>44284</v>
      </c>
      <c r="J318" s="5" t="s">
        <v>410</v>
      </c>
      <c r="K318" s="5" t="s">
        <v>163</v>
      </c>
      <c r="L318" t="s">
        <v>33</v>
      </c>
      <c r="M318" t="s">
        <v>24</v>
      </c>
      <c r="O318" t="s">
        <v>26</v>
      </c>
      <c r="Q318" t="s">
        <v>27</v>
      </c>
    </row>
    <row r="319" spans="1:18" x14ac:dyDescent="0.25">
      <c r="A319" t="s">
        <v>94</v>
      </c>
      <c r="B319">
        <v>228081</v>
      </c>
      <c r="C319" t="s">
        <v>19</v>
      </c>
      <c r="D319" t="s">
        <v>246</v>
      </c>
      <c r="E319" t="s">
        <v>34</v>
      </c>
      <c r="F319">
        <v>1</v>
      </c>
      <c r="G319">
        <v>44272</v>
      </c>
      <c r="H319">
        <v>44273</v>
      </c>
      <c r="K319" s="5" t="s">
        <v>160</v>
      </c>
      <c r="L319" t="s">
        <v>33</v>
      </c>
      <c r="M319" t="s">
        <v>24</v>
      </c>
      <c r="O319" t="s">
        <v>25</v>
      </c>
      <c r="Q319" t="s">
        <v>27</v>
      </c>
    </row>
    <row r="320" spans="1:18" x14ac:dyDescent="0.25">
      <c r="A320" t="s">
        <v>39</v>
      </c>
      <c r="B320">
        <v>228488</v>
      </c>
      <c r="C320" t="s">
        <v>19</v>
      </c>
      <c r="D320" t="s">
        <v>248</v>
      </c>
      <c r="E320" t="s">
        <v>208</v>
      </c>
      <c r="F320">
        <v>6</v>
      </c>
      <c r="G320">
        <v>44273</v>
      </c>
      <c r="H320">
        <v>44277</v>
      </c>
      <c r="K320" s="5" t="s">
        <v>160</v>
      </c>
      <c r="L320" t="s">
        <v>41</v>
      </c>
      <c r="M320" t="s">
        <v>24</v>
      </c>
      <c r="N320">
        <v>1</v>
      </c>
      <c r="O320" t="s">
        <v>26</v>
      </c>
      <c r="Q320" t="s">
        <v>28</v>
      </c>
    </row>
    <row r="321" spans="1:18" x14ac:dyDescent="0.25">
      <c r="A321" t="s">
        <v>36</v>
      </c>
      <c r="B321">
        <v>227874</v>
      </c>
      <c r="C321" t="s">
        <v>19</v>
      </c>
      <c r="D321" t="s">
        <v>250</v>
      </c>
      <c r="E321" t="s">
        <v>34</v>
      </c>
      <c r="F321">
        <v>2</v>
      </c>
      <c r="G321">
        <v>44271</v>
      </c>
      <c r="H321">
        <v>44280</v>
      </c>
      <c r="K321" s="5" t="s">
        <v>160</v>
      </c>
      <c r="L321" t="s">
        <v>41</v>
      </c>
      <c r="M321" t="s">
        <v>24</v>
      </c>
      <c r="N321">
        <v>1</v>
      </c>
      <c r="O321" t="s">
        <v>25</v>
      </c>
      <c r="Q321" t="s">
        <v>27</v>
      </c>
      <c r="R321" t="s">
        <v>53</v>
      </c>
    </row>
    <row r="322" spans="1:18" x14ac:dyDescent="0.25">
      <c r="A322" t="s">
        <v>36</v>
      </c>
      <c r="B322">
        <v>227874</v>
      </c>
      <c r="C322" t="s">
        <v>19</v>
      </c>
      <c r="D322" t="s">
        <v>250</v>
      </c>
      <c r="E322" t="s">
        <v>48</v>
      </c>
      <c r="F322">
        <v>2</v>
      </c>
      <c r="G322">
        <v>44271</v>
      </c>
      <c r="H322">
        <v>44280</v>
      </c>
      <c r="K322" s="5" t="s">
        <v>160</v>
      </c>
      <c r="L322" t="s">
        <v>41</v>
      </c>
      <c r="M322" t="s">
        <v>24</v>
      </c>
      <c r="O322" t="s">
        <v>25</v>
      </c>
      <c r="Q322" t="s">
        <v>27</v>
      </c>
      <c r="R322" t="s">
        <v>53</v>
      </c>
    </row>
    <row r="323" spans="1:18" x14ac:dyDescent="0.25">
      <c r="A323" t="s">
        <v>36</v>
      </c>
      <c r="B323">
        <v>227874</v>
      </c>
      <c r="C323" t="s">
        <v>19</v>
      </c>
      <c r="D323" t="s">
        <v>250</v>
      </c>
      <c r="E323" t="s">
        <v>92</v>
      </c>
      <c r="F323">
        <v>2</v>
      </c>
      <c r="G323">
        <v>44271</v>
      </c>
      <c r="H323">
        <v>44280</v>
      </c>
      <c r="K323" s="5" t="s">
        <v>160</v>
      </c>
      <c r="L323" t="s">
        <v>41</v>
      </c>
      <c r="M323" t="s">
        <v>24</v>
      </c>
      <c r="N323">
        <v>1</v>
      </c>
      <c r="O323" t="s">
        <v>25</v>
      </c>
      <c r="Q323" t="s">
        <v>27</v>
      </c>
      <c r="R323" t="s">
        <v>53</v>
      </c>
    </row>
    <row r="324" spans="1:18" x14ac:dyDescent="0.25">
      <c r="A324" t="s">
        <v>54</v>
      </c>
      <c r="B324">
        <v>228924</v>
      </c>
      <c r="C324" t="s">
        <v>19</v>
      </c>
      <c r="D324" t="s">
        <v>251</v>
      </c>
      <c r="E324" t="s">
        <v>72</v>
      </c>
      <c r="F324">
        <v>1</v>
      </c>
      <c r="G324">
        <v>44277</v>
      </c>
      <c r="H324">
        <v>44277</v>
      </c>
      <c r="K324" s="5" t="s">
        <v>160</v>
      </c>
      <c r="L324" t="s">
        <v>57</v>
      </c>
      <c r="M324" t="s">
        <v>24</v>
      </c>
      <c r="O324" t="s">
        <v>25</v>
      </c>
      <c r="Q324" t="s">
        <v>53</v>
      </c>
      <c r="R324" t="s">
        <v>27</v>
      </c>
    </row>
    <row r="325" spans="1:18" x14ac:dyDescent="0.25">
      <c r="A325" t="s">
        <v>29</v>
      </c>
      <c r="B325">
        <v>228902</v>
      </c>
      <c r="C325" t="s">
        <v>19</v>
      </c>
      <c r="D325" t="s">
        <v>104</v>
      </c>
      <c r="E325" t="s">
        <v>72</v>
      </c>
      <c r="F325">
        <v>1</v>
      </c>
      <c r="G325">
        <v>44277</v>
      </c>
      <c r="H325">
        <v>44279</v>
      </c>
      <c r="K325" s="5" t="s">
        <v>163</v>
      </c>
      <c r="L325" t="s">
        <v>57</v>
      </c>
      <c r="M325" t="s">
        <v>24</v>
      </c>
      <c r="O325" t="s">
        <v>25</v>
      </c>
      <c r="Q325" t="s">
        <v>28</v>
      </c>
    </row>
    <row r="326" spans="1:18" x14ac:dyDescent="0.25">
      <c r="A326" t="s">
        <v>29</v>
      </c>
      <c r="B326">
        <v>228546</v>
      </c>
      <c r="C326" t="s">
        <v>30</v>
      </c>
      <c r="D326" t="s">
        <v>252</v>
      </c>
      <c r="E326" t="s">
        <v>43</v>
      </c>
      <c r="F326">
        <v>2</v>
      </c>
      <c r="G326">
        <v>44273</v>
      </c>
      <c r="H326">
        <v>44279</v>
      </c>
      <c r="I326" s="5">
        <v>44279</v>
      </c>
      <c r="K326" s="5" t="s">
        <v>160</v>
      </c>
      <c r="L326" t="s">
        <v>33</v>
      </c>
      <c r="M326" t="s">
        <v>24</v>
      </c>
      <c r="O326" t="s">
        <v>25</v>
      </c>
      <c r="Q326" t="s">
        <v>28</v>
      </c>
    </row>
    <row r="327" spans="1:18" x14ac:dyDescent="0.25">
      <c r="A327" t="s">
        <v>144</v>
      </c>
      <c r="B327">
        <v>228024</v>
      </c>
      <c r="C327" t="s">
        <v>19</v>
      </c>
      <c r="D327" t="s">
        <v>253</v>
      </c>
      <c r="E327" t="s">
        <v>32</v>
      </c>
      <c r="F327">
        <v>1</v>
      </c>
      <c r="G327">
        <v>44272</v>
      </c>
      <c r="H327">
        <v>44285</v>
      </c>
      <c r="K327" s="5" t="s">
        <v>160</v>
      </c>
      <c r="L327" t="s">
        <v>41</v>
      </c>
      <c r="M327" t="s">
        <v>24</v>
      </c>
      <c r="O327" t="s">
        <v>26</v>
      </c>
      <c r="Q327" t="s">
        <v>28</v>
      </c>
    </row>
    <row r="328" spans="1:18" x14ac:dyDescent="0.25">
      <c r="A328" t="s">
        <v>144</v>
      </c>
      <c r="B328">
        <v>228024</v>
      </c>
      <c r="C328" t="s">
        <v>19</v>
      </c>
      <c r="D328" t="s">
        <v>253</v>
      </c>
      <c r="E328" t="s">
        <v>48</v>
      </c>
      <c r="F328">
        <v>1</v>
      </c>
      <c r="G328">
        <v>44272</v>
      </c>
      <c r="H328">
        <v>44285</v>
      </c>
      <c r="K328" s="5" t="s">
        <v>160</v>
      </c>
      <c r="L328" t="s">
        <v>41</v>
      </c>
      <c r="M328" t="s">
        <v>24</v>
      </c>
      <c r="O328" t="s">
        <v>26</v>
      </c>
      <c r="Q328" t="s">
        <v>28</v>
      </c>
    </row>
    <row r="329" spans="1:18" x14ac:dyDescent="0.25">
      <c r="A329" t="s">
        <v>144</v>
      </c>
      <c r="B329">
        <v>228024</v>
      </c>
      <c r="C329" t="s">
        <v>19</v>
      </c>
      <c r="D329" t="s">
        <v>253</v>
      </c>
      <c r="E329" t="s">
        <v>35</v>
      </c>
      <c r="F329">
        <v>4</v>
      </c>
      <c r="G329">
        <v>44272</v>
      </c>
      <c r="H329">
        <v>44285</v>
      </c>
      <c r="K329" s="5" t="s">
        <v>160</v>
      </c>
      <c r="L329" t="s">
        <v>41</v>
      </c>
      <c r="M329" t="s">
        <v>24</v>
      </c>
      <c r="O329" t="s">
        <v>26</v>
      </c>
      <c r="Q329" t="s">
        <v>28</v>
      </c>
    </row>
    <row r="330" spans="1:18" x14ac:dyDescent="0.25">
      <c r="A330" t="s">
        <v>144</v>
      </c>
      <c r="B330">
        <v>228024</v>
      </c>
      <c r="C330" t="s">
        <v>19</v>
      </c>
      <c r="D330" t="s">
        <v>253</v>
      </c>
      <c r="E330" t="s">
        <v>92</v>
      </c>
      <c r="F330">
        <v>1</v>
      </c>
      <c r="G330">
        <v>44272</v>
      </c>
      <c r="H330">
        <v>44285</v>
      </c>
      <c r="K330" s="5" t="s">
        <v>160</v>
      </c>
      <c r="L330" t="s">
        <v>41</v>
      </c>
      <c r="M330" t="s">
        <v>24</v>
      </c>
      <c r="O330" t="s">
        <v>26</v>
      </c>
      <c r="Q330" t="s">
        <v>28</v>
      </c>
    </row>
    <row r="331" spans="1:18" x14ac:dyDescent="0.25">
      <c r="A331" t="s">
        <v>254</v>
      </c>
      <c r="B331">
        <v>227457</v>
      </c>
      <c r="C331" t="s">
        <v>19</v>
      </c>
      <c r="D331" t="s">
        <v>255</v>
      </c>
      <c r="E331" t="s">
        <v>21</v>
      </c>
      <c r="F331">
        <v>4</v>
      </c>
      <c r="G331">
        <v>44270</v>
      </c>
      <c r="H331">
        <v>44278</v>
      </c>
      <c r="K331" s="5" t="s">
        <v>160</v>
      </c>
      <c r="L331" t="s">
        <v>33</v>
      </c>
      <c r="M331" t="s">
        <v>24</v>
      </c>
      <c r="O331" t="s">
        <v>25</v>
      </c>
      <c r="Q331" t="s">
        <v>28</v>
      </c>
    </row>
    <row r="332" spans="1:18" x14ac:dyDescent="0.25">
      <c r="A332" t="s">
        <v>67</v>
      </c>
      <c r="B332">
        <v>229448</v>
      </c>
      <c r="C332" t="s">
        <v>19</v>
      </c>
      <c r="D332" t="s">
        <v>256</v>
      </c>
      <c r="E332" t="s">
        <v>32</v>
      </c>
      <c r="F332">
        <v>1</v>
      </c>
      <c r="G332">
        <v>44278</v>
      </c>
      <c r="H332">
        <v>44278</v>
      </c>
      <c r="K332" s="5" t="s">
        <v>160</v>
      </c>
      <c r="L332" t="s">
        <v>33</v>
      </c>
      <c r="M332" t="s">
        <v>24</v>
      </c>
      <c r="O332" t="s">
        <v>25</v>
      </c>
      <c r="Q332" t="s">
        <v>28</v>
      </c>
      <c r="R332" t="s">
        <v>28</v>
      </c>
    </row>
    <row r="333" spans="1:18" x14ac:dyDescent="0.25">
      <c r="A333" t="s">
        <v>46</v>
      </c>
      <c r="B333">
        <v>227888</v>
      </c>
      <c r="C333" t="s">
        <v>30</v>
      </c>
      <c r="D333" t="s">
        <v>257</v>
      </c>
      <c r="E333" t="s">
        <v>34</v>
      </c>
      <c r="F333">
        <v>1</v>
      </c>
      <c r="G333">
        <v>44271</v>
      </c>
      <c r="H333">
        <v>44279</v>
      </c>
      <c r="I333" s="5">
        <v>44279</v>
      </c>
      <c r="K333" s="5" t="s">
        <v>160</v>
      </c>
      <c r="L333" t="s">
        <v>33</v>
      </c>
      <c r="M333" t="s">
        <v>24</v>
      </c>
      <c r="O333" t="s">
        <v>25</v>
      </c>
      <c r="Q333" t="s">
        <v>27</v>
      </c>
    </row>
    <row r="334" spans="1:18" x14ac:dyDescent="0.25">
      <c r="A334" t="s">
        <v>144</v>
      </c>
      <c r="B334">
        <v>227710</v>
      </c>
      <c r="C334" t="s">
        <v>30</v>
      </c>
      <c r="D334" t="s">
        <v>258</v>
      </c>
      <c r="E334" t="s">
        <v>208</v>
      </c>
      <c r="F334">
        <v>1</v>
      </c>
      <c r="G334">
        <v>44271</v>
      </c>
      <c r="H334">
        <v>44280</v>
      </c>
      <c r="K334" s="5" t="s">
        <v>163</v>
      </c>
      <c r="L334" t="s">
        <v>33</v>
      </c>
      <c r="M334" t="s">
        <v>24</v>
      </c>
      <c r="O334" t="s">
        <v>25</v>
      </c>
      <c r="Q334" t="s">
        <v>28</v>
      </c>
    </row>
    <row r="335" spans="1:18" x14ac:dyDescent="0.25">
      <c r="A335" t="s">
        <v>36</v>
      </c>
      <c r="B335">
        <v>227568</v>
      </c>
      <c r="C335" t="s">
        <v>19</v>
      </c>
      <c r="D335" t="s">
        <v>259</v>
      </c>
      <c r="E335" t="s">
        <v>82</v>
      </c>
      <c r="F335">
        <v>1</v>
      </c>
      <c r="G335">
        <v>44271</v>
      </c>
      <c r="H335">
        <v>44280</v>
      </c>
      <c r="K335" s="5" t="s">
        <v>160</v>
      </c>
      <c r="L335" t="s">
        <v>41</v>
      </c>
      <c r="M335" t="s">
        <v>24</v>
      </c>
      <c r="O335" t="s">
        <v>26</v>
      </c>
      <c r="Q335" t="s">
        <v>28</v>
      </c>
    </row>
    <row r="336" spans="1:18" x14ac:dyDescent="0.25">
      <c r="A336" t="s">
        <v>29</v>
      </c>
      <c r="B336">
        <v>229524</v>
      </c>
      <c r="C336" t="s">
        <v>30</v>
      </c>
      <c r="D336" t="s">
        <v>260</v>
      </c>
      <c r="E336" t="s">
        <v>72</v>
      </c>
      <c r="F336">
        <v>1</v>
      </c>
      <c r="G336">
        <v>44279</v>
      </c>
      <c r="H336">
        <v>44280</v>
      </c>
      <c r="K336" s="5" t="s">
        <v>163</v>
      </c>
      <c r="L336" t="s">
        <v>33</v>
      </c>
      <c r="M336" t="s">
        <v>24</v>
      </c>
      <c r="O336" t="s">
        <v>25</v>
      </c>
      <c r="Q336" t="s">
        <v>28</v>
      </c>
    </row>
    <row r="337" spans="1:17" x14ac:dyDescent="0.25">
      <c r="A337" t="s">
        <v>29</v>
      </c>
      <c r="B337">
        <v>229051</v>
      </c>
      <c r="C337" t="s">
        <v>19</v>
      </c>
      <c r="D337" t="s">
        <v>263</v>
      </c>
      <c r="E337" t="s">
        <v>79</v>
      </c>
      <c r="F337">
        <v>10</v>
      </c>
      <c r="G337">
        <v>44277</v>
      </c>
      <c r="H337">
        <v>44281</v>
      </c>
      <c r="K337" s="5" t="s">
        <v>160</v>
      </c>
      <c r="L337" t="s">
        <v>57</v>
      </c>
      <c r="M337" t="s">
        <v>24</v>
      </c>
      <c r="O337" t="s">
        <v>25</v>
      </c>
      <c r="Q337" t="s">
        <v>28</v>
      </c>
    </row>
    <row r="338" spans="1:17" x14ac:dyDescent="0.25">
      <c r="A338" t="s">
        <v>29</v>
      </c>
      <c r="B338">
        <v>229086</v>
      </c>
      <c r="C338" t="s">
        <v>30</v>
      </c>
      <c r="D338" t="s">
        <v>265</v>
      </c>
      <c r="E338" t="s">
        <v>72</v>
      </c>
      <c r="F338">
        <v>1</v>
      </c>
      <c r="G338">
        <v>44277</v>
      </c>
      <c r="H338">
        <v>44281</v>
      </c>
      <c r="K338" s="5" t="s">
        <v>163</v>
      </c>
      <c r="L338" t="s">
        <v>33</v>
      </c>
      <c r="M338" t="s">
        <v>24</v>
      </c>
      <c r="O338" t="s">
        <v>26</v>
      </c>
      <c r="Q338" t="s">
        <v>28</v>
      </c>
    </row>
    <row r="339" spans="1:17" x14ac:dyDescent="0.25">
      <c r="A339" t="s">
        <v>29</v>
      </c>
      <c r="B339">
        <v>229763</v>
      </c>
      <c r="C339" t="s">
        <v>30</v>
      </c>
      <c r="D339" t="s">
        <v>266</v>
      </c>
      <c r="E339" t="s">
        <v>72</v>
      </c>
      <c r="F339">
        <v>1</v>
      </c>
      <c r="G339">
        <v>44279</v>
      </c>
      <c r="H339">
        <v>44286</v>
      </c>
      <c r="K339" s="5" t="s">
        <v>163</v>
      </c>
      <c r="L339" t="s">
        <v>41</v>
      </c>
      <c r="M339" t="s">
        <v>24</v>
      </c>
      <c r="O339" t="s">
        <v>26</v>
      </c>
      <c r="Q339" t="s">
        <v>28</v>
      </c>
    </row>
    <row r="340" spans="1:17" x14ac:dyDescent="0.25">
      <c r="A340" t="s">
        <v>36</v>
      </c>
      <c r="B340">
        <v>229691</v>
      </c>
      <c r="C340" t="s">
        <v>19</v>
      </c>
      <c r="D340" t="s">
        <v>413</v>
      </c>
      <c r="E340" t="s">
        <v>34</v>
      </c>
      <c r="F340">
        <v>2</v>
      </c>
      <c r="G340">
        <v>44279</v>
      </c>
      <c r="H340">
        <v>44286</v>
      </c>
      <c r="K340" s="5" t="s">
        <v>160</v>
      </c>
      <c r="L340" t="s">
        <v>41</v>
      </c>
      <c r="M340" t="s">
        <v>24</v>
      </c>
      <c r="O340" t="s">
        <v>25</v>
      </c>
      <c r="Q340" t="s">
        <v>28</v>
      </c>
    </row>
    <row r="341" spans="1:17" x14ac:dyDescent="0.25">
      <c r="A341" t="s">
        <v>36</v>
      </c>
      <c r="B341">
        <v>229691</v>
      </c>
      <c r="C341" t="s">
        <v>19</v>
      </c>
      <c r="D341" t="s">
        <v>413</v>
      </c>
      <c r="E341" t="s">
        <v>32</v>
      </c>
      <c r="F341">
        <v>2</v>
      </c>
      <c r="G341">
        <v>44279</v>
      </c>
      <c r="H341">
        <v>44286</v>
      </c>
      <c r="K341" s="5" t="s">
        <v>160</v>
      </c>
      <c r="L341" t="s">
        <v>41</v>
      </c>
      <c r="M341" t="s">
        <v>24</v>
      </c>
      <c r="O341" t="s">
        <v>25</v>
      </c>
      <c r="Q341" t="s">
        <v>28</v>
      </c>
    </row>
    <row r="342" spans="1:17" x14ac:dyDescent="0.25">
      <c r="A342" t="s">
        <v>36</v>
      </c>
      <c r="B342">
        <v>229691</v>
      </c>
      <c r="C342" t="s">
        <v>19</v>
      </c>
      <c r="D342" t="s">
        <v>413</v>
      </c>
      <c r="E342" t="s">
        <v>48</v>
      </c>
      <c r="F342">
        <v>2</v>
      </c>
      <c r="G342">
        <v>44279</v>
      </c>
      <c r="H342">
        <v>44286</v>
      </c>
      <c r="K342" s="5" t="s">
        <v>160</v>
      </c>
      <c r="L342" t="s">
        <v>41</v>
      </c>
      <c r="M342" t="s">
        <v>24</v>
      </c>
      <c r="O342" t="s">
        <v>25</v>
      </c>
      <c r="Q342" t="s">
        <v>28</v>
      </c>
    </row>
    <row r="343" spans="1:17" x14ac:dyDescent="0.25">
      <c r="A343" t="s">
        <v>36</v>
      </c>
      <c r="B343">
        <v>229691</v>
      </c>
      <c r="C343" t="s">
        <v>19</v>
      </c>
      <c r="D343" t="s">
        <v>413</v>
      </c>
      <c r="E343" t="s">
        <v>92</v>
      </c>
      <c r="F343">
        <v>2</v>
      </c>
      <c r="G343">
        <v>44279</v>
      </c>
      <c r="H343">
        <v>44286</v>
      </c>
      <c r="K343" s="5" t="s">
        <v>160</v>
      </c>
      <c r="L343" t="s">
        <v>41</v>
      </c>
      <c r="M343" t="s">
        <v>24</v>
      </c>
      <c r="O343" t="s">
        <v>25</v>
      </c>
      <c r="Q343" t="s">
        <v>28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4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267</v>
      </c>
      <c r="I1" s="7" t="s">
        <v>16</v>
      </c>
      <c r="J1" s="8" t="s">
        <v>268</v>
      </c>
    </row>
    <row r="2" spans="1:10" x14ac:dyDescent="0.25">
      <c r="A2" s="1" t="s">
        <v>269</v>
      </c>
      <c r="B2" t="s">
        <v>30</v>
      </c>
      <c r="C2" t="s">
        <v>270</v>
      </c>
      <c r="E2" s="3" t="s">
        <v>22</v>
      </c>
      <c r="F2" s="1" t="s">
        <v>23</v>
      </c>
      <c r="G2" s="1" t="s">
        <v>24</v>
      </c>
      <c r="H2" s="1" t="s">
        <v>25</v>
      </c>
      <c r="I2" t="s">
        <v>271</v>
      </c>
      <c r="J2" t="s">
        <v>271</v>
      </c>
    </row>
    <row r="3" spans="1:10" ht="15" customHeight="1" x14ac:dyDescent="0.25">
      <c r="A3" s="1" t="s">
        <v>39</v>
      </c>
      <c r="B3" t="s">
        <v>19</v>
      </c>
      <c r="C3" t="s">
        <v>21</v>
      </c>
      <c r="E3" s="2" t="s">
        <v>160</v>
      </c>
      <c r="F3" s="1" t="s">
        <v>41</v>
      </c>
      <c r="G3" s="1" t="s">
        <v>79</v>
      </c>
      <c r="H3" s="1" t="s">
        <v>26</v>
      </c>
      <c r="I3" t="s">
        <v>73</v>
      </c>
      <c r="J3" t="s">
        <v>73</v>
      </c>
    </row>
    <row r="4" spans="1:10" ht="15" customHeight="1" x14ac:dyDescent="0.25">
      <c r="A4" s="1" t="s">
        <v>94</v>
      </c>
      <c r="B4" t="s">
        <v>272</v>
      </c>
      <c r="C4" t="s">
        <v>66</v>
      </c>
      <c r="E4" s="1" t="s">
        <v>163</v>
      </c>
      <c r="F4" t="s">
        <v>33</v>
      </c>
      <c r="G4" s="1" t="s">
        <v>106</v>
      </c>
      <c r="I4" t="s">
        <v>27</v>
      </c>
      <c r="J4" t="s">
        <v>27</v>
      </c>
    </row>
    <row r="5" spans="1:10" ht="15" customHeight="1" x14ac:dyDescent="0.25">
      <c r="A5" s="1" t="s">
        <v>254</v>
      </c>
      <c r="B5" s="1" t="s">
        <v>273</v>
      </c>
      <c r="C5" t="s">
        <v>274</v>
      </c>
      <c r="E5" s="4" t="s">
        <v>275</v>
      </c>
      <c r="F5" s="1" t="s">
        <v>276</v>
      </c>
      <c r="G5" s="1" t="s">
        <v>277</v>
      </c>
      <c r="H5" s="1"/>
      <c r="I5" t="s">
        <v>28</v>
      </c>
      <c r="J5" t="s">
        <v>28</v>
      </c>
    </row>
    <row r="6" spans="1:10" ht="15" customHeight="1" x14ac:dyDescent="0.25">
      <c r="A6" s="1" t="s">
        <v>76</v>
      </c>
      <c r="B6" t="s">
        <v>278</v>
      </c>
      <c r="C6" t="s">
        <v>242</v>
      </c>
      <c r="E6" s="9" t="s">
        <v>195</v>
      </c>
      <c r="F6" s="1" t="s">
        <v>57</v>
      </c>
      <c r="G6" s="1" t="s">
        <v>279</v>
      </c>
      <c r="H6" s="1"/>
      <c r="I6" t="s">
        <v>53</v>
      </c>
      <c r="J6" t="s">
        <v>53</v>
      </c>
    </row>
    <row r="7" spans="1:10" ht="15" customHeight="1" x14ac:dyDescent="0.25">
      <c r="A7" s="1" t="s">
        <v>161</v>
      </c>
      <c r="B7" t="s">
        <v>63</v>
      </c>
      <c r="C7" t="s">
        <v>280</v>
      </c>
      <c r="F7" s="1" t="s">
        <v>79</v>
      </c>
      <c r="G7" s="1" t="s">
        <v>281</v>
      </c>
      <c r="H7" s="1"/>
    </row>
    <row r="8" spans="1:10" ht="15" customHeight="1" x14ac:dyDescent="0.25">
      <c r="A8" s="1" t="s">
        <v>132</v>
      </c>
      <c r="B8" t="s">
        <v>282</v>
      </c>
      <c r="C8" t="s">
        <v>38</v>
      </c>
      <c r="D8" s="1"/>
      <c r="G8" s="1" t="s">
        <v>283</v>
      </c>
      <c r="H8" s="1"/>
    </row>
    <row r="9" spans="1:10" ht="15" customHeight="1" x14ac:dyDescent="0.25">
      <c r="A9" s="1" t="s">
        <v>70</v>
      </c>
      <c r="B9" t="s">
        <v>284</v>
      </c>
      <c r="C9" t="s">
        <v>42</v>
      </c>
      <c r="D9" s="1"/>
      <c r="H9" s="1"/>
    </row>
    <row r="10" spans="1:10" ht="15" customHeight="1" x14ac:dyDescent="0.25">
      <c r="A10" s="1" t="s">
        <v>46</v>
      </c>
      <c r="B10" s="1" t="s">
        <v>285</v>
      </c>
      <c r="C10" t="s">
        <v>286</v>
      </c>
      <c r="D10" s="1"/>
      <c r="H10" s="1"/>
    </row>
    <row r="11" spans="1:10" ht="15" customHeight="1" x14ac:dyDescent="0.25">
      <c r="A11" s="1" t="s">
        <v>287</v>
      </c>
      <c r="B11" t="s">
        <v>288</v>
      </c>
      <c r="C11" t="s">
        <v>289</v>
      </c>
      <c r="D11" s="1"/>
      <c r="G11" s="1"/>
      <c r="H11" s="1"/>
    </row>
    <row r="12" spans="1:10" ht="15" customHeight="1" x14ac:dyDescent="0.25">
      <c r="A12" s="1" t="s">
        <v>54</v>
      </c>
      <c r="B12" t="s">
        <v>290</v>
      </c>
      <c r="C12" t="s">
        <v>291</v>
      </c>
      <c r="D12" s="1"/>
      <c r="G12" s="1"/>
      <c r="H12" s="1"/>
    </row>
    <row r="13" spans="1:10" ht="15" customHeight="1" x14ac:dyDescent="0.25">
      <c r="A13" s="1" t="s">
        <v>128</v>
      </c>
      <c r="B13" t="s">
        <v>292</v>
      </c>
      <c r="C13" t="s">
        <v>208</v>
      </c>
      <c r="D13" s="1"/>
      <c r="G13" s="1"/>
      <c r="H13" s="1"/>
    </row>
    <row r="14" spans="1:10" ht="15" customHeight="1" x14ac:dyDescent="0.25">
      <c r="A14" s="1" t="s">
        <v>293</v>
      </c>
      <c r="B14" t="s">
        <v>170</v>
      </c>
      <c r="C14" t="s">
        <v>72</v>
      </c>
      <c r="D14" s="1"/>
      <c r="G14" s="1"/>
      <c r="H14" s="1"/>
    </row>
    <row r="15" spans="1:10" ht="15" customHeight="1" x14ac:dyDescent="0.25">
      <c r="A15" s="1" t="s">
        <v>144</v>
      </c>
      <c r="B15" t="s">
        <v>55</v>
      </c>
      <c r="C15" t="s">
        <v>294</v>
      </c>
      <c r="D15" s="1"/>
      <c r="H15" s="1"/>
    </row>
    <row r="16" spans="1:10" ht="15" customHeight="1" x14ac:dyDescent="0.25">
      <c r="A16" s="1" t="s">
        <v>18</v>
      </c>
      <c r="C16" t="s">
        <v>295</v>
      </c>
      <c r="D16" s="1"/>
      <c r="H16" s="1"/>
    </row>
    <row r="17" spans="1:8" ht="15" customHeight="1" x14ac:dyDescent="0.25">
      <c r="A17" s="1" t="s">
        <v>191</v>
      </c>
      <c r="B17" s="1"/>
      <c r="C17" t="s">
        <v>146</v>
      </c>
      <c r="D17" s="1"/>
      <c r="H17" s="1"/>
    </row>
    <row r="18" spans="1:8" ht="15" customHeight="1" x14ac:dyDescent="0.25">
      <c r="A18" s="1" t="s">
        <v>58</v>
      </c>
      <c r="B18" s="1"/>
      <c r="C18" t="s">
        <v>296</v>
      </c>
      <c r="D18" s="1"/>
      <c r="H18" s="1"/>
    </row>
    <row r="19" spans="1:8" ht="15" customHeight="1" x14ac:dyDescent="0.25">
      <c r="A19" s="1" t="s">
        <v>67</v>
      </c>
      <c r="B19" s="1"/>
      <c r="C19" t="s">
        <v>43</v>
      </c>
      <c r="D19" s="1"/>
      <c r="H19" s="1"/>
    </row>
    <row r="20" spans="1:8" ht="15" customHeight="1" x14ac:dyDescent="0.25">
      <c r="A20" s="1" t="s">
        <v>29</v>
      </c>
      <c r="B20" s="1"/>
      <c r="C20" t="s">
        <v>60</v>
      </c>
      <c r="D20" s="1"/>
    </row>
    <row r="21" spans="1:8" ht="15" customHeight="1" x14ac:dyDescent="0.25">
      <c r="A21" s="1" t="s">
        <v>222</v>
      </c>
      <c r="B21" s="1"/>
      <c r="C21" t="s">
        <v>297</v>
      </c>
      <c r="D21" s="1"/>
    </row>
    <row r="22" spans="1:8" ht="15" customHeight="1" x14ac:dyDescent="0.25">
      <c r="A22" s="1" t="s">
        <v>112</v>
      </c>
      <c r="B22" s="1"/>
      <c r="C22" t="s">
        <v>298</v>
      </c>
      <c r="D22" s="1"/>
    </row>
    <row r="23" spans="1:8" ht="15" customHeight="1" x14ac:dyDescent="0.25">
      <c r="A23" s="1" t="s">
        <v>181</v>
      </c>
      <c r="B23" s="1"/>
      <c r="C23" t="s">
        <v>299</v>
      </c>
      <c r="D23" s="1"/>
    </row>
    <row r="24" spans="1:8" ht="15" customHeight="1" x14ac:dyDescent="0.25">
      <c r="A24" s="1" t="s">
        <v>36</v>
      </c>
      <c r="B24" s="1"/>
      <c r="C24" t="s">
        <v>300</v>
      </c>
    </row>
    <row r="25" spans="1:8" ht="15" customHeight="1" x14ac:dyDescent="0.25">
      <c r="A25" s="1" t="s">
        <v>301</v>
      </c>
      <c r="B25" s="1"/>
      <c r="C25" t="s">
        <v>302</v>
      </c>
    </row>
    <row r="26" spans="1:8" ht="15" customHeight="1" x14ac:dyDescent="0.25">
      <c r="A26" s="1"/>
      <c r="B26" s="1"/>
      <c r="C26" t="s">
        <v>303</v>
      </c>
    </row>
    <row r="27" spans="1:8" ht="15" customHeight="1" x14ac:dyDescent="0.25">
      <c r="A27" s="1"/>
      <c r="B27" s="1"/>
      <c r="C27" t="s">
        <v>34</v>
      </c>
    </row>
    <row r="28" spans="1:8" ht="15" customHeight="1" x14ac:dyDescent="0.25">
      <c r="A28" s="1"/>
      <c r="B28" s="1"/>
      <c r="C28" t="s">
        <v>304</v>
      </c>
    </row>
    <row r="29" spans="1:8" ht="15" customHeight="1" x14ac:dyDescent="0.25">
      <c r="A29" s="1"/>
      <c r="B29" s="1"/>
      <c r="C29" t="s">
        <v>305</v>
      </c>
    </row>
    <row r="30" spans="1:8" ht="15" customHeight="1" x14ac:dyDescent="0.25">
      <c r="A30" s="1"/>
      <c r="B30" s="1"/>
      <c r="C30" t="s">
        <v>306</v>
      </c>
    </row>
    <row r="31" spans="1:8" ht="15" customHeight="1" x14ac:dyDescent="0.25">
      <c r="A31" s="1"/>
      <c r="B31" s="1"/>
      <c r="C31" t="s">
        <v>44</v>
      </c>
    </row>
    <row r="32" spans="1:8" ht="15" customHeight="1" x14ac:dyDescent="0.25">
      <c r="A32" s="1"/>
      <c r="B32" s="1"/>
      <c r="C32" t="s">
        <v>61</v>
      </c>
    </row>
    <row r="33" spans="1:4" ht="15" customHeight="1" x14ac:dyDescent="0.25">
      <c r="A33" s="1"/>
      <c r="B33" s="1"/>
      <c r="C33" t="s">
        <v>307</v>
      </c>
    </row>
    <row r="34" spans="1:4" ht="15" customHeight="1" x14ac:dyDescent="0.25">
      <c r="A34" s="1"/>
      <c r="B34" s="1"/>
      <c r="C34" t="s">
        <v>80</v>
      </c>
    </row>
    <row r="35" spans="1:4" ht="15" customHeight="1" x14ac:dyDescent="0.25">
      <c r="A35" s="1"/>
      <c r="B35" s="1"/>
      <c r="C35" t="s">
        <v>116</v>
      </c>
    </row>
    <row r="36" spans="1:4" ht="15" customHeight="1" x14ac:dyDescent="0.25">
      <c r="A36" s="1"/>
      <c r="B36" s="1"/>
      <c r="C36" t="s">
        <v>82</v>
      </c>
    </row>
    <row r="37" spans="1:4" ht="15" customHeight="1" x14ac:dyDescent="0.25">
      <c r="A37" s="1"/>
      <c r="B37" s="1"/>
      <c r="C37" t="s">
        <v>226</v>
      </c>
      <c r="D37" s="1"/>
    </row>
    <row r="38" spans="1:4" ht="15" customHeight="1" x14ac:dyDescent="0.25">
      <c r="A38" s="1"/>
      <c r="B38" s="1"/>
      <c r="C38" t="s">
        <v>92</v>
      </c>
      <c r="D38" s="1"/>
    </row>
    <row r="39" spans="1:4" ht="15" customHeight="1" x14ac:dyDescent="0.25">
      <c r="A39" s="1"/>
      <c r="B39" s="1"/>
      <c r="C39" t="s">
        <v>130</v>
      </c>
      <c r="D39" s="1"/>
    </row>
    <row r="40" spans="1:4" ht="15" customHeight="1" x14ac:dyDescent="0.25">
      <c r="A40" s="1"/>
      <c r="B40" s="1"/>
      <c r="C40" t="s">
        <v>217</v>
      </c>
      <c r="D40" s="1"/>
    </row>
    <row r="41" spans="1:4" ht="15" customHeight="1" x14ac:dyDescent="0.25">
      <c r="A41" s="1"/>
      <c r="B41" s="1"/>
      <c r="C41" t="s">
        <v>308</v>
      </c>
      <c r="D41" s="1"/>
    </row>
    <row r="42" spans="1:4" ht="15" customHeight="1" x14ac:dyDescent="0.25">
      <c r="A42" s="1"/>
      <c r="B42" s="1"/>
      <c r="C42" t="s">
        <v>309</v>
      </c>
      <c r="D42" s="1"/>
    </row>
    <row r="43" spans="1:4" ht="15" customHeight="1" x14ac:dyDescent="0.25">
      <c r="A43" s="1"/>
      <c r="B43" s="1"/>
      <c r="C43" t="s">
        <v>310</v>
      </c>
      <c r="D43" s="1"/>
    </row>
    <row r="44" spans="1:4" ht="15" customHeight="1" x14ac:dyDescent="0.25">
      <c r="A44" s="1"/>
      <c r="B44" s="1"/>
      <c r="C44" t="s">
        <v>311</v>
      </c>
      <c r="D44" s="1"/>
    </row>
    <row r="45" spans="1:4" ht="15" customHeight="1" x14ac:dyDescent="0.25">
      <c r="A45" s="1"/>
      <c r="B45" s="1"/>
      <c r="C45" t="s">
        <v>62</v>
      </c>
      <c r="D45" s="1"/>
    </row>
    <row r="46" spans="1:4" x14ac:dyDescent="0.25">
      <c r="A46" s="1"/>
      <c r="B46" s="1"/>
      <c r="C46" t="s">
        <v>312</v>
      </c>
      <c r="D46" s="1"/>
    </row>
    <row r="47" spans="1:4" x14ac:dyDescent="0.25">
      <c r="C47" t="s">
        <v>313</v>
      </c>
    </row>
    <row r="48" spans="1:4" x14ac:dyDescent="0.25">
      <c r="C48" t="s">
        <v>139</v>
      </c>
    </row>
    <row r="49" spans="3:3" x14ac:dyDescent="0.25">
      <c r="C49" t="s">
        <v>314</v>
      </c>
    </row>
    <row r="50" spans="3:3" x14ac:dyDescent="0.25">
      <c r="C50" t="s">
        <v>315</v>
      </c>
    </row>
    <row r="51" spans="3:3" x14ac:dyDescent="0.25">
      <c r="C51" t="s">
        <v>316</v>
      </c>
    </row>
    <row r="52" spans="3:3" x14ac:dyDescent="0.25">
      <c r="C52" t="s">
        <v>211</v>
      </c>
    </row>
    <row r="53" spans="3:3" x14ac:dyDescent="0.25">
      <c r="C53" t="s">
        <v>317</v>
      </c>
    </row>
    <row r="54" spans="3:3" x14ac:dyDescent="0.25">
      <c r="C54" t="s">
        <v>81</v>
      </c>
    </row>
    <row r="55" spans="3:3" x14ac:dyDescent="0.25">
      <c r="C55" t="s">
        <v>64</v>
      </c>
    </row>
    <row r="56" spans="3:3" x14ac:dyDescent="0.25">
      <c r="C56" t="s">
        <v>105</v>
      </c>
    </row>
    <row r="57" spans="3:3" x14ac:dyDescent="0.25">
      <c r="C57" t="s">
        <v>141</v>
      </c>
    </row>
    <row r="58" spans="3:3" x14ac:dyDescent="0.25">
      <c r="C58" t="s">
        <v>318</v>
      </c>
    </row>
    <row r="59" spans="3:3" x14ac:dyDescent="0.25">
      <c r="C59" t="s">
        <v>319</v>
      </c>
    </row>
    <row r="60" spans="3:3" x14ac:dyDescent="0.25">
      <c r="C60" t="s">
        <v>89</v>
      </c>
    </row>
    <row r="61" spans="3:3" x14ac:dyDescent="0.25">
      <c r="C61" t="s">
        <v>48</v>
      </c>
    </row>
    <row r="62" spans="3:3" x14ac:dyDescent="0.25">
      <c r="C62" t="s">
        <v>75</v>
      </c>
    </row>
    <row r="63" spans="3:3" x14ac:dyDescent="0.25">
      <c r="C63" t="s">
        <v>32</v>
      </c>
    </row>
    <row r="64" spans="3:3" x14ac:dyDescent="0.25">
      <c r="C64" t="s">
        <v>320</v>
      </c>
    </row>
    <row r="65" spans="3:3" x14ac:dyDescent="0.25">
      <c r="C65" t="s">
        <v>151</v>
      </c>
    </row>
    <row r="66" spans="3:3" x14ac:dyDescent="0.25">
      <c r="C66" t="s">
        <v>277</v>
      </c>
    </row>
    <row r="67" spans="3:3" x14ac:dyDescent="0.25">
      <c r="C67" t="s">
        <v>321</v>
      </c>
    </row>
    <row r="68" spans="3:3" x14ac:dyDescent="0.25">
      <c r="C68" t="s">
        <v>322</v>
      </c>
    </row>
    <row r="69" spans="3:3" x14ac:dyDescent="0.25">
      <c r="C69" t="s">
        <v>323</v>
      </c>
    </row>
    <row r="70" spans="3:3" x14ac:dyDescent="0.25">
      <c r="C70" t="s">
        <v>324</v>
      </c>
    </row>
    <row r="71" spans="3:3" x14ac:dyDescent="0.25">
      <c r="C71" t="s">
        <v>88</v>
      </c>
    </row>
    <row r="72" spans="3:3" x14ac:dyDescent="0.25">
      <c r="C72" t="s">
        <v>45</v>
      </c>
    </row>
    <row r="73" spans="3:3" x14ac:dyDescent="0.25">
      <c r="C73" t="s">
        <v>155</v>
      </c>
    </row>
    <row r="74" spans="3:3" x14ac:dyDescent="0.25">
      <c r="C74" t="s">
        <v>35</v>
      </c>
    </row>
    <row r="75" spans="3:3" x14ac:dyDescent="0.25">
      <c r="C75" t="s">
        <v>325</v>
      </c>
    </row>
    <row r="76" spans="3:3" x14ac:dyDescent="0.25">
      <c r="C76" t="s">
        <v>326</v>
      </c>
    </row>
    <row r="77" spans="3:3" x14ac:dyDescent="0.25">
      <c r="C77" t="s">
        <v>327</v>
      </c>
    </row>
    <row r="78" spans="3:3" x14ac:dyDescent="0.25">
      <c r="C78" t="s">
        <v>328</v>
      </c>
    </row>
    <row r="79" spans="3:3" x14ac:dyDescent="0.25">
      <c r="C79" t="s">
        <v>93</v>
      </c>
    </row>
    <row r="80" spans="3:3" x14ac:dyDescent="0.25">
      <c r="C80" t="s">
        <v>79</v>
      </c>
    </row>
    <row r="81" spans="3:3" x14ac:dyDescent="0.25">
      <c r="C81" t="s">
        <v>329</v>
      </c>
    </row>
    <row r="82" spans="3:3" x14ac:dyDescent="0.25">
      <c r="C82" t="s">
        <v>330</v>
      </c>
    </row>
    <row r="83" spans="3:3" x14ac:dyDescent="0.25">
      <c r="C83" t="s">
        <v>108</v>
      </c>
    </row>
    <row r="84" spans="3:3" x14ac:dyDescent="0.25">
      <c r="C84" t="s">
        <v>331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sheetPr codeName="Planilha3"/>
  <dimension ref="A1:Z5"/>
  <sheetViews>
    <sheetView workbookViewId="0">
      <selection activeCell="H9" sqref="H9"/>
    </sheetView>
  </sheetViews>
  <sheetFormatPr defaultRowHeight="15" x14ac:dyDescent="0.25"/>
  <cols>
    <col min="1" max="1" width="12.28515625" bestFit="1" customWidth="1"/>
  </cols>
  <sheetData>
    <row r="1" spans="1:26" ht="23.25" x14ac:dyDescent="0.3">
      <c r="B1" s="67" t="s">
        <v>332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44"/>
      <c r="O1" s="68" t="s">
        <v>333</v>
      </c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8.75" x14ac:dyDescent="0.3">
      <c r="A2" s="38"/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  <c r="H2" s="39" t="s">
        <v>340</v>
      </c>
      <c r="I2" s="39" t="s">
        <v>341</v>
      </c>
      <c r="J2" s="39" t="s">
        <v>342</v>
      </c>
      <c r="K2" s="39" t="s">
        <v>343</v>
      </c>
      <c r="L2" s="39" t="s">
        <v>344</v>
      </c>
      <c r="M2" s="39" t="s">
        <v>345</v>
      </c>
      <c r="O2" s="40" t="s">
        <v>346</v>
      </c>
      <c r="P2" s="40" t="s">
        <v>347</v>
      </c>
      <c r="Q2" s="40" t="s">
        <v>348</v>
      </c>
      <c r="R2" s="40" t="s">
        <v>349</v>
      </c>
      <c r="S2" s="40" t="s">
        <v>350</v>
      </c>
      <c r="T2" s="40" t="s">
        <v>351</v>
      </c>
      <c r="U2" s="40" t="s">
        <v>352</v>
      </c>
      <c r="V2" s="40" t="s">
        <v>353</v>
      </c>
      <c r="W2" s="40" t="s">
        <v>354</v>
      </c>
      <c r="X2" s="40" t="s">
        <v>355</v>
      </c>
      <c r="Y2" s="40" t="s">
        <v>356</v>
      </c>
      <c r="Z2" s="40" t="s">
        <v>357</v>
      </c>
    </row>
    <row r="3" spans="1:26" x14ac:dyDescent="0.25">
      <c r="A3" s="41" t="s">
        <v>358</v>
      </c>
      <c r="B3" s="41" t="e">
        <f>COUNTIFS('[1]DADOS 2021'!$O:$O,[1]ANÁLISE!$A3,'[1]DADOS 2021'!$I:$I,[1]ANÁLISE!O$3,'[1]DADOS 2021'!$I:$I,[1]ANÁLISE!O$4,'[1]DADOS 2021'!$K:$K,"&lt;&gt;NOVO")</f>
        <v>#VALUE!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O3" s="42" t="s">
        <v>359</v>
      </c>
      <c r="P3" s="42" t="s">
        <v>360</v>
      </c>
      <c r="Q3" s="42" t="s">
        <v>361</v>
      </c>
      <c r="R3" s="42" t="s">
        <v>362</v>
      </c>
      <c r="S3" s="42" t="s">
        <v>363</v>
      </c>
      <c r="T3" s="42" t="s">
        <v>364</v>
      </c>
      <c r="U3" s="42" t="s">
        <v>365</v>
      </c>
      <c r="V3" s="42" t="s">
        <v>366</v>
      </c>
      <c r="W3" s="42" t="s">
        <v>367</v>
      </c>
      <c r="X3" s="42" t="s">
        <v>368</v>
      </c>
      <c r="Y3" s="42" t="s">
        <v>369</v>
      </c>
      <c r="Z3" s="42" t="s">
        <v>370</v>
      </c>
    </row>
    <row r="4" spans="1:26" x14ac:dyDescent="0.25">
      <c r="A4" s="41" t="s">
        <v>371</v>
      </c>
      <c r="B4" s="41" t="e">
        <f>COUNTIFS('[1]DADOS 2021'!$O:$O,[1]ANÁLISE!$A4,'[1]DADOS 2021'!$I:$I,[1]ANÁLISE!O$3,'[1]DADOS 2021'!$I:$I,[1]ANÁLISE!O$4,'[1]DADOS 2021'!$K:$K,"&lt;&gt;NOVO")</f>
        <v>#VALUE!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O4" s="42" t="s">
        <v>372</v>
      </c>
      <c r="P4" s="42" t="s">
        <v>373</v>
      </c>
      <c r="Q4" s="42" t="s">
        <v>374</v>
      </c>
      <c r="R4" s="42" t="s">
        <v>375</v>
      </c>
      <c r="S4" s="42" t="s">
        <v>376</v>
      </c>
      <c r="T4" s="42" t="s">
        <v>377</v>
      </c>
      <c r="U4" s="42" t="s">
        <v>378</v>
      </c>
      <c r="V4" s="42" t="s">
        <v>379</v>
      </c>
      <c r="W4" s="42" t="s">
        <v>380</v>
      </c>
      <c r="X4" s="42" t="s">
        <v>381</v>
      </c>
      <c r="Y4" s="42" t="s">
        <v>382</v>
      </c>
      <c r="Z4" s="42" t="s">
        <v>383</v>
      </c>
    </row>
    <row r="5" spans="1:26" x14ac:dyDescent="0.25">
      <c r="A5" s="41" t="s">
        <v>384</v>
      </c>
      <c r="B5" s="43" t="e">
        <f>B3/SUM(B3:B4)</f>
        <v>#VALUE!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</row>
  </sheetData>
  <mergeCells count="2">
    <mergeCell ref="B1:M1"/>
    <mergeCell ref="O1:Z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sheetPr codeName="Planilha4"/>
  <dimension ref="A1:Q32"/>
  <sheetViews>
    <sheetView topLeftCell="A15" workbookViewId="0">
      <selection activeCell="L27" sqref="L27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x14ac:dyDescent="0.5">
      <c r="A1" s="71" t="s">
        <v>385</v>
      </c>
      <c r="B1" s="71"/>
      <c r="C1" s="71"/>
      <c r="D1" s="71"/>
      <c r="E1" s="71"/>
      <c r="F1" s="71"/>
      <c r="G1" s="71"/>
      <c r="H1" s="71"/>
      <c r="I1" s="45"/>
      <c r="J1" s="71" t="s">
        <v>386</v>
      </c>
      <c r="K1" s="71"/>
      <c r="L1" s="71"/>
      <c r="M1" s="71"/>
      <c r="N1" s="71"/>
      <c r="O1" s="71"/>
      <c r="P1" s="71"/>
      <c r="Q1" s="71"/>
    </row>
    <row r="2" spans="1:17" x14ac:dyDescent="0.25">
      <c r="A2" s="46"/>
      <c r="B2" s="46"/>
      <c r="C2" s="46"/>
      <c r="D2" s="46"/>
      <c r="E2" s="46"/>
      <c r="F2" s="46"/>
      <c r="G2" s="46"/>
      <c r="H2" s="46"/>
      <c r="I2" s="45"/>
      <c r="J2" s="46"/>
      <c r="K2" s="46"/>
      <c r="L2" s="46"/>
      <c r="M2" s="46"/>
      <c r="N2" s="46"/>
      <c r="O2" s="46"/>
      <c r="P2" s="47"/>
      <c r="Q2" s="48"/>
    </row>
    <row r="3" spans="1:17" ht="21" x14ac:dyDescent="0.25">
      <c r="A3" s="46"/>
      <c r="B3" s="69" t="s">
        <v>387</v>
      </c>
      <c r="C3" s="69"/>
      <c r="D3" s="69"/>
      <c r="E3" s="69"/>
      <c r="F3" s="69"/>
      <c r="G3" s="69"/>
      <c r="H3" s="46"/>
      <c r="I3" s="45"/>
      <c r="J3" s="46"/>
      <c r="K3" s="69" t="s">
        <v>388</v>
      </c>
      <c r="L3" s="69"/>
      <c r="M3" s="69"/>
      <c r="N3" s="69"/>
      <c r="O3" s="69"/>
      <c r="P3" s="69"/>
      <c r="Q3" s="49"/>
    </row>
    <row r="4" spans="1:17" ht="15.75" x14ac:dyDescent="0.25">
      <c r="A4" s="46"/>
      <c r="B4" s="50" t="s">
        <v>389</v>
      </c>
      <c r="C4" s="51" t="s">
        <v>390</v>
      </c>
      <c r="D4" s="51" t="s">
        <v>391</v>
      </c>
      <c r="E4" s="51" t="s">
        <v>392</v>
      </c>
      <c r="F4" s="51" t="s">
        <v>393</v>
      </c>
      <c r="G4" s="51" t="s">
        <v>394</v>
      </c>
      <c r="H4" s="46"/>
      <c r="I4" s="45"/>
      <c r="J4" s="46"/>
      <c r="K4" s="50" t="s">
        <v>389</v>
      </c>
      <c r="L4" s="51" t="s">
        <v>390</v>
      </c>
      <c r="M4" s="51" t="s">
        <v>391</v>
      </c>
      <c r="N4" s="51" t="s">
        <v>392</v>
      </c>
      <c r="O4" s="51" t="s">
        <v>393</v>
      </c>
      <c r="P4" s="51" t="s">
        <v>394</v>
      </c>
      <c r="Q4" s="47"/>
    </row>
    <row r="5" spans="1:17" x14ac:dyDescent="0.25">
      <c r="A5" s="46"/>
      <c r="B5" s="52" t="s">
        <v>395</v>
      </c>
      <c r="C5" s="53">
        <v>0.05</v>
      </c>
      <c r="D5" s="54">
        <v>0.78</v>
      </c>
      <c r="E5" s="55">
        <v>0.99346881326007308</v>
      </c>
      <c r="F5" s="53">
        <f>IF(((E5*C5)/D5)-C5&gt;5%,((E5*C5)/D5)-(((E5*C5)/D5)-C5)+0.05,((E5*C5)/D5))</f>
        <v>6.3683898285902124E-2</v>
      </c>
      <c r="G5" s="56">
        <f t="shared" ref="G5:G14" si="0">F5</f>
        <v>6.3683898285902124E-2</v>
      </c>
      <c r="H5" s="46"/>
      <c r="I5" s="45"/>
      <c r="J5" s="46"/>
      <c r="K5" s="52" t="s">
        <v>395</v>
      </c>
      <c r="L5" s="53">
        <v>0.05</v>
      </c>
      <c r="M5" s="54">
        <v>0.78</v>
      </c>
      <c r="N5" s="55">
        <v>0.99346881326007308</v>
      </c>
      <c r="O5" s="53">
        <f>IF(((N5*L5)/M5)-L5&gt;5%,((N5*L5)/M5)-(((N5*L5)/M5)-L5)+0.05,((N5*L5)/M5))</f>
        <v>6.3683898285902124E-2</v>
      </c>
      <c r="P5" s="56">
        <f>O5</f>
        <v>6.3683898285902124E-2</v>
      </c>
      <c r="Q5" s="46"/>
    </row>
    <row r="6" spans="1:17" x14ac:dyDescent="0.25">
      <c r="A6" s="46"/>
      <c r="B6" s="52" t="s">
        <v>15</v>
      </c>
      <c r="C6" s="53">
        <v>0.05</v>
      </c>
      <c r="D6" s="54">
        <v>1</v>
      </c>
      <c r="E6" s="55">
        <v>1</v>
      </c>
      <c r="F6" s="53">
        <f>IF(((E6*C6)/D6)-C6&gt;5%,((E6*C6)/D6)-(((E6*C6)/D6)-C6)+0.05,((E6*C6)/D6))</f>
        <v>0.05</v>
      </c>
      <c r="G6" s="56">
        <f t="shared" si="0"/>
        <v>0.05</v>
      </c>
      <c r="H6" s="46"/>
      <c r="I6" s="45"/>
      <c r="J6" s="46"/>
      <c r="K6" s="52" t="s">
        <v>15</v>
      </c>
      <c r="L6" s="53">
        <v>0.05</v>
      </c>
      <c r="M6" s="54">
        <v>1</v>
      </c>
      <c r="N6" s="55">
        <v>1</v>
      </c>
      <c r="O6" s="53">
        <f>IF(((N6*L6)/M6)-L6&gt;5%,((N6*L6)/M6)-(((N6*L6)/M6)-L6)+0.05,((N6*L6)/M6))</f>
        <v>0.05</v>
      </c>
      <c r="P6" s="56">
        <f>O6</f>
        <v>0.05</v>
      </c>
      <c r="Q6" s="46"/>
    </row>
    <row r="7" spans="1:17" x14ac:dyDescent="0.25">
      <c r="A7" s="46"/>
      <c r="B7" s="52" t="s">
        <v>396</v>
      </c>
      <c r="C7" s="53">
        <v>0.1</v>
      </c>
      <c r="D7" s="54">
        <v>0.8</v>
      </c>
      <c r="E7" s="55">
        <v>1.0258823529411765</v>
      </c>
      <c r="F7" s="53">
        <f>IF(((E7*C7)/D7)-C7&gt;5%,((E7*C7)/D7)-(((E7*C7)/D7)-C7)+0.05,((E7*C7)/D7))</f>
        <v>0.12823529411764706</v>
      </c>
      <c r="G7" s="56">
        <f t="shared" si="0"/>
        <v>0.12823529411764706</v>
      </c>
      <c r="H7" s="46"/>
      <c r="I7" s="45"/>
      <c r="J7" s="46"/>
      <c r="K7" s="52" t="s">
        <v>396</v>
      </c>
      <c r="L7" s="53">
        <v>0.1</v>
      </c>
      <c r="M7" s="54">
        <v>0.8</v>
      </c>
      <c r="N7" s="55">
        <f>((N8/M8)*L8)+((N9/M9)*L9)</f>
        <v>1.0258823529411765</v>
      </c>
      <c r="O7" s="53">
        <f>IF(((N7*L7)/M7)-L7&gt;5%,((N7*L7)/M7)-(((N7*L7)/M7)-L7)+0.05,((N7*L7)/M7))</f>
        <v>0.12823529411764706</v>
      </c>
      <c r="P7" s="56"/>
      <c r="Q7" s="46"/>
    </row>
    <row r="8" spans="1:17" x14ac:dyDescent="0.25">
      <c r="A8" s="46"/>
      <c r="B8" s="57" t="s">
        <v>397</v>
      </c>
      <c r="C8" s="58">
        <v>0.8</v>
      </c>
      <c r="D8" s="59">
        <v>1</v>
      </c>
      <c r="E8" s="60">
        <v>1</v>
      </c>
      <c r="F8" s="61">
        <f>(E8*C8)/D8</f>
        <v>0.8</v>
      </c>
      <c r="G8" s="58">
        <f t="shared" si="0"/>
        <v>0.8</v>
      </c>
      <c r="H8" s="46"/>
      <c r="I8" s="45"/>
      <c r="J8" s="46"/>
      <c r="K8" s="57" t="s">
        <v>397</v>
      </c>
      <c r="L8" s="58">
        <v>0.8</v>
      </c>
      <c r="M8" s="59">
        <v>1</v>
      </c>
      <c r="N8" s="60">
        <v>1</v>
      </c>
      <c r="O8" s="61">
        <f>(N8*L8)/M8</f>
        <v>0.8</v>
      </c>
      <c r="P8" s="58">
        <f>O8</f>
        <v>0.8</v>
      </c>
      <c r="Q8" s="46"/>
    </row>
    <row r="9" spans="1:17" ht="30" x14ac:dyDescent="0.25">
      <c r="A9" s="46"/>
      <c r="B9" s="62" t="s">
        <v>398</v>
      </c>
      <c r="C9" s="63">
        <v>0.2</v>
      </c>
      <c r="D9" s="64">
        <v>0.85</v>
      </c>
      <c r="E9" s="60">
        <v>0.96</v>
      </c>
      <c r="F9" s="64">
        <f>(E9*C9)/D9</f>
        <v>0.22588235294117648</v>
      </c>
      <c r="G9" s="58">
        <f t="shared" si="0"/>
        <v>0.22588235294117648</v>
      </c>
      <c r="H9" s="46"/>
      <c r="I9" s="45"/>
      <c r="J9" s="46"/>
      <c r="K9" s="62" t="s">
        <v>398</v>
      </c>
      <c r="L9" s="63">
        <v>0.2</v>
      </c>
      <c r="M9" s="64">
        <v>0.85</v>
      </c>
      <c r="N9" s="60">
        <v>0.96</v>
      </c>
      <c r="O9" s="64">
        <f>(N9*L9)/M9</f>
        <v>0.22588235294117648</v>
      </c>
      <c r="P9" s="58">
        <f>O9</f>
        <v>0.22588235294117648</v>
      </c>
      <c r="Q9" s="46"/>
    </row>
    <row r="10" spans="1:17" x14ac:dyDescent="0.25">
      <c r="A10" s="46"/>
      <c r="B10" s="52" t="s">
        <v>14</v>
      </c>
      <c r="C10" s="53">
        <v>0.1</v>
      </c>
      <c r="D10" s="54">
        <v>0.47</v>
      </c>
      <c r="E10" s="55">
        <v>0.7</v>
      </c>
      <c r="F10" s="53">
        <f>IF(((E10*C10)/D10)-C10&gt;5%,((E10*C10)/D10)-(((E10*C10)/D10)-C10)+0.05,((E10*C10)/D10))</f>
        <v>0.14893617021276595</v>
      </c>
      <c r="G10" s="56">
        <f t="shared" si="0"/>
        <v>0.14893617021276595</v>
      </c>
      <c r="H10" s="46"/>
      <c r="I10" s="45"/>
      <c r="J10" s="46"/>
      <c r="K10" s="52" t="s">
        <v>14</v>
      </c>
      <c r="L10" s="53">
        <v>0.1</v>
      </c>
      <c r="M10" s="54">
        <v>0.47</v>
      </c>
      <c r="N10" s="55">
        <v>0.7</v>
      </c>
      <c r="O10" s="53">
        <f>IF(((N10*L10)/M10)-L10&gt;5%,((N10*L10)/M10)-(((N10*L10)/M10)-L10)+0.05,((N10*L10)/M10))</f>
        <v>0.14893617021276595</v>
      </c>
      <c r="P10" s="56">
        <f>O10</f>
        <v>0.14893617021276595</v>
      </c>
      <c r="Q10" s="46"/>
    </row>
    <row r="11" spans="1:17" x14ac:dyDescent="0.25">
      <c r="A11" s="46"/>
      <c r="B11" s="52" t="s">
        <v>399</v>
      </c>
      <c r="C11" s="53">
        <v>0.3</v>
      </c>
      <c r="D11" s="54">
        <v>1</v>
      </c>
      <c r="E11" s="55">
        <v>0</v>
      </c>
      <c r="F11" s="53">
        <f t="shared" ref="F11:F12" si="1">IF(((E11*C11)/D11)-C11&gt;5%,((E11*C11)/D11)-(((E11*C11)/D11)-C11)+0.05,((E11*C11)/D11))</f>
        <v>0</v>
      </c>
      <c r="G11" s="56">
        <f t="shared" si="0"/>
        <v>0</v>
      </c>
      <c r="H11" s="46"/>
      <c r="I11" s="45"/>
      <c r="J11" s="46"/>
      <c r="K11" s="52" t="s">
        <v>399</v>
      </c>
      <c r="L11" s="53">
        <v>0.3</v>
      </c>
      <c r="M11" s="54">
        <v>1</v>
      </c>
      <c r="N11" s="55">
        <v>0</v>
      </c>
      <c r="O11" s="53">
        <f t="shared" ref="O11:O12" si="2">IF(((N11*L11)/M11)-L11&gt;5%,((N11*L11)/M11)-(((N11*L11)/M11)-L11)+0.05,((N11*L11)/M11))</f>
        <v>0</v>
      </c>
      <c r="P11" s="56">
        <f t="shared" ref="P11:P14" si="3">O11</f>
        <v>0</v>
      </c>
      <c r="Q11" s="46"/>
    </row>
    <row r="12" spans="1:17" x14ac:dyDescent="0.25">
      <c r="A12" s="46"/>
      <c r="B12" s="52" t="s">
        <v>400</v>
      </c>
      <c r="C12" s="53">
        <v>0.25</v>
      </c>
      <c r="D12" s="54">
        <v>0.8</v>
      </c>
      <c r="E12" s="55">
        <v>1.0444444444444443</v>
      </c>
      <c r="F12" s="53">
        <f t="shared" si="1"/>
        <v>0.3</v>
      </c>
      <c r="G12" s="56">
        <f t="shared" si="0"/>
        <v>0.3</v>
      </c>
      <c r="H12" s="46"/>
      <c r="I12" s="45"/>
      <c r="J12" s="46"/>
      <c r="K12" s="52" t="s">
        <v>400</v>
      </c>
      <c r="L12" s="53">
        <v>0.25</v>
      </c>
      <c r="M12" s="54">
        <v>0.8</v>
      </c>
      <c r="N12" s="55">
        <f>((N13/M13)*L13)+((N14/M14)*L14)</f>
        <v>1.0444444444444443</v>
      </c>
      <c r="O12" s="53">
        <f t="shared" si="2"/>
        <v>0.3</v>
      </c>
      <c r="P12" s="56">
        <f t="shared" si="3"/>
        <v>0.3</v>
      </c>
      <c r="Q12" s="46"/>
    </row>
    <row r="13" spans="1:17" x14ac:dyDescent="0.25">
      <c r="A13" s="46"/>
      <c r="B13" s="57" t="s">
        <v>401</v>
      </c>
      <c r="C13" s="58">
        <v>0.5</v>
      </c>
      <c r="D13" s="59">
        <v>0.9</v>
      </c>
      <c r="E13" s="65">
        <v>0.98</v>
      </c>
      <c r="F13" s="64">
        <f>(E13*C13)/D13</f>
        <v>0.5444444444444444</v>
      </c>
      <c r="G13" s="58">
        <f t="shared" si="0"/>
        <v>0.5444444444444444</v>
      </c>
      <c r="H13" s="46"/>
      <c r="I13" s="45"/>
      <c r="J13" s="46"/>
      <c r="K13" s="57" t="s">
        <v>401</v>
      </c>
      <c r="L13" s="58">
        <v>0.5</v>
      </c>
      <c r="M13" s="59">
        <v>0.9</v>
      </c>
      <c r="N13" s="65">
        <v>0.98</v>
      </c>
      <c r="O13" s="64">
        <f>(N13*L13)/M13</f>
        <v>0.5444444444444444</v>
      </c>
      <c r="P13" s="58">
        <f t="shared" si="3"/>
        <v>0.5444444444444444</v>
      </c>
      <c r="Q13" s="46"/>
    </row>
    <row r="14" spans="1:17" x14ac:dyDescent="0.25">
      <c r="A14" s="46"/>
      <c r="B14" s="57" t="s">
        <v>402</v>
      </c>
      <c r="C14" s="58">
        <v>0.5</v>
      </c>
      <c r="D14" s="59">
        <v>1</v>
      </c>
      <c r="E14" s="65">
        <v>1</v>
      </c>
      <c r="F14" s="64">
        <f>(E14*C14)/D14</f>
        <v>0.5</v>
      </c>
      <c r="G14" s="58">
        <f t="shared" si="0"/>
        <v>0.5</v>
      </c>
      <c r="H14" s="46"/>
      <c r="I14" s="45"/>
      <c r="J14" s="46"/>
      <c r="K14" s="57" t="s">
        <v>402</v>
      </c>
      <c r="L14" s="58">
        <v>0.5</v>
      </c>
      <c r="M14" s="59">
        <v>1</v>
      </c>
      <c r="N14" s="65">
        <v>1</v>
      </c>
      <c r="O14" s="64">
        <f>(N14*L14)/M14</f>
        <v>0.5</v>
      </c>
      <c r="P14" s="58">
        <f t="shared" si="3"/>
        <v>0.5</v>
      </c>
      <c r="Q14" s="46"/>
    </row>
    <row r="15" spans="1:17" x14ac:dyDescent="0.25">
      <c r="A15" s="46"/>
      <c r="B15" s="52" t="s">
        <v>403</v>
      </c>
      <c r="C15" s="53">
        <v>0.15</v>
      </c>
      <c r="D15" s="54">
        <v>1</v>
      </c>
      <c r="E15" s="55">
        <v>1</v>
      </c>
      <c r="F15" s="53">
        <f>IF(((E15*C15)/D15)-C15&gt;5%,((E15*C15)/D15)-(((E15*C15)/D15)-C15)+0.05,((E15*C15)/D15))</f>
        <v>0.15</v>
      </c>
      <c r="G15" s="56">
        <f>F15</f>
        <v>0.15</v>
      </c>
      <c r="H15" s="46"/>
      <c r="I15" s="45"/>
      <c r="J15" s="46"/>
      <c r="K15" s="52" t="s">
        <v>403</v>
      </c>
      <c r="L15" s="53">
        <v>0.15</v>
      </c>
      <c r="M15" s="54">
        <v>1</v>
      </c>
      <c r="N15" s="55">
        <v>1</v>
      </c>
      <c r="O15" s="53">
        <f>IF(((N15*L15)/M15)-L15&gt;5%,((N15*L15)/M15)-(((N15*L15)/M15)-L15)+0.05,((N15*L15)/M15))</f>
        <v>0.15</v>
      </c>
      <c r="P15" s="56">
        <f>O15</f>
        <v>0.15</v>
      </c>
      <c r="Q15" s="46"/>
    </row>
    <row r="16" spans="1:17" ht="21" x14ac:dyDescent="0.35">
      <c r="A16" s="46"/>
      <c r="B16" s="70" t="s">
        <v>404</v>
      </c>
      <c r="C16" s="70"/>
      <c r="D16" s="70"/>
      <c r="E16" s="70"/>
      <c r="F16" s="66">
        <f>SUM(F5,F6,F7,F10,F11,F12,F15)</f>
        <v>0.84085536261631522</v>
      </c>
      <c r="G16" s="66">
        <f>SUM(G5,G6,G7,G10,G11,G12,G15)</f>
        <v>0.84085536261631522</v>
      </c>
      <c r="H16" s="46"/>
      <c r="I16" s="45"/>
      <c r="J16" s="46"/>
      <c r="K16" s="70" t="s">
        <v>404</v>
      </c>
      <c r="L16" s="70"/>
      <c r="M16" s="70"/>
      <c r="N16" s="70"/>
      <c r="O16" s="66">
        <f>SUM(O5,O6,O7,O10,O11,O12,O15)</f>
        <v>0.84085536261631522</v>
      </c>
      <c r="P16" s="66">
        <f>SUM(P5,P6,P7,P10,P11,P12,P15)</f>
        <v>0.7126200684986681</v>
      </c>
      <c r="Q16" s="46"/>
    </row>
    <row r="17" spans="1:17" x14ac:dyDescent="0.25">
      <c r="A17" s="46"/>
      <c r="B17" s="46"/>
      <c r="C17" s="46"/>
      <c r="D17" s="46"/>
      <c r="E17" s="46"/>
      <c r="F17" s="46"/>
      <c r="G17" s="46"/>
      <c r="H17" s="46"/>
      <c r="I17" s="45"/>
      <c r="J17" s="46"/>
      <c r="K17" s="46"/>
      <c r="L17" s="46"/>
      <c r="M17" s="46"/>
      <c r="N17" s="46"/>
      <c r="O17" s="46"/>
      <c r="P17" s="46"/>
      <c r="Q17" s="46"/>
    </row>
    <row r="18" spans="1:17" ht="21" x14ac:dyDescent="0.25">
      <c r="A18" s="46"/>
      <c r="B18" s="69" t="s">
        <v>405</v>
      </c>
      <c r="C18" s="69"/>
      <c r="D18" s="69"/>
      <c r="E18" s="69"/>
      <c r="F18" s="69"/>
      <c r="G18" s="69"/>
      <c r="H18" s="46"/>
      <c r="I18" s="45"/>
      <c r="J18" s="46"/>
      <c r="K18" s="46"/>
      <c r="L18" s="46"/>
      <c r="M18" s="46"/>
      <c r="N18" s="46"/>
      <c r="O18" s="46"/>
      <c r="P18" s="46"/>
      <c r="Q18" s="46"/>
    </row>
    <row r="19" spans="1:17" ht="15.75" x14ac:dyDescent="0.25">
      <c r="A19" s="46"/>
      <c r="B19" s="50" t="s">
        <v>389</v>
      </c>
      <c r="C19" s="51" t="s">
        <v>390</v>
      </c>
      <c r="D19" s="51" t="s">
        <v>391</v>
      </c>
      <c r="E19" s="51" t="s">
        <v>392</v>
      </c>
      <c r="F19" s="51" t="s">
        <v>393</v>
      </c>
      <c r="G19" s="51" t="s">
        <v>394</v>
      </c>
      <c r="H19" s="46"/>
      <c r="I19" s="45"/>
      <c r="J19" s="46"/>
      <c r="K19" s="46"/>
      <c r="L19" s="46"/>
      <c r="M19" s="46"/>
      <c r="N19" s="46"/>
      <c r="O19" s="46"/>
      <c r="P19" s="46"/>
      <c r="Q19" s="46"/>
    </row>
    <row r="20" spans="1:17" x14ac:dyDescent="0.25">
      <c r="A20" s="46"/>
      <c r="B20" s="52" t="s">
        <v>395</v>
      </c>
      <c r="C20" s="53">
        <v>0.05</v>
      </c>
      <c r="D20" s="54">
        <v>0.78</v>
      </c>
      <c r="E20" s="55">
        <v>0.79776407228676105</v>
      </c>
      <c r="F20" s="53">
        <f>IF(((E20*C20)/D20)-C20&gt;5%,((E20*C20)/D20)-(((E20*C20)/D20)-C20)+0.05,((E20*C20)/D20))</f>
        <v>5.1138722582484683E-2</v>
      </c>
      <c r="G20" s="56">
        <f t="shared" ref="G20:G30" si="4">AVERAGE(F5,F20)</f>
        <v>5.7411310434193404E-2</v>
      </c>
      <c r="H20" s="46"/>
      <c r="I20" s="45"/>
      <c r="J20" s="46"/>
      <c r="K20" s="46"/>
      <c r="L20" s="46"/>
      <c r="M20" s="46"/>
      <c r="N20" s="46"/>
      <c r="O20" s="46"/>
      <c r="P20" s="46"/>
      <c r="Q20" s="46"/>
    </row>
    <row r="21" spans="1:17" x14ac:dyDescent="0.25">
      <c r="A21" s="46"/>
      <c r="B21" s="52" t="s">
        <v>15</v>
      </c>
      <c r="C21" s="53">
        <v>0.05</v>
      </c>
      <c r="D21" s="54">
        <v>1</v>
      </c>
      <c r="E21" s="55">
        <v>1</v>
      </c>
      <c r="F21" s="53">
        <f>IF(((E21*C21)/D21)-C21&gt;5%,((E21*C21)/D21)-(((E21*C21)/D21)-C21)+0.05,((E21*C21)/D21))</f>
        <v>0.05</v>
      </c>
      <c r="G21" s="56">
        <f t="shared" si="4"/>
        <v>0.05</v>
      </c>
      <c r="H21" s="46"/>
      <c r="I21" s="45"/>
      <c r="J21" s="46"/>
      <c r="K21" s="46"/>
      <c r="L21" s="46"/>
      <c r="M21" s="46"/>
      <c r="N21" s="46"/>
      <c r="O21" s="46"/>
      <c r="P21" s="46"/>
      <c r="Q21" s="46"/>
    </row>
    <row r="22" spans="1:17" x14ac:dyDescent="0.25">
      <c r="A22" s="46"/>
      <c r="B22" s="52" t="s">
        <v>396</v>
      </c>
      <c r="C22" s="53">
        <v>0.1</v>
      </c>
      <c r="D22" s="54">
        <v>0.8</v>
      </c>
      <c r="E22" s="55">
        <v>1.0188235294117649</v>
      </c>
      <c r="F22" s="53">
        <f>IF(((E22*C22)/D22)-C22&gt;5%,((E22*C22)/D22)-(((E22*C22)/D22)-C22)+0.05,((E22*C22)/D22))</f>
        <v>0.12735294117647061</v>
      </c>
      <c r="G22" s="56">
        <f t="shared" si="4"/>
        <v>0.12779411764705884</v>
      </c>
      <c r="H22" s="46"/>
      <c r="I22" s="45"/>
    </row>
    <row r="23" spans="1:17" x14ac:dyDescent="0.25">
      <c r="A23" s="46"/>
      <c r="B23" s="57" t="s">
        <v>397</v>
      </c>
      <c r="C23" s="58">
        <v>0.8</v>
      </c>
      <c r="D23" s="59">
        <v>1</v>
      </c>
      <c r="E23" s="60">
        <v>1</v>
      </c>
      <c r="F23" s="61">
        <f>(E23*C23)/D23</f>
        <v>0.8</v>
      </c>
      <c r="G23" s="58">
        <f t="shared" si="4"/>
        <v>0.8</v>
      </c>
      <c r="H23" s="46"/>
      <c r="I23" s="45"/>
    </row>
    <row r="24" spans="1:17" ht="30" x14ac:dyDescent="0.25">
      <c r="A24" s="46"/>
      <c r="B24" s="62" t="s">
        <v>398</v>
      </c>
      <c r="C24" s="63">
        <v>0.2</v>
      </c>
      <c r="D24" s="64">
        <v>0.85</v>
      </c>
      <c r="E24" s="60">
        <v>0.93</v>
      </c>
      <c r="F24" s="64">
        <f>(E24*C24)/D24</f>
        <v>0.21882352941176475</v>
      </c>
      <c r="G24" s="58">
        <f t="shared" si="4"/>
        <v>0.22235294117647061</v>
      </c>
      <c r="H24" s="46"/>
      <c r="I24" s="45"/>
    </row>
    <row r="25" spans="1:17" x14ac:dyDescent="0.25">
      <c r="A25" s="46"/>
      <c r="B25" s="52" t="s">
        <v>14</v>
      </c>
      <c r="C25" s="53">
        <v>0.1</v>
      </c>
      <c r="D25" s="54">
        <v>0.47</v>
      </c>
      <c r="E25" s="55">
        <v>0.7</v>
      </c>
      <c r="F25" s="53">
        <f>IF(((E25*C25)/D25)-C25&gt;5%,((E25*C25)/D25)-(((E25*C25)/D25)-C25)+0.05,((E25*C25)/D25))</f>
        <v>0.14893617021276595</v>
      </c>
      <c r="G25" s="56">
        <f t="shared" si="4"/>
        <v>0.14893617021276595</v>
      </c>
      <c r="H25" s="46"/>
      <c r="I25" s="45"/>
    </row>
    <row r="26" spans="1:17" x14ac:dyDescent="0.25">
      <c r="A26" s="46"/>
      <c r="B26" s="52" t="s">
        <v>399</v>
      </c>
      <c r="C26" s="53">
        <v>0.3</v>
      </c>
      <c r="D26" s="54">
        <v>1</v>
      </c>
      <c r="E26" s="55">
        <v>1</v>
      </c>
      <c r="F26" s="53">
        <f t="shared" ref="F26:F27" si="5">IF(((E26*C26)/D26)-C26&gt;5%,((E26*C26)/D26)-(((E26*C26)/D26)-C26)+0.05,((E26*C26)/D26))</f>
        <v>0.3</v>
      </c>
      <c r="G26" s="56">
        <f t="shared" si="4"/>
        <v>0.15</v>
      </c>
      <c r="H26" s="46"/>
      <c r="I26" s="45"/>
    </row>
    <row r="27" spans="1:17" x14ac:dyDescent="0.25">
      <c r="A27" s="46"/>
      <c r="B27" s="52" t="s">
        <v>400</v>
      </c>
      <c r="C27" s="53">
        <v>0.25</v>
      </c>
      <c r="D27" s="54">
        <v>0.8</v>
      </c>
      <c r="E27" s="55">
        <v>1.0444444444444443</v>
      </c>
      <c r="F27" s="53">
        <f t="shared" si="5"/>
        <v>0.3</v>
      </c>
      <c r="G27" s="56">
        <f t="shared" si="4"/>
        <v>0.3</v>
      </c>
      <c r="H27" s="46"/>
      <c r="I27" s="45"/>
    </row>
    <row r="28" spans="1:17" x14ac:dyDescent="0.25">
      <c r="A28" s="46"/>
      <c r="B28" s="57" t="s">
        <v>401</v>
      </c>
      <c r="C28" s="58">
        <v>0.5</v>
      </c>
      <c r="D28" s="59">
        <v>0.9</v>
      </c>
      <c r="E28" s="65">
        <v>0.98</v>
      </c>
      <c r="F28" s="64">
        <f>(E28*C28)/D28</f>
        <v>0.5444444444444444</v>
      </c>
      <c r="G28" s="58">
        <f t="shared" si="4"/>
        <v>0.5444444444444444</v>
      </c>
      <c r="H28" s="46"/>
      <c r="I28" s="45"/>
    </row>
    <row r="29" spans="1:17" x14ac:dyDescent="0.25">
      <c r="A29" s="46"/>
      <c r="B29" s="57" t="s">
        <v>402</v>
      </c>
      <c r="C29" s="58">
        <v>0.5</v>
      </c>
      <c r="D29" s="59">
        <v>1</v>
      </c>
      <c r="E29" s="65">
        <v>1</v>
      </c>
      <c r="F29" s="64">
        <f>(E29*C29)/D29</f>
        <v>0.5</v>
      </c>
      <c r="G29" s="58">
        <f t="shared" si="4"/>
        <v>0.5</v>
      </c>
      <c r="H29" s="46"/>
      <c r="I29" s="45"/>
    </row>
    <row r="30" spans="1:17" x14ac:dyDescent="0.25">
      <c r="A30" s="46"/>
      <c r="B30" s="52" t="s">
        <v>403</v>
      </c>
      <c r="C30" s="53">
        <v>0.15</v>
      </c>
      <c r="D30" s="54">
        <v>1</v>
      </c>
      <c r="E30" s="55">
        <v>1</v>
      </c>
      <c r="F30" s="53">
        <f>IF(((E30*C30)/D30)-C30&gt;5%,((E30*C30)/D30)-(((E30*C30)/D30)-C30)+0.05,((E30*C30)/D30))</f>
        <v>0.15</v>
      </c>
      <c r="G30" s="56">
        <f t="shared" si="4"/>
        <v>0.15</v>
      </c>
      <c r="H30" s="46"/>
      <c r="I30" s="45"/>
    </row>
    <row r="31" spans="1:17" ht="21" x14ac:dyDescent="0.35">
      <c r="A31" s="46"/>
      <c r="B31" s="70" t="s">
        <v>404</v>
      </c>
      <c r="C31" s="70"/>
      <c r="D31" s="70"/>
      <c r="E31" s="70"/>
      <c r="F31" s="66">
        <f>SUM(F20,F21,F22,F25,F26,F27,F30)</f>
        <v>1.1274278339717212</v>
      </c>
      <c r="G31" s="66">
        <f>SUM(G20,G21,G22,G25,G26,G27,G30)</f>
        <v>0.98414159829401815</v>
      </c>
      <c r="H31" s="46"/>
      <c r="I31" s="45"/>
    </row>
    <row r="32" spans="1:17" x14ac:dyDescent="0.25">
      <c r="A32" s="46"/>
      <c r="B32" s="46"/>
      <c r="C32" s="46"/>
      <c r="D32" s="46"/>
      <c r="E32" s="46"/>
      <c r="F32" s="46"/>
      <c r="G32" s="46"/>
      <c r="H32" s="46"/>
      <c r="I32" s="45"/>
    </row>
  </sheetData>
  <mergeCells count="8">
    <mergeCell ref="B18:G18"/>
    <mergeCell ref="B31:E31"/>
    <mergeCell ref="A1:H1"/>
    <mergeCell ref="J1:Q1"/>
    <mergeCell ref="B3:G3"/>
    <mergeCell ref="K3:P3"/>
    <mergeCell ref="B16:E16"/>
    <mergeCell ref="K16:N16"/>
  </mergeCells>
  <conditionalFormatting sqref="P2">
    <cfRule type="cellIs" dxfId="150" priority="66" operator="equal">
      <formula>2020</formula>
    </cfRule>
    <cfRule type="cellIs" dxfId="149" priority="67" operator="equal">
      <formula>2019</formula>
    </cfRule>
    <cfRule type="cellIs" dxfId="148" priority="68" operator="equal">
      <formula>2018</formula>
    </cfRule>
  </conditionalFormatting>
  <conditionalFormatting sqref="Q2">
    <cfRule type="cellIs" dxfId="147" priority="63" operator="equal">
      <formula>2020</formula>
    </cfRule>
    <cfRule type="cellIs" dxfId="146" priority="64" operator="equal">
      <formula>2019</formula>
    </cfRule>
    <cfRule type="cellIs" dxfId="145" priority="65" operator="equal">
      <formula>2018</formula>
    </cfRule>
  </conditionalFormatting>
  <conditionalFormatting sqref="N8:N9">
    <cfRule type="iconSet" priority="55">
      <iconSet iconSet="3Symbols2">
        <cfvo type="percent" val="0"/>
        <cfvo type="formula" val="#REF!*0.9"/>
        <cfvo type="formula" val="#REF!"/>
      </iconSet>
    </cfRule>
    <cfRule type="cellIs" dxfId="144" priority="61" operator="lessThan">
      <formula>#REF!</formula>
    </cfRule>
  </conditionalFormatting>
  <conditionalFormatting sqref="N13:N14">
    <cfRule type="cellIs" dxfId="143" priority="60" operator="lessThan">
      <formula>#REF!</formula>
    </cfRule>
  </conditionalFormatting>
  <conditionalFormatting sqref="M5">
    <cfRule type="cellIs" dxfId="142" priority="59" operator="lessThan">
      <formula>0</formula>
    </cfRule>
  </conditionalFormatting>
  <conditionalFormatting sqref="N5">
    <cfRule type="iconSet" priority="56">
      <iconSet iconSet="3Symbols">
        <cfvo type="percent" val="0"/>
        <cfvo type="formula" val="$M$5*0.9"/>
        <cfvo type="formula" val="$M$5"/>
      </iconSet>
    </cfRule>
    <cfRule type="cellIs" dxfId="141" priority="58" operator="lessThan">
      <formula>$M$5</formula>
    </cfRule>
  </conditionalFormatting>
  <conditionalFormatting sqref="M6:M7">
    <cfRule type="cellIs" dxfId="140" priority="57" operator="lessThan">
      <formula>#REF!</formula>
    </cfRule>
  </conditionalFormatting>
  <conditionalFormatting sqref="N13">
    <cfRule type="iconSet" priority="54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53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51">
      <iconSet iconSet="3Symbols2">
        <cfvo type="percent" val="0"/>
        <cfvo type="formula" val="#REF!*0.9"/>
        <cfvo type="formula" val="#REF!"/>
      </iconSet>
    </cfRule>
    <cfRule type="cellIs" dxfId="139" priority="52" operator="lessThan">
      <formula>$M$18</formula>
    </cfRule>
  </conditionalFormatting>
  <conditionalFormatting sqref="N19">
    <cfRule type="iconSet" priority="49">
      <iconSet iconSet="3Symbols2">
        <cfvo type="percent" val="0"/>
        <cfvo type="formula" val="#REF!*0.9"/>
        <cfvo type="formula" val="#REF!"/>
      </iconSet>
    </cfRule>
    <cfRule type="cellIs" dxfId="138" priority="50" operator="lessThan">
      <formula>$M$19</formula>
    </cfRule>
  </conditionalFormatting>
  <conditionalFormatting sqref="N15">
    <cfRule type="iconSet" priority="47">
      <iconSet iconSet="3Symbols">
        <cfvo type="percent" val="0"/>
        <cfvo type="formula" val="$M$15*0.9"/>
        <cfvo type="formula" val="$M$15"/>
      </iconSet>
    </cfRule>
    <cfRule type="cellIs" dxfId="137" priority="48" operator="lessThan">
      <formula>$M$15</formula>
    </cfRule>
  </conditionalFormatting>
  <conditionalFormatting sqref="N6">
    <cfRule type="iconSet" priority="45">
      <iconSet iconSet="3Symbols">
        <cfvo type="percent" val="0"/>
        <cfvo type="formula" val="$M$6*0.9"/>
        <cfvo type="formula" val="$M$6"/>
      </iconSet>
    </cfRule>
    <cfRule type="cellIs" dxfId="136" priority="46" operator="lessThan">
      <formula>$M$6</formula>
    </cfRule>
  </conditionalFormatting>
  <conditionalFormatting sqref="N10:N12">
    <cfRule type="iconSet" priority="43">
      <iconSet iconSet="3Symbols">
        <cfvo type="percent" val="0"/>
        <cfvo type="formula" val="#REF!*0.9"/>
        <cfvo type="formula" val="#REF!"/>
      </iconSet>
    </cfRule>
    <cfRule type="cellIs" dxfId="135" priority="44" operator="lessThan">
      <formula>#REF!</formula>
    </cfRule>
  </conditionalFormatting>
  <conditionalFormatting sqref="N7">
    <cfRule type="iconSet" priority="41">
      <iconSet iconSet="3Symbols">
        <cfvo type="percent" val="0"/>
        <cfvo type="formula" val="#REF!*0.9"/>
        <cfvo type="formula" val="#REF!"/>
      </iconSet>
    </cfRule>
    <cfRule type="cellIs" dxfId="134" priority="42" operator="lessThan">
      <formula>#REF!</formula>
    </cfRule>
  </conditionalFormatting>
  <conditionalFormatting sqref="D5">
    <cfRule type="cellIs" dxfId="133" priority="40" operator="lessThan">
      <formula>0</formula>
    </cfRule>
  </conditionalFormatting>
  <conditionalFormatting sqref="E5">
    <cfRule type="iconSet" priority="37">
      <iconSet iconSet="3Symbols">
        <cfvo type="percent" val="0"/>
        <cfvo type="formula" val="$M$5*0.9"/>
        <cfvo type="formula" val="$M$5"/>
      </iconSet>
    </cfRule>
    <cfRule type="cellIs" dxfId="132" priority="39" operator="lessThan">
      <formula>$M$5</formula>
    </cfRule>
  </conditionalFormatting>
  <conditionalFormatting sqref="D6:D7">
    <cfRule type="cellIs" dxfId="131" priority="38" operator="lessThan">
      <formula>#REF!</formula>
    </cfRule>
  </conditionalFormatting>
  <conditionalFormatting sqref="E15">
    <cfRule type="iconSet" priority="35">
      <iconSet iconSet="3Symbols">
        <cfvo type="percent" val="0"/>
        <cfvo type="formula" val="$M$15*0.9"/>
        <cfvo type="formula" val="$M$15"/>
      </iconSet>
    </cfRule>
    <cfRule type="cellIs" dxfId="130" priority="36" operator="lessThan">
      <formula>$M$15</formula>
    </cfRule>
  </conditionalFormatting>
  <conditionalFormatting sqref="E6">
    <cfRule type="iconSet" priority="33">
      <iconSet iconSet="3Symbols">
        <cfvo type="percent" val="0"/>
        <cfvo type="formula" val="$M$6*0.9"/>
        <cfvo type="formula" val="$M$6"/>
      </iconSet>
    </cfRule>
    <cfRule type="cellIs" dxfId="129" priority="34" operator="lessThan">
      <formula>$M$6</formula>
    </cfRule>
  </conditionalFormatting>
  <conditionalFormatting sqref="E10:E12">
    <cfRule type="iconSet" priority="32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30">
      <iconSet iconSet="3Symbols">
        <cfvo type="percent" val="0"/>
        <cfvo type="formula" val="$D$7*0.9"/>
        <cfvo type="formula" val="$D$7"/>
      </iconSet>
    </cfRule>
    <cfRule type="expression" dxfId="128" priority="31">
      <formula>$E$7&lt;$D$7</formula>
    </cfRule>
  </conditionalFormatting>
  <conditionalFormatting sqref="E9">
    <cfRule type="iconSet" priority="29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28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27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26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25">
      <formula>$E$10&lt;$D$10</formula>
    </cfRule>
  </conditionalFormatting>
  <conditionalFormatting sqref="E11">
    <cfRule type="expression" dxfId="127" priority="24">
      <formula>$E$11&lt;$D$11</formula>
    </cfRule>
  </conditionalFormatting>
  <conditionalFormatting sqref="D20">
    <cfRule type="cellIs" dxfId="126" priority="21" operator="lessThan">
      <formula>0</formula>
    </cfRule>
  </conditionalFormatting>
  <conditionalFormatting sqref="E20">
    <cfRule type="iconSet" priority="18">
      <iconSet iconSet="3Symbols">
        <cfvo type="percent" val="0"/>
        <cfvo type="formula" val="$M$5*0.9"/>
        <cfvo type="formula" val="$M$5"/>
      </iconSet>
    </cfRule>
    <cfRule type="cellIs" dxfId="125" priority="20" operator="lessThan">
      <formula>$M$5</formula>
    </cfRule>
  </conditionalFormatting>
  <conditionalFormatting sqref="D21:D22">
    <cfRule type="cellIs" dxfId="124" priority="19" operator="lessThan">
      <formula>#REF!</formula>
    </cfRule>
  </conditionalFormatting>
  <conditionalFormatting sqref="E30">
    <cfRule type="iconSet" priority="13">
      <iconSet iconSet="3Symbols">
        <cfvo type="percent" val="0"/>
        <cfvo type="formula" val="$M$15*0.9"/>
        <cfvo type="formula" val="$M$15"/>
      </iconSet>
    </cfRule>
    <cfRule type="cellIs" dxfId="123" priority="14" operator="lessThan">
      <formula>$M$15</formula>
    </cfRule>
  </conditionalFormatting>
  <conditionalFormatting sqref="E21">
    <cfRule type="iconSet" priority="11">
      <iconSet iconSet="3Symbols">
        <cfvo type="percent" val="0"/>
        <cfvo type="formula" val="$M$6*0.9"/>
        <cfvo type="formula" val="$M$6"/>
      </iconSet>
    </cfRule>
    <cfRule type="cellIs" dxfId="122" priority="12" operator="lessThan">
      <formula>$M$6</formula>
    </cfRule>
  </conditionalFormatting>
  <conditionalFormatting sqref="E25:E27">
    <cfRule type="iconSet" priority="9">
      <iconSet iconSet="3Symbols">
        <cfvo type="percent" val="0"/>
        <cfvo type="formula" val="$D$25"/>
        <cfvo type="formula" val="$D$25*0.99"/>
      </iconSet>
    </cfRule>
    <cfRule type="cellIs" dxfId="121" priority="10" operator="lessThan">
      <formula>#REF!</formula>
    </cfRule>
  </conditionalFormatting>
  <conditionalFormatting sqref="E22">
    <cfRule type="iconSet" priority="7">
      <iconSet iconSet="3Symbols">
        <cfvo type="percent" val="0"/>
        <cfvo type="formula" val="$D$22"/>
        <cfvo type="formula" val="$D$22*0.99"/>
      </iconSet>
    </cfRule>
    <cfRule type="cellIs" dxfId="120" priority="8" operator="lessThan">
      <formula>#REF!</formula>
    </cfRule>
  </conditionalFormatting>
  <conditionalFormatting sqref="E23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3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sheetPr codeName="Planilha5"/>
  <dimension ref="A1:R73"/>
  <sheetViews>
    <sheetView topLeftCell="E1" workbookViewId="0">
      <selection sqref="A1:R1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18</v>
      </c>
      <c r="B2" s="19">
        <v>198501</v>
      </c>
      <c r="C2" s="20" t="s">
        <v>19</v>
      </c>
      <c r="D2" s="21" t="s">
        <v>20</v>
      </c>
      <c r="E2" s="19" t="s">
        <v>21</v>
      </c>
      <c r="F2" s="19">
        <v>4</v>
      </c>
      <c r="G2" s="22">
        <v>44132</v>
      </c>
      <c r="H2" s="22">
        <v>44216</v>
      </c>
      <c r="I2" s="22">
        <v>44218</v>
      </c>
      <c r="J2" s="23"/>
      <c r="K2" s="20" t="s">
        <v>22</v>
      </c>
      <c r="L2" s="24" t="s">
        <v>23</v>
      </c>
      <c r="M2" s="20" t="s">
        <v>24</v>
      </c>
      <c r="N2" s="20">
        <v>3</v>
      </c>
      <c r="O2" s="20" t="s">
        <v>25</v>
      </c>
      <c r="P2" s="23" t="s">
        <v>26</v>
      </c>
      <c r="Q2" s="20" t="s">
        <v>27</v>
      </c>
      <c r="R2" s="25" t="s">
        <v>28</v>
      </c>
    </row>
    <row r="3" spans="1:18" ht="30" customHeight="1" x14ac:dyDescent="0.25">
      <c r="A3" s="18" t="s">
        <v>29</v>
      </c>
      <c r="B3" s="26">
        <v>215118</v>
      </c>
      <c r="C3" s="20" t="s">
        <v>30</v>
      </c>
      <c r="D3" s="21" t="s">
        <v>31</v>
      </c>
      <c r="E3" s="19" t="s">
        <v>32</v>
      </c>
      <c r="F3" s="19">
        <v>1</v>
      </c>
      <c r="G3" s="22">
        <v>44214</v>
      </c>
      <c r="H3" s="22">
        <v>44218</v>
      </c>
      <c r="I3" s="22">
        <v>44218</v>
      </c>
      <c r="J3" s="23"/>
      <c r="K3" s="20" t="s">
        <v>22</v>
      </c>
      <c r="L3" s="24" t="s">
        <v>33</v>
      </c>
      <c r="M3" s="20" t="s">
        <v>24</v>
      </c>
      <c r="N3" s="20">
        <v>0</v>
      </c>
      <c r="O3" s="20" t="s">
        <v>26</v>
      </c>
      <c r="P3" s="23" t="s">
        <v>26</v>
      </c>
      <c r="Q3" s="20" t="s">
        <v>27</v>
      </c>
      <c r="R3" s="25" t="s">
        <v>28</v>
      </c>
    </row>
    <row r="4" spans="1:18" ht="30" customHeight="1" x14ac:dyDescent="0.25">
      <c r="A4" s="18" t="s">
        <v>29</v>
      </c>
      <c r="B4" s="26">
        <v>215118</v>
      </c>
      <c r="C4" s="20" t="s">
        <v>30</v>
      </c>
      <c r="D4" s="21" t="s">
        <v>31</v>
      </c>
      <c r="E4" s="19" t="s">
        <v>34</v>
      </c>
      <c r="F4" s="19">
        <v>1</v>
      </c>
      <c r="G4" s="22">
        <v>44214</v>
      </c>
      <c r="H4" s="22">
        <v>44218</v>
      </c>
      <c r="I4" s="22">
        <v>44218</v>
      </c>
      <c r="J4" s="23"/>
      <c r="K4" s="20" t="s">
        <v>22</v>
      </c>
      <c r="L4" s="24" t="s">
        <v>33</v>
      </c>
      <c r="M4" s="20" t="s">
        <v>24</v>
      </c>
      <c r="N4" s="20">
        <v>0</v>
      </c>
      <c r="O4" s="20" t="s">
        <v>26</v>
      </c>
      <c r="P4" s="23" t="s">
        <v>26</v>
      </c>
      <c r="Q4" s="20" t="s">
        <v>27</v>
      </c>
      <c r="R4" s="25" t="s">
        <v>28</v>
      </c>
    </row>
    <row r="5" spans="1:18" ht="30" customHeight="1" x14ac:dyDescent="0.25">
      <c r="A5" s="18" t="s">
        <v>29</v>
      </c>
      <c r="B5" s="26">
        <v>215118</v>
      </c>
      <c r="C5" s="20" t="s">
        <v>30</v>
      </c>
      <c r="D5" s="21" t="s">
        <v>31</v>
      </c>
      <c r="E5" s="19" t="s">
        <v>35</v>
      </c>
      <c r="F5" s="19">
        <v>7</v>
      </c>
      <c r="G5" s="22">
        <v>44214</v>
      </c>
      <c r="H5" s="22">
        <v>44218</v>
      </c>
      <c r="I5" s="22">
        <v>44218</v>
      </c>
      <c r="J5" s="23"/>
      <c r="K5" s="20" t="s">
        <v>22</v>
      </c>
      <c r="L5" s="24" t="s">
        <v>33</v>
      </c>
      <c r="M5" s="20" t="s">
        <v>24</v>
      </c>
      <c r="N5" s="20">
        <v>1</v>
      </c>
      <c r="O5" s="20" t="s">
        <v>26</v>
      </c>
      <c r="P5" s="23" t="s">
        <v>26</v>
      </c>
      <c r="Q5" s="20" t="s">
        <v>27</v>
      </c>
      <c r="R5" s="25" t="s">
        <v>28</v>
      </c>
    </row>
    <row r="6" spans="1:18" ht="30" customHeight="1" x14ac:dyDescent="0.25">
      <c r="A6" s="18" t="s">
        <v>36</v>
      </c>
      <c r="B6" s="26">
        <v>214003</v>
      </c>
      <c r="C6" s="20" t="s">
        <v>19</v>
      </c>
      <c r="D6" s="21" t="s">
        <v>37</v>
      </c>
      <c r="E6" s="19" t="s">
        <v>38</v>
      </c>
      <c r="F6" s="19">
        <v>1</v>
      </c>
      <c r="G6" s="22">
        <v>44210</v>
      </c>
      <c r="H6" s="22">
        <v>44215</v>
      </c>
      <c r="I6" s="22">
        <v>44215</v>
      </c>
      <c r="J6" s="23"/>
      <c r="K6" s="20" t="s">
        <v>22</v>
      </c>
      <c r="L6" s="24" t="s">
        <v>23</v>
      </c>
      <c r="M6" s="20" t="s">
        <v>24</v>
      </c>
      <c r="N6" s="20"/>
      <c r="O6" s="20" t="s">
        <v>25</v>
      </c>
      <c r="P6" s="23" t="s">
        <v>25</v>
      </c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214035</v>
      </c>
      <c r="C7" s="20" t="s">
        <v>30</v>
      </c>
      <c r="D7" s="21" t="s">
        <v>40</v>
      </c>
      <c r="E7" s="19" t="s">
        <v>32</v>
      </c>
      <c r="F7" s="19">
        <v>1</v>
      </c>
      <c r="G7" s="22">
        <v>44208</v>
      </c>
      <c r="H7" s="22">
        <v>44216</v>
      </c>
      <c r="I7" s="22">
        <v>44216</v>
      </c>
      <c r="J7" s="23"/>
      <c r="K7" s="20" t="s">
        <v>22</v>
      </c>
      <c r="L7" s="24" t="s">
        <v>41</v>
      </c>
      <c r="M7" s="20" t="s">
        <v>24</v>
      </c>
      <c r="N7" s="20">
        <v>1</v>
      </c>
      <c r="O7" s="20" t="s">
        <v>26</v>
      </c>
      <c r="P7" s="23" t="s">
        <v>26</v>
      </c>
      <c r="Q7" s="20" t="s">
        <v>27</v>
      </c>
      <c r="R7" s="25" t="s">
        <v>28</v>
      </c>
    </row>
    <row r="8" spans="1:18" ht="30" customHeight="1" x14ac:dyDescent="0.25">
      <c r="A8" s="18" t="s">
        <v>39</v>
      </c>
      <c r="B8" s="26">
        <v>214035</v>
      </c>
      <c r="C8" s="20" t="s">
        <v>30</v>
      </c>
      <c r="D8" s="21" t="s">
        <v>40</v>
      </c>
      <c r="E8" s="19" t="s">
        <v>34</v>
      </c>
      <c r="F8" s="19">
        <v>1</v>
      </c>
      <c r="G8" s="22">
        <v>44208</v>
      </c>
      <c r="H8" s="22">
        <v>44216</v>
      </c>
      <c r="I8" s="22">
        <v>44216</v>
      </c>
      <c r="J8" s="23"/>
      <c r="K8" s="20" t="s">
        <v>22</v>
      </c>
      <c r="L8" s="24" t="s">
        <v>41</v>
      </c>
      <c r="M8" s="20" t="s">
        <v>24</v>
      </c>
      <c r="N8" s="20">
        <v>1</v>
      </c>
      <c r="O8" s="20" t="s">
        <v>26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36</v>
      </c>
      <c r="B9" s="26">
        <v>214003</v>
      </c>
      <c r="C9" s="20" t="s">
        <v>19</v>
      </c>
      <c r="D9" s="21" t="s">
        <v>37</v>
      </c>
      <c r="E9" s="19" t="s">
        <v>42</v>
      </c>
      <c r="F9" s="19">
        <v>1</v>
      </c>
      <c r="G9" s="22">
        <v>44210</v>
      </c>
      <c r="H9" s="22">
        <v>44215</v>
      </c>
      <c r="I9" s="22">
        <v>44215</v>
      </c>
      <c r="J9" s="23"/>
      <c r="K9" s="20" t="s">
        <v>22</v>
      </c>
      <c r="L9" s="24" t="s">
        <v>23</v>
      </c>
      <c r="M9" s="20" t="s">
        <v>24</v>
      </c>
      <c r="N9" s="20"/>
      <c r="O9" s="20" t="s">
        <v>25</v>
      </c>
      <c r="P9" s="23" t="s">
        <v>25</v>
      </c>
      <c r="Q9" s="20" t="s">
        <v>28</v>
      </c>
      <c r="R9" s="25" t="s">
        <v>28</v>
      </c>
    </row>
    <row r="10" spans="1:18" ht="30" customHeight="1" x14ac:dyDescent="0.25">
      <c r="A10" s="18" t="s">
        <v>36</v>
      </c>
      <c r="B10" s="26">
        <v>214003</v>
      </c>
      <c r="C10" s="20" t="s">
        <v>19</v>
      </c>
      <c r="D10" s="21" t="s">
        <v>37</v>
      </c>
      <c r="E10" s="19" t="s">
        <v>43</v>
      </c>
      <c r="F10" s="19">
        <v>1</v>
      </c>
      <c r="G10" s="22">
        <v>44210</v>
      </c>
      <c r="H10" s="22">
        <v>44215</v>
      </c>
      <c r="I10" s="22">
        <v>44215</v>
      </c>
      <c r="J10" s="23"/>
      <c r="K10" s="20" t="s">
        <v>22</v>
      </c>
      <c r="L10" s="24" t="s">
        <v>23</v>
      </c>
      <c r="M10" s="20" t="s">
        <v>24</v>
      </c>
      <c r="N10" s="20"/>
      <c r="O10" s="20" t="s">
        <v>25</v>
      </c>
      <c r="P10" s="23" t="s">
        <v>25</v>
      </c>
      <c r="Q10" s="20" t="s">
        <v>28</v>
      </c>
      <c r="R10" s="25" t="s">
        <v>28</v>
      </c>
    </row>
    <row r="11" spans="1:18" ht="30" customHeight="1" x14ac:dyDescent="0.25">
      <c r="A11" s="18" t="s">
        <v>36</v>
      </c>
      <c r="B11" s="26">
        <v>214003</v>
      </c>
      <c r="C11" s="20" t="s">
        <v>19</v>
      </c>
      <c r="D11" s="21" t="s">
        <v>37</v>
      </c>
      <c r="E11" s="19" t="s">
        <v>34</v>
      </c>
      <c r="F11" s="19">
        <v>1</v>
      </c>
      <c r="G11" s="22">
        <v>44210</v>
      </c>
      <c r="H11" s="22">
        <v>44215</v>
      </c>
      <c r="I11" s="22">
        <v>44215</v>
      </c>
      <c r="J11" s="23"/>
      <c r="K11" s="20" t="s">
        <v>22</v>
      </c>
      <c r="L11" s="24" t="s">
        <v>23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5" t="s">
        <v>28</v>
      </c>
    </row>
    <row r="12" spans="1:18" ht="30" customHeight="1" x14ac:dyDescent="0.25">
      <c r="A12" s="18" t="s">
        <v>36</v>
      </c>
      <c r="B12" s="26">
        <v>214003</v>
      </c>
      <c r="C12" s="20" t="s">
        <v>19</v>
      </c>
      <c r="D12" s="21" t="s">
        <v>37</v>
      </c>
      <c r="E12" s="19" t="s">
        <v>44</v>
      </c>
      <c r="F12" s="19">
        <v>1</v>
      </c>
      <c r="G12" s="22">
        <v>44210</v>
      </c>
      <c r="H12" s="22">
        <v>44215</v>
      </c>
      <c r="I12" s="22">
        <v>44215</v>
      </c>
      <c r="J12" s="23"/>
      <c r="K12" s="20" t="s">
        <v>22</v>
      </c>
      <c r="L12" s="24" t="s">
        <v>23</v>
      </c>
      <c r="M12" s="20" t="s">
        <v>24</v>
      </c>
      <c r="N12" s="20"/>
      <c r="O12" s="20" t="s">
        <v>25</v>
      </c>
      <c r="P12" s="23" t="s">
        <v>25</v>
      </c>
      <c r="Q12" s="20" t="s">
        <v>28</v>
      </c>
      <c r="R12" s="25" t="s">
        <v>28</v>
      </c>
    </row>
    <row r="13" spans="1:18" ht="30" customHeight="1" x14ac:dyDescent="0.25">
      <c r="A13" s="18" t="s">
        <v>36</v>
      </c>
      <c r="B13" s="26">
        <v>214003</v>
      </c>
      <c r="C13" s="20" t="s">
        <v>19</v>
      </c>
      <c r="D13" s="21" t="s">
        <v>37</v>
      </c>
      <c r="E13" s="19" t="s">
        <v>32</v>
      </c>
      <c r="F13" s="19">
        <v>1</v>
      </c>
      <c r="G13" s="22">
        <v>44210</v>
      </c>
      <c r="H13" s="22">
        <v>44215</v>
      </c>
      <c r="I13" s="22">
        <v>44215</v>
      </c>
      <c r="J13" s="23"/>
      <c r="K13" s="20" t="s">
        <v>22</v>
      </c>
      <c r="L13" s="24" t="s">
        <v>23</v>
      </c>
      <c r="M13" s="20" t="s">
        <v>24</v>
      </c>
      <c r="N13" s="20"/>
      <c r="O13" s="20" t="s">
        <v>25</v>
      </c>
      <c r="P13" s="23" t="s">
        <v>25</v>
      </c>
      <c r="Q13" s="20" t="s">
        <v>28</v>
      </c>
      <c r="R13" s="25" t="s">
        <v>28</v>
      </c>
    </row>
    <row r="14" spans="1:18" ht="30" customHeight="1" x14ac:dyDescent="0.25">
      <c r="A14" s="18" t="s">
        <v>36</v>
      </c>
      <c r="B14" s="26">
        <v>214003</v>
      </c>
      <c r="C14" s="20" t="s">
        <v>19</v>
      </c>
      <c r="D14" s="21" t="s">
        <v>37</v>
      </c>
      <c r="E14" s="19" t="s">
        <v>45</v>
      </c>
      <c r="F14" s="19">
        <v>1</v>
      </c>
      <c r="G14" s="22">
        <v>44210</v>
      </c>
      <c r="H14" s="22">
        <v>44215</v>
      </c>
      <c r="I14" s="22">
        <v>44215</v>
      </c>
      <c r="J14" s="23"/>
      <c r="K14" s="20" t="s">
        <v>22</v>
      </c>
      <c r="L14" s="24" t="s">
        <v>23</v>
      </c>
      <c r="M14" s="20" t="s">
        <v>24</v>
      </c>
      <c r="N14" s="20"/>
      <c r="O14" s="20" t="s">
        <v>25</v>
      </c>
      <c r="P14" s="23" t="s">
        <v>25</v>
      </c>
      <c r="Q14" s="20" t="s">
        <v>28</v>
      </c>
      <c r="R14" s="25" t="s">
        <v>28</v>
      </c>
    </row>
    <row r="15" spans="1:18" ht="30" customHeight="1" x14ac:dyDescent="0.25">
      <c r="A15" s="18" t="s">
        <v>46</v>
      </c>
      <c r="B15" s="26">
        <v>213500</v>
      </c>
      <c r="C15" s="20" t="s">
        <v>19</v>
      </c>
      <c r="D15" s="21" t="s">
        <v>47</v>
      </c>
      <c r="E15" s="19" t="s">
        <v>48</v>
      </c>
      <c r="F15" s="19">
        <v>1</v>
      </c>
      <c r="G15" s="22">
        <v>44207</v>
      </c>
      <c r="H15" s="22">
        <v>44211</v>
      </c>
      <c r="I15" s="22">
        <v>44222</v>
      </c>
      <c r="J15" s="23"/>
      <c r="K15" s="20" t="s">
        <v>22</v>
      </c>
      <c r="L15" s="24" t="s">
        <v>23</v>
      </c>
      <c r="M15" s="20" t="s">
        <v>24</v>
      </c>
      <c r="N15" s="20">
        <v>3</v>
      </c>
      <c r="O15" s="20" t="s">
        <v>25</v>
      </c>
      <c r="P15" s="23" t="s">
        <v>25</v>
      </c>
      <c r="Q15" s="20" t="s">
        <v>27</v>
      </c>
      <c r="R15" s="25" t="s">
        <v>27</v>
      </c>
    </row>
    <row r="16" spans="1:18" ht="30" customHeight="1" x14ac:dyDescent="0.25">
      <c r="A16" s="18" t="s">
        <v>46</v>
      </c>
      <c r="B16" s="26">
        <v>213500</v>
      </c>
      <c r="C16" s="20" t="s">
        <v>19</v>
      </c>
      <c r="D16" s="21" t="s">
        <v>47</v>
      </c>
      <c r="E16" s="19" t="s">
        <v>32</v>
      </c>
      <c r="F16" s="19">
        <v>1</v>
      </c>
      <c r="G16" s="22">
        <v>44207</v>
      </c>
      <c r="H16" s="22">
        <v>44211</v>
      </c>
      <c r="I16" s="22">
        <v>44222</v>
      </c>
      <c r="J16" s="23"/>
      <c r="K16" s="20" t="s">
        <v>22</v>
      </c>
      <c r="L16" s="24" t="s">
        <v>23</v>
      </c>
      <c r="M16" s="20" t="s">
        <v>24</v>
      </c>
      <c r="N16" s="20">
        <v>3</v>
      </c>
      <c r="O16" s="20" t="s">
        <v>25</v>
      </c>
      <c r="P16" s="23" t="s">
        <v>25</v>
      </c>
      <c r="Q16" s="20" t="s">
        <v>49</v>
      </c>
      <c r="R16" s="25" t="s">
        <v>49</v>
      </c>
    </row>
    <row r="17" spans="1:18" ht="30" customHeight="1" x14ac:dyDescent="0.25">
      <c r="A17" s="18" t="s">
        <v>46</v>
      </c>
      <c r="B17" s="26">
        <v>213500</v>
      </c>
      <c r="C17" s="20" t="s">
        <v>19</v>
      </c>
      <c r="D17" s="21" t="s">
        <v>47</v>
      </c>
      <c r="E17" s="19" t="s">
        <v>45</v>
      </c>
      <c r="F17" s="19">
        <v>1</v>
      </c>
      <c r="G17" s="22">
        <v>44207</v>
      </c>
      <c r="H17" s="22">
        <v>44211</v>
      </c>
      <c r="I17" s="22">
        <v>44222</v>
      </c>
      <c r="J17" s="23"/>
      <c r="K17" s="20" t="s">
        <v>22</v>
      </c>
      <c r="L17" s="24" t="s">
        <v>23</v>
      </c>
      <c r="M17" s="20" t="s">
        <v>24</v>
      </c>
      <c r="N17" s="20">
        <v>3</v>
      </c>
      <c r="O17" s="20" t="s">
        <v>25</v>
      </c>
      <c r="P17" s="23" t="s">
        <v>25</v>
      </c>
      <c r="Q17" s="20" t="s">
        <v>50</v>
      </c>
      <c r="R17" s="25" t="s">
        <v>50</v>
      </c>
    </row>
    <row r="18" spans="1:18" ht="30" customHeight="1" x14ac:dyDescent="0.25">
      <c r="A18" s="18" t="s">
        <v>46</v>
      </c>
      <c r="B18" s="26">
        <v>213500</v>
      </c>
      <c r="C18" s="20" t="s">
        <v>19</v>
      </c>
      <c r="D18" s="21" t="s">
        <v>47</v>
      </c>
      <c r="E18" s="19" t="s">
        <v>35</v>
      </c>
      <c r="F18" s="19">
        <v>1</v>
      </c>
      <c r="G18" s="22">
        <v>44207</v>
      </c>
      <c r="H18" s="22">
        <v>44211</v>
      </c>
      <c r="I18" s="22">
        <v>44222</v>
      </c>
      <c r="J18" s="23"/>
      <c r="K18" s="20" t="s">
        <v>22</v>
      </c>
      <c r="L18" s="24" t="s">
        <v>23</v>
      </c>
      <c r="M18" s="20" t="s">
        <v>24</v>
      </c>
      <c r="N18" s="20">
        <v>3</v>
      </c>
      <c r="O18" s="20" t="s">
        <v>25</v>
      </c>
      <c r="P18" s="23" t="s">
        <v>25</v>
      </c>
      <c r="Q18" s="20" t="s">
        <v>51</v>
      </c>
      <c r="R18" s="25" t="s">
        <v>51</v>
      </c>
    </row>
    <row r="19" spans="1:18" ht="30" customHeight="1" x14ac:dyDescent="0.25">
      <c r="A19" s="18" t="s">
        <v>39</v>
      </c>
      <c r="B19" s="26">
        <v>212637</v>
      </c>
      <c r="C19" s="20" t="s">
        <v>19</v>
      </c>
      <c r="D19" s="21" t="s">
        <v>52</v>
      </c>
      <c r="E19" s="19" t="s">
        <v>34</v>
      </c>
      <c r="F19" s="19">
        <v>2</v>
      </c>
      <c r="G19" s="22">
        <v>44202</v>
      </c>
      <c r="H19" s="22">
        <v>44203</v>
      </c>
      <c r="I19" s="22">
        <v>44203</v>
      </c>
      <c r="J19" s="23"/>
      <c r="K19" s="20" t="s">
        <v>22</v>
      </c>
      <c r="L19" s="24" t="s">
        <v>33</v>
      </c>
      <c r="M19" s="20" t="s">
        <v>24</v>
      </c>
      <c r="N19" s="20">
        <v>1</v>
      </c>
      <c r="O19" s="20" t="s">
        <v>25</v>
      </c>
      <c r="P19" s="23" t="s">
        <v>26</v>
      </c>
      <c r="Q19" s="20" t="s">
        <v>28</v>
      </c>
      <c r="R19" s="25" t="s">
        <v>53</v>
      </c>
    </row>
    <row r="20" spans="1:18" ht="30" customHeight="1" x14ac:dyDescent="0.25">
      <c r="A20" s="18" t="s">
        <v>54</v>
      </c>
      <c r="B20" s="26">
        <v>179193</v>
      </c>
      <c r="C20" s="20" t="s">
        <v>55</v>
      </c>
      <c r="D20" s="21" t="s">
        <v>56</v>
      </c>
      <c r="E20" s="19" t="s">
        <v>34</v>
      </c>
      <c r="F20" s="19">
        <v>2</v>
      </c>
      <c r="G20" s="22">
        <v>44039</v>
      </c>
      <c r="H20" s="22"/>
      <c r="I20" s="22">
        <v>44046</v>
      </c>
      <c r="J20" s="23"/>
      <c r="K20" s="20" t="s">
        <v>22</v>
      </c>
      <c r="L20" s="24" t="s">
        <v>57</v>
      </c>
      <c r="M20" s="20"/>
      <c r="N20" s="20"/>
      <c r="O20" s="20" t="s">
        <v>25</v>
      </c>
      <c r="P20" s="23" t="s">
        <v>26</v>
      </c>
      <c r="Q20" s="20" t="s">
        <v>28</v>
      </c>
      <c r="R20" s="25" t="s">
        <v>27</v>
      </c>
    </row>
    <row r="21" spans="1:18" ht="30" customHeight="1" x14ac:dyDescent="0.25">
      <c r="A21" s="18" t="s">
        <v>58</v>
      </c>
      <c r="B21" s="26">
        <v>190879</v>
      </c>
      <c r="C21" s="20" t="s">
        <v>55</v>
      </c>
      <c r="D21" s="21" t="s">
        <v>59</v>
      </c>
      <c r="E21" s="19" t="s">
        <v>60</v>
      </c>
      <c r="F21" s="19">
        <v>1</v>
      </c>
      <c r="G21" s="22">
        <v>44096</v>
      </c>
      <c r="H21" s="22"/>
      <c r="I21" s="22">
        <v>44112</v>
      </c>
      <c r="J21" s="23"/>
      <c r="K21" s="20" t="s">
        <v>22</v>
      </c>
      <c r="L21" s="24" t="s">
        <v>41</v>
      </c>
      <c r="M21" s="20" t="s">
        <v>24</v>
      </c>
      <c r="N21" s="20"/>
      <c r="O21" s="20" t="s">
        <v>26</v>
      </c>
      <c r="P21" s="23" t="s">
        <v>26</v>
      </c>
      <c r="Q21" s="20" t="s">
        <v>28</v>
      </c>
      <c r="R21" s="25" t="s">
        <v>28</v>
      </c>
    </row>
    <row r="22" spans="1:18" ht="30" customHeight="1" x14ac:dyDescent="0.25">
      <c r="A22" s="18" t="s">
        <v>58</v>
      </c>
      <c r="B22" s="26">
        <v>190879</v>
      </c>
      <c r="C22" s="20" t="s">
        <v>55</v>
      </c>
      <c r="D22" s="21" t="s">
        <v>59</v>
      </c>
      <c r="E22" s="19" t="s">
        <v>61</v>
      </c>
      <c r="F22" s="19">
        <v>1</v>
      </c>
      <c r="G22" s="22">
        <v>44096</v>
      </c>
      <c r="H22" s="22"/>
      <c r="I22" s="22">
        <v>44112</v>
      </c>
      <c r="J22" s="23"/>
      <c r="K22" s="20" t="s">
        <v>22</v>
      </c>
      <c r="L22" s="24" t="s">
        <v>33</v>
      </c>
      <c r="M22" s="20" t="s">
        <v>24</v>
      </c>
      <c r="N22" s="20"/>
      <c r="O22" s="20" t="s">
        <v>26</v>
      </c>
      <c r="P22" s="23" t="s">
        <v>26</v>
      </c>
      <c r="Q22" s="20" t="s">
        <v>28</v>
      </c>
      <c r="R22" s="25" t="s">
        <v>28</v>
      </c>
    </row>
    <row r="23" spans="1:18" ht="30" customHeight="1" x14ac:dyDescent="0.25">
      <c r="A23" s="18" t="s">
        <v>58</v>
      </c>
      <c r="B23" s="26">
        <v>190879</v>
      </c>
      <c r="C23" s="20" t="s">
        <v>55</v>
      </c>
      <c r="D23" s="21" t="s">
        <v>59</v>
      </c>
      <c r="E23" s="19" t="s">
        <v>62</v>
      </c>
      <c r="F23" s="19">
        <v>3</v>
      </c>
      <c r="G23" s="22">
        <v>44096</v>
      </c>
      <c r="H23" s="22"/>
      <c r="I23" s="22">
        <v>44112</v>
      </c>
      <c r="J23" s="23"/>
      <c r="K23" s="20" t="s">
        <v>22</v>
      </c>
      <c r="L23" s="24" t="s">
        <v>41</v>
      </c>
      <c r="M23" s="20" t="s">
        <v>24</v>
      </c>
      <c r="N23" s="20"/>
      <c r="O23" s="20" t="s">
        <v>26</v>
      </c>
      <c r="P23" s="23" t="s">
        <v>26</v>
      </c>
      <c r="Q23" s="20" t="s">
        <v>28</v>
      </c>
      <c r="R23" s="25" t="s">
        <v>28</v>
      </c>
    </row>
    <row r="24" spans="1:18" ht="30" customHeight="1" x14ac:dyDescent="0.25">
      <c r="A24" s="18" t="s">
        <v>58</v>
      </c>
      <c r="B24" s="26">
        <v>190879</v>
      </c>
      <c r="C24" s="20" t="s">
        <v>63</v>
      </c>
      <c r="D24" s="21" t="s">
        <v>59</v>
      </c>
      <c r="E24" s="19" t="s">
        <v>64</v>
      </c>
      <c r="F24" s="19">
        <v>1</v>
      </c>
      <c r="G24" s="22">
        <v>44096</v>
      </c>
      <c r="H24" s="22"/>
      <c r="I24" s="22">
        <v>44221</v>
      </c>
      <c r="J24" s="23"/>
      <c r="K24" s="20" t="s">
        <v>22</v>
      </c>
      <c r="L24" s="24" t="s">
        <v>57</v>
      </c>
      <c r="M24" s="20" t="s">
        <v>24</v>
      </c>
      <c r="N24" s="20"/>
      <c r="O24" s="20" t="s">
        <v>26</v>
      </c>
      <c r="P24" s="23" t="s">
        <v>26</v>
      </c>
      <c r="Q24" s="20" t="s">
        <v>28</v>
      </c>
      <c r="R24" s="25" t="s">
        <v>28</v>
      </c>
    </row>
    <row r="25" spans="1:18" ht="30" customHeight="1" x14ac:dyDescent="0.25">
      <c r="A25" s="18" t="s">
        <v>58</v>
      </c>
      <c r="B25" s="26">
        <v>214128</v>
      </c>
      <c r="C25" s="20" t="s">
        <v>63</v>
      </c>
      <c r="D25" s="21" t="s">
        <v>65</v>
      </c>
      <c r="E25" s="19" t="s">
        <v>66</v>
      </c>
      <c r="F25" s="19">
        <v>1</v>
      </c>
      <c r="G25" s="22">
        <v>44209</v>
      </c>
      <c r="H25" s="22"/>
      <c r="I25" s="22">
        <v>44216</v>
      </c>
      <c r="J25" s="23"/>
      <c r="K25" s="20" t="s">
        <v>22</v>
      </c>
      <c r="L25" s="24" t="s">
        <v>57</v>
      </c>
      <c r="M25" s="20" t="s">
        <v>24</v>
      </c>
      <c r="N25" s="20"/>
      <c r="O25" s="20" t="s">
        <v>25</v>
      </c>
      <c r="P25" s="23" t="s">
        <v>25</v>
      </c>
      <c r="Q25" s="20" t="s">
        <v>53</v>
      </c>
      <c r="R25" s="25" t="s">
        <v>53</v>
      </c>
    </row>
    <row r="26" spans="1:18" ht="30" customHeight="1" x14ac:dyDescent="0.25">
      <c r="A26" s="18" t="s">
        <v>58</v>
      </c>
      <c r="B26" s="26">
        <v>214128</v>
      </c>
      <c r="C26" s="20" t="s">
        <v>63</v>
      </c>
      <c r="D26" s="21" t="s">
        <v>65</v>
      </c>
      <c r="E26" s="19" t="s">
        <v>61</v>
      </c>
      <c r="F26" s="19">
        <v>1</v>
      </c>
      <c r="G26" s="22">
        <v>44209</v>
      </c>
      <c r="H26" s="22"/>
      <c r="I26" s="22">
        <v>44216</v>
      </c>
      <c r="J26" s="23"/>
      <c r="K26" s="20" t="s">
        <v>22</v>
      </c>
      <c r="L26" s="24" t="s">
        <v>57</v>
      </c>
      <c r="M26" s="20" t="s">
        <v>24</v>
      </c>
      <c r="N26" s="20"/>
      <c r="O26" s="20" t="s">
        <v>25</v>
      </c>
      <c r="P26" s="23" t="s">
        <v>25</v>
      </c>
      <c r="Q26" s="20" t="s">
        <v>53</v>
      </c>
      <c r="R26" s="25" t="s">
        <v>53</v>
      </c>
    </row>
    <row r="27" spans="1:18" ht="30" customHeight="1" x14ac:dyDescent="0.25">
      <c r="A27" s="18" t="s">
        <v>67</v>
      </c>
      <c r="B27" s="26">
        <v>216194</v>
      </c>
      <c r="C27" s="20" t="s">
        <v>63</v>
      </c>
      <c r="D27" s="21" t="s">
        <v>68</v>
      </c>
      <c r="E27" s="19" t="s">
        <v>48</v>
      </c>
      <c r="F27" s="19">
        <v>2</v>
      </c>
      <c r="G27" s="22">
        <v>44218</v>
      </c>
      <c r="H27" s="22">
        <v>44218</v>
      </c>
      <c r="I27" s="22">
        <v>44218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27</v>
      </c>
      <c r="R27" s="25" t="s">
        <v>28</v>
      </c>
    </row>
    <row r="28" spans="1:18" ht="30" customHeight="1" x14ac:dyDescent="0.25">
      <c r="A28" s="18" t="s">
        <v>67</v>
      </c>
      <c r="B28" s="26">
        <v>216194</v>
      </c>
      <c r="C28" s="20" t="s">
        <v>63</v>
      </c>
      <c r="D28" s="21" t="s">
        <v>68</v>
      </c>
      <c r="E28" s="19" t="s">
        <v>34</v>
      </c>
      <c r="F28" s="19">
        <v>2</v>
      </c>
      <c r="G28" s="22">
        <v>44218</v>
      </c>
      <c r="H28" s="22">
        <v>44218</v>
      </c>
      <c r="I28" s="22">
        <v>44218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 t="s">
        <v>28</v>
      </c>
    </row>
    <row r="29" spans="1:18" ht="30" customHeight="1" x14ac:dyDescent="0.25">
      <c r="A29" s="18" t="s">
        <v>67</v>
      </c>
      <c r="B29" s="26">
        <v>216194</v>
      </c>
      <c r="C29" s="20" t="s">
        <v>63</v>
      </c>
      <c r="D29" s="21" t="s">
        <v>68</v>
      </c>
      <c r="E29" s="19" t="s">
        <v>35</v>
      </c>
      <c r="F29" s="19">
        <v>2</v>
      </c>
      <c r="G29" s="22">
        <v>44218</v>
      </c>
      <c r="H29" s="22">
        <v>44218</v>
      </c>
      <c r="I29" s="22">
        <v>44218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 t="s">
        <v>28</v>
      </c>
    </row>
    <row r="30" spans="1:18" ht="30" customHeight="1" x14ac:dyDescent="0.25">
      <c r="A30" s="18" t="s">
        <v>29</v>
      </c>
      <c r="B30" s="19">
        <v>212059</v>
      </c>
      <c r="C30" s="20" t="s">
        <v>19</v>
      </c>
      <c r="D30" s="21" t="s">
        <v>69</v>
      </c>
      <c r="E30" s="19" t="s">
        <v>43</v>
      </c>
      <c r="F30" s="19">
        <v>1</v>
      </c>
      <c r="G30" s="22">
        <v>44210</v>
      </c>
      <c r="H30" s="22">
        <v>44214</v>
      </c>
      <c r="I30" s="22">
        <v>44211</v>
      </c>
      <c r="J30" s="23"/>
      <c r="K30" s="20" t="s">
        <v>22</v>
      </c>
      <c r="L30" s="24" t="s">
        <v>33</v>
      </c>
      <c r="M30" s="20" t="s">
        <v>24</v>
      </c>
      <c r="N30" s="20"/>
      <c r="O30" s="20" t="s">
        <v>25</v>
      </c>
      <c r="P30" s="23" t="s">
        <v>25</v>
      </c>
      <c r="Q30" s="20" t="s">
        <v>53</v>
      </c>
      <c r="R30" s="25" t="s">
        <v>53</v>
      </c>
    </row>
    <row r="31" spans="1:18" ht="30" customHeight="1" x14ac:dyDescent="0.25">
      <c r="A31" s="18" t="s">
        <v>70</v>
      </c>
      <c r="B31" s="26">
        <v>215322</v>
      </c>
      <c r="C31" s="20" t="s">
        <v>30</v>
      </c>
      <c r="D31" s="21" t="s">
        <v>71</v>
      </c>
      <c r="E31" s="19" t="s">
        <v>72</v>
      </c>
      <c r="F31" s="19">
        <v>1</v>
      </c>
      <c r="G31" s="22">
        <v>44215</v>
      </c>
      <c r="H31" s="22">
        <v>44221</v>
      </c>
      <c r="I31" s="22">
        <v>44221</v>
      </c>
      <c r="J31" s="23"/>
      <c r="K31" s="20" t="s">
        <v>22</v>
      </c>
      <c r="L31" s="24" t="s">
        <v>57</v>
      </c>
      <c r="M31" s="20" t="s">
        <v>24</v>
      </c>
      <c r="N31" s="20">
        <v>0</v>
      </c>
      <c r="O31" s="20" t="s">
        <v>25</v>
      </c>
      <c r="P31" s="23" t="s">
        <v>26</v>
      </c>
      <c r="Q31" s="20" t="s">
        <v>53</v>
      </c>
      <c r="R31" s="25" t="s">
        <v>73</v>
      </c>
    </row>
    <row r="32" spans="1:18" ht="30" customHeight="1" x14ac:dyDescent="0.25">
      <c r="A32" s="18" t="s">
        <v>46</v>
      </c>
      <c r="B32" s="26">
        <v>215073</v>
      </c>
      <c r="C32" s="20" t="s">
        <v>63</v>
      </c>
      <c r="D32" s="21" t="s">
        <v>74</v>
      </c>
      <c r="E32" s="19" t="s">
        <v>66</v>
      </c>
      <c r="F32" s="19">
        <v>1</v>
      </c>
      <c r="G32" s="22">
        <v>44214</v>
      </c>
      <c r="H32" s="22">
        <v>44218</v>
      </c>
      <c r="I32" s="22"/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28</v>
      </c>
      <c r="R32" s="25" t="s">
        <v>53</v>
      </c>
    </row>
    <row r="33" spans="1:18" ht="30" customHeight="1" x14ac:dyDescent="0.25">
      <c r="A33" s="18" t="s">
        <v>29</v>
      </c>
      <c r="B33" s="19">
        <v>212059</v>
      </c>
      <c r="C33" s="20" t="s">
        <v>19</v>
      </c>
      <c r="D33" s="21" t="s">
        <v>69</v>
      </c>
      <c r="E33" s="19" t="s">
        <v>34</v>
      </c>
      <c r="F33" s="19">
        <v>1</v>
      </c>
      <c r="G33" s="22">
        <v>44210</v>
      </c>
      <c r="H33" s="22">
        <v>44214</v>
      </c>
      <c r="I33" s="22">
        <v>44211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 t="s">
        <v>25</v>
      </c>
      <c r="Q33" s="20" t="s">
        <v>53</v>
      </c>
      <c r="R33" s="25" t="s">
        <v>53</v>
      </c>
    </row>
    <row r="34" spans="1:18" ht="30" customHeight="1" x14ac:dyDescent="0.25">
      <c r="A34" s="18" t="s">
        <v>29</v>
      </c>
      <c r="B34" s="19">
        <v>212059</v>
      </c>
      <c r="C34" s="20" t="s">
        <v>19</v>
      </c>
      <c r="D34" s="21" t="s">
        <v>69</v>
      </c>
      <c r="E34" s="19" t="s">
        <v>32</v>
      </c>
      <c r="F34" s="19">
        <v>1</v>
      </c>
      <c r="G34" s="22">
        <v>44210</v>
      </c>
      <c r="H34" s="22">
        <v>44214</v>
      </c>
      <c r="I34" s="22">
        <v>44211</v>
      </c>
      <c r="J34" s="23"/>
      <c r="K34" s="20" t="s">
        <v>22</v>
      </c>
      <c r="L34" s="24" t="s">
        <v>33</v>
      </c>
      <c r="M34" s="20" t="s">
        <v>24</v>
      </c>
      <c r="N34" s="20"/>
      <c r="O34" s="20" t="s">
        <v>25</v>
      </c>
      <c r="P34" s="23" t="s">
        <v>25</v>
      </c>
      <c r="Q34" s="20" t="s">
        <v>53</v>
      </c>
      <c r="R34" s="25" t="s">
        <v>53</v>
      </c>
    </row>
    <row r="35" spans="1:18" ht="30" customHeight="1" x14ac:dyDescent="0.25">
      <c r="A35" s="18" t="s">
        <v>29</v>
      </c>
      <c r="B35" s="19">
        <v>212059</v>
      </c>
      <c r="C35" s="20" t="s">
        <v>19</v>
      </c>
      <c r="D35" s="21" t="s">
        <v>69</v>
      </c>
      <c r="E35" s="19" t="s">
        <v>75</v>
      </c>
      <c r="F35" s="19">
        <v>1</v>
      </c>
      <c r="G35" s="22">
        <v>44210</v>
      </c>
      <c r="H35" s="22">
        <v>44214</v>
      </c>
      <c r="I35" s="22">
        <v>44211</v>
      </c>
      <c r="J35" s="23"/>
      <c r="K35" s="20" t="s">
        <v>22</v>
      </c>
      <c r="L35" s="24" t="s">
        <v>33</v>
      </c>
      <c r="M35" s="20" t="s">
        <v>24</v>
      </c>
      <c r="N35" s="20"/>
      <c r="O35" s="20" t="s">
        <v>25</v>
      </c>
      <c r="P35" s="23" t="s">
        <v>25</v>
      </c>
      <c r="Q35" s="20" t="s">
        <v>53</v>
      </c>
      <c r="R35" s="25" t="s">
        <v>53</v>
      </c>
    </row>
    <row r="36" spans="1:18" ht="30" customHeight="1" x14ac:dyDescent="0.25">
      <c r="A36" s="18" t="s">
        <v>29</v>
      </c>
      <c r="B36" s="19">
        <v>212059</v>
      </c>
      <c r="C36" s="20" t="s">
        <v>19</v>
      </c>
      <c r="D36" s="21" t="s">
        <v>69</v>
      </c>
      <c r="E36" s="19" t="s">
        <v>48</v>
      </c>
      <c r="F36" s="19">
        <v>1</v>
      </c>
      <c r="G36" s="22">
        <v>44210</v>
      </c>
      <c r="H36" s="22">
        <v>44214</v>
      </c>
      <c r="I36" s="22">
        <v>44211</v>
      </c>
      <c r="J36" s="23"/>
      <c r="K36" s="20" t="s">
        <v>22</v>
      </c>
      <c r="L36" s="24" t="s">
        <v>33</v>
      </c>
      <c r="M36" s="20" t="s">
        <v>24</v>
      </c>
      <c r="N36" s="20"/>
      <c r="O36" s="20" t="s">
        <v>25</v>
      </c>
      <c r="P36" s="23" t="s">
        <v>25</v>
      </c>
      <c r="Q36" s="20" t="s">
        <v>53</v>
      </c>
      <c r="R36" s="25" t="s">
        <v>53</v>
      </c>
    </row>
    <row r="37" spans="1:18" ht="30" customHeight="1" x14ac:dyDescent="0.25">
      <c r="A37" s="18" t="s">
        <v>29</v>
      </c>
      <c r="B37" s="19">
        <v>212059</v>
      </c>
      <c r="C37" s="20" t="s">
        <v>19</v>
      </c>
      <c r="D37" s="21" t="s">
        <v>69</v>
      </c>
      <c r="E37" s="19" t="s">
        <v>35</v>
      </c>
      <c r="F37" s="19">
        <v>5</v>
      </c>
      <c r="G37" s="22">
        <v>44210</v>
      </c>
      <c r="H37" s="22">
        <v>44214</v>
      </c>
      <c r="I37" s="22">
        <v>44211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 t="s">
        <v>25</v>
      </c>
      <c r="Q37" s="20" t="s">
        <v>53</v>
      </c>
      <c r="R37" s="25" t="s">
        <v>53</v>
      </c>
    </row>
    <row r="38" spans="1:18" ht="30" customHeight="1" x14ac:dyDescent="0.25">
      <c r="A38" s="18" t="s">
        <v>76</v>
      </c>
      <c r="B38" s="26">
        <v>215220</v>
      </c>
      <c r="C38" s="20" t="s">
        <v>19</v>
      </c>
      <c r="D38" s="21" t="s">
        <v>77</v>
      </c>
      <c r="E38" s="19" t="s">
        <v>35</v>
      </c>
      <c r="F38" s="19">
        <v>1</v>
      </c>
      <c r="G38" s="22">
        <v>44214</v>
      </c>
      <c r="H38" s="22">
        <v>44221</v>
      </c>
      <c r="I38" s="22">
        <v>44224</v>
      </c>
      <c r="J38" s="23"/>
      <c r="K38" s="20" t="s">
        <v>22</v>
      </c>
      <c r="L38" s="24" t="s">
        <v>23</v>
      </c>
      <c r="M38" s="20" t="s">
        <v>24</v>
      </c>
      <c r="N38" s="20">
        <v>1</v>
      </c>
      <c r="O38" s="20" t="s">
        <v>25</v>
      </c>
      <c r="P38" s="23" t="s">
        <v>25</v>
      </c>
      <c r="Q38" s="20" t="s">
        <v>28</v>
      </c>
      <c r="R38" s="25" t="s">
        <v>53</v>
      </c>
    </row>
    <row r="39" spans="1:18" ht="30" customHeight="1" x14ac:dyDescent="0.25">
      <c r="A39" s="18" t="s">
        <v>39</v>
      </c>
      <c r="B39" s="26">
        <v>189842</v>
      </c>
      <c r="C39" s="20" t="s">
        <v>30</v>
      </c>
      <c r="D39" s="21" t="s">
        <v>78</v>
      </c>
      <c r="E39" s="19" t="s">
        <v>34</v>
      </c>
      <c r="F39" s="19">
        <v>7</v>
      </c>
      <c r="G39" s="22">
        <v>44221</v>
      </c>
      <c r="H39" s="22">
        <v>44221</v>
      </c>
      <c r="I39" s="22">
        <v>44221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 t="s">
        <v>26</v>
      </c>
      <c r="Q39" s="20" t="s">
        <v>28</v>
      </c>
      <c r="R39" s="25" t="s">
        <v>53</v>
      </c>
    </row>
    <row r="40" spans="1:18" ht="30" customHeight="1" x14ac:dyDescent="0.25">
      <c r="A40" s="18" t="s">
        <v>39</v>
      </c>
      <c r="B40" s="26">
        <v>189842</v>
      </c>
      <c r="C40" s="20" t="s">
        <v>30</v>
      </c>
      <c r="D40" s="21" t="s">
        <v>78</v>
      </c>
      <c r="E40" s="19" t="s">
        <v>32</v>
      </c>
      <c r="F40" s="19">
        <v>1</v>
      </c>
      <c r="G40" s="22">
        <v>44221</v>
      </c>
      <c r="H40" s="22">
        <v>44221</v>
      </c>
      <c r="I40" s="22">
        <v>44221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 t="s">
        <v>26</v>
      </c>
      <c r="Q40" s="20" t="s">
        <v>28</v>
      </c>
      <c r="R40" s="25" t="s">
        <v>53</v>
      </c>
    </row>
    <row r="41" spans="1:18" ht="30" customHeight="1" x14ac:dyDescent="0.25">
      <c r="A41" s="18" t="s">
        <v>39</v>
      </c>
      <c r="B41" s="26">
        <v>189842</v>
      </c>
      <c r="C41" s="20" t="s">
        <v>30</v>
      </c>
      <c r="D41" s="21" t="s">
        <v>78</v>
      </c>
      <c r="E41" s="19" t="s">
        <v>66</v>
      </c>
      <c r="F41" s="19">
        <v>5</v>
      </c>
      <c r="G41" s="22">
        <v>44221</v>
      </c>
      <c r="H41" s="22">
        <v>44221</v>
      </c>
      <c r="I41" s="22">
        <v>44221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 t="s">
        <v>26</v>
      </c>
      <c r="Q41" s="20" t="s">
        <v>28</v>
      </c>
      <c r="R41" s="25" t="s">
        <v>53</v>
      </c>
    </row>
    <row r="42" spans="1:18" ht="30" customHeight="1" x14ac:dyDescent="0.25">
      <c r="A42" s="18" t="s">
        <v>39</v>
      </c>
      <c r="B42" s="26">
        <v>189842</v>
      </c>
      <c r="C42" s="20" t="s">
        <v>55</v>
      </c>
      <c r="D42" s="21" t="s">
        <v>78</v>
      </c>
      <c r="E42" s="19" t="s">
        <v>34</v>
      </c>
      <c r="F42" s="19">
        <v>24</v>
      </c>
      <c r="G42" s="22">
        <v>44090</v>
      </c>
      <c r="H42" s="22">
        <v>44211</v>
      </c>
      <c r="I42" s="22">
        <v>44211</v>
      </c>
      <c r="J42" s="23"/>
      <c r="K42" s="20" t="s">
        <v>22</v>
      </c>
      <c r="L42" s="24" t="s">
        <v>33</v>
      </c>
      <c r="M42" s="20" t="s">
        <v>24</v>
      </c>
      <c r="N42" s="20"/>
      <c r="O42" s="20"/>
      <c r="P42" s="23"/>
      <c r="Q42" s="20"/>
      <c r="R42" s="25"/>
    </row>
    <row r="43" spans="1:18" ht="30" customHeight="1" x14ac:dyDescent="0.25">
      <c r="A43" s="18" t="s">
        <v>39</v>
      </c>
      <c r="B43" s="26">
        <v>189842</v>
      </c>
      <c r="C43" s="20" t="s">
        <v>55</v>
      </c>
      <c r="D43" s="21" t="s">
        <v>78</v>
      </c>
      <c r="E43" s="19" t="s">
        <v>79</v>
      </c>
      <c r="F43" s="19">
        <v>11</v>
      </c>
      <c r="G43" s="22">
        <v>44090</v>
      </c>
      <c r="H43" s="22">
        <v>44211</v>
      </c>
      <c r="I43" s="22">
        <v>44211</v>
      </c>
      <c r="J43" s="23"/>
      <c r="K43" s="20" t="s">
        <v>22</v>
      </c>
      <c r="L43" s="24" t="s">
        <v>33</v>
      </c>
      <c r="M43" s="20" t="s">
        <v>79</v>
      </c>
      <c r="N43" s="20"/>
      <c r="O43" s="20"/>
      <c r="P43" s="23"/>
      <c r="Q43" s="20"/>
      <c r="R43" s="25"/>
    </row>
    <row r="44" spans="1:18" ht="30" customHeight="1" x14ac:dyDescent="0.25">
      <c r="A44" s="18" t="s">
        <v>39</v>
      </c>
      <c r="B44" s="26">
        <v>189842</v>
      </c>
      <c r="C44" s="20" t="s">
        <v>55</v>
      </c>
      <c r="D44" s="21" t="s">
        <v>78</v>
      </c>
      <c r="E44" s="19" t="s">
        <v>80</v>
      </c>
      <c r="F44" s="19">
        <v>31</v>
      </c>
      <c r="G44" s="22">
        <v>44090</v>
      </c>
      <c r="H44" s="22">
        <v>44211</v>
      </c>
      <c r="I44" s="22">
        <v>44211</v>
      </c>
      <c r="J44" s="23"/>
      <c r="K44" s="20" t="s">
        <v>22</v>
      </c>
      <c r="L44" s="24" t="s">
        <v>33</v>
      </c>
      <c r="M44" s="20" t="s">
        <v>79</v>
      </c>
      <c r="N44" s="20"/>
      <c r="O44" s="20"/>
      <c r="P44" s="23"/>
      <c r="Q44" s="20"/>
      <c r="R44" s="25"/>
    </row>
    <row r="45" spans="1:18" ht="30" customHeight="1" x14ac:dyDescent="0.25">
      <c r="A45" s="18" t="s">
        <v>39</v>
      </c>
      <c r="B45" s="26">
        <v>189842</v>
      </c>
      <c r="C45" s="20" t="s">
        <v>55</v>
      </c>
      <c r="D45" s="21" t="s">
        <v>78</v>
      </c>
      <c r="E45" s="19" t="s">
        <v>81</v>
      </c>
      <c r="F45" s="19">
        <v>20</v>
      </c>
      <c r="G45" s="22">
        <v>44090</v>
      </c>
      <c r="H45" s="22">
        <v>44211</v>
      </c>
      <c r="I45" s="22">
        <v>44211</v>
      </c>
      <c r="J45" s="23"/>
      <c r="K45" s="20" t="s">
        <v>22</v>
      </c>
      <c r="L45" s="24" t="s">
        <v>33</v>
      </c>
      <c r="M45" s="20" t="s">
        <v>24</v>
      </c>
      <c r="N45" s="20"/>
      <c r="O45" s="20"/>
      <c r="P45" s="23"/>
      <c r="Q45" s="20"/>
      <c r="R45" s="25"/>
    </row>
    <row r="46" spans="1:18" ht="30" customHeight="1" x14ac:dyDescent="0.25">
      <c r="A46" s="18" t="s">
        <v>39</v>
      </c>
      <c r="B46" s="26">
        <v>189842</v>
      </c>
      <c r="C46" s="20" t="s">
        <v>55</v>
      </c>
      <c r="D46" s="21" t="s">
        <v>78</v>
      </c>
      <c r="E46" s="19" t="s">
        <v>82</v>
      </c>
      <c r="F46" s="19">
        <v>1</v>
      </c>
      <c r="G46" s="22">
        <v>44090</v>
      </c>
      <c r="H46" s="22">
        <v>44211</v>
      </c>
      <c r="I46" s="22">
        <v>44211</v>
      </c>
      <c r="J46" s="23"/>
      <c r="K46" s="20" t="s">
        <v>22</v>
      </c>
      <c r="L46" s="24" t="s">
        <v>41</v>
      </c>
      <c r="M46" s="20" t="s">
        <v>24</v>
      </c>
      <c r="N46" s="20"/>
      <c r="O46" s="20"/>
      <c r="P46" s="23"/>
      <c r="Q46" s="20"/>
      <c r="R46" s="25"/>
    </row>
    <row r="47" spans="1:18" ht="30" customHeight="1" x14ac:dyDescent="0.25">
      <c r="A47" s="18" t="s">
        <v>39</v>
      </c>
      <c r="B47" s="26">
        <v>189842</v>
      </c>
      <c r="C47" s="20" t="s">
        <v>55</v>
      </c>
      <c r="D47" s="21" t="s">
        <v>78</v>
      </c>
      <c r="E47" s="19" t="s">
        <v>66</v>
      </c>
      <c r="F47" s="19">
        <v>1</v>
      </c>
      <c r="G47" s="22">
        <v>44090</v>
      </c>
      <c r="H47" s="22">
        <v>44211</v>
      </c>
      <c r="I47" s="22">
        <v>44211</v>
      </c>
      <c r="J47" s="23"/>
      <c r="K47" s="20" t="s">
        <v>22</v>
      </c>
      <c r="L47" s="24" t="s">
        <v>41</v>
      </c>
      <c r="M47" s="20" t="s">
        <v>24</v>
      </c>
      <c r="N47" s="20"/>
      <c r="O47" s="20"/>
      <c r="P47" s="23"/>
      <c r="Q47" s="20"/>
      <c r="R47" s="25"/>
    </row>
    <row r="48" spans="1:18" ht="30" customHeight="1" x14ac:dyDescent="0.25">
      <c r="A48" s="18" t="s">
        <v>76</v>
      </c>
      <c r="B48" s="26">
        <v>215220</v>
      </c>
      <c r="C48" s="20" t="s">
        <v>19</v>
      </c>
      <c r="D48" s="21" t="s">
        <v>77</v>
      </c>
      <c r="E48" s="19" t="s">
        <v>48</v>
      </c>
      <c r="F48" s="19">
        <v>1</v>
      </c>
      <c r="G48" s="22">
        <v>44214</v>
      </c>
      <c r="H48" s="22">
        <v>44221</v>
      </c>
      <c r="I48" s="22">
        <v>44224</v>
      </c>
      <c r="J48" s="23"/>
      <c r="K48" s="20" t="s">
        <v>22</v>
      </c>
      <c r="L48" s="24" t="s">
        <v>23</v>
      </c>
      <c r="M48" s="20" t="s">
        <v>24</v>
      </c>
      <c r="N48" s="20">
        <v>1</v>
      </c>
      <c r="O48" s="20" t="s">
        <v>25</v>
      </c>
      <c r="P48" s="23" t="s">
        <v>25</v>
      </c>
      <c r="Q48" s="20" t="s">
        <v>28</v>
      </c>
      <c r="R48" s="25" t="s">
        <v>53</v>
      </c>
    </row>
    <row r="49" spans="1:18" ht="30" customHeight="1" x14ac:dyDescent="0.25">
      <c r="A49" s="18" t="s">
        <v>76</v>
      </c>
      <c r="B49" s="26">
        <v>215220</v>
      </c>
      <c r="C49" s="20" t="s">
        <v>19</v>
      </c>
      <c r="D49" s="21" t="s">
        <v>77</v>
      </c>
      <c r="E49" s="19" t="s">
        <v>32</v>
      </c>
      <c r="F49" s="19">
        <v>1</v>
      </c>
      <c r="G49" s="22">
        <v>44214</v>
      </c>
      <c r="H49" s="22">
        <v>44221</v>
      </c>
      <c r="I49" s="22">
        <v>44224</v>
      </c>
      <c r="J49" s="23"/>
      <c r="K49" s="20" t="s">
        <v>22</v>
      </c>
      <c r="L49" s="24" t="s">
        <v>23</v>
      </c>
      <c r="M49" s="20" t="s">
        <v>24</v>
      </c>
      <c r="N49" s="20">
        <v>1</v>
      </c>
      <c r="O49" s="20" t="s">
        <v>25</v>
      </c>
      <c r="P49" s="23" t="s">
        <v>25</v>
      </c>
      <c r="Q49" s="20" t="s">
        <v>28</v>
      </c>
      <c r="R49" s="25" t="s">
        <v>53</v>
      </c>
    </row>
    <row r="50" spans="1:18" ht="30" customHeight="1" x14ac:dyDescent="0.25">
      <c r="A50" s="18" t="s">
        <v>76</v>
      </c>
      <c r="B50" s="26">
        <v>215220</v>
      </c>
      <c r="C50" s="20" t="s">
        <v>19</v>
      </c>
      <c r="D50" s="21" t="s">
        <v>77</v>
      </c>
      <c r="E50" s="19" t="s">
        <v>45</v>
      </c>
      <c r="F50" s="19">
        <v>1</v>
      </c>
      <c r="G50" s="22">
        <v>44214</v>
      </c>
      <c r="H50" s="22">
        <v>44221</v>
      </c>
      <c r="I50" s="22">
        <v>44224</v>
      </c>
      <c r="J50" s="23"/>
      <c r="K50" s="20" t="s">
        <v>22</v>
      </c>
      <c r="L50" s="24" t="s">
        <v>23</v>
      </c>
      <c r="M50" s="20" t="s">
        <v>24</v>
      </c>
      <c r="N50" s="20">
        <v>1</v>
      </c>
      <c r="O50" s="20" t="s">
        <v>25</v>
      </c>
      <c r="P50" s="23" t="s">
        <v>25</v>
      </c>
      <c r="Q50" s="20" t="s">
        <v>28</v>
      </c>
      <c r="R50" s="25" t="s">
        <v>53</v>
      </c>
    </row>
    <row r="51" spans="1:18" ht="30" customHeight="1" x14ac:dyDescent="0.25">
      <c r="A51" s="18" t="s">
        <v>67</v>
      </c>
      <c r="B51" s="26">
        <v>217161</v>
      </c>
      <c r="C51" s="20" t="s">
        <v>30</v>
      </c>
      <c r="D51" s="21" t="s">
        <v>83</v>
      </c>
      <c r="E51" s="19" t="s">
        <v>43</v>
      </c>
      <c r="F51" s="19">
        <v>2</v>
      </c>
      <c r="G51" s="22">
        <v>44223</v>
      </c>
      <c r="H51" s="22">
        <v>44224</v>
      </c>
      <c r="I51" s="22">
        <v>44224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 t="s">
        <v>26</v>
      </c>
      <c r="Q51" s="20" t="s">
        <v>28</v>
      </c>
      <c r="R51" s="25" t="s">
        <v>27</v>
      </c>
    </row>
    <row r="52" spans="1:18" ht="30" customHeight="1" x14ac:dyDescent="0.25">
      <c r="A52" s="18" t="s">
        <v>54</v>
      </c>
      <c r="B52" s="26">
        <v>179192</v>
      </c>
      <c r="C52" s="20" t="s">
        <v>55</v>
      </c>
      <c r="D52" s="21" t="s">
        <v>84</v>
      </c>
      <c r="E52" s="19" t="s">
        <v>66</v>
      </c>
      <c r="F52" s="19">
        <v>3</v>
      </c>
      <c r="G52" s="22">
        <v>44039</v>
      </c>
      <c r="H52" s="22"/>
      <c r="I52" s="22">
        <v>44211</v>
      </c>
      <c r="J52" s="23"/>
      <c r="K52" s="20" t="s">
        <v>22</v>
      </c>
      <c r="L52" s="24" t="s">
        <v>41</v>
      </c>
      <c r="M52" s="20" t="s">
        <v>24</v>
      </c>
      <c r="N52" s="20"/>
      <c r="O52" s="20" t="s">
        <v>26</v>
      </c>
      <c r="P52" s="23" t="s">
        <v>25</v>
      </c>
      <c r="Q52" s="20" t="s">
        <v>28</v>
      </c>
      <c r="R52" s="25" t="s">
        <v>53</v>
      </c>
    </row>
    <row r="53" spans="1:18" ht="30" customHeight="1" x14ac:dyDescent="0.25">
      <c r="A53" s="18" t="s">
        <v>54</v>
      </c>
      <c r="B53" s="26">
        <v>179192</v>
      </c>
      <c r="C53" s="20" t="s">
        <v>55</v>
      </c>
      <c r="D53" s="21" t="s">
        <v>84</v>
      </c>
      <c r="E53" s="19" t="s">
        <v>34</v>
      </c>
      <c r="F53" s="19">
        <v>4</v>
      </c>
      <c r="G53" s="22">
        <v>44039</v>
      </c>
      <c r="H53" s="22"/>
      <c r="I53" s="22">
        <v>44211</v>
      </c>
      <c r="J53" s="23" t="s">
        <v>85</v>
      </c>
      <c r="K53" s="20" t="s">
        <v>22</v>
      </c>
      <c r="L53" s="24" t="s">
        <v>33</v>
      </c>
      <c r="M53" s="20" t="s">
        <v>24</v>
      </c>
      <c r="N53" s="20"/>
      <c r="O53" s="20" t="s">
        <v>25</v>
      </c>
      <c r="P53" s="23" t="s">
        <v>25</v>
      </c>
      <c r="Q53" s="20" t="s">
        <v>28</v>
      </c>
      <c r="R53" s="25" t="s">
        <v>53</v>
      </c>
    </row>
    <row r="54" spans="1:18" ht="30" customHeight="1" x14ac:dyDescent="0.25">
      <c r="A54" s="18" t="s">
        <v>54</v>
      </c>
      <c r="B54" s="26">
        <v>179192</v>
      </c>
      <c r="C54" s="20" t="s">
        <v>55</v>
      </c>
      <c r="D54" s="21" t="s">
        <v>84</v>
      </c>
      <c r="E54" s="19" t="s">
        <v>34</v>
      </c>
      <c r="F54" s="19">
        <v>5</v>
      </c>
      <c r="G54" s="22">
        <v>44039</v>
      </c>
      <c r="H54" s="22"/>
      <c r="I54" s="22">
        <v>44211</v>
      </c>
      <c r="J54" s="23" t="s">
        <v>86</v>
      </c>
      <c r="K54" s="20" t="s">
        <v>22</v>
      </c>
      <c r="L54" s="24" t="s">
        <v>41</v>
      </c>
      <c r="M54" s="20" t="s">
        <v>24</v>
      </c>
      <c r="N54" s="20"/>
      <c r="O54" s="20" t="s">
        <v>26</v>
      </c>
      <c r="P54" s="23" t="s">
        <v>25</v>
      </c>
      <c r="Q54" s="20" t="s">
        <v>28</v>
      </c>
      <c r="R54" s="25" t="s">
        <v>53</v>
      </c>
    </row>
    <row r="55" spans="1:18" ht="30" customHeight="1" x14ac:dyDescent="0.25">
      <c r="A55" s="18" t="s">
        <v>54</v>
      </c>
      <c r="B55" s="26">
        <v>179192</v>
      </c>
      <c r="C55" s="20" t="s">
        <v>55</v>
      </c>
      <c r="D55" s="21" t="s">
        <v>84</v>
      </c>
      <c r="E55" s="19" t="s">
        <v>80</v>
      </c>
      <c r="F55" s="19">
        <v>5</v>
      </c>
      <c r="G55" s="22">
        <v>44039</v>
      </c>
      <c r="H55" s="22"/>
      <c r="I55" s="22">
        <v>44211</v>
      </c>
      <c r="J55" s="23" t="s">
        <v>87</v>
      </c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25</v>
      </c>
      <c r="Q55" s="20" t="s">
        <v>28</v>
      </c>
      <c r="R55" s="25" t="s">
        <v>53</v>
      </c>
    </row>
    <row r="56" spans="1:18" ht="30" customHeight="1" x14ac:dyDescent="0.25">
      <c r="A56" s="18" t="s">
        <v>54</v>
      </c>
      <c r="B56" s="26">
        <v>179192</v>
      </c>
      <c r="C56" s="20" t="s">
        <v>55</v>
      </c>
      <c r="D56" s="21" t="s">
        <v>84</v>
      </c>
      <c r="E56" s="19" t="s">
        <v>61</v>
      </c>
      <c r="F56" s="19">
        <v>2</v>
      </c>
      <c r="G56" s="22">
        <v>44039</v>
      </c>
      <c r="H56" s="22"/>
      <c r="I56" s="22">
        <v>44211</v>
      </c>
      <c r="J56" s="23"/>
      <c r="K56" s="20" t="s">
        <v>22</v>
      </c>
      <c r="L56" s="24" t="s">
        <v>33</v>
      </c>
      <c r="M56" s="20" t="s">
        <v>24</v>
      </c>
      <c r="N56" s="20"/>
      <c r="O56" s="20" t="s">
        <v>25</v>
      </c>
      <c r="P56" s="23" t="s">
        <v>25</v>
      </c>
      <c r="Q56" s="20" t="s">
        <v>28</v>
      </c>
      <c r="R56" s="25" t="s">
        <v>53</v>
      </c>
    </row>
    <row r="57" spans="1:18" ht="30" customHeight="1" x14ac:dyDescent="0.25">
      <c r="A57" s="18" t="s">
        <v>54</v>
      </c>
      <c r="B57" s="26">
        <v>179192</v>
      </c>
      <c r="C57" s="20" t="s">
        <v>55</v>
      </c>
      <c r="D57" s="21" t="s">
        <v>84</v>
      </c>
      <c r="E57" s="19" t="s">
        <v>88</v>
      </c>
      <c r="F57" s="19">
        <v>1</v>
      </c>
      <c r="G57" s="22">
        <v>44039</v>
      </c>
      <c r="H57" s="22"/>
      <c r="I57" s="22">
        <v>44211</v>
      </c>
      <c r="J57" s="23"/>
      <c r="K57" s="20" t="s">
        <v>22</v>
      </c>
      <c r="L57" s="24" t="s">
        <v>41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5" t="s">
        <v>53</v>
      </c>
    </row>
    <row r="58" spans="1:18" ht="30" customHeight="1" x14ac:dyDescent="0.25">
      <c r="A58" s="18" t="s">
        <v>54</v>
      </c>
      <c r="B58" s="26">
        <v>179192</v>
      </c>
      <c r="C58" s="20" t="s">
        <v>55</v>
      </c>
      <c r="D58" s="21" t="s">
        <v>84</v>
      </c>
      <c r="E58" s="19" t="s">
        <v>62</v>
      </c>
      <c r="F58" s="19">
        <v>2</v>
      </c>
      <c r="G58" s="22">
        <v>44039</v>
      </c>
      <c r="H58" s="22"/>
      <c r="I58" s="22">
        <v>44211</v>
      </c>
      <c r="J58" s="23"/>
      <c r="K58" s="20" t="s">
        <v>22</v>
      </c>
      <c r="L58" s="24" t="s">
        <v>41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5" t="s">
        <v>53</v>
      </c>
    </row>
    <row r="59" spans="1:18" ht="30" customHeight="1" x14ac:dyDescent="0.25">
      <c r="A59" s="18" t="s">
        <v>54</v>
      </c>
      <c r="B59" s="26">
        <v>179192</v>
      </c>
      <c r="C59" s="20" t="s">
        <v>55</v>
      </c>
      <c r="D59" s="21" t="s">
        <v>84</v>
      </c>
      <c r="E59" s="19" t="s">
        <v>80</v>
      </c>
      <c r="F59" s="19">
        <v>3</v>
      </c>
      <c r="G59" s="22">
        <v>44039</v>
      </c>
      <c r="H59" s="22"/>
      <c r="I59" s="22">
        <v>44211</v>
      </c>
      <c r="J59" s="23"/>
      <c r="K59" s="20" t="s">
        <v>22</v>
      </c>
      <c r="L59" s="24" t="s">
        <v>41</v>
      </c>
      <c r="M59" s="20" t="s">
        <v>24</v>
      </c>
      <c r="N59" s="20"/>
      <c r="O59" s="20" t="s">
        <v>26</v>
      </c>
      <c r="P59" s="23" t="s">
        <v>25</v>
      </c>
      <c r="Q59" s="20" t="s">
        <v>28</v>
      </c>
      <c r="R59" s="25" t="s">
        <v>53</v>
      </c>
    </row>
    <row r="60" spans="1:18" ht="30" customHeight="1" x14ac:dyDescent="0.25">
      <c r="A60" s="18" t="s">
        <v>54</v>
      </c>
      <c r="B60" s="26">
        <v>179192</v>
      </c>
      <c r="C60" s="20" t="s">
        <v>55</v>
      </c>
      <c r="D60" s="21" t="s">
        <v>84</v>
      </c>
      <c r="E60" s="19" t="s">
        <v>79</v>
      </c>
      <c r="F60" s="19">
        <v>1</v>
      </c>
      <c r="G60" s="22">
        <v>44039</v>
      </c>
      <c r="H60" s="22"/>
      <c r="I60" s="22">
        <v>44211</v>
      </c>
      <c r="J60" s="23"/>
      <c r="K60" s="20" t="s">
        <v>22</v>
      </c>
      <c r="L60" s="24" t="s">
        <v>41</v>
      </c>
      <c r="M60" s="20" t="s">
        <v>24</v>
      </c>
      <c r="N60" s="20"/>
      <c r="O60" s="20" t="s">
        <v>26</v>
      </c>
      <c r="P60" s="23" t="s">
        <v>25</v>
      </c>
      <c r="Q60" s="20" t="s">
        <v>28</v>
      </c>
      <c r="R60" s="25" t="s">
        <v>53</v>
      </c>
    </row>
    <row r="61" spans="1:18" ht="30" customHeight="1" x14ac:dyDescent="0.25">
      <c r="A61" s="18" t="s">
        <v>54</v>
      </c>
      <c r="B61" s="26">
        <v>179192</v>
      </c>
      <c r="C61" s="20" t="s">
        <v>55</v>
      </c>
      <c r="D61" s="21" t="s">
        <v>84</v>
      </c>
      <c r="E61" s="19" t="s">
        <v>48</v>
      </c>
      <c r="F61" s="19">
        <v>6</v>
      </c>
      <c r="G61" s="22">
        <v>44039</v>
      </c>
      <c r="H61" s="22"/>
      <c r="I61" s="22">
        <v>44211</v>
      </c>
      <c r="J61" s="23"/>
      <c r="K61" s="20" t="s">
        <v>22</v>
      </c>
      <c r="L61" s="24" t="s">
        <v>33</v>
      </c>
      <c r="M61" s="20" t="s">
        <v>24</v>
      </c>
      <c r="N61" s="20"/>
      <c r="O61" s="20" t="s">
        <v>25</v>
      </c>
      <c r="P61" s="23" t="s">
        <v>25</v>
      </c>
      <c r="Q61" s="20" t="s">
        <v>28</v>
      </c>
      <c r="R61" s="25" t="s">
        <v>53</v>
      </c>
    </row>
    <row r="62" spans="1:18" ht="30" customHeight="1" x14ac:dyDescent="0.25">
      <c r="A62" s="18" t="s">
        <v>54</v>
      </c>
      <c r="B62" s="26">
        <v>179192</v>
      </c>
      <c r="C62" s="20" t="s">
        <v>55</v>
      </c>
      <c r="D62" s="21" t="s">
        <v>84</v>
      </c>
      <c r="E62" s="19" t="s">
        <v>89</v>
      </c>
      <c r="F62" s="19">
        <v>4</v>
      </c>
      <c r="G62" s="22">
        <v>44039</v>
      </c>
      <c r="H62" s="22"/>
      <c r="I62" s="22">
        <v>44211</v>
      </c>
      <c r="J62" s="23"/>
      <c r="K62" s="20" t="s">
        <v>22</v>
      </c>
      <c r="L62" s="24" t="s">
        <v>33</v>
      </c>
      <c r="M62" s="20" t="s">
        <v>24</v>
      </c>
      <c r="N62" s="20"/>
      <c r="O62" s="20" t="s">
        <v>25</v>
      </c>
      <c r="P62" s="23" t="s">
        <v>25</v>
      </c>
      <c r="Q62" s="20" t="s">
        <v>28</v>
      </c>
      <c r="R62" s="25" t="s">
        <v>53</v>
      </c>
    </row>
    <row r="63" spans="1:18" ht="30" customHeight="1" x14ac:dyDescent="0.25">
      <c r="A63" s="18" t="s">
        <v>54</v>
      </c>
      <c r="B63" s="26">
        <v>179192</v>
      </c>
      <c r="C63" s="20" t="s">
        <v>55</v>
      </c>
      <c r="D63" s="21" t="s">
        <v>84</v>
      </c>
      <c r="E63" s="19" t="s">
        <v>32</v>
      </c>
      <c r="F63" s="19">
        <v>3</v>
      </c>
      <c r="G63" s="22">
        <v>44039</v>
      </c>
      <c r="H63" s="22"/>
      <c r="I63" s="22">
        <v>44211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 t="s">
        <v>25</v>
      </c>
      <c r="Q63" s="20" t="s">
        <v>28</v>
      </c>
      <c r="R63" s="25" t="s">
        <v>53</v>
      </c>
    </row>
    <row r="64" spans="1:18" ht="30" customHeight="1" x14ac:dyDescent="0.25">
      <c r="A64" s="18" t="s">
        <v>54</v>
      </c>
      <c r="B64" s="26">
        <v>179192</v>
      </c>
      <c r="C64" s="20" t="s">
        <v>55</v>
      </c>
      <c r="D64" s="21" t="s">
        <v>84</v>
      </c>
      <c r="E64" s="19" t="s">
        <v>35</v>
      </c>
      <c r="F64" s="19">
        <v>14</v>
      </c>
      <c r="G64" s="22">
        <v>44039</v>
      </c>
      <c r="H64" s="22"/>
      <c r="I64" s="22">
        <v>44211</v>
      </c>
      <c r="J64" s="23" t="s">
        <v>90</v>
      </c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25</v>
      </c>
      <c r="Q64" s="20" t="s">
        <v>28</v>
      </c>
      <c r="R64" s="25" t="s">
        <v>53</v>
      </c>
    </row>
    <row r="65" spans="1:18" ht="30" customHeight="1" x14ac:dyDescent="0.25">
      <c r="A65" s="18" t="s">
        <v>54</v>
      </c>
      <c r="B65" s="26">
        <v>179192</v>
      </c>
      <c r="C65" s="20" t="s">
        <v>55</v>
      </c>
      <c r="D65" s="21" t="s">
        <v>84</v>
      </c>
      <c r="E65" s="19" t="s">
        <v>35</v>
      </c>
      <c r="F65" s="19">
        <v>2</v>
      </c>
      <c r="G65" s="22">
        <v>44039</v>
      </c>
      <c r="H65" s="22"/>
      <c r="I65" s="22">
        <v>44211</v>
      </c>
      <c r="J65" s="23" t="s">
        <v>91</v>
      </c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25</v>
      </c>
      <c r="Q65" s="20" t="s">
        <v>28</v>
      </c>
      <c r="R65" s="25" t="s">
        <v>53</v>
      </c>
    </row>
    <row r="66" spans="1:18" ht="30" customHeight="1" x14ac:dyDescent="0.25">
      <c r="A66" s="18" t="s">
        <v>54</v>
      </c>
      <c r="B66" s="26">
        <v>179192</v>
      </c>
      <c r="C66" s="20" t="s">
        <v>55</v>
      </c>
      <c r="D66" s="21" t="s">
        <v>84</v>
      </c>
      <c r="E66" s="19" t="s">
        <v>92</v>
      </c>
      <c r="F66" s="19">
        <v>5</v>
      </c>
      <c r="G66" s="22">
        <v>44039</v>
      </c>
      <c r="H66" s="22"/>
      <c r="I66" s="22">
        <v>44211</v>
      </c>
      <c r="J66" s="23"/>
      <c r="K66" s="20" t="s">
        <v>22</v>
      </c>
      <c r="L66" s="24" t="s">
        <v>33</v>
      </c>
      <c r="M66" s="20" t="s">
        <v>24</v>
      </c>
      <c r="N66" s="20"/>
      <c r="O66" s="20" t="s">
        <v>25</v>
      </c>
      <c r="P66" s="23" t="s">
        <v>25</v>
      </c>
      <c r="Q66" s="20" t="s">
        <v>28</v>
      </c>
      <c r="R66" s="25" t="s">
        <v>53</v>
      </c>
    </row>
    <row r="67" spans="1:18" ht="30" customHeight="1" x14ac:dyDescent="0.25">
      <c r="A67" s="18" t="s">
        <v>54</v>
      </c>
      <c r="B67" s="26">
        <v>179192</v>
      </c>
      <c r="C67" s="20" t="s">
        <v>55</v>
      </c>
      <c r="D67" s="21" t="s">
        <v>84</v>
      </c>
      <c r="E67" s="19" t="s">
        <v>42</v>
      </c>
      <c r="F67" s="19">
        <v>2</v>
      </c>
      <c r="G67" s="22">
        <v>44039</v>
      </c>
      <c r="H67" s="22"/>
      <c r="I67" s="22">
        <v>44211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54</v>
      </c>
      <c r="B68" s="26"/>
      <c r="C68" s="20" t="s">
        <v>55</v>
      </c>
      <c r="D68" s="21" t="s">
        <v>84</v>
      </c>
      <c r="E68" s="19" t="s">
        <v>93</v>
      </c>
      <c r="F68" s="19">
        <v>1</v>
      </c>
      <c r="G68" s="22">
        <v>44039</v>
      </c>
      <c r="H68" s="22"/>
      <c r="I68" s="22">
        <v>44211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54</v>
      </c>
      <c r="B69" s="26">
        <v>179192</v>
      </c>
      <c r="C69" s="20" t="s">
        <v>55</v>
      </c>
      <c r="D69" s="21" t="s">
        <v>84</v>
      </c>
      <c r="E69" s="19" t="s">
        <v>82</v>
      </c>
      <c r="F69" s="19">
        <v>6</v>
      </c>
      <c r="G69" s="22">
        <v>44039</v>
      </c>
      <c r="H69" s="22"/>
      <c r="I69" s="22">
        <v>44211</v>
      </c>
      <c r="J69" s="23"/>
      <c r="K69" s="20" t="s">
        <v>22</v>
      </c>
      <c r="L69" s="24" t="s">
        <v>41</v>
      </c>
      <c r="M69" s="20" t="s">
        <v>24</v>
      </c>
      <c r="N69" s="20"/>
      <c r="O69" s="20" t="s">
        <v>26</v>
      </c>
      <c r="P69" s="23" t="s">
        <v>25</v>
      </c>
      <c r="Q69" s="20" t="s">
        <v>28</v>
      </c>
      <c r="R69" s="25" t="s">
        <v>53</v>
      </c>
    </row>
    <row r="70" spans="1:18" ht="30" customHeight="1" x14ac:dyDescent="0.25">
      <c r="A70" s="18" t="s">
        <v>94</v>
      </c>
      <c r="B70" s="26" t="s">
        <v>95</v>
      </c>
      <c r="C70" s="20" t="s">
        <v>30</v>
      </c>
      <c r="D70" s="21" t="s">
        <v>96</v>
      </c>
      <c r="E70" s="19" t="s">
        <v>34</v>
      </c>
      <c r="F70" s="19">
        <v>1</v>
      </c>
      <c r="G70" s="22">
        <v>44224</v>
      </c>
      <c r="H70" s="22">
        <v>44224</v>
      </c>
      <c r="I70" s="22">
        <v>44224</v>
      </c>
      <c r="J70" s="23"/>
      <c r="K70" s="20" t="s">
        <v>22</v>
      </c>
      <c r="L70" s="24" t="s">
        <v>41</v>
      </c>
      <c r="M70" s="20" t="s">
        <v>24</v>
      </c>
      <c r="N70" s="20">
        <v>3</v>
      </c>
      <c r="O70" s="20" t="s">
        <v>26</v>
      </c>
      <c r="P70" s="23" t="s">
        <v>26</v>
      </c>
      <c r="Q70" s="20" t="s">
        <v>28</v>
      </c>
      <c r="R70" s="25" t="s">
        <v>28</v>
      </c>
    </row>
    <row r="71" spans="1:18" ht="30" customHeight="1" x14ac:dyDescent="0.25">
      <c r="A71" s="18" t="s">
        <v>39</v>
      </c>
      <c r="B71" s="26" t="s">
        <v>95</v>
      </c>
      <c r="C71" s="20" t="s">
        <v>30</v>
      </c>
      <c r="D71" s="21" t="s">
        <v>97</v>
      </c>
      <c r="E71" s="19" t="s">
        <v>66</v>
      </c>
      <c r="F71" s="19">
        <v>4</v>
      </c>
      <c r="G71" s="22">
        <v>44222</v>
      </c>
      <c r="H71" s="22">
        <v>44222</v>
      </c>
      <c r="I71" s="22">
        <v>44222</v>
      </c>
      <c r="J71" s="23"/>
      <c r="K71" s="20" t="s">
        <v>22</v>
      </c>
      <c r="L71" s="24" t="s">
        <v>23</v>
      </c>
      <c r="M71" s="20" t="s">
        <v>24</v>
      </c>
      <c r="N71" s="20">
        <v>2</v>
      </c>
      <c r="O71" s="20" t="s">
        <v>25</v>
      </c>
      <c r="P71" s="23" t="s">
        <v>26</v>
      </c>
      <c r="Q71" s="20" t="s">
        <v>28</v>
      </c>
      <c r="R71" s="25" t="s">
        <v>28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119" priority="161">
      <formula>$K2="CANCELADO"</formula>
    </cfRule>
    <cfRule type="expression" dxfId="118" priority="162">
      <formula>$K2="STAND-BY"</formula>
    </cfRule>
    <cfRule type="expression" dxfId="117" priority="163">
      <formula>$K2="AGUARDANDO APROVAÇÃO"</formula>
    </cfRule>
    <cfRule type="expression" dxfId="116" priority="164">
      <formula>$K2="OK"</formula>
    </cfRule>
    <cfRule type="expression" dxfId="115" priority="165">
      <formula>AND((TODAY()-$H2)&gt;0,$H2&lt;&gt;"",$I2="")=TRUE</formula>
    </cfRule>
  </conditionalFormatting>
  <conditionalFormatting sqref="A30:R30">
    <cfRule type="expression" dxfId="114" priority="156">
      <formula>$K30="CANCELADO"</formula>
    </cfRule>
    <cfRule type="expression" dxfId="113" priority="157">
      <formula>$K30="STAND-BY"</formula>
    </cfRule>
    <cfRule type="expression" dxfId="112" priority="158">
      <formula>$K30="AGUARDANDO APROVAÇÃO"</formula>
    </cfRule>
    <cfRule type="expression" dxfId="111" priority="159">
      <formula>$K30="OK"</formula>
    </cfRule>
    <cfRule type="expression" dxfId="110" priority="160">
      <formula>AND((TODAY()-$H30)&gt;0,$H30&lt;&gt;"",$I30="")=TRUE</formula>
    </cfRule>
  </conditionalFormatting>
  <conditionalFormatting sqref="A16:H18 L16:N18 J16:J18">
    <cfRule type="expression" dxfId="109" priority="151">
      <formula>$K16="CANCELADO"</formula>
    </cfRule>
    <cfRule type="expression" dxfId="108" priority="152">
      <formula>$K16="STAND-BY"</formula>
    </cfRule>
    <cfRule type="expression" dxfId="107" priority="153">
      <formula>$K16="AGUARDANDO APROVAÇÃO"</formula>
    </cfRule>
    <cfRule type="expression" dxfId="106" priority="154">
      <formula>$K16="OK"</formula>
    </cfRule>
    <cfRule type="expression" dxfId="105" priority="155">
      <formula>AND((TODAY()-$H16)&gt;0,$H16&lt;&gt;"",$I16="")=TRUE</formula>
    </cfRule>
  </conditionalFormatting>
  <conditionalFormatting sqref="I16:I18">
    <cfRule type="expression" dxfId="104" priority="146">
      <formula>$K16="CANCELADO"</formula>
    </cfRule>
    <cfRule type="expression" dxfId="103" priority="147">
      <formula>$K16="STAND-BY"</formula>
    </cfRule>
    <cfRule type="expression" dxfId="102" priority="148">
      <formula>$K16="AGUARDANDO APROVAÇÃO"</formula>
    </cfRule>
    <cfRule type="expression" dxfId="101" priority="149">
      <formula>$K16="OK"</formula>
    </cfRule>
    <cfRule type="expression" dxfId="100" priority="150">
      <formula>AND((TODAY()-$H16)&gt;0,$H16&lt;&gt;"",$I16="")=TRUE</formula>
    </cfRule>
  </conditionalFormatting>
  <conditionalFormatting sqref="A4:R4">
    <cfRule type="expression" dxfId="99" priority="136">
      <formula>$K4="CANCELADO"</formula>
    </cfRule>
    <cfRule type="expression" dxfId="98" priority="137">
      <formula>$K4="STAND-BY"</formula>
    </cfRule>
    <cfRule type="expression" dxfId="97" priority="138">
      <formula>$K4="AGUARDANDO APROVAÇÃO"</formula>
    </cfRule>
    <cfRule type="expression" dxfId="96" priority="139">
      <formula>$K4="OK"</formula>
    </cfRule>
    <cfRule type="expression" dxfId="95" priority="140">
      <formula>AND((TODAY()-$H4)&gt;0,$H4&lt;&gt;"",$I4="")=TRUE</formula>
    </cfRule>
  </conditionalFormatting>
  <conditionalFormatting sqref="A3:R3">
    <cfRule type="expression" dxfId="94" priority="131">
      <formula>$K3="CANCELADO"</formula>
    </cfRule>
    <cfRule type="expression" dxfId="93" priority="132">
      <formula>$K3="STAND-BY"</formula>
    </cfRule>
    <cfRule type="expression" dxfId="92" priority="133">
      <formula>$K3="AGUARDANDO APROVAÇÃO"</formula>
    </cfRule>
    <cfRule type="expression" dxfId="91" priority="134">
      <formula>$K3="OK"</formula>
    </cfRule>
    <cfRule type="expression" dxfId="90" priority="135">
      <formula>AND((TODAY()-$H3)&gt;0,$H3&lt;&gt;"",$I3="")=TRUE</formula>
    </cfRule>
  </conditionalFormatting>
  <conditionalFormatting sqref="A7:R7">
    <cfRule type="expression" dxfId="89" priority="121">
      <formula>$K7="CANCELADO"</formula>
    </cfRule>
    <cfRule type="expression" dxfId="88" priority="122">
      <formula>$K7="STAND-BY"</formula>
    </cfRule>
    <cfRule type="expression" dxfId="87" priority="123">
      <formula>$K7="AGUARDANDO APROVAÇÃO"</formula>
    </cfRule>
    <cfRule type="expression" dxfId="86" priority="124">
      <formula>$K7="OK"</formula>
    </cfRule>
    <cfRule type="expression" dxfId="85" priority="125">
      <formula>AND((TODAY()-$H7)&gt;0,$H7&lt;&gt;"",$I7="")=TRUE</formula>
    </cfRule>
  </conditionalFormatting>
  <conditionalFormatting sqref="A40:R40">
    <cfRule type="expression" dxfId="84" priority="116">
      <formula>$K40="CANCELADO"</formula>
    </cfRule>
    <cfRule type="expression" dxfId="83" priority="117">
      <formula>$K40="STAND-BY"</formula>
    </cfRule>
    <cfRule type="expression" dxfId="82" priority="118">
      <formula>$K40="AGUARDANDO APROVAÇÃO"</formula>
    </cfRule>
    <cfRule type="expression" dxfId="81" priority="119">
      <formula>$K40="OK"</formula>
    </cfRule>
    <cfRule type="expression" dxfId="80" priority="120">
      <formula>AND((TODAY()-$H40)&gt;0,$H40&lt;&gt;"",$I40="")=TRUE</formula>
    </cfRule>
  </conditionalFormatting>
  <conditionalFormatting sqref="A39:R39">
    <cfRule type="expression" dxfId="79" priority="111">
      <formula>$K39="CANCELADO"</formula>
    </cfRule>
    <cfRule type="expression" dxfId="78" priority="112">
      <formula>$K39="STAND-BY"</formula>
    </cfRule>
    <cfRule type="expression" dxfId="77" priority="113">
      <formula>$K39="AGUARDANDO APROVAÇÃO"</formula>
    </cfRule>
    <cfRule type="expression" dxfId="76" priority="114">
      <formula>$K39="OK"</formula>
    </cfRule>
    <cfRule type="expression" dxfId="75" priority="115">
      <formula>AND((TODAY()-$H39)&gt;0,$H39&lt;&gt;"",$I39="")=TRUE</formula>
    </cfRule>
  </conditionalFormatting>
  <conditionalFormatting sqref="A9:K14 M9:R14">
    <cfRule type="expression" dxfId="74" priority="56">
      <formula>$K9="CANCELADO"</formula>
    </cfRule>
    <cfRule type="expression" dxfId="73" priority="57">
      <formula>$K9="STAND-BY"</formula>
    </cfRule>
    <cfRule type="expression" dxfId="72" priority="58">
      <formula>$K9="AGUARDANDO APROVAÇÃO"</formula>
    </cfRule>
    <cfRule type="expression" dxfId="71" priority="59">
      <formula>$K9="OK"</formula>
    </cfRule>
    <cfRule type="expression" dxfId="70" priority="60">
      <formula>AND((TODAY()-$H9)&gt;0,$H9&lt;&gt;"",$I9="")=TRUE</formula>
    </cfRule>
  </conditionalFormatting>
  <conditionalFormatting sqref="A33:R33">
    <cfRule type="expression" dxfId="69" priority="46">
      <formula>$K33="CANCELADO"</formula>
    </cfRule>
    <cfRule type="expression" dxfId="68" priority="47">
      <formula>$K33="STAND-BY"</formula>
    </cfRule>
    <cfRule type="expression" dxfId="67" priority="48">
      <formula>$K33="AGUARDANDO APROVAÇÃO"</formula>
    </cfRule>
    <cfRule type="expression" dxfId="66" priority="49">
      <formula>$K33="OK"</formula>
    </cfRule>
    <cfRule type="expression" dxfId="65" priority="50">
      <formula>AND((TODAY()-$H33)&gt;0,$H33&lt;&gt;"",$I33="")=TRUE</formula>
    </cfRule>
  </conditionalFormatting>
  <conditionalFormatting sqref="A34:R34">
    <cfRule type="expression" dxfId="64" priority="41">
      <formula>$K34="CANCELADO"</formula>
    </cfRule>
    <cfRule type="expression" dxfId="63" priority="42">
      <formula>$K34="STAND-BY"</formula>
    </cfRule>
    <cfRule type="expression" dxfId="62" priority="43">
      <formula>$K34="AGUARDANDO APROVAÇÃO"</formula>
    </cfRule>
    <cfRule type="expression" dxfId="61" priority="44">
      <formula>$K34="OK"</formula>
    </cfRule>
    <cfRule type="expression" dxfId="60" priority="45">
      <formula>AND((TODAY()-$H34)&gt;0,$H34&lt;&gt;"",$I34="")=TRUE</formula>
    </cfRule>
  </conditionalFormatting>
  <conditionalFormatting sqref="A35:R35">
    <cfRule type="expression" dxfId="59" priority="36">
      <formula>$K35="CANCELADO"</formula>
    </cfRule>
    <cfRule type="expression" dxfId="58" priority="37">
      <formula>$K35="STAND-BY"</formula>
    </cfRule>
    <cfRule type="expression" dxfId="57" priority="38">
      <formula>$K35="AGUARDANDO APROVAÇÃO"</formula>
    </cfRule>
    <cfRule type="expression" dxfId="56" priority="39">
      <formula>$K35="OK"</formula>
    </cfRule>
    <cfRule type="expression" dxfId="55" priority="40">
      <formula>AND((TODAY()-$H35)&gt;0,$H35&lt;&gt;"",$I35="")=TRUE</formula>
    </cfRule>
  </conditionalFormatting>
  <conditionalFormatting sqref="A36:R36">
    <cfRule type="expression" dxfId="54" priority="31">
      <formula>$K36="CANCELADO"</formula>
    </cfRule>
    <cfRule type="expression" dxfId="53" priority="32">
      <formula>$K36="STAND-BY"</formula>
    </cfRule>
    <cfRule type="expression" dxfId="52" priority="33">
      <formula>$K36="AGUARDANDO APROVAÇÃO"</formula>
    </cfRule>
    <cfRule type="expression" dxfId="51" priority="34">
      <formula>$K36="OK"</formula>
    </cfRule>
    <cfRule type="expression" dxfId="50" priority="35">
      <formula>AND((TODAY()-$H36)&gt;0,$H36&lt;&gt;"",$I36="")=TRUE</formula>
    </cfRule>
  </conditionalFormatting>
  <conditionalFormatting sqref="A37:R37">
    <cfRule type="expression" dxfId="49" priority="26">
      <formula>$K37="CANCELADO"</formula>
    </cfRule>
    <cfRule type="expression" dxfId="48" priority="27">
      <formula>$K37="STAND-BY"</formula>
    </cfRule>
    <cfRule type="expression" dxfId="47" priority="28">
      <formula>$K37="AGUARDANDO APROVAÇÃO"</formula>
    </cfRule>
    <cfRule type="expression" dxfId="46" priority="29">
      <formula>$K37="OK"</formula>
    </cfRule>
    <cfRule type="expression" dxfId="45" priority="30">
      <formula>AND((TODAY()-$H37)&gt;0,$H37&lt;&gt;"",$I37="")=TRUE</formula>
    </cfRule>
  </conditionalFormatting>
  <conditionalFormatting sqref="A48:R48">
    <cfRule type="expression" dxfId="44" priority="21">
      <formula>$K48="CANCELADO"</formula>
    </cfRule>
    <cfRule type="expression" dxfId="43" priority="22">
      <formula>$K48="STAND-BY"</formula>
    </cfRule>
    <cfRule type="expression" dxfId="42" priority="23">
      <formula>$K48="AGUARDANDO APROVAÇÃO"</formula>
    </cfRule>
    <cfRule type="expression" dxfId="41" priority="24">
      <formula>$K48="OK"</formula>
    </cfRule>
    <cfRule type="expression" dxfId="40" priority="25">
      <formula>AND((TODAY()-$H48)&gt;0,$H48&lt;&gt;"",$I48="")=TRUE</formula>
    </cfRule>
  </conditionalFormatting>
  <conditionalFormatting sqref="A49:R49">
    <cfRule type="expression" dxfId="39" priority="16">
      <formula>$K49="CANCELADO"</formula>
    </cfRule>
    <cfRule type="expression" dxfId="38" priority="17">
      <formula>$K49="STAND-BY"</formula>
    </cfRule>
    <cfRule type="expression" dxfId="37" priority="18">
      <formula>$K49="AGUARDANDO APROVAÇÃO"</formula>
    </cfRule>
    <cfRule type="expression" dxfId="36" priority="19">
      <formula>$K49="OK"</formula>
    </cfRule>
    <cfRule type="expression" dxfId="35" priority="20">
      <formula>AND((TODAY()-$H49)&gt;0,$H49&lt;&gt;"",$I49="")=TRUE</formula>
    </cfRule>
  </conditionalFormatting>
  <conditionalFormatting sqref="A50:R50">
    <cfRule type="expression" dxfId="34" priority="11">
      <formula>$K50="CANCELADO"</formula>
    </cfRule>
    <cfRule type="expression" dxfId="33" priority="12">
      <formula>$K50="STAND-BY"</formula>
    </cfRule>
    <cfRule type="expression" dxfId="32" priority="13">
      <formula>$K50="AGUARDANDO APROVAÇÃO"</formula>
    </cfRule>
    <cfRule type="expression" dxfId="31" priority="14">
      <formula>$K50="OK"</formula>
    </cfRule>
    <cfRule type="expression" dxfId="30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DDF14F13-503C-4121-A825-BA104BA6FEBB}">
          <x14:formula1>
            <xm:f>'NÃO MEXER'!$C$2:$C$83</xm:f>
          </x14:formula1>
          <xm:sqref>E2:E71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sheetPr codeName="Planilha6"/>
  <dimension ref="A1:R97"/>
  <sheetViews>
    <sheetView workbookViewId="0">
      <selection activeCell="A4" sqref="A4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54</v>
      </c>
      <c r="B2" s="26"/>
      <c r="C2" s="20" t="s">
        <v>55</v>
      </c>
      <c r="D2" s="21" t="s">
        <v>98</v>
      </c>
      <c r="E2" s="19" t="s">
        <v>34</v>
      </c>
      <c r="F2" s="19">
        <v>34</v>
      </c>
      <c r="G2" s="22">
        <v>44188</v>
      </c>
      <c r="H2" s="22">
        <v>44194</v>
      </c>
      <c r="I2" s="22">
        <v>44194</v>
      </c>
      <c r="J2" s="23"/>
      <c r="K2" s="20" t="s">
        <v>22</v>
      </c>
      <c r="L2" s="24" t="s">
        <v>41</v>
      </c>
      <c r="M2" s="20" t="s">
        <v>24</v>
      </c>
      <c r="N2" s="20"/>
      <c r="O2" s="20" t="s">
        <v>26</v>
      </c>
      <c r="P2" s="23"/>
      <c r="Q2" s="20" t="s">
        <v>53</v>
      </c>
      <c r="R2" s="25" t="s">
        <v>28</v>
      </c>
    </row>
    <row r="3" spans="1:18" ht="30" customHeight="1" x14ac:dyDescent="0.25">
      <c r="A3" s="18" t="s">
        <v>18</v>
      </c>
      <c r="B3" s="26">
        <v>208701</v>
      </c>
      <c r="C3" s="20" t="s">
        <v>55</v>
      </c>
      <c r="D3" s="21" t="s">
        <v>99</v>
      </c>
      <c r="E3" s="19" t="s">
        <v>32</v>
      </c>
      <c r="F3" s="19">
        <v>10</v>
      </c>
      <c r="G3" s="22">
        <v>44180</v>
      </c>
      <c r="H3" s="22">
        <v>44194</v>
      </c>
      <c r="I3" s="22">
        <v>44183</v>
      </c>
      <c r="J3" s="23"/>
      <c r="K3" s="20" t="s">
        <v>22</v>
      </c>
      <c r="L3" s="24" t="s">
        <v>23</v>
      </c>
      <c r="M3" s="20" t="s">
        <v>24</v>
      </c>
      <c r="N3" s="20">
        <v>3</v>
      </c>
      <c r="O3" s="20" t="s">
        <v>25</v>
      </c>
      <c r="P3" s="23"/>
      <c r="Q3" s="20" t="s">
        <v>28</v>
      </c>
      <c r="R3" s="25" t="s">
        <v>73</v>
      </c>
    </row>
    <row r="4" spans="1:18" ht="30" customHeight="1" x14ac:dyDescent="0.25">
      <c r="A4" s="18" t="s">
        <v>54</v>
      </c>
      <c r="B4" s="26">
        <v>179192</v>
      </c>
      <c r="C4" s="20" t="s">
        <v>55</v>
      </c>
      <c r="D4" s="21" t="s">
        <v>98</v>
      </c>
      <c r="E4" s="19" t="s">
        <v>34</v>
      </c>
      <c r="F4" s="19">
        <v>3</v>
      </c>
      <c r="G4" s="22">
        <v>44180.510289351849</v>
      </c>
      <c r="H4" s="22">
        <v>44174</v>
      </c>
      <c r="I4" s="22">
        <v>44174</v>
      </c>
      <c r="J4" s="23"/>
      <c r="K4" s="20" t="s">
        <v>22</v>
      </c>
      <c r="L4" s="24" t="s">
        <v>41</v>
      </c>
      <c r="M4" s="20" t="s">
        <v>24</v>
      </c>
      <c r="N4" s="20"/>
      <c r="O4" s="20" t="s">
        <v>26</v>
      </c>
      <c r="P4" s="23"/>
      <c r="Q4" s="20" t="s">
        <v>53</v>
      </c>
      <c r="R4" s="25" t="s">
        <v>28</v>
      </c>
    </row>
    <row r="5" spans="1:18" ht="30" customHeight="1" x14ac:dyDescent="0.25">
      <c r="A5" s="18" t="s">
        <v>54</v>
      </c>
      <c r="B5" s="26">
        <v>179192</v>
      </c>
      <c r="C5" s="20" t="s">
        <v>55</v>
      </c>
      <c r="D5" s="21" t="s">
        <v>98</v>
      </c>
      <c r="E5" s="19" t="s">
        <v>32</v>
      </c>
      <c r="F5" s="19">
        <v>12</v>
      </c>
      <c r="G5" s="22">
        <v>44173</v>
      </c>
      <c r="H5" s="22">
        <v>44174</v>
      </c>
      <c r="I5" s="22">
        <v>44174</v>
      </c>
      <c r="J5" s="23"/>
      <c r="K5" s="20" t="s">
        <v>22</v>
      </c>
      <c r="L5" s="24" t="s">
        <v>41</v>
      </c>
      <c r="M5" s="20" t="s">
        <v>24</v>
      </c>
      <c r="N5" s="20">
        <v>4</v>
      </c>
      <c r="O5" s="20" t="s">
        <v>26</v>
      </c>
      <c r="P5" s="23"/>
      <c r="Q5" s="20" t="s">
        <v>28</v>
      </c>
      <c r="R5" s="25" t="s">
        <v>28</v>
      </c>
    </row>
    <row r="6" spans="1:18" ht="30" customHeight="1" x14ac:dyDescent="0.25">
      <c r="A6" s="18" t="s">
        <v>54</v>
      </c>
      <c r="B6" s="26">
        <v>179192</v>
      </c>
      <c r="C6" s="20" t="s">
        <v>55</v>
      </c>
      <c r="D6" s="21" t="s">
        <v>98</v>
      </c>
      <c r="E6" s="19" t="s">
        <v>62</v>
      </c>
      <c r="F6" s="19">
        <v>3</v>
      </c>
      <c r="G6" s="22">
        <v>44134</v>
      </c>
      <c r="H6" s="22">
        <v>44134</v>
      </c>
      <c r="I6" s="22">
        <v>44134</v>
      </c>
      <c r="J6" s="23"/>
      <c r="K6" s="20" t="s">
        <v>22</v>
      </c>
      <c r="L6" s="24" t="s">
        <v>41</v>
      </c>
      <c r="M6" s="20" t="s">
        <v>24</v>
      </c>
      <c r="N6" s="20">
        <v>2</v>
      </c>
      <c r="O6" s="20" t="s">
        <v>26</v>
      </c>
      <c r="P6" s="23"/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198253</v>
      </c>
      <c r="C7" s="20" t="s">
        <v>19</v>
      </c>
      <c r="D7" s="21" t="s">
        <v>100</v>
      </c>
      <c r="E7" s="19" t="s">
        <v>21</v>
      </c>
      <c r="F7" s="19">
        <v>2</v>
      </c>
      <c r="G7" s="22">
        <v>44140.671620370369</v>
      </c>
      <c r="H7" s="22">
        <v>44140</v>
      </c>
      <c r="I7" s="22">
        <v>44159</v>
      </c>
      <c r="J7" s="23"/>
      <c r="K7" s="20" t="s">
        <v>22</v>
      </c>
      <c r="L7" s="24" t="s">
        <v>23</v>
      </c>
      <c r="M7" s="20" t="s">
        <v>24</v>
      </c>
      <c r="N7" s="20">
        <v>1</v>
      </c>
      <c r="O7" s="20" t="s">
        <v>25</v>
      </c>
      <c r="P7" s="23" t="s">
        <v>25</v>
      </c>
      <c r="Q7" s="20" t="s">
        <v>28</v>
      </c>
      <c r="R7" s="25" t="s">
        <v>28</v>
      </c>
    </row>
    <row r="8" spans="1:18" ht="30" customHeight="1" x14ac:dyDescent="0.25">
      <c r="A8" s="18" t="s">
        <v>67</v>
      </c>
      <c r="B8" s="26">
        <v>216194</v>
      </c>
      <c r="C8" s="20" t="s">
        <v>19</v>
      </c>
      <c r="D8" s="21" t="s">
        <v>68</v>
      </c>
      <c r="E8" s="19" t="s">
        <v>32</v>
      </c>
      <c r="F8" s="19">
        <v>1</v>
      </c>
      <c r="G8" s="22">
        <v>44218</v>
      </c>
      <c r="H8" s="22">
        <v>44221</v>
      </c>
      <c r="I8" s="22">
        <v>44221</v>
      </c>
      <c r="J8" s="23"/>
      <c r="K8" s="20" t="s">
        <v>22</v>
      </c>
      <c r="L8" s="24" t="s">
        <v>57</v>
      </c>
      <c r="M8" s="20" t="s">
        <v>24</v>
      </c>
      <c r="N8" s="20">
        <v>2</v>
      </c>
      <c r="O8" s="20" t="s">
        <v>25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67</v>
      </c>
      <c r="B9" s="26">
        <v>216194</v>
      </c>
      <c r="C9" s="20" t="s">
        <v>19</v>
      </c>
      <c r="D9" s="21" t="s">
        <v>68</v>
      </c>
      <c r="E9" s="19" t="s">
        <v>32</v>
      </c>
      <c r="F9" s="19">
        <v>1</v>
      </c>
      <c r="G9" s="22">
        <v>44218</v>
      </c>
      <c r="H9" s="22">
        <v>44221</v>
      </c>
      <c r="I9" s="22">
        <v>44221</v>
      </c>
      <c r="J9" s="23"/>
      <c r="K9" s="20" t="s">
        <v>22</v>
      </c>
      <c r="L9" s="24"/>
      <c r="M9" s="20"/>
      <c r="N9" s="20">
        <v>2</v>
      </c>
      <c r="O9" s="20" t="s">
        <v>25</v>
      </c>
      <c r="P9" s="23" t="s">
        <v>26</v>
      </c>
      <c r="Q9" s="20" t="s">
        <v>27</v>
      </c>
      <c r="R9" s="25" t="s">
        <v>28</v>
      </c>
    </row>
    <row r="10" spans="1:18" ht="30" customHeight="1" x14ac:dyDescent="0.25">
      <c r="A10" s="18" t="s">
        <v>67</v>
      </c>
      <c r="B10" s="26">
        <v>216194</v>
      </c>
      <c r="C10" s="20" t="s">
        <v>19</v>
      </c>
      <c r="D10" s="21" t="s">
        <v>68</v>
      </c>
      <c r="E10" s="19" t="s">
        <v>92</v>
      </c>
      <c r="F10" s="19">
        <v>1</v>
      </c>
      <c r="G10" s="22">
        <v>44218</v>
      </c>
      <c r="H10" s="22">
        <v>44221</v>
      </c>
      <c r="I10" s="22">
        <v>44221</v>
      </c>
      <c r="J10" s="23"/>
      <c r="K10" s="20" t="s">
        <v>22</v>
      </c>
      <c r="L10" s="24"/>
      <c r="M10" s="20"/>
      <c r="N10" s="20"/>
      <c r="O10" s="20"/>
      <c r="P10" s="23"/>
      <c r="Q10" s="20"/>
      <c r="R10" s="25"/>
    </row>
    <row r="11" spans="1:18" ht="30" customHeight="1" x14ac:dyDescent="0.25">
      <c r="A11" s="18" t="s">
        <v>36</v>
      </c>
      <c r="B11" s="26">
        <v>214006</v>
      </c>
      <c r="C11" s="20" t="s">
        <v>30</v>
      </c>
      <c r="D11" s="21" t="s">
        <v>101</v>
      </c>
      <c r="E11" s="19" t="s">
        <v>34</v>
      </c>
      <c r="F11" s="19">
        <v>1</v>
      </c>
      <c r="G11" s="22">
        <v>44208</v>
      </c>
      <c r="H11" s="22">
        <v>44232</v>
      </c>
      <c r="I11" s="22">
        <v>44236</v>
      </c>
      <c r="J11" s="23"/>
      <c r="K11" s="20" t="s">
        <v>22</v>
      </c>
      <c r="L11" s="24" t="s">
        <v>41</v>
      </c>
      <c r="M11" s="20" t="s">
        <v>24</v>
      </c>
      <c r="N11" s="20"/>
      <c r="O11" s="20" t="s">
        <v>26</v>
      </c>
      <c r="P11" s="23" t="s">
        <v>26</v>
      </c>
      <c r="Q11" s="20" t="s">
        <v>28</v>
      </c>
      <c r="R11" s="25"/>
    </row>
    <row r="12" spans="1:18" ht="30" customHeight="1" x14ac:dyDescent="0.25">
      <c r="A12" s="18" t="s">
        <v>36</v>
      </c>
      <c r="B12" s="26">
        <v>214006</v>
      </c>
      <c r="C12" s="20" t="s">
        <v>30</v>
      </c>
      <c r="D12" s="21" t="s">
        <v>101</v>
      </c>
      <c r="E12" s="19" t="s">
        <v>48</v>
      </c>
      <c r="F12" s="19">
        <v>1</v>
      </c>
      <c r="G12" s="22">
        <v>44208</v>
      </c>
      <c r="H12" s="22">
        <v>44232</v>
      </c>
      <c r="I12" s="22">
        <v>44236</v>
      </c>
      <c r="J12" s="23"/>
      <c r="K12" s="20" t="s">
        <v>22</v>
      </c>
      <c r="L12" s="24" t="s">
        <v>41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5"/>
    </row>
    <row r="13" spans="1:18" ht="30" customHeight="1" x14ac:dyDescent="0.25">
      <c r="A13" s="18" t="s">
        <v>36</v>
      </c>
      <c r="B13" s="26">
        <v>214006</v>
      </c>
      <c r="C13" s="20" t="s">
        <v>30</v>
      </c>
      <c r="D13" s="21" t="s">
        <v>101</v>
      </c>
      <c r="E13" s="19" t="s">
        <v>32</v>
      </c>
      <c r="F13" s="19">
        <v>1</v>
      </c>
      <c r="G13" s="22">
        <v>44208</v>
      </c>
      <c r="H13" s="22">
        <v>44232</v>
      </c>
      <c r="I13" s="22">
        <v>44236</v>
      </c>
      <c r="J13" s="23"/>
      <c r="K13" s="20" t="s">
        <v>22</v>
      </c>
      <c r="L13" s="24" t="s">
        <v>41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5"/>
    </row>
    <row r="14" spans="1:18" ht="30" customHeight="1" x14ac:dyDescent="0.25">
      <c r="A14" s="18" t="s">
        <v>36</v>
      </c>
      <c r="B14" s="26">
        <v>214001</v>
      </c>
      <c r="C14" s="20" t="s">
        <v>30</v>
      </c>
      <c r="D14" s="21" t="s">
        <v>102</v>
      </c>
      <c r="E14" s="19" t="s">
        <v>34</v>
      </c>
      <c r="F14" s="19">
        <v>1</v>
      </c>
      <c r="G14" s="22">
        <v>44208</v>
      </c>
      <c r="H14" s="22">
        <v>44228</v>
      </c>
      <c r="I14" s="22">
        <v>44229</v>
      </c>
      <c r="J14" s="23"/>
      <c r="K14" s="20" t="s">
        <v>22</v>
      </c>
      <c r="L14" s="24" t="s">
        <v>41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5"/>
    </row>
    <row r="15" spans="1:18" ht="30" customHeight="1" x14ac:dyDescent="0.25">
      <c r="A15" s="18" t="s">
        <v>36</v>
      </c>
      <c r="B15" s="26">
        <v>214001</v>
      </c>
      <c r="C15" s="20" t="s">
        <v>30</v>
      </c>
      <c r="D15" s="21" t="s">
        <v>102</v>
      </c>
      <c r="E15" s="19" t="s">
        <v>48</v>
      </c>
      <c r="F15" s="19">
        <v>1</v>
      </c>
      <c r="G15" s="22">
        <v>44208</v>
      </c>
      <c r="H15" s="22">
        <v>44228</v>
      </c>
      <c r="I15" s="22">
        <v>44229</v>
      </c>
      <c r="J15" s="23"/>
      <c r="K15" s="20" t="s">
        <v>22</v>
      </c>
      <c r="L15" s="24" t="s">
        <v>41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5"/>
    </row>
    <row r="16" spans="1:18" ht="30" customHeight="1" x14ac:dyDescent="0.25">
      <c r="A16" s="18" t="s">
        <v>36</v>
      </c>
      <c r="B16" s="26">
        <v>214001</v>
      </c>
      <c r="C16" s="20" t="s">
        <v>30</v>
      </c>
      <c r="D16" s="21" t="s">
        <v>102</v>
      </c>
      <c r="E16" s="19" t="s">
        <v>32</v>
      </c>
      <c r="F16" s="19">
        <v>1</v>
      </c>
      <c r="G16" s="22">
        <v>44208</v>
      </c>
      <c r="H16" s="22">
        <v>44228</v>
      </c>
      <c r="I16" s="22">
        <v>44229</v>
      </c>
      <c r="J16" s="23"/>
      <c r="K16" s="20" t="s">
        <v>22</v>
      </c>
      <c r="L16" s="24" t="s">
        <v>41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5"/>
    </row>
    <row r="17" spans="1:18" ht="30" customHeight="1" x14ac:dyDescent="0.25">
      <c r="A17" s="18" t="s">
        <v>36</v>
      </c>
      <c r="B17" s="26">
        <v>214001</v>
      </c>
      <c r="C17" s="20" t="s">
        <v>30</v>
      </c>
      <c r="D17" s="21" t="s">
        <v>102</v>
      </c>
      <c r="E17" s="19" t="s">
        <v>43</v>
      </c>
      <c r="F17" s="19">
        <v>1</v>
      </c>
      <c r="G17" s="22">
        <v>44208</v>
      </c>
      <c r="H17" s="22">
        <v>44228</v>
      </c>
      <c r="I17" s="22">
        <v>44229</v>
      </c>
      <c r="J17" s="23"/>
      <c r="K17" s="20" t="s">
        <v>22</v>
      </c>
      <c r="L17" s="24" t="s">
        <v>41</v>
      </c>
      <c r="M17" s="20" t="s">
        <v>24</v>
      </c>
      <c r="N17" s="20"/>
      <c r="O17" s="20" t="s">
        <v>26</v>
      </c>
      <c r="P17" s="23" t="s">
        <v>26</v>
      </c>
      <c r="Q17" s="20" t="s">
        <v>28</v>
      </c>
      <c r="R17" s="25"/>
    </row>
    <row r="18" spans="1:18" ht="30" customHeight="1" x14ac:dyDescent="0.25">
      <c r="A18" s="18" t="s">
        <v>36</v>
      </c>
      <c r="B18" s="26">
        <v>214001</v>
      </c>
      <c r="C18" s="20" t="s">
        <v>30</v>
      </c>
      <c r="D18" s="21" t="s">
        <v>102</v>
      </c>
      <c r="E18" s="19" t="s">
        <v>35</v>
      </c>
      <c r="F18" s="19">
        <v>3</v>
      </c>
      <c r="G18" s="22">
        <v>44208</v>
      </c>
      <c r="H18" s="22">
        <v>44228</v>
      </c>
      <c r="I18" s="22">
        <v>44229</v>
      </c>
      <c r="J18" s="23"/>
      <c r="K18" s="20" t="s">
        <v>22</v>
      </c>
      <c r="L18" s="24" t="s">
        <v>41</v>
      </c>
      <c r="M18" s="20" t="s">
        <v>24</v>
      </c>
      <c r="N18" s="20"/>
      <c r="O18" s="20" t="s">
        <v>26</v>
      </c>
      <c r="P18" s="23" t="s">
        <v>26</v>
      </c>
      <c r="Q18" s="20" t="s">
        <v>28</v>
      </c>
      <c r="R18" s="25"/>
    </row>
    <row r="19" spans="1:18" ht="30" customHeight="1" x14ac:dyDescent="0.25">
      <c r="A19" s="18" t="s">
        <v>36</v>
      </c>
      <c r="B19" s="26">
        <v>214001</v>
      </c>
      <c r="C19" s="20" t="s">
        <v>30</v>
      </c>
      <c r="D19" s="21" t="s">
        <v>102</v>
      </c>
      <c r="E19" s="19" t="s">
        <v>66</v>
      </c>
      <c r="F19" s="19">
        <v>1</v>
      </c>
      <c r="G19" s="22">
        <v>44208</v>
      </c>
      <c r="H19" s="22">
        <v>44228</v>
      </c>
      <c r="I19" s="22">
        <v>44229</v>
      </c>
      <c r="J19" s="23"/>
      <c r="K19" s="20" t="s">
        <v>22</v>
      </c>
      <c r="L19" s="24" t="s">
        <v>41</v>
      </c>
      <c r="M19" s="20" t="s">
        <v>24</v>
      </c>
      <c r="N19" s="20"/>
      <c r="O19" s="20" t="s">
        <v>26</v>
      </c>
      <c r="P19" s="23" t="s">
        <v>26</v>
      </c>
      <c r="Q19" s="20" t="s">
        <v>28</v>
      </c>
      <c r="R19" s="25"/>
    </row>
    <row r="20" spans="1:18" ht="30" customHeight="1" x14ac:dyDescent="0.25">
      <c r="A20" s="18" t="s">
        <v>67</v>
      </c>
      <c r="B20" s="26">
        <v>216500</v>
      </c>
      <c r="C20" s="20" t="s">
        <v>19</v>
      </c>
      <c r="D20" s="21" t="s">
        <v>103</v>
      </c>
      <c r="E20" s="19" t="s">
        <v>21</v>
      </c>
      <c r="F20" s="19">
        <v>1</v>
      </c>
      <c r="G20" s="22">
        <v>44223</v>
      </c>
      <c r="H20" s="22">
        <v>44224</v>
      </c>
      <c r="I20" s="22">
        <v>44229</v>
      </c>
      <c r="J20" s="23"/>
      <c r="K20" s="20" t="s">
        <v>22</v>
      </c>
      <c r="L20" s="24" t="s">
        <v>33</v>
      </c>
      <c r="M20" s="20" t="s">
        <v>24</v>
      </c>
      <c r="N20" s="20"/>
      <c r="O20" s="20" t="s">
        <v>25</v>
      </c>
      <c r="P20" s="23" t="s">
        <v>26</v>
      </c>
      <c r="Q20" s="20" t="s">
        <v>28</v>
      </c>
      <c r="R20" s="25" t="s">
        <v>53</v>
      </c>
    </row>
    <row r="21" spans="1:18" ht="30" customHeight="1" x14ac:dyDescent="0.25">
      <c r="A21" s="18" t="s">
        <v>67</v>
      </c>
      <c r="B21" s="26">
        <v>216500</v>
      </c>
      <c r="C21" s="20" t="s">
        <v>19</v>
      </c>
      <c r="D21" s="21" t="s">
        <v>103</v>
      </c>
      <c r="E21" s="19" t="s">
        <v>62</v>
      </c>
      <c r="F21" s="19">
        <v>1</v>
      </c>
      <c r="G21" s="22">
        <v>44223</v>
      </c>
      <c r="H21" s="22">
        <v>44224</v>
      </c>
      <c r="I21" s="22">
        <v>44229</v>
      </c>
      <c r="J21" s="23"/>
      <c r="K21" s="20" t="s">
        <v>22</v>
      </c>
      <c r="L21" s="24" t="s">
        <v>33</v>
      </c>
      <c r="M21" s="20" t="s">
        <v>24</v>
      </c>
      <c r="N21" s="20"/>
      <c r="O21" s="20" t="s">
        <v>25</v>
      </c>
      <c r="P21" s="23" t="s">
        <v>26</v>
      </c>
      <c r="Q21" s="20" t="s">
        <v>28</v>
      </c>
      <c r="R21" s="25" t="s">
        <v>53</v>
      </c>
    </row>
    <row r="22" spans="1:18" ht="30" customHeight="1" x14ac:dyDescent="0.25">
      <c r="A22" s="18" t="s">
        <v>39</v>
      </c>
      <c r="B22" s="26" t="s">
        <v>95</v>
      </c>
      <c r="C22" s="20" t="s">
        <v>30</v>
      </c>
      <c r="D22" s="21" t="s">
        <v>104</v>
      </c>
      <c r="E22" s="19" t="s">
        <v>105</v>
      </c>
      <c r="F22" s="19">
        <v>1</v>
      </c>
      <c r="G22" s="22">
        <v>44218</v>
      </c>
      <c r="H22" s="22">
        <v>44225</v>
      </c>
      <c r="I22" s="22">
        <v>44225</v>
      </c>
      <c r="J22" s="23"/>
      <c r="K22" s="20" t="s">
        <v>22</v>
      </c>
      <c r="L22" s="24" t="s">
        <v>23</v>
      </c>
      <c r="M22" s="20" t="s">
        <v>106</v>
      </c>
      <c r="N22" s="20"/>
      <c r="O22" s="20" t="s">
        <v>25</v>
      </c>
      <c r="P22" s="23" t="s">
        <v>26</v>
      </c>
      <c r="Q22" s="20" t="s">
        <v>53</v>
      </c>
      <c r="R22" s="25" t="s">
        <v>53</v>
      </c>
    </row>
    <row r="23" spans="1:18" ht="30" customHeight="1" x14ac:dyDescent="0.25">
      <c r="A23" s="18" t="s">
        <v>39</v>
      </c>
      <c r="B23" s="26" t="s">
        <v>95</v>
      </c>
      <c r="C23" s="20" t="s">
        <v>30</v>
      </c>
      <c r="D23" s="21" t="s">
        <v>104</v>
      </c>
      <c r="E23" s="19" t="s">
        <v>34</v>
      </c>
      <c r="F23" s="19">
        <v>2</v>
      </c>
      <c r="G23" s="22">
        <v>44218</v>
      </c>
      <c r="H23" s="22">
        <v>44225</v>
      </c>
      <c r="I23" s="22">
        <v>44225</v>
      </c>
      <c r="J23" s="23" t="s">
        <v>107</v>
      </c>
      <c r="K23" s="20" t="s">
        <v>22</v>
      </c>
      <c r="L23" s="24" t="s">
        <v>23</v>
      </c>
      <c r="M23" s="20" t="s">
        <v>24</v>
      </c>
      <c r="N23" s="20"/>
      <c r="O23" s="20" t="s">
        <v>26</v>
      </c>
      <c r="P23" s="23" t="s">
        <v>26</v>
      </c>
      <c r="Q23" s="20" t="s">
        <v>53</v>
      </c>
      <c r="R23" s="25" t="s">
        <v>53</v>
      </c>
    </row>
    <row r="24" spans="1:18" ht="30" customHeight="1" x14ac:dyDescent="0.25">
      <c r="A24" s="18" t="s">
        <v>39</v>
      </c>
      <c r="B24" s="26" t="s">
        <v>95</v>
      </c>
      <c r="C24" s="20" t="s">
        <v>30</v>
      </c>
      <c r="D24" s="21" t="s">
        <v>104</v>
      </c>
      <c r="E24" s="19" t="s">
        <v>108</v>
      </c>
      <c r="F24" s="19">
        <v>1</v>
      </c>
      <c r="G24" s="22">
        <v>44218</v>
      </c>
      <c r="H24" s="22">
        <v>44225</v>
      </c>
      <c r="I24" s="22">
        <v>44225</v>
      </c>
      <c r="J24" s="23" t="s">
        <v>109</v>
      </c>
      <c r="K24" s="20" t="s">
        <v>22</v>
      </c>
      <c r="L24" s="24" t="s">
        <v>23</v>
      </c>
      <c r="M24" s="20" t="s">
        <v>24</v>
      </c>
      <c r="N24" s="20"/>
      <c r="O24" s="20" t="s">
        <v>26</v>
      </c>
      <c r="P24" s="23" t="s">
        <v>26</v>
      </c>
      <c r="Q24" s="20" t="s">
        <v>53</v>
      </c>
      <c r="R24" s="25" t="s">
        <v>53</v>
      </c>
    </row>
    <row r="25" spans="1:18" ht="30" customHeight="1" x14ac:dyDescent="0.25">
      <c r="A25" s="18" t="s">
        <v>39</v>
      </c>
      <c r="B25" s="26" t="s">
        <v>95</v>
      </c>
      <c r="C25" s="20" t="s">
        <v>30</v>
      </c>
      <c r="D25" s="21" t="s">
        <v>104</v>
      </c>
      <c r="E25" s="19" t="s">
        <v>32</v>
      </c>
      <c r="F25" s="19">
        <v>1</v>
      </c>
      <c r="G25" s="22">
        <v>44218</v>
      </c>
      <c r="H25" s="22">
        <v>44225</v>
      </c>
      <c r="I25" s="22">
        <v>44225</v>
      </c>
      <c r="J25" s="23" t="s">
        <v>109</v>
      </c>
      <c r="K25" s="20" t="s">
        <v>22</v>
      </c>
      <c r="L25" s="24" t="s">
        <v>23</v>
      </c>
      <c r="M25" s="20" t="s">
        <v>24</v>
      </c>
      <c r="N25" s="20"/>
      <c r="O25" s="20" t="s">
        <v>26</v>
      </c>
      <c r="P25" s="23" t="s">
        <v>26</v>
      </c>
      <c r="Q25" s="20" t="s">
        <v>53</v>
      </c>
      <c r="R25" s="25" t="s">
        <v>53</v>
      </c>
    </row>
    <row r="26" spans="1:18" ht="30" customHeight="1" x14ac:dyDescent="0.25">
      <c r="A26" s="18" t="s">
        <v>39</v>
      </c>
      <c r="B26" s="26" t="s">
        <v>95</v>
      </c>
      <c r="C26" s="20" t="s">
        <v>30</v>
      </c>
      <c r="D26" s="21" t="s">
        <v>104</v>
      </c>
      <c r="E26" s="19" t="s">
        <v>48</v>
      </c>
      <c r="F26" s="19">
        <v>1</v>
      </c>
      <c r="G26" s="22">
        <v>44218</v>
      </c>
      <c r="H26" s="22">
        <v>44225</v>
      </c>
      <c r="I26" s="22">
        <v>44225</v>
      </c>
      <c r="J26" s="23" t="s">
        <v>110</v>
      </c>
      <c r="K26" s="20" t="s">
        <v>22</v>
      </c>
      <c r="L26" s="24" t="s">
        <v>23</v>
      </c>
      <c r="M26" s="20" t="s">
        <v>24</v>
      </c>
      <c r="N26" s="20"/>
      <c r="O26" s="20" t="s">
        <v>26</v>
      </c>
      <c r="P26" s="23" t="s">
        <v>26</v>
      </c>
      <c r="Q26" s="20" t="s">
        <v>53</v>
      </c>
      <c r="R26" s="25" t="s">
        <v>53</v>
      </c>
    </row>
    <row r="27" spans="1:18" ht="30" customHeight="1" x14ac:dyDescent="0.25">
      <c r="A27" s="18" t="s">
        <v>70</v>
      </c>
      <c r="B27" s="26">
        <v>216974</v>
      </c>
      <c r="C27" s="20" t="s">
        <v>19</v>
      </c>
      <c r="D27" s="21" t="s">
        <v>111</v>
      </c>
      <c r="E27" s="19" t="s">
        <v>44</v>
      </c>
      <c r="F27" s="19">
        <v>1</v>
      </c>
      <c r="G27" s="22">
        <v>44222</v>
      </c>
      <c r="H27" s="22">
        <v>44229</v>
      </c>
      <c r="I27" s="22">
        <v>44229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28</v>
      </c>
      <c r="R27" s="25" t="s">
        <v>27</v>
      </c>
    </row>
    <row r="28" spans="1:18" ht="30" customHeight="1" x14ac:dyDescent="0.25">
      <c r="A28" s="18" t="s">
        <v>112</v>
      </c>
      <c r="B28" s="26">
        <v>217140</v>
      </c>
      <c r="C28" s="20" t="s">
        <v>19</v>
      </c>
      <c r="D28" s="21" t="s">
        <v>113</v>
      </c>
      <c r="E28" s="19" t="s">
        <v>43</v>
      </c>
      <c r="F28" s="19">
        <v>1</v>
      </c>
      <c r="G28" s="22">
        <v>44223</v>
      </c>
      <c r="H28" s="22">
        <v>44229</v>
      </c>
      <c r="I28" s="22">
        <v>44229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/>
    </row>
    <row r="29" spans="1:18" ht="30" customHeight="1" x14ac:dyDescent="0.25">
      <c r="A29" s="18" t="s">
        <v>112</v>
      </c>
      <c r="B29" s="26">
        <v>217140</v>
      </c>
      <c r="C29" s="20" t="s">
        <v>19</v>
      </c>
      <c r="D29" s="21" t="s">
        <v>113</v>
      </c>
      <c r="E29" s="19" t="s">
        <v>34</v>
      </c>
      <c r="F29" s="19">
        <v>1</v>
      </c>
      <c r="G29" s="22">
        <v>44223</v>
      </c>
      <c r="H29" s="22">
        <v>44229</v>
      </c>
      <c r="I29" s="22">
        <v>44229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/>
    </row>
    <row r="30" spans="1:18" ht="30" customHeight="1" x14ac:dyDescent="0.25">
      <c r="A30" s="18" t="s">
        <v>112</v>
      </c>
      <c r="B30" s="26">
        <v>217140</v>
      </c>
      <c r="C30" s="20" t="s">
        <v>19</v>
      </c>
      <c r="D30" s="21" t="s">
        <v>113</v>
      </c>
      <c r="E30" s="19" t="s">
        <v>44</v>
      </c>
      <c r="F30" s="19">
        <v>1</v>
      </c>
      <c r="G30" s="22">
        <v>44223</v>
      </c>
      <c r="H30" s="22">
        <v>44229</v>
      </c>
      <c r="I30" s="22">
        <v>44229</v>
      </c>
      <c r="J30" s="23"/>
      <c r="K30" s="20" t="s">
        <v>22</v>
      </c>
      <c r="L30" s="24" t="s">
        <v>57</v>
      </c>
      <c r="M30" s="20" t="s">
        <v>24</v>
      </c>
      <c r="N30" s="20"/>
      <c r="O30" s="20" t="s">
        <v>25</v>
      </c>
      <c r="P30" s="23" t="s">
        <v>26</v>
      </c>
      <c r="Q30" s="20" t="s">
        <v>27</v>
      </c>
      <c r="R30" s="25"/>
    </row>
    <row r="31" spans="1:18" ht="30" customHeight="1" x14ac:dyDescent="0.25">
      <c r="A31" s="18" t="s">
        <v>112</v>
      </c>
      <c r="B31" s="26">
        <v>217140</v>
      </c>
      <c r="C31" s="20" t="s">
        <v>19</v>
      </c>
      <c r="D31" s="21" t="s">
        <v>113</v>
      </c>
      <c r="E31" s="19" t="s">
        <v>32</v>
      </c>
      <c r="F31" s="19">
        <v>1</v>
      </c>
      <c r="G31" s="22">
        <v>44223</v>
      </c>
      <c r="H31" s="22">
        <v>44229</v>
      </c>
      <c r="I31" s="22">
        <v>44229</v>
      </c>
      <c r="J31" s="23"/>
      <c r="K31" s="20" t="s">
        <v>22</v>
      </c>
      <c r="L31" s="24" t="s">
        <v>57</v>
      </c>
      <c r="M31" s="20" t="s">
        <v>24</v>
      </c>
      <c r="N31" s="20"/>
      <c r="O31" s="20" t="s">
        <v>25</v>
      </c>
      <c r="P31" s="23" t="s">
        <v>26</v>
      </c>
      <c r="Q31" s="20" t="s">
        <v>27</v>
      </c>
      <c r="R31" s="25"/>
    </row>
    <row r="32" spans="1:18" ht="30" customHeight="1" x14ac:dyDescent="0.25">
      <c r="A32" s="18" t="s">
        <v>112</v>
      </c>
      <c r="B32" s="26">
        <v>217140</v>
      </c>
      <c r="C32" s="20" t="s">
        <v>19</v>
      </c>
      <c r="D32" s="21" t="s">
        <v>113</v>
      </c>
      <c r="E32" s="19" t="s">
        <v>93</v>
      </c>
      <c r="F32" s="19">
        <v>1</v>
      </c>
      <c r="G32" s="22">
        <v>44223</v>
      </c>
      <c r="H32" s="22">
        <v>44229</v>
      </c>
      <c r="I32" s="22">
        <v>44229</v>
      </c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27</v>
      </c>
      <c r="R32" s="25"/>
    </row>
    <row r="33" spans="1:18" ht="30" customHeight="1" x14ac:dyDescent="0.25">
      <c r="A33" s="18" t="s">
        <v>112</v>
      </c>
      <c r="B33" s="26">
        <v>217140</v>
      </c>
      <c r="C33" s="20" t="s">
        <v>19</v>
      </c>
      <c r="D33" s="21" t="s">
        <v>113</v>
      </c>
      <c r="E33" s="19" t="s">
        <v>108</v>
      </c>
      <c r="F33" s="19">
        <v>1</v>
      </c>
      <c r="G33" s="22">
        <v>44223</v>
      </c>
      <c r="H33" s="22">
        <v>44229</v>
      </c>
      <c r="I33" s="22">
        <v>44229</v>
      </c>
      <c r="J33" s="23"/>
      <c r="K33" s="20" t="s">
        <v>22</v>
      </c>
      <c r="L33" s="24" t="s">
        <v>57</v>
      </c>
      <c r="M33" s="20" t="s">
        <v>24</v>
      </c>
      <c r="N33" s="20"/>
      <c r="O33" s="20" t="s">
        <v>25</v>
      </c>
      <c r="P33" s="23" t="s">
        <v>26</v>
      </c>
      <c r="Q33" s="20" t="s">
        <v>27</v>
      </c>
      <c r="R33" s="25"/>
    </row>
    <row r="34" spans="1:18" ht="30" customHeight="1" x14ac:dyDescent="0.25">
      <c r="A34" s="18" t="s">
        <v>112</v>
      </c>
      <c r="B34" s="26">
        <v>217140</v>
      </c>
      <c r="C34" s="20" t="s">
        <v>19</v>
      </c>
      <c r="D34" s="21" t="s">
        <v>113</v>
      </c>
      <c r="E34" s="19" t="s">
        <v>92</v>
      </c>
      <c r="F34" s="19">
        <v>1</v>
      </c>
      <c r="G34" s="22">
        <v>44223</v>
      </c>
      <c r="H34" s="22">
        <v>44229</v>
      </c>
      <c r="I34" s="22">
        <v>44229</v>
      </c>
      <c r="J34" s="23"/>
      <c r="K34" s="20" t="s">
        <v>22</v>
      </c>
      <c r="L34" s="24" t="s">
        <v>57</v>
      </c>
      <c r="M34" s="20" t="s">
        <v>24</v>
      </c>
      <c r="N34" s="20"/>
      <c r="O34" s="20" t="s">
        <v>25</v>
      </c>
      <c r="P34" s="23" t="s">
        <v>26</v>
      </c>
      <c r="Q34" s="20" t="s">
        <v>27</v>
      </c>
      <c r="R34" s="25"/>
    </row>
    <row r="35" spans="1:18" ht="30" customHeight="1" x14ac:dyDescent="0.25">
      <c r="A35" s="18" t="s">
        <v>39</v>
      </c>
      <c r="B35" s="26">
        <v>218126</v>
      </c>
      <c r="C35" s="20" t="s">
        <v>30</v>
      </c>
      <c r="D35" s="21" t="s">
        <v>114</v>
      </c>
      <c r="E35" s="19" t="s">
        <v>34</v>
      </c>
      <c r="F35" s="19">
        <v>2</v>
      </c>
      <c r="G35" s="22">
        <v>44228</v>
      </c>
      <c r="H35" s="22">
        <v>44230</v>
      </c>
      <c r="I35" s="22">
        <v>44230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5"/>
    </row>
    <row r="36" spans="1:18" ht="30" customHeight="1" x14ac:dyDescent="0.25">
      <c r="A36" s="18" t="s">
        <v>18</v>
      </c>
      <c r="B36" s="26">
        <v>217549</v>
      </c>
      <c r="C36" s="20" t="s">
        <v>30</v>
      </c>
      <c r="D36" s="21" t="s">
        <v>115</v>
      </c>
      <c r="E36" s="19" t="s">
        <v>116</v>
      </c>
      <c r="F36" s="19">
        <v>1</v>
      </c>
      <c r="G36" s="22">
        <v>44255</v>
      </c>
      <c r="H36" s="22">
        <v>44231</v>
      </c>
      <c r="I36" s="22">
        <v>44232</v>
      </c>
      <c r="J36" s="23"/>
      <c r="K36" s="20" t="s">
        <v>22</v>
      </c>
      <c r="L36" s="24" t="s">
        <v>23</v>
      </c>
      <c r="M36" s="20" t="s">
        <v>24</v>
      </c>
      <c r="N36" s="20"/>
      <c r="O36" s="20" t="s">
        <v>25</v>
      </c>
      <c r="P36" s="23"/>
      <c r="Q36" s="20"/>
      <c r="R36" s="25"/>
    </row>
    <row r="37" spans="1:18" ht="30" customHeight="1" x14ac:dyDescent="0.25">
      <c r="A37" s="18" t="s">
        <v>54</v>
      </c>
      <c r="B37" s="26">
        <v>218206</v>
      </c>
      <c r="C37" s="20" t="s">
        <v>19</v>
      </c>
      <c r="D37" s="21" t="s">
        <v>117</v>
      </c>
      <c r="E37" s="19" t="s">
        <v>42</v>
      </c>
      <c r="F37" s="19">
        <v>4</v>
      </c>
      <c r="G37" s="22">
        <v>44229</v>
      </c>
      <c r="H37" s="22">
        <v>44230</v>
      </c>
      <c r="I37" s="22">
        <v>44230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/>
      <c r="Q37" s="20" t="s">
        <v>28</v>
      </c>
      <c r="R37" s="25" t="s">
        <v>27</v>
      </c>
    </row>
    <row r="38" spans="1:18" ht="30" customHeight="1" x14ac:dyDescent="0.25">
      <c r="A38" s="18" t="s">
        <v>54</v>
      </c>
      <c r="B38" s="26">
        <v>218206</v>
      </c>
      <c r="C38" s="20" t="s">
        <v>19</v>
      </c>
      <c r="D38" s="21" t="s">
        <v>117</v>
      </c>
      <c r="E38" s="19" t="s">
        <v>44</v>
      </c>
      <c r="F38" s="19">
        <v>2</v>
      </c>
      <c r="G38" s="22">
        <v>44229</v>
      </c>
      <c r="H38" s="22">
        <v>44230</v>
      </c>
      <c r="I38" s="22">
        <v>44230</v>
      </c>
      <c r="J38" s="23"/>
      <c r="K38" s="20" t="s">
        <v>22</v>
      </c>
      <c r="L38" s="24" t="s">
        <v>33</v>
      </c>
      <c r="M38" s="20" t="s">
        <v>24</v>
      </c>
      <c r="N38" s="20"/>
      <c r="O38" s="20" t="s">
        <v>25</v>
      </c>
      <c r="P38" s="23"/>
      <c r="Q38" s="20" t="s">
        <v>118</v>
      </c>
      <c r="R38" s="25" t="s">
        <v>49</v>
      </c>
    </row>
    <row r="39" spans="1:18" ht="30" customHeight="1" x14ac:dyDescent="0.25">
      <c r="A39" s="18" t="s">
        <v>54</v>
      </c>
      <c r="B39" s="26">
        <v>218206</v>
      </c>
      <c r="C39" s="20" t="s">
        <v>19</v>
      </c>
      <c r="D39" s="21" t="s">
        <v>117</v>
      </c>
      <c r="E39" s="19" t="s">
        <v>34</v>
      </c>
      <c r="F39" s="19">
        <v>2</v>
      </c>
      <c r="G39" s="22">
        <v>44229</v>
      </c>
      <c r="H39" s="22">
        <v>44230</v>
      </c>
      <c r="I39" s="22">
        <v>44230</v>
      </c>
      <c r="J39" s="23"/>
      <c r="K39" s="20" t="s">
        <v>22</v>
      </c>
      <c r="L39" s="24" t="s">
        <v>33</v>
      </c>
      <c r="M39" s="20" t="s">
        <v>24</v>
      </c>
      <c r="N39" s="20"/>
      <c r="O39" s="20" t="s">
        <v>25</v>
      </c>
      <c r="P39" s="23"/>
      <c r="Q39" s="20" t="s">
        <v>119</v>
      </c>
      <c r="R39" s="25" t="s">
        <v>50</v>
      </c>
    </row>
    <row r="40" spans="1:18" ht="30" customHeight="1" x14ac:dyDescent="0.25">
      <c r="A40" s="18" t="s">
        <v>54</v>
      </c>
      <c r="B40" s="26">
        <v>218206</v>
      </c>
      <c r="C40" s="20" t="s">
        <v>19</v>
      </c>
      <c r="D40" s="21" t="s">
        <v>117</v>
      </c>
      <c r="E40" s="19" t="s">
        <v>48</v>
      </c>
      <c r="F40" s="19">
        <v>4</v>
      </c>
      <c r="G40" s="22">
        <v>44229</v>
      </c>
      <c r="H40" s="22">
        <v>44230</v>
      </c>
      <c r="I40" s="22">
        <v>44230</v>
      </c>
      <c r="J40" s="23"/>
      <c r="K40" s="20" t="s">
        <v>22</v>
      </c>
      <c r="L40" s="24" t="s">
        <v>33</v>
      </c>
      <c r="M40" s="20" t="s">
        <v>24</v>
      </c>
      <c r="N40" s="20"/>
      <c r="O40" s="20" t="s">
        <v>25</v>
      </c>
      <c r="P40" s="23"/>
      <c r="Q40" s="20" t="s">
        <v>120</v>
      </c>
      <c r="R40" s="25" t="s">
        <v>51</v>
      </c>
    </row>
    <row r="41" spans="1:18" ht="30" customHeight="1" x14ac:dyDescent="0.25">
      <c r="A41" s="18" t="s">
        <v>39</v>
      </c>
      <c r="B41" s="26">
        <v>218502</v>
      </c>
      <c r="C41" s="20" t="s">
        <v>19</v>
      </c>
      <c r="D41" s="21" t="s">
        <v>121</v>
      </c>
      <c r="E41" s="19" t="s">
        <v>34</v>
      </c>
      <c r="F41" s="19">
        <v>1</v>
      </c>
      <c r="G41" s="22">
        <v>44229</v>
      </c>
      <c r="H41" s="22">
        <v>44230</v>
      </c>
      <c r="I41" s="22">
        <v>44230</v>
      </c>
      <c r="J41" s="23"/>
      <c r="K41" s="20" t="s">
        <v>22</v>
      </c>
      <c r="L41" s="24" t="s">
        <v>23</v>
      </c>
      <c r="M41" s="20" t="s">
        <v>24</v>
      </c>
      <c r="N41" s="20"/>
      <c r="O41" s="20" t="s">
        <v>25</v>
      </c>
      <c r="P41" s="23" t="s">
        <v>26</v>
      </c>
      <c r="Q41" s="20" t="s">
        <v>53</v>
      </c>
      <c r="R41" s="25" t="s">
        <v>28</v>
      </c>
    </row>
    <row r="42" spans="1:18" ht="30" customHeight="1" x14ac:dyDescent="0.25">
      <c r="A42" s="18" t="s">
        <v>39</v>
      </c>
      <c r="B42" s="26">
        <v>218502</v>
      </c>
      <c r="C42" s="20" t="s">
        <v>19</v>
      </c>
      <c r="D42" s="21" t="s">
        <v>121</v>
      </c>
      <c r="E42" s="19" t="s">
        <v>32</v>
      </c>
      <c r="F42" s="19">
        <v>1</v>
      </c>
      <c r="G42" s="22">
        <v>44229</v>
      </c>
      <c r="H42" s="22">
        <v>44230</v>
      </c>
      <c r="I42" s="22">
        <v>44230</v>
      </c>
      <c r="J42" s="23"/>
      <c r="K42" s="20" t="s">
        <v>22</v>
      </c>
      <c r="L42" s="24" t="s">
        <v>23</v>
      </c>
      <c r="M42" s="20" t="s">
        <v>24</v>
      </c>
      <c r="N42" s="20"/>
      <c r="O42" s="20" t="s">
        <v>25</v>
      </c>
      <c r="P42" s="23" t="s">
        <v>26</v>
      </c>
      <c r="Q42" s="20" t="s">
        <v>53</v>
      </c>
      <c r="R42" s="25" t="s">
        <v>28</v>
      </c>
    </row>
    <row r="43" spans="1:18" ht="30" customHeight="1" x14ac:dyDescent="0.25">
      <c r="A43" s="18" t="s">
        <v>18</v>
      </c>
      <c r="B43" s="26">
        <v>217553</v>
      </c>
      <c r="C43" s="20" t="s">
        <v>63</v>
      </c>
      <c r="D43" s="21" t="s">
        <v>122</v>
      </c>
      <c r="E43" s="19" t="s">
        <v>66</v>
      </c>
      <c r="F43" s="19">
        <v>1</v>
      </c>
      <c r="G43" s="22">
        <v>44255</v>
      </c>
      <c r="H43" s="22">
        <v>44230</v>
      </c>
      <c r="I43" s="22"/>
      <c r="J43" s="23"/>
      <c r="K43" s="20" t="s">
        <v>22</v>
      </c>
      <c r="L43" s="24" t="s">
        <v>57</v>
      </c>
      <c r="M43" s="20" t="s">
        <v>24</v>
      </c>
      <c r="N43" s="20"/>
      <c r="O43" s="20" t="s">
        <v>25</v>
      </c>
      <c r="P43" s="23"/>
      <c r="Q43" s="20"/>
      <c r="R43" s="25"/>
    </row>
    <row r="44" spans="1:18" ht="30" customHeight="1" x14ac:dyDescent="0.25">
      <c r="A44" s="18" t="s">
        <v>94</v>
      </c>
      <c r="B44" s="26">
        <v>213012</v>
      </c>
      <c r="C44" s="20" t="s">
        <v>19</v>
      </c>
      <c r="D44" s="21" t="s">
        <v>123</v>
      </c>
      <c r="E44" s="19" t="s">
        <v>44</v>
      </c>
      <c r="F44" s="19">
        <v>1</v>
      </c>
      <c r="G44" s="22">
        <v>44203</v>
      </c>
      <c r="H44" s="22">
        <v>44204</v>
      </c>
      <c r="I44" s="22"/>
      <c r="J44" s="23"/>
      <c r="K44" s="20" t="s">
        <v>22</v>
      </c>
      <c r="L44" s="24" t="s">
        <v>57</v>
      </c>
      <c r="M44" s="20" t="s">
        <v>24</v>
      </c>
      <c r="N44" s="20"/>
      <c r="O44" s="20" t="s">
        <v>25</v>
      </c>
      <c r="P44" s="23" t="s">
        <v>26</v>
      </c>
      <c r="Q44" s="20" t="s">
        <v>27</v>
      </c>
      <c r="R44" s="25" t="s">
        <v>27</v>
      </c>
    </row>
    <row r="45" spans="1:18" ht="30" customHeight="1" x14ac:dyDescent="0.25">
      <c r="A45" s="18" t="s">
        <v>94</v>
      </c>
      <c r="B45" s="26">
        <v>213012</v>
      </c>
      <c r="C45" s="20" t="s">
        <v>19</v>
      </c>
      <c r="D45" s="21" t="s">
        <v>123</v>
      </c>
      <c r="E45" s="19" t="s">
        <v>38</v>
      </c>
      <c r="F45" s="19">
        <v>1</v>
      </c>
      <c r="G45" s="22">
        <v>44203</v>
      </c>
      <c r="H45" s="22">
        <v>44204</v>
      </c>
      <c r="I45" s="22"/>
      <c r="J45" s="23"/>
      <c r="K45" s="20" t="s">
        <v>22</v>
      </c>
      <c r="L45" s="24" t="s">
        <v>57</v>
      </c>
      <c r="M45" s="20" t="s">
        <v>24</v>
      </c>
      <c r="N45" s="20"/>
      <c r="O45" s="20" t="s">
        <v>25</v>
      </c>
      <c r="P45" s="23" t="s">
        <v>26</v>
      </c>
      <c r="Q45" s="20" t="s">
        <v>27</v>
      </c>
      <c r="R45" s="25" t="s">
        <v>27</v>
      </c>
    </row>
    <row r="46" spans="1:18" ht="30" customHeight="1" x14ac:dyDescent="0.25">
      <c r="A46" s="18" t="s">
        <v>18</v>
      </c>
      <c r="B46" s="26">
        <v>213356</v>
      </c>
      <c r="C46" s="20" t="s">
        <v>55</v>
      </c>
      <c r="D46" s="21" t="s">
        <v>124</v>
      </c>
      <c r="E46" s="19" t="s">
        <v>72</v>
      </c>
      <c r="F46" s="19">
        <v>1</v>
      </c>
      <c r="G46" s="22">
        <v>44204</v>
      </c>
      <c r="H46" s="22">
        <v>44204</v>
      </c>
      <c r="I46" s="22"/>
      <c r="J46" s="23"/>
      <c r="K46" s="20" t="s">
        <v>22</v>
      </c>
      <c r="L46" s="24" t="s">
        <v>57</v>
      </c>
      <c r="M46" s="20" t="s">
        <v>24</v>
      </c>
      <c r="N46" s="20"/>
      <c r="O46" s="20" t="s">
        <v>25</v>
      </c>
      <c r="P46" s="23" t="s">
        <v>26</v>
      </c>
      <c r="Q46" s="20" t="s">
        <v>28</v>
      </c>
      <c r="R46" s="25" t="s">
        <v>28</v>
      </c>
    </row>
    <row r="47" spans="1:18" ht="30" customHeight="1" x14ac:dyDescent="0.25">
      <c r="A47" s="18" t="s">
        <v>39</v>
      </c>
      <c r="B47" s="26">
        <v>173565</v>
      </c>
      <c r="C47" s="20" t="s">
        <v>55</v>
      </c>
      <c r="D47" s="21" t="s">
        <v>125</v>
      </c>
      <c r="E47" s="19" t="s">
        <v>82</v>
      </c>
      <c r="F47" s="19">
        <v>1</v>
      </c>
      <c r="G47" s="22">
        <v>44008</v>
      </c>
      <c r="H47" s="22">
        <v>44069</v>
      </c>
      <c r="I47" s="22"/>
      <c r="J47" s="23" t="s">
        <v>126</v>
      </c>
      <c r="K47" s="20" t="s">
        <v>22</v>
      </c>
      <c r="L47" s="24" t="s">
        <v>41</v>
      </c>
      <c r="M47" s="20" t="s">
        <v>24</v>
      </c>
      <c r="N47" s="20">
        <v>1</v>
      </c>
      <c r="O47" s="20" t="s">
        <v>26</v>
      </c>
      <c r="P47" s="23" t="s">
        <v>26</v>
      </c>
      <c r="Q47" s="20" t="s">
        <v>28</v>
      </c>
      <c r="R47" s="25" t="s">
        <v>28</v>
      </c>
    </row>
    <row r="48" spans="1:18" ht="30" customHeight="1" x14ac:dyDescent="0.25">
      <c r="A48" s="18" t="s">
        <v>39</v>
      </c>
      <c r="B48" s="26">
        <v>173565</v>
      </c>
      <c r="C48" s="20" t="s">
        <v>55</v>
      </c>
      <c r="D48" s="21" t="s">
        <v>125</v>
      </c>
      <c r="E48" s="19" t="s">
        <v>82</v>
      </c>
      <c r="F48" s="19">
        <v>1</v>
      </c>
      <c r="G48" s="22">
        <v>44008</v>
      </c>
      <c r="H48" s="22">
        <v>44069</v>
      </c>
      <c r="I48" s="22"/>
      <c r="J48" s="23" t="s">
        <v>127</v>
      </c>
      <c r="K48" s="20" t="s">
        <v>22</v>
      </c>
      <c r="L48" s="24" t="s">
        <v>41</v>
      </c>
      <c r="M48" s="20" t="s">
        <v>24</v>
      </c>
      <c r="N48" s="20">
        <v>1</v>
      </c>
      <c r="O48" s="20" t="s">
        <v>26</v>
      </c>
      <c r="P48" s="23" t="s">
        <v>26</v>
      </c>
      <c r="Q48" s="20" t="s">
        <v>28</v>
      </c>
      <c r="R48" s="25" t="s">
        <v>28</v>
      </c>
    </row>
    <row r="49" spans="1:18" ht="30" customHeight="1" x14ac:dyDescent="0.25">
      <c r="A49" s="18" t="s">
        <v>39</v>
      </c>
      <c r="B49" s="26">
        <v>173565</v>
      </c>
      <c r="C49" s="20" t="s">
        <v>55</v>
      </c>
      <c r="D49" s="21" t="s">
        <v>125</v>
      </c>
      <c r="E49" s="19" t="s">
        <v>66</v>
      </c>
      <c r="F49" s="19">
        <v>1</v>
      </c>
      <c r="G49" s="22">
        <v>44008</v>
      </c>
      <c r="H49" s="22">
        <v>44069</v>
      </c>
      <c r="I49" s="22"/>
      <c r="J49" s="23"/>
      <c r="K49" s="20" t="s">
        <v>22</v>
      </c>
      <c r="L49" s="24" t="s">
        <v>41</v>
      </c>
      <c r="M49" s="20" t="s">
        <v>24</v>
      </c>
      <c r="N49" s="20">
        <v>1</v>
      </c>
      <c r="O49" s="20" t="s">
        <v>26</v>
      </c>
      <c r="P49" s="23" t="s">
        <v>26</v>
      </c>
      <c r="Q49" s="20" t="s">
        <v>28</v>
      </c>
      <c r="R49" s="25" t="s">
        <v>28</v>
      </c>
    </row>
    <row r="50" spans="1:18" ht="30" customHeight="1" x14ac:dyDescent="0.25">
      <c r="A50" s="18" t="s">
        <v>128</v>
      </c>
      <c r="B50" s="26">
        <v>218925</v>
      </c>
      <c r="C50" s="20" t="s">
        <v>19</v>
      </c>
      <c r="D50" s="21" t="s">
        <v>129</v>
      </c>
      <c r="E50" s="19" t="s">
        <v>43</v>
      </c>
      <c r="F50" s="19">
        <v>1</v>
      </c>
      <c r="G50" s="22">
        <v>44230</v>
      </c>
      <c r="H50" s="22">
        <v>44236</v>
      </c>
      <c r="I50" s="22">
        <v>44236</v>
      </c>
      <c r="J50" s="23"/>
      <c r="K50" s="20" t="s">
        <v>22</v>
      </c>
      <c r="L50" s="24" t="s">
        <v>33</v>
      </c>
      <c r="M50" s="20" t="s">
        <v>24</v>
      </c>
      <c r="N50" s="20">
        <v>1</v>
      </c>
      <c r="O50" s="20" t="s">
        <v>25</v>
      </c>
      <c r="P50" s="23" t="s">
        <v>26</v>
      </c>
      <c r="Q50" s="20" t="s">
        <v>28</v>
      </c>
      <c r="R50" s="25" t="s">
        <v>53</v>
      </c>
    </row>
    <row r="51" spans="1:18" ht="30" customHeight="1" x14ac:dyDescent="0.25">
      <c r="A51" s="18" t="s">
        <v>70</v>
      </c>
      <c r="B51" s="26">
        <v>218864</v>
      </c>
      <c r="C51" s="20" t="s">
        <v>63</v>
      </c>
      <c r="D51" s="21" t="s">
        <v>130</v>
      </c>
      <c r="E51" s="19" t="s">
        <v>130</v>
      </c>
      <c r="F51" s="19">
        <v>1</v>
      </c>
      <c r="G51" s="22">
        <v>44230</v>
      </c>
      <c r="H51" s="22">
        <v>44232</v>
      </c>
      <c r="I51" s="22"/>
      <c r="J51" s="23"/>
      <c r="K51" s="20" t="s">
        <v>22</v>
      </c>
      <c r="L51" s="24" t="s">
        <v>57</v>
      </c>
      <c r="M51" s="20" t="s">
        <v>24</v>
      </c>
      <c r="N51" s="20"/>
      <c r="O51" s="20" t="s">
        <v>25</v>
      </c>
      <c r="P51" s="23" t="s">
        <v>26</v>
      </c>
      <c r="Q51" s="20" t="s">
        <v>53</v>
      </c>
      <c r="R51" s="25" t="s">
        <v>53</v>
      </c>
    </row>
    <row r="52" spans="1:18" ht="30" customHeight="1" x14ac:dyDescent="0.25">
      <c r="A52" s="18" t="s">
        <v>29</v>
      </c>
      <c r="B52" s="26">
        <v>219822</v>
      </c>
      <c r="C52" s="20" t="s">
        <v>19</v>
      </c>
      <c r="D52" s="21" t="s">
        <v>131</v>
      </c>
      <c r="E52" s="19" t="s">
        <v>61</v>
      </c>
      <c r="F52" s="19">
        <v>1</v>
      </c>
      <c r="G52" s="22">
        <v>44235</v>
      </c>
      <c r="H52" s="22">
        <v>44235</v>
      </c>
      <c r="I52" s="22">
        <v>44235</v>
      </c>
      <c r="J52" s="23"/>
      <c r="K52" s="20" t="s">
        <v>22</v>
      </c>
      <c r="L52" s="24" t="s">
        <v>23</v>
      </c>
      <c r="M52" s="20" t="s">
        <v>24</v>
      </c>
      <c r="N52" s="20"/>
      <c r="O52" s="20" t="s">
        <v>25</v>
      </c>
      <c r="P52" s="23"/>
      <c r="Q52" s="20" t="s">
        <v>53</v>
      </c>
      <c r="R52" s="25" t="s">
        <v>53</v>
      </c>
    </row>
    <row r="53" spans="1:18" ht="30" customHeight="1" x14ac:dyDescent="0.25">
      <c r="A53" s="18" t="s">
        <v>128</v>
      </c>
      <c r="B53" s="26">
        <v>218925</v>
      </c>
      <c r="C53" s="20" t="s">
        <v>19</v>
      </c>
      <c r="D53" s="21" t="s">
        <v>129</v>
      </c>
      <c r="E53" s="19" t="s">
        <v>32</v>
      </c>
      <c r="F53" s="19">
        <v>1</v>
      </c>
      <c r="G53" s="22">
        <v>44230</v>
      </c>
      <c r="H53" s="22">
        <v>44236</v>
      </c>
      <c r="I53" s="22">
        <v>44236</v>
      </c>
      <c r="J53" s="23"/>
      <c r="K53" s="20" t="s">
        <v>22</v>
      </c>
      <c r="L53" s="24" t="s">
        <v>33</v>
      </c>
      <c r="M53" s="20" t="s">
        <v>24</v>
      </c>
      <c r="N53" s="20">
        <v>1</v>
      </c>
      <c r="O53" s="20" t="s">
        <v>25</v>
      </c>
      <c r="P53" s="23" t="s">
        <v>26</v>
      </c>
      <c r="Q53" s="20" t="s">
        <v>28</v>
      </c>
      <c r="R53" s="25" t="s">
        <v>53</v>
      </c>
    </row>
    <row r="54" spans="1:18" ht="30" customHeight="1" x14ac:dyDescent="0.25">
      <c r="A54" s="18" t="s">
        <v>132</v>
      </c>
      <c r="B54" s="26">
        <v>218963</v>
      </c>
      <c r="C54" s="20" t="s">
        <v>19</v>
      </c>
      <c r="D54" s="21" t="s">
        <v>133</v>
      </c>
      <c r="E54" s="19" t="s">
        <v>61</v>
      </c>
      <c r="F54" s="19">
        <v>1</v>
      </c>
      <c r="G54" s="22">
        <v>44230</v>
      </c>
      <c r="H54" s="22">
        <v>44236</v>
      </c>
      <c r="I54" s="22">
        <v>44236</v>
      </c>
      <c r="J54" s="23"/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5" t="s">
        <v>27</v>
      </c>
    </row>
    <row r="55" spans="1:18" ht="30" customHeight="1" x14ac:dyDescent="0.25">
      <c r="A55" s="18" t="s">
        <v>70</v>
      </c>
      <c r="B55" s="19">
        <v>219755</v>
      </c>
      <c r="C55" s="20" t="s">
        <v>30</v>
      </c>
      <c r="D55" s="21" t="s">
        <v>134</v>
      </c>
      <c r="E55" s="19" t="s">
        <v>48</v>
      </c>
      <c r="F55" s="19">
        <v>1</v>
      </c>
      <c r="G55" s="22">
        <v>44232</v>
      </c>
      <c r="H55" s="22">
        <v>44237</v>
      </c>
      <c r="I55" s="22">
        <v>44248</v>
      </c>
      <c r="J55" s="23"/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26</v>
      </c>
      <c r="Q55" s="20" t="s">
        <v>73</v>
      </c>
      <c r="R55" s="25"/>
    </row>
    <row r="56" spans="1:18" ht="30" customHeight="1" x14ac:dyDescent="0.25">
      <c r="A56" s="18" t="s">
        <v>70</v>
      </c>
      <c r="B56" s="26">
        <v>219755</v>
      </c>
      <c r="C56" s="20" t="s">
        <v>30</v>
      </c>
      <c r="D56" s="21" t="s">
        <v>134</v>
      </c>
      <c r="E56" s="19" t="s">
        <v>34</v>
      </c>
      <c r="F56" s="19">
        <v>1</v>
      </c>
      <c r="G56" s="22">
        <v>44232</v>
      </c>
      <c r="H56" s="22">
        <v>44237</v>
      </c>
      <c r="I56" s="22">
        <v>44248</v>
      </c>
      <c r="J56" s="23"/>
      <c r="K56" s="20" t="s">
        <v>22</v>
      </c>
      <c r="L56" s="24" t="s">
        <v>41</v>
      </c>
      <c r="M56" s="20" t="s">
        <v>24</v>
      </c>
      <c r="N56" s="20"/>
      <c r="O56" s="20" t="s">
        <v>26</v>
      </c>
      <c r="P56" s="23" t="s">
        <v>26</v>
      </c>
      <c r="Q56" s="20" t="s">
        <v>73</v>
      </c>
      <c r="R56" s="25"/>
    </row>
    <row r="57" spans="1:18" ht="30" customHeight="1" x14ac:dyDescent="0.25">
      <c r="A57" s="18" t="s">
        <v>36</v>
      </c>
      <c r="B57" s="26">
        <v>219991</v>
      </c>
      <c r="C57" s="20" t="s">
        <v>19</v>
      </c>
      <c r="D57" s="21" t="s">
        <v>135</v>
      </c>
      <c r="E57" s="19" t="s">
        <v>43</v>
      </c>
      <c r="F57" s="19">
        <v>13</v>
      </c>
      <c r="G57" s="22">
        <v>44235</v>
      </c>
      <c r="H57" s="22">
        <v>44244</v>
      </c>
      <c r="I57" s="22">
        <v>44238</v>
      </c>
      <c r="J57" s="23"/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 t="s">
        <v>26</v>
      </c>
      <c r="Q57" s="20" t="s">
        <v>53</v>
      </c>
      <c r="R57" s="25" t="s">
        <v>53</v>
      </c>
    </row>
    <row r="58" spans="1:18" ht="30" customHeight="1" x14ac:dyDescent="0.25">
      <c r="A58" s="18" t="s">
        <v>36</v>
      </c>
      <c r="B58" s="26">
        <v>219991</v>
      </c>
      <c r="C58" s="20" t="s">
        <v>19</v>
      </c>
      <c r="D58" s="21" t="s">
        <v>135</v>
      </c>
      <c r="E58" s="19" t="s">
        <v>38</v>
      </c>
      <c r="F58" s="19">
        <v>13</v>
      </c>
      <c r="G58" s="22">
        <v>44235</v>
      </c>
      <c r="H58" s="22">
        <v>44244</v>
      </c>
      <c r="I58" s="22">
        <v>44238</v>
      </c>
      <c r="J58" s="23"/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 t="s">
        <v>26</v>
      </c>
      <c r="Q58" s="20" t="s">
        <v>53</v>
      </c>
      <c r="R58" s="25" t="s">
        <v>53</v>
      </c>
    </row>
    <row r="59" spans="1:18" ht="30" customHeight="1" x14ac:dyDescent="0.25">
      <c r="A59" s="18" t="s">
        <v>36</v>
      </c>
      <c r="B59" s="26">
        <v>219991</v>
      </c>
      <c r="C59" s="20" t="s">
        <v>19</v>
      </c>
      <c r="D59" s="21" t="s">
        <v>135</v>
      </c>
      <c r="E59" s="19" t="s">
        <v>32</v>
      </c>
      <c r="F59" s="19">
        <v>13</v>
      </c>
      <c r="G59" s="22">
        <v>44235</v>
      </c>
      <c r="H59" s="22">
        <v>44244</v>
      </c>
      <c r="I59" s="22">
        <v>44238</v>
      </c>
      <c r="J59" s="23"/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 t="s">
        <v>26</v>
      </c>
      <c r="Q59" s="20" t="s">
        <v>53</v>
      </c>
      <c r="R59" s="25" t="s">
        <v>53</v>
      </c>
    </row>
    <row r="60" spans="1:18" ht="30" customHeight="1" x14ac:dyDescent="0.25">
      <c r="A60" s="18" t="s">
        <v>36</v>
      </c>
      <c r="B60" s="26">
        <v>219991</v>
      </c>
      <c r="C60" s="20" t="s">
        <v>19</v>
      </c>
      <c r="D60" s="21" t="s">
        <v>135</v>
      </c>
      <c r="E60" s="19" t="s">
        <v>48</v>
      </c>
      <c r="F60" s="19">
        <v>1</v>
      </c>
      <c r="G60" s="22">
        <v>44235</v>
      </c>
      <c r="H60" s="22">
        <v>44244</v>
      </c>
      <c r="I60" s="22">
        <v>44238</v>
      </c>
      <c r="J60" s="23"/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 t="s">
        <v>26</v>
      </c>
      <c r="Q60" s="20" t="s">
        <v>53</v>
      </c>
      <c r="R60" s="25" t="s">
        <v>53</v>
      </c>
    </row>
    <row r="61" spans="1:18" ht="30" customHeight="1" x14ac:dyDescent="0.25">
      <c r="A61" s="18" t="s">
        <v>36</v>
      </c>
      <c r="B61" s="26">
        <v>219991</v>
      </c>
      <c r="C61" s="20" t="s">
        <v>19</v>
      </c>
      <c r="D61" s="21" t="s">
        <v>135</v>
      </c>
      <c r="E61" s="19" t="s">
        <v>92</v>
      </c>
      <c r="F61" s="19">
        <v>1</v>
      </c>
      <c r="G61" s="22">
        <v>44235</v>
      </c>
      <c r="H61" s="22">
        <v>44244</v>
      </c>
      <c r="I61" s="22">
        <v>44238</v>
      </c>
      <c r="J61" s="23"/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 t="s">
        <v>26</v>
      </c>
      <c r="Q61" s="20" t="s">
        <v>53</v>
      </c>
      <c r="R61" s="25" t="s">
        <v>53</v>
      </c>
    </row>
    <row r="62" spans="1:18" ht="30" customHeight="1" x14ac:dyDescent="0.25">
      <c r="A62" s="18" t="s">
        <v>36</v>
      </c>
      <c r="B62" s="26">
        <v>213148</v>
      </c>
      <c r="C62" s="20" t="s">
        <v>19</v>
      </c>
      <c r="D62" s="21" t="s">
        <v>136</v>
      </c>
      <c r="E62" s="19" t="s">
        <v>34</v>
      </c>
      <c r="F62" s="19">
        <v>2</v>
      </c>
      <c r="G62" s="22">
        <v>44203</v>
      </c>
      <c r="H62" s="22">
        <v>44221</v>
      </c>
      <c r="I62" s="22">
        <v>44236</v>
      </c>
      <c r="J62" s="23"/>
      <c r="K62" s="20" t="s">
        <v>22</v>
      </c>
      <c r="L62" s="24" t="s">
        <v>41</v>
      </c>
      <c r="M62" s="20" t="s">
        <v>24</v>
      </c>
      <c r="N62" s="20"/>
      <c r="O62" s="20" t="s">
        <v>26</v>
      </c>
      <c r="P62" s="23" t="s">
        <v>26</v>
      </c>
      <c r="Q62" s="20" t="s">
        <v>28</v>
      </c>
      <c r="R62" s="25" t="s">
        <v>53</v>
      </c>
    </row>
    <row r="63" spans="1:18" ht="30" customHeight="1" x14ac:dyDescent="0.25">
      <c r="A63" s="18" t="s">
        <v>36</v>
      </c>
      <c r="B63" s="26">
        <v>213148</v>
      </c>
      <c r="C63" s="20" t="s">
        <v>19</v>
      </c>
      <c r="D63" s="21" t="s">
        <v>136</v>
      </c>
      <c r="E63" s="19" t="s">
        <v>43</v>
      </c>
      <c r="F63" s="19">
        <v>2</v>
      </c>
      <c r="G63" s="22">
        <v>44203</v>
      </c>
      <c r="H63" s="22">
        <v>44221</v>
      </c>
      <c r="I63" s="22">
        <v>44236</v>
      </c>
      <c r="J63" s="23"/>
      <c r="K63" s="20" t="s">
        <v>22</v>
      </c>
      <c r="L63" s="24" t="s">
        <v>41</v>
      </c>
      <c r="M63" s="20" t="s">
        <v>24</v>
      </c>
      <c r="N63" s="20"/>
      <c r="O63" s="20" t="s">
        <v>26</v>
      </c>
      <c r="P63" s="23" t="s">
        <v>26</v>
      </c>
      <c r="Q63" s="20" t="s">
        <v>28</v>
      </c>
      <c r="R63" s="25" t="s">
        <v>53</v>
      </c>
    </row>
    <row r="64" spans="1:18" ht="30" customHeight="1" x14ac:dyDescent="0.25">
      <c r="A64" s="18" t="s">
        <v>36</v>
      </c>
      <c r="B64" s="26">
        <v>213148</v>
      </c>
      <c r="C64" s="20" t="s">
        <v>19</v>
      </c>
      <c r="D64" s="21" t="s">
        <v>136</v>
      </c>
      <c r="E64" s="19" t="s">
        <v>48</v>
      </c>
      <c r="F64" s="19">
        <v>2</v>
      </c>
      <c r="G64" s="22">
        <v>44203</v>
      </c>
      <c r="H64" s="22">
        <v>44221</v>
      </c>
      <c r="I64" s="22">
        <v>44236</v>
      </c>
      <c r="J64" s="23"/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26</v>
      </c>
      <c r="Q64" s="20" t="s">
        <v>28</v>
      </c>
      <c r="R64" s="25" t="s">
        <v>53</v>
      </c>
    </row>
    <row r="65" spans="1:18" ht="30" customHeight="1" x14ac:dyDescent="0.25">
      <c r="A65" s="18" t="s">
        <v>36</v>
      </c>
      <c r="B65" s="26">
        <v>213148</v>
      </c>
      <c r="C65" s="20" t="s">
        <v>19</v>
      </c>
      <c r="D65" s="21" t="s">
        <v>136</v>
      </c>
      <c r="E65" s="19" t="s">
        <v>48</v>
      </c>
      <c r="F65" s="19">
        <v>8</v>
      </c>
      <c r="G65" s="22">
        <v>44203</v>
      </c>
      <c r="H65" s="22">
        <v>44221</v>
      </c>
      <c r="I65" s="22">
        <v>44236</v>
      </c>
      <c r="J65" s="23"/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26</v>
      </c>
      <c r="Q65" s="20" t="s">
        <v>28</v>
      </c>
      <c r="R65" s="25" t="s">
        <v>53</v>
      </c>
    </row>
    <row r="66" spans="1:18" ht="30" customHeight="1" x14ac:dyDescent="0.25">
      <c r="A66" s="18" t="s">
        <v>39</v>
      </c>
      <c r="B66" s="26">
        <v>220827</v>
      </c>
      <c r="C66" s="20" t="s">
        <v>30</v>
      </c>
      <c r="D66" s="21" t="s">
        <v>137</v>
      </c>
      <c r="E66" s="19" t="s">
        <v>34</v>
      </c>
      <c r="F66" s="19">
        <v>1</v>
      </c>
      <c r="G66" s="22">
        <v>44238</v>
      </c>
      <c r="H66" s="22">
        <v>44238</v>
      </c>
      <c r="I66" s="22">
        <v>44238</v>
      </c>
      <c r="J66" s="23"/>
      <c r="K66" s="20" t="s">
        <v>22</v>
      </c>
      <c r="L66" s="24" t="s">
        <v>23</v>
      </c>
      <c r="M66" s="20" t="s">
        <v>24</v>
      </c>
      <c r="N66" s="20"/>
      <c r="O66" s="20" t="s">
        <v>25</v>
      </c>
      <c r="P66" s="23" t="s">
        <v>26</v>
      </c>
      <c r="Q66" s="20" t="s">
        <v>28</v>
      </c>
      <c r="R66" s="25"/>
    </row>
    <row r="67" spans="1:18" ht="30" customHeight="1" x14ac:dyDescent="0.25">
      <c r="A67" s="18" t="s">
        <v>29</v>
      </c>
      <c r="B67" s="26">
        <v>220694</v>
      </c>
      <c r="C67" s="20" t="s">
        <v>19</v>
      </c>
      <c r="D67" s="21" t="s">
        <v>138</v>
      </c>
      <c r="E67" s="19" t="s">
        <v>139</v>
      </c>
      <c r="F67" s="19">
        <v>2</v>
      </c>
      <c r="G67" s="22">
        <v>44237</v>
      </c>
      <c r="H67" s="22">
        <v>44238</v>
      </c>
      <c r="I67" s="22">
        <v>44239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29</v>
      </c>
      <c r="B68" s="26">
        <v>220694</v>
      </c>
      <c r="C68" s="20" t="s">
        <v>19</v>
      </c>
      <c r="D68" s="21" t="s">
        <v>138</v>
      </c>
      <c r="E68" s="19" t="s">
        <v>89</v>
      </c>
      <c r="F68" s="19">
        <v>6</v>
      </c>
      <c r="G68" s="22">
        <v>44237</v>
      </c>
      <c r="H68" s="22">
        <v>44238</v>
      </c>
      <c r="I68" s="22">
        <v>44239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29</v>
      </c>
      <c r="B69" s="26">
        <v>220594</v>
      </c>
      <c r="C69" s="20" t="s">
        <v>19</v>
      </c>
      <c r="D69" s="21" t="s">
        <v>140</v>
      </c>
      <c r="E69" s="19" t="s">
        <v>141</v>
      </c>
      <c r="F69" s="19">
        <v>1</v>
      </c>
      <c r="G69" s="22">
        <v>44237</v>
      </c>
      <c r="H69" s="22">
        <v>44238</v>
      </c>
      <c r="I69" s="22">
        <v>44238</v>
      </c>
      <c r="J69" s="23"/>
      <c r="K69" s="20" t="s">
        <v>22</v>
      </c>
      <c r="L69" s="24" t="s">
        <v>57</v>
      </c>
      <c r="M69" s="20" t="s">
        <v>24</v>
      </c>
      <c r="N69" s="20"/>
      <c r="O69" s="20" t="s">
        <v>25</v>
      </c>
      <c r="P69" s="23"/>
      <c r="Q69" s="20" t="s">
        <v>28</v>
      </c>
      <c r="R69" s="25"/>
    </row>
    <row r="70" spans="1:18" ht="30" customHeight="1" x14ac:dyDescent="0.25">
      <c r="A70" s="18" t="s">
        <v>29</v>
      </c>
      <c r="B70" s="26">
        <v>221313</v>
      </c>
      <c r="C70" s="20" t="s">
        <v>19</v>
      </c>
      <c r="D70" s="21" t="s">
        <v>142</v>
      </c>
      <c r="E70" s="19" t="s">
        <v>61</v>
      </c>
      <c r="F70" s="19">
        <v>1</v>
      </c>
      <c r="G70" s="22">
        <v>44239</v>
      </c>
      <c r="H70" s="22">
        <v>44245</v>
      </c>
      <c r="I70" s="22">
        <v>44249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5" t="s">
        <v>53</v>
      </c>
    </row>
    <row r="71" spans="1:18" ht="30" customHeight="1" x14ac:dyDescent="0.25">
      <c r="A71" s="18" t="s">
        <v>67</v>
      </c>
      <c r="B71" s="26">
        <v>218839</v>
      </c>
      <c r="C71" s="20" t="s">
        <v>63</v>
      </c>
      <c r="D71" s="21" t="s">
        <v>143</v>
      </c>
      <c r="E71" s="19" t="s">
        <v>72</v>
      </c>
      <c r="F71" s="19">
        <v>1</v>
      </c>
      <c r="G71" s="22">
        <v>44230</v>
      </c>
      <c r="H71" s="22">
        <v>44235</v>
      </c>
      <c r="I71" s="22"/>
      <c r="J71" s="23"/>
      <c r="K71" s="20" t="s">
        <v>22</v>
      </c>
      <c r="L71" s="24" t="s">
        <v>57</v>
      </c>
      <c r="M71" s="20" t="s">
        <v>24</v>
      </c>
      <c r="N71" s="20"/>
      <c r="O71" s="20" t="s">
        <v>25</v>
      </c>
      <c r="P71" s="23"/>
      <c r="Q71" s="20" t="s">
        <v>28</v>
      </c>
      <c r="R71" s="25" t="s">
        <v>53</v>
      </c>
    </row>
    <row r="72" spans="1:18" ht="30" customHeight="1" x14ac:dyDescent="0.25">
      <c r="A72" s="18" t="s">
        <v>39</v>
      </c>
      <c r="B72" s="26">
        <v>221808</v>
      </c>
      <c r="C72" s="20" t="s">
        <v>30</v>
      </c>
      <c r="D72" s="21" t="s">
        <v>137</v>
      </c>
      <c r="E72" s="19" t="s">
        <v>34</v>
      </c>
      <c r="F72" s="19">
        <v>1</v>
      </c>
      <c r="G72" s="22">
        <v>44245</v>
      </c>
      <c r="H72" s="22">
        <v>44245</v>
      </c>
      <c r="I72" s="22">
        <v>44245</v>
      </c>
      <c r="J72" s="23"/>
      <c r="K72" s="20" t="s">
        <v>22</v>
      </c>
      <c r="L72" s="24" t="s">
        <v>23</v>
      </c>
      <c r="M72" s="20" t="s">
        <v>24</v>
      </c>
      <c r="N72" s="20"/>
      <c r="O72" s="20" t="s">
        <v>25</v>
      </c>
      <c r="P72" s="23"/>
      <c r="Q72" s="20" t="s">
        <v>28</v>
      </c>
      <c r="R72" s="25"/>
    </row>
    <row r="73" spans="1:18" ht="30" customHeight="1" x14ac:dyDescent="0.25">
      <c r="A73" s="18" t="s">
        <v>144</v>
      </c>
      <c r="B73" s="26" t="s">
        <v>95</v>
      </c>
      <c r="C73" s="20" t="s">
        <v>30</v>
      </c>
      <c r="D73" s="21" t="s">
        <v>145</v>
      </c>
      <c r="E73" s="19" t="s">
        <v>146</v>
      </c>
      <c r="F73" s="19">
        <v>2</v>
      </c>
      <c r="G73" s="22">
        <v>44236</v>
      </c>
      <c r="H73" s="22">
        <v>44236</v>
      </c>
      <c r="I73" s="22">
        <v>44236</v>
      </c>
      <c r="J73" s="23"/>
      <c r="K73" s="20" t="s">
        <v>22</v>
      </c>
      <c r="L73" s="24" t="s">
        <v>41</v>
      </c>
      <c r="M73" s="20" t="s">
        <v>24</v>
      </c>
      <c r="N73" s="20">
        <v>2</v>
      </c>
      <c r="O73" s="20" t="s">
        <v>26</v>
      </c>
      <c r="P73" s="23" t="s">
        <v>26</v>
      </c>
      <c r="Q73" s="20" t="s">
        <v>27</v>
      </c>
      <c r="R73" s="25" t="s">
        <v>27</v>
      </c>
    </row>
    <row r="74" spans="1:18" ht="30" customHeight="1" x14ac:dyDescent="0.25">
      <c r="A74" s="18" t="s">
        <v>39</v>
      </c>
      <c r="B74" s="26" t="s">
        <v>95</v>
      </c>
      <c r="C74" s="20" t="s">
        <v>30</v>
      </c>
      <c r="D74" s="21" t="s">
        <v>147</v>
      </c>
      <c r="E74" s="19" t="s">
        <v>66</v>
      </c>
      <c r="F74" s="19">
        <v>1</v>
      </c>
      <c r="G74" s="22">
        <v>44229</v>
      </c>
      <c r="H74" s="22">
        <v>44229</v>
      </c>
      <c r="I74" s="22">
        <v>44229</v>
      </c>
      <c r="J74" s="23"/>
      <c r="K74" s="20" t="s">
        <v>22</v>
      </c>
      <c r="L74" s="24" t="s">
        <v>23</v>
      </c>
      <c r="M74" s="20" t="s">
        <v>24</v>
      </c>
      <c r="N74" s="20"/>
      <c r="O74" s="20" t="s">
        <v>25</v>
      </c>
      <c r="P74" s="23" t="s">
        <v>26</v>
      </c>
      <c r="Q74" s="20" t="s">
        <v>53</v>
      </c>
      <c r="R74" s="25" t="s">
        <v>53</v>
      </c>
    </row>
    <row r="75" spans="1:18" ht="30" customHeight="1" x14ac:dyDescent="0.25">
      <c r="A75" s="18" t="s">
        <v>39</v>
      </c>
      <c r="B75" s="26">
        <v>209685</v>
      </c>
      <c r="C75" s="20" t="s">
        <v>19</v>
      </c>
      <c r="D75" s="21" t="s">
        <v>148</v>
      </c>
      <c r="E75" s="19" t="s">
        <v>34</v>
      </c>
      <c r="F75" s="19">
        <v>1</v>
      </c>
      <c r="G75" s="22">
        <v>44551</v>
      </c>
      <c r="H75" s="22">
        <v>44553</v>
      </c>
      <c r="I75" s="22">
        <v>44198</v>
      </c>
      <c r="J75" s="23"/>
      <c r="K75" s="20" t="s">
        <v>22</v>
      </c>
      <c r="L75" s="24" t="s">
        <v>41</v>
      </c>
      <c r="M75" s="20" t="s">
        <v>24</v>
      </c>
      <c r="N75" s="20"/>
      <c r="O75" s="20" t="s">
        <v>26</v>
      </c>
      <c r="P75" s="23"/>
      <c r="Q75" s="20"/>
      <c r="R75" s="25"/>
    </row>
    <row r="76" spans="1:18" ht="30" customHeight="1" x14ac:dyDescent="0.25">
      <c r="A76" s="18" t="s">
        <v>67</v>
      </c>
      <c r="B76" s="26">
        <v>222213</v>
      </c>
      <c r="C76" s="20" t="s">
        <v>19</v>
      </c>
      <c r="D76" s="21" t="s">
        <v>149</v>
      </c>
      <c r="E76" s="19" t="s">
        <v>34</v>
      </c>
      <c r="F76" s="19">
        <v>2</v>
      </c>
      <c r="G76" s="22">
        <v>44246</v>
      </c>
      <c r="H76" s="22">
        <v>44250</v>
      </c>
      <c r="I76" s="22">
        <v>44250</v>
      </c>
      <c r="J76" s="23"/>
      <c r="K76" s="20" t="s">
        <v>22</v>
      </c>
      <c r="L76" s="24" t="s">
        <v>33</v>
      </c>
      <c r="M76" s="20" t="s">
        <v>24</v>
      </c>
      <c r="N76" s="20"/>
      <c r="O76" s="20" t="s">
        <v>25</v>
      </c>
      <c r="P76" s="23" t="s">
        <v>26</v>
      </c>
      <c r="Q76" s="20" t="s">
        <v>28</v>
      </c>
      <c r="R76" s="25" t="s">
        <v>28</v>
      </c>
    </row>
    <row r="77" spans="1:18" ht="30" customHeight="1" x14ac:dyDescent="0.25">
      <c r="A77" s="18" t="s">
        <v>67</v>
      </c>
      <c r="B77" s="26">
        <v>222213</v>
      </c>
      <c r="C77" s="20" t="s">
        <v>19</v>
      </c>
      <c r="D77" s="21" t="s">
        <v>149</v>
      </c>
      <c r="E77" s="19" t="s">
        <v>32</v>
      </c>
      <c r="F77" s="19">
        <v>2</v>
      </c>
      <c r="G77" s="22">
        <v>44246</v>
      </c>
      <c r="H77" s="22">
        <v>44250</v>
      </c>
      <c r="I77" s="22">
        <v>44250</v>
      </c>
      <c r="J77" s="23"/>
      <c r="K77" s="20" t="s">
        <v>22</v>
      </c>
      <c r="L77" s="24" t="s">
        <v>33</v>
      </c>
      <c r="M77" s="20" t="s">
        <v>24</v>
      </c>
      <c r="N77" s="20"/>
      <c r="O77" s="20" t="s">
        <v>25</v>
      </c>
      <c r="P77" s="23" t="s">
        <v>26</v>
      </c>
      <c r="Q77" s="20" t="s">
        <v>28</v>
      </c>
      <c r="R77" s="25" t="s">
        <v>28</v>
      </c>
    </row>
    <row r="78" spans="1:18" ht="30" customHeight="1" x14ac:dyDescent="0.25">
      <c r="A78" s="18" t="s">
        <v>54</v>
      </c>
      <c r="B78" s="26">
        <v>222473</v>
      </c>
      <c r="C78" s="20" t="s">
        <v>63</v>
      </c>
      <c r="D78" s="21" t="s">
        <v>150</v>
      </c>
      <c r="E78" s="19" t="s">
        <v>151</v>
      </c>
      <c r="F78" s="19">
        <v>7</v>
      </c>
      <c r="G78" s="22">
        <v>44249</v>
      </c>
      <c r="H78" s="22">
        <v>44249</v>
      </c>
      <c r="I78" s="22"/>
      <c r="J78" s="23"/>
      <c r="K78" s="20" t="s">
        <v>22</v>
      </c>
      <c r="L78" s="24" t="s">
        <v>57</v>
      </c>
      <c r="M78" s="20" t="s">
        <v>24</v>
      </c>
      <c r="N78" s="20"/>
      <c r="O78" s="20" t="s">
        <v>26</v>
      </c>
      <c r="P78" s="23"/>
      <c r="Q78" s="20" t="s">
        <v>28</v>
      </c>
      <c r="R78" s="25" t="s">
        <v>28</v>
      </c>
    </row>
    <row r="79" spans="1:18" ht="30" customHeight="1" x14ac:dyDescent="0.25">
      <c r="A79" s="18" t="s">
        <v>39</v>
      </c>
      <c r="B79" s="26">
        <v>223252</v>
      </c>
      <c r="C79" s="20" t="s">
        <v>30</v>
      </c>
      <c r="D79" s="21" t="s">
        <v>152</v>
      </c>
      <c r="E79" s="19" t="s">
        <v>34</v>
      </c>
      <c r="F79" s="19">
        <v>1</v>
      </c>
      <c r="G79" s="22">
        <v>44251</v>
      </c>
      <c r="H79" s="22">
        <v>44251</v>
      </c>
      <c r="I79" s="22">
        <v>44251</v>
      </c>
      <c r="J79" s="23"/>
      <c r="K79" s="20" t="s">
        <v>22</v>
      </c>
      <c r="L79" s="24" t="s">
        <v>23</v>
      </c>
      <c r="M79" s="20" t="s">
        <v>24</v>
      </c>
      <c r="N79" s="20">
        <v>3</v>
      </c>
      <c r="O79" s="20" t="s">
        <v>25</v>
      </c>
      <c r="P79" s="23"/>
      <c r="Q79" s="20" t="s">
        <v>28</v>
      </c>
      <c r="R79" s="25"/>
    </row>
    <row r="80" spans="1:18" ht="30" customHeight="1" x14ac:dyDescent="0.25">
      <c r="A80" s="18" t="s">
        <v>46</v>
      </c>
      <c r="B80" s="26">
        <v>222723</v>
      </c>
      <c r="C80" s="20" t="s">
        <v>30</v>
      </c>
      <c r="D80" s="21" t="s">
        <v>153</v>
      </c>
      <c r="E80" s="19" t="s">
        <v>72</v>
      </c>
      <c r="F80" s="19">
        <v>1</v>
      </c>
      <c r="G80" s="22">
        <v>44250</v>
      </c>
      <c r="H80" s="22">
        <v>44253</v>
      </c>
      <c r="I80" s="22">
        <v>44250</v>
      </c>
      <c r="J80" s="23"/>
      <c r="K80" s="20" t="s">
        <v>22</v>
      </c>
      <c r="L80" s="24" t="s">
        <v>57</v>
      </c>
      <c r="M80" s="20" t="s">
        <v>24</v>
      </c>
      <c r="N80" s="20"/>
      <c r="O80" s="20" t="s">
        <v>25</v>
      </c>
      <c r="P80" s="23"/>
      <c r="Q80" s="20" t="s">
        <v>27</v>
      </c>
      <c r="R80" s="25"/>
    </row>
    <row r="81" spans="1:18" ht="30" customHeight="1" x14ac:dyDescent="0.25">
      <c r="A81" s="18" t="s">
        <v>29</v>
      </c>
      <c r="B81" s="26">
        <v>22281</v>
      </c>
      <c r="C81" s="20" t="s">
        <v>63</v>
      </c>
      <c r="D81" s="21" t="s">
        <v>154</v>
      </c>
      <c r="E81" s="19" t="s">
        <v>155</v>
      </c>
      <c r="F81" s="19">
        <v>1</v>
      </c>
      <c r="G81" s="22">
        <v>44246</v>
      </c>
      <c r="H81" s="22">
        <v>44251</v>
      </c>
      <c r="I81" s="22"/>
      <c r="J81" s="23"/>
      <c r="K81" s="20" t="s">
        <v>22</v>
      </c>
      <c r="L81" s="24" t="s">
        <v>57</v>
      </c>
      <c r="M81" s="20" t="s">
        <v>24</v>
      </c>
      <c r="N81" s="20"/>
      <c r="O81" s="20" t="s">
        <v>25</v>
      </c>
      <c r="P81" s="23"/>
      <c r="Q81" s="20" t="s">
        <v>53</v>
      </c>
      <c r="R81" s="25" t="s">
        <v>53</v>
      </c>
    </row>
    <row r="82" spans="1:18" ht="30" customHeight="1" x14ac:dyDescent="0.25">
      <c r="A82" s="18" t="s">
        <v>128</v>
      </c>
      <c r="B82" s="26">
        <v>222424</v>
      </c>
      <c r="C82" s="20" t="s">
        <v>63</v>
      </c>
      <c r="D82" s="21" t="s">
        <v>156</v>
      </c>
      <c r="E82" s="19" t="s">
        <v>79</v>
      </c>
      <c r="F82" s="19">
        <v>0</v>
      </c>
      <c r="G82" s="22">
        <v>44249</v>
      </c>
      <c r="H82" s="22">
        <v>44253</v>
      </c>
      <c r="I82" s="22"/>
      <c r="J82" s="23"/>
      <c r="K82" s="20" t="s">
        <v>22</v>
      </c>
      <c r="L82" s="24" t="s">
        <v>41</v>
      </c>
      <c r="M82" s="20" t="s">
        <v>79</v>
      </c>
      <c r="N82" s="20"/>
      <c r="O82" s="20" t="s">
        <v>26</v>
      </c>
      <c r="P82" s="23"/>
      <c r="Q82" s="20" t="s">
        <v>27</v>
      </c>
      <c r="R82" s="25"/>
    </row>
    <row r="83" spans="1:18" ht="30" customHeight="1" x14ac:dyDescent="0.25">
      <c r="A83" s="18" t="s">
        <v>39</v>
      </c>
      <c r="B83" s="26">
        <v>223640</v>
      </c>
      <c r="C83" s="20" t="s">
        <v>19</v>
      </c>
      <c r="D83" s="21" t="s">
        <v>157</v>
      </c>
      <c r="E83" s="19" t="s">
        <v>34</v>
      </c>
      <c r="F83" s="19">
        <v>1</v>
      </c>
      <c r="G83" s="22">
        <v>44252</v>
      </c>
      <c r="H83" s="22">
        <v>44253</v>
      </c>
      <c r="I83" s="22">
        <v>44253</v>
      </c>
      <c r="J83" s="23"/>
      <c r="K83" s="20" t="s">
        <v>22</v>
      </c>
      <c r="L83" s="24" t="s">
        <v>23</v>
      </c>
      <c r="M83" s="20" t="s">
        <v>24</v>
      </c>
      <c r="N83" s="20"/>
      <c r="O83" s="20" t="s">
        <v>25</v>
      </c>
      <c r="P83" s="23"/>
      <c r="Q83" s="20" t="s">
        <v>53</v>
      </c>
      <c r="R83" s="25" t="s">
        <v>53</v>
      </c>
    </row>
    <row r="84" spans="1:18" ht="30" customHeight="1" x14ac:dyDescent="0.25">
      <c r="A84" s="18" t="s">
        <v>39</v>
      </c>
      <c r="B84" s="26">
        <v>223640</v>
      </c>
      <c r="C84" s="20" t="s">
        <v>19</v>
      </c>
      <c r="D84" s="21" t="s">
        <v>157</v>
      </c>
      <c r="E84" s="19" t="s">
        <v>32</v>
      </c>
      <c r="F84" s="19">
        <v>1</v>
      </c>
      <c r="G84" s="22">
        <v>44252</v>
      </c>
      <c r="H84" s="22">
        <v>44253</v>
      </c>
      <c r="I84" s="22">
        <v>44253</v>
      </c>
      <c r="J84" s="23"/>
      <c r="K84" s="20" t="s">
        <v>22</v>
      </c>
      <c r="L84" s="24" t="s">
        <v>23</v>
      </c>
      <c r="M84" s="20" t="s">
        <v>24</v>
      </c>
      <c r="N84" s="20"/>
      <c r="O84" s="20" t="s">
        <v>25</v>
      </c>
      <c r="P84" s="23"/>
      <c r="Q84" s="20" t="s">
        <v>53</v>
      </c>
      <c r="R84" s="25" t="s">
        <v>53</v>
      </c>
    </row>
    <row r="85" spans="1:18" ht="30" customHeight="1" x14ac:dyDescent="0.25">
      <c r="A85" s="18" t="s">
        <v>39</v>
      </c>
      <c r="B85" s="26">
        <v>223735</v>
      </c>
      <c r="C85" s="20" t="s">
        <v>30</v>
      </c>
      <c r="D85" s="21" t="s">
        <v>158</v>
      </c>
      <c r="E85" s="19" t="s">
        <v>34</v>
      </c>
      <c r="F85" s="19">
        <v>1</v>
      </c>
      <c r="G85" s="22">
        <v>44252</v>
      </c>
      <c r="H85" s="22">
        <v>44256</v>
      </c>
      <c r="I85" s="22">
        <v>44256</v>
      </c>
      <c r="J85" s="23"/>
      <c r="K85" s="20" t="s">
        <v>22</v>
      </c>
      <c r="L85" s="24" t="s">
        <v>23</v>
      </c>
      <c r="M85" s="20" t="s">
        <v>24</v>
      </c>
      <c r="N85" s="20"/>
      <c r="O85" s="20" t="s">
        <v>25</v>
      </c>
      <c r="P85" s="23"/>
      <c r="Q85" s="20" t="s">
        <v>53</v>
      </c>
      <c r="R85" s="25"/>
    </row>
    <row r="86" spans="1:18" x14ac:dyDescent="0.25">
      <c r="A86" s="18"/>
      <c r="B86" s="26"/>
      <c r="C86" s="20"/>
      <c r="D86" s="21"/>
      <c r="E86" s="19"/>
      <c r="F86" s="19"/>
      <c r="G86" s="22"/>
      <c r="H86" s="22"/>
      <c r="I86" s="22"/>
      <c r="J86" s="23"/>
      <c r="K86" s="20"/>
      <c r="L86" s="24"/>
      <c r="M86" s="20"/>
      <c r="N86" s="20"/>
      <c r="O86" s="20"/>
      <c r="P86" s="23"/>
      <c r="Q86" s="20"/>
      <c r="R86" s="25"/>
    </row>
    <row r="87" spans="1:18" x14ac:dyDescent="0.25">
      <c r="A87" s="18"/>
      <c r="B87" s="26"/>
      <c r="C87" s="20"/>
      <c r="D87" s="21"/>
      <c r="E87" s="19"/>
      <c r="F87" s="19"/>
      <c r="G87" s="22"/>
      <c r="H87" s="22"/>
      <c r="I87" s="22"/>
      <c r="J87" s="23"/>
      <c r="K87" s="20"/>
      <c r="L87" s="24"/>
      <c r="M87" s="20"/>
      <c r="N87" s="20"/>
      <c r="O87" s="20"/>
      <c r="P87" s="23"/>
      <c r="Q87" s="20"/>
      <c r="R87" s="25"/>
    </row>
    <row r="88" spans="1:18" x14ac:dyDescent="0.25">
      <c r="A88" s="18"/>
      <c r="B88" s="26"/>
      <c r="C88" s="20"/>
      <c r="D88" s="21"/>
      <c r="E88" s="19"/>
      <c r="F88" s="19"/>
      <c r="G88" s="22"/>
      <c r="H88" s="22"/>
      <c r="I88" s="22"/>
      <c r="J88" s="23"/>
      <c r="K88" s="20"/>
      <c r="L88" s="24"/>
      <c r="M88" s="20"/>
      <c r="N88" s="20"/>
      <c r="O88" s="20"/>
      <c r="P88" s="23"/>
      <c r="Q88" s="20"/>
      <c r="R88" s="25"/>
    </row>
    <row r="89" spans="1:18" x14ac:dyDescent="0.25">
      <c r="A89" s="18"/>
      <c r="B89" s="26"/>
      <c r="C89" s="20"/>
      <c r="D89" s="21"/>
      <c r="E89" s="19"/>
      <c r="F89" s="19"/>
      <c r="G89" s="22"/>
      <c r="H89" s="22"/>
      <c r="I89" s="22"/>
      <c r="J89" s="23"/>
      <c r="K89" s="20"/>
      <c r="L89" s="24"/>
      <c r="M89" s="20"/>
      <c r="N89" s="20"/>
      <c r="O89" s="20"/>
      <c r="P89" s="23"/>
      <c r="Q89" s="20"/>
      <c r="R89" s="25"/>
    </row>
    <row r="90" spans="1:18" x14ac:dyDescent="0.25">
      <c r="A90" s="18"/>
      <c r="B90" s="26"/>
      <c r="C90" s="20"/>
      <c r="D90" s="21"/>
      <c r="E90" s="19"/>
      <c r="F90" s="19"/>
      <c r="G90" s="22"/>
      <c r="H90" s="22"/>
      <c r="I90" s="22"/>
      <c r="J90" s="23"/>
      <c r="K90" s="20"/>
      <c r="L90" s="24"/>
      <c r="M90" s="20"/>
      <c r="N90" s="20"/>
      <c r="O90" s="20"/>
      <c r="P90" s="23"/>
      <c r="Q90" s="20"/>
      <c r="R90" s="25"/>
    </row>
    <row r="91" spans="1:18" x14ac:dyDescent="0.25">
      <c r="A91" s="18"/>
      <c r="B91" s="26"/>
      <c r="C91" s="20"/>
      <c r="D91" s="21"/>
      <c r="E91" s="19"/>
      <c r="F91" s="19"/>
      <c r="G91" s="22"/>
      <c r="H91" s="22"/>
      <c r="I91" s="22"/>
      <c r="J91" s="23"/>
      <c r="K91" s="20"/>
      <c r="L91" s="24"/>
      <c r="M91" s="20"/>
      <c r="N91" s="20"/>
      <c r="O91" s="20"/>
      <c r="P91" s="23"/>
      <c r="Q91" s="20"/>
      <c r="R91" s="25"/>
    </row>
    <row r="92" spans="1:18" x14ac:dyDescent="0.25">
      <c r="A92" s="18"/>
      <c r="B92" s="26"/>
      <c r="C92" s="20"/>
      <c r="D92" s="21"/>
      <c r="E92" s="19"/>
      <c r="F92" s="19"/>
      <c r="G92" s="22"/>
      <c r="H92" s="22"/>
      <c r="I92" s="22"/>
      <c r="J92" s="23"/>
      <c r="K92" s="20"/>
      <c r="L92" s="24"/>
      <c r="M92" s="20"/>
      <c r="N92" s="20"/>
      <c r="O92" s="20"/>
      <c r="P92" s="23"/>
      <c r="Q92" s="20"/>
      <c r="R92" s="25"/>
    </row>
    <row r="93" spans="1:18" x14ac:dyDescent="0.25">
      <c r="A93" s="18"/>
      <c r="B93" s="26"/>
      <c r="C93" s="20"/>
      <c r="D93" s="21"/>
      <c r="E93" s="19"/>
      <c r="F93" s="19"/>
      <c r="G93" s="22"/>
      <c r="H93" s="22"/>
      <c r="I93" s="22"/>
      <c r="J93" s="23"/>
      <c r="K93" s="20"/>
      <c r="L93" s="24"/>
      <c r="M93" s="20"/>
      <c r="N93" s="20"/>
      <c r="O93" s="20"/>
      <c r="P93" s="23"/>
      <c r="Q93" s="20"/>
      <c r="R93" s="25"/>
    </row>
    <row r="94" spans="1:18" x14ac:dyDescent="0.25">
      <c r="A94" s="18"/>
      <c r="B94" s="26"/>
      <c r="C94" s="20"/>
      <c r="D94" s="21"/>
      <c r="E94" s="19"/>
      <c r="F94" s="19"/>
      <c r="G94" s="22"/>
      <c r="H94" s="22"/>
      <c r="I94" s="22"/>
      <c r="J94" s="23"/>
      <c r="K94" s="20"/>
      <c r="L94" s="24"/>
      <c r="M94" s="20"/>
      <c r="N94" s="20"/>
      <c r="O94" s="20"/>
      <c r="P94" s="23"/>
      <c r="Q94" s="20"/>
      <c r="R94" s="25"/>
    </row>
    <row r="95" spans="1:18" x14ac:dyDescent="0.25">
      <c r="A95" s="18"/>
      <c r="B95" s="26"/>
      <c r="C95" s="20"/>
      <c r="D95" s="21"/>
      <c r="E95" s="19"/>
      <c r="F95" s="19"/>
      <c r="G95" s="22"/>
      <c r="H95" s="22"/>
      <c r="I95" s="22"/>
      <c r="J95" s="23"/>
      <c r="K95" s="20"/>
      <c r="L95" s="24"/>
      <c r="M95" s="20"/>
      <c r="N95" s="20"/>
      <c r="O95" s="20"/>
      <c r="P95" s="23"/>
      <c r="Q95" s="20"/>
      <c r="R95" s="25"/>
    </row>
    <row r="96" spans="1:18" x14ac:dyDescent="0.25">
      <c r="A96" s="18"/>
      <c r="B96" s="26"/>
      <c r="C96" s="20"/>
      <c r="D96" s="21"/>
      <c r="E96" s="19"/>
      <c r="F96" s="19"/>
      <c r="G96" s="22"/>
      <c r="H96" s="22"/>
      <c r="I96" s="22"/>
      <c r="J96" s="23"/>
      <c r="K96" s="20"/>
      <c r="L96" s="24"/>
      <c r="M96" s="20"/>
      <c r="N96" s="20"/>
      <c r="O96" s="20"/>
      <c r="P96" s="23"/>
      <c r="Q96" s="20"/>
      <c r="R96" s="25"/>
    </row>
    <row r="97" spans="1:18" x14ac:dyDescent="0.25">
      <c r="A97" s="27"/>
      <c r="B97" s="28"/>
      <c r="C97" s="29"/>
      <c r="D97" s="30"/>
      <c r="E97" s="31"/>
      <c r="F97" s="31"/>
      <c r="G97" s="32"/>
      <c r="H97" s="32"/>
      <c r="I97" s="32"/>
      <c r="J97" s="33"/>
      <c r="K97" s="29"/>
      <c r="L97" s="34"/>
      <c r="M97" s="29"/>
      <c r="N97" s="29"/>
      <c r="O97" s="29"/>
      <c r="P97" s="33"/>
      <c r="Q97" s="29"/>
      <c r="R97" s="35"/>
    </row>
  </sheetData>
  <conditionalFormatting sqref="A78:R85 A56:R76 A2:R54">
    <cfRule type="expression" dxfId="29" priority="196">
      <formula>$K2="CANCELADO"</formula>
    </cfRule>
    <cfRule type="expression" dxfId="28" priority="197">
      <formula>$K2="STAND-BY"</formula>
    </cfRule>
    <cfRule type="expression" dxfId="27" priority="198">
      <formula>$K2="AGUARDANDO APROVAÇÃO"</formula>
    </cfRule>
    <cfRule type="expression" dxfId="26" priority="199">
      <formula>$K2="OK"</formula>
    </cfRule>
    <cfRule type="expression" dxfId="25" priority="200">
      <formula>AND((TODAY()-$H2)&gt;0,$H2&lt;&gt;"",$I2="")=TRUE</formula>
    </cfRule>
  </conditionalFormatting>
  <conditionalFormatting sqref="A77:H77 J77:R77">
    <cfRule type="expression" dxfId="24" priority="41">
      <formula>$K77="CANCELADO"</formula>
    </cfRule>
    <cfRule type="expression" dxfId="23" priority="42">
      <formula>$K77="STAND-BY"</formula>
    </cfRule>
    <cfRule type="expression" dxfId="22" priority="43">
      <formula>$K77="AGUARDANDO APROVAÇÃO"</formula>
    </cfRule>
    <cfRule type="expression" dxfId="21" priority="44">
      <formula>$K77="OK"</formula>
    </cfRule>
    <cfRule type="expression" dxfId="20" priority="45">
      <formula>AND((TODAY()-$H77)&gt;0,$H77&lt;&gt;"",$I77="")=TRUE</formula>
    </cfRule>
  </conditionalFormatting>
  <conditionalFormatting sqref="I77">
    <cfRule type="expression" dxfId="19" priority="21">
      <formula>$K77="CANCELADO"</formula>
    </cfRule>
    <cfRule type="expression" dxfId="18" priority="22">
      <formula>$K77="STAND-BY"</formula>
    </cfRule>
    <cfRule type="expression" dxfId="17" priority="23">
      <formula>$K77="AGUARDANDO APROVAÇÃO"</formula>
    </cfRule>
    <cfRule type="expression" dxfId="16" priority="24">
      <formula>$K77="OK"</formula>
    </cfRule>
    <cfRule type="expression" dxfId="15" priority="25">
      <formula>AND((TODAY()-$H77)&gt;0,$H77&lt;&gt;"",$I77="")=TRUE</formula>
    </cfRule>
  </conditionalFormatting>
  <conditionalFormatting sqref="A55:R55">
    <cfRule type="expression" dxfId="14" priority="1">
      <formula>$K55="CANCELADO"</formula>
    </cfRule>
    <cfRule type="expression" dxfId="13" priority="2">
      <formula>$K55="STAND-BY"</formula>
    </cfRule>
    <cfRule type="expression" dxfId="12" priority="3">
      <formula>$K55="AGUARDANDO APROVAÇÃO"</formula>
    </cfRule>
    <cfRule type="expression" dxfId="11" priority="4">
      <formula>$K55="OK"</formula>
    </cfRule>
    <cfRule type="expression" dxfId="10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387D5EBD-F459-4EF3-BDDC-A9DA352EC42F}">
          <x14:formula1>
            <xm:f>'NÃO MEXER'!$C$2:$C$84</xm:f>
          </x14:formula1>
          <xm:sqref>E2:E85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1FAC3-C6B7-4CE5-B906-7FD87EA6737A}">
  <dimension ref="A1:R85"/>
  <sheetViews>
    <sheetView workbookViewId="0">
      <selection activeCell="F4" sqref="F4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</row>
    <row r="2" spans="1:18" ht="30" customHeight="1" x14ac:dyDescent="0.25">
      <c r="A2" s="18" t="s">
        <v>36</v>
      </c>
      <c r="B2" s="26">
        <v>216047</v>
      </c>
      <c r="C2" s="20" t="s">
        <v>30</v>
      </c>
      <c r="D2" s="21" t="s">
        <v>197</v>
      </c>
      <c r="E2" s="19" t="s">
        <v>34</v>
      </c>
      <c r="F2" s="19">
        <v>1</v>
      </c>
      <c r="G2" s="22">
        <v>44266</v>
      </c>
      <c r="H2" s="22">
        <v>44272</v>
      </c>
      <c r="I2" s="22">
        <v>44271</v>
      </c>
      <c r="J2" s="23"/>
      <c r="K2" s="20" t="s">
        <v>22</v>
      </c>
      <c r="L2" s="24" t="s">
        <v>33</v>
      </c>
      <c r="M2" s="20" t="s">
        <v>198</v>
      </c>
      <c r="N2" s="20"/>
      <c r="O2" s="20" t="s">
        <v>26</v>
      </c>
      <c r="P2" s="23" t="s">
        <v>26</v>
      </c>
      <c r="Q2" s="20" t="s">
        <v>28</v>
      </c>
      <c r="R2" s="20"/>
    </row>
    <row r="3" spans="1:18" ht="30" customHeight="1" x14ac:dyDescent="0.25">
      <c r="A3" s="18" t="s">
        <v>36</v>
      </c>
      <c r="B3" s="26">
        <v>216047</v>
      </c>
      <c r="C3" s="20" t="s">
        <v>30</v>
      </c>
      <c r="D3" s="21" t="s">
        <v>197</v>
      </c>
      <c r="E3" s="19" t="s">
        <v>34</v>
      </c>
      <c r="F3" s="19">
        <v>1</v>
      </c>
      <c r="G3" s="22">
        <v>44266</v>
      </c>
      <c r="H3" s="22">
        <v>44272</v>
      </c>
      <c r="I3" s="22">
        <v>44271</v>
      </c>
      <c r="J3" s="23"/>
      <c r="K3" s="20" t="s">
        <v>22</v>
      </c>
      <c r="L3" s="24" t="s">
        <v>33</v>
      </c>
      <c r="M3" s="20" t="s">
        <v>198</v>
      </c>
      <c r="N3" s="20"/>
      <c r="O3" s="20" t="s">
        <v>26</v>
      </c>
      <c r="P3" s="23" t="s">
        <v>26</v>
      </c>
      <c r="Q3" s="20" t="s">
        <v>28</v>
      </c>
      <c r="R3" s="20"/>
    </row>
    <row r="4" spans="1:18" ht="30" customHeight="1" x14ac:dyDescent="0.25">
      <c r="A4" s="18" t="s">
        <v>36</v>
      </c>
      <c r="B4" s="26">
        <v>216047</v>
      </c>
      <c r="C4" s="20" t="s">
        <v>30</v>
      </c>
      <c r="D4" s="21" t="s">
        <v>197</v>
      </c>
      <c r="E4" s="19" t="s">
        <v>35</v>
      </c>
      <c r="F4" s="19">
        <v>3</v>
      </c>
      <c r="G4" s="22">
        <v>44266</v>
      </c>
      <c r="H4" s="22">
        <v>44272</v>
      </c>
      <c r="I4" s="22">
        <v>44271</v>
      </c>
      <c r="J4" s="23"/>
      <c r="K4" s="20" t="s">
        <v>22</v>
      </c>
      <c r="L4" s="24" t="s">
        <v>33</v>
      </c>
      <c r="M4" s="20" t="s">
        <v>198</v>
      </c>
      <c r="N4" s="20"/>
      <c r="O4" s="20" t="s">
        <v>26</v>
      </c>
      <c r="P4" s="23" t="s">
        <v>26</v>
      </c>
      <c r="Q4" s="20" t="s">
        <v>28</v>
      </c>
      <c r="R4" s="20"/>
    </row>
    <row r="5" spans="1:18" ht="30" customHeight="1" x14ac:dyDescent="0.25">
      <c r="A5" s="18" t="s">
        <v>36</v>
      </c>
      <c r="B5" s="26">
        <v>216047</v>
      </c>
      <c r="C5" s="20" t="s">
        <v>30</v>
      </c>
      <c r="D5" s="21" t="s">
        <v>197</v>
      </c>
      <c r="E5" s="19" t="s">
        <v>48</v>
      </c>
      <c r="F5" s="19">
        <v>1</v>
      </c>
      <c r="G5" s="22">
        <v>44266</v>
      </c>
      <c r="H5" s="22">
        <v>44272</v>
      </c>
      <c r="I5" s="22">
        <v>44271</v>
      </c>
      <c r="J5" s="23"/>
      <c r="K5" s="20" t="s">
        <v>22</v>
      </c>
      <c r="L5" s="24" t="s">
        <v>33</v>
      </c>
      <c r="M5" s="20" t="s">
        <v>198</v>
      </c>
      <c r="N5" s="20"/>
      <c r="O5" s="20" t="s">
        <v>26</v>
      </c>
      <c r="P5" s="23" t="s">
        <v>26</v>
      </c>
      <c r="Q5" s="20" t="s">
        <v>28</v>
      </c>
      <c r="R5" s="20"/>
    </row>
    <row r="6" spans="1:18" ht="30" customHeight="1" x14ac:dyDescent="0.25">
      <c r="A6" s="18" t="s">
        <v>36</v>
      </c>
      <c r="B6" s="26">
        <v>216047</v>
      </c>
      <c r="C6" s="20" t="s">
        <v>30</v>
      </c>
      <c r="D6" s="21" t="s">
        <v>197</v>
      </c>
      <c r="E6" s="19" t="s">
        <v>42</v>
      </c>
      <c r="F6" s="19">
        <v>1</v>
      </c>
      <c r="G6" s="22">
        <v>44266</v>
      </c>
      <c r="H6" s="22">
        <v>44272</v>
      </c>
      <c r="I6" s="22">
        <v>44271</v>
      </c>
      <c r="J6" s="23"/>
      <c r="K6" s="20" t="s">
        <v>22</v>
      </c>
      <c r="L6" s="24" t="s">
        <v>33</v>
      </c>
      <c r="M6" s="20" t="s">
        <v>198</v>
      </c>
      <c r="N6" s="20"/>
      <c r="O6" s="20" t="s">
        <v>26</v>
      </c>
      <c r="P6" s="23" t="s">
        <v>26</v>
      </c>
      <c r="Q6" s="20" t="s">
        <v>28</v>
      </c>
      <c r="R6" s="20"/>
    </row>
    <row r="7" spans="1:18" ht="30" customHeight="1" x14ac:dyDescent="0.25">
      <c r="A7" s="18" t="s">
        <v>36</v>
      </c>
      <c r="B7" s="26">
        <v>216047</v>
      </c>
      <c r="C7" s="20" t="s">
        <v>30</v>
      </c>
      <c r="D7" s="21" t="s">
        <v>197</v>
      </c>
      <c r="E7" s="19" t="s">
        <v>32</v>
      </c>
      <c r="F7" s="19">
        <v>1</v>
      </c>
      <c r="G7" s="22">
        <v>44266</v>
      </c>
      <c r="H7" s="22">
        <v>44272</v>
      </c>
      <c r="I7" s="22">
        <v>44271</v>
      </c>
      <c r="J7" s="23"/>
      <c r="K7" s="20" t="s">
        <v>22</v>
      </c>
      <c r="L7" s="24" t="s">
        <v>33</v>
      </c>
      <c r="M7" s="20" t="s">
        <v>198</v>
      </c>
      <c r="N7" s="20"/>
      <c r="O7" s="20" t="s">
        <v>26</v>
      </c>
      <c r="P7" s="23" t="s">
        <v>26</v>
      </c>
      <c r="Q7" s="20" t="s">
        <v>28</v>
      </c>
      <c r="R7" s="20"/>
    </row>
    <row r="8" spans="1:18" ht="30" customHeight="1" x14ac:dyDescent="0.25">
      <c r="A8" s="18" t="s">
        <v>36</v>
      </c>
      <c r="B8" s="26">
        <v>216047</v>
      </c>
      <c r="C8" s="20" t="s">
        <v>30</v>
      </c>
      <c r="D8" s="21" t="s">
        <v>197</v>
      </c>
      <c r="E8" s="19" t="s">
        <v>66</v>
      </c>
      <c r="F8" s="19">
        <v>1</v>
      </c>
      <c r="G8" s="22">
        <v>44217</v>
      </c>
      <c r="H8" s="22">
        <v>44246</v>
      </c>
      <c r="I8" s="22">
        <v>44246</v>
      </c>
      <c r="J8" s="23"/>
      <c r="K8" s="20" t="s">
        <v>22</v>
      </c>
      <c r="L8" s="24" t="s">
        <v>41</v>
      </c>
      <c r="M8" s="20" t="s">
        <v>198</v>
      </c>
      <c r="N8" s="20"/>
      <c r="O8" s="20" t="s">
        <v>26</v>
      </c>
      <c r="P8" s="23" t="s">
        <v>26</v>
      </c>
      <c r="Q8" s="20" t="s">
        <v>28</v>
      </c>
      <c r="R8" s="20"/>
    </row>
    <row r="9" spans="1:18" ht="30" customHeight="1" x14ac:dyDescent="0.25">
      <c r="A9" s="18" t="s">
        <v>36</v>
      </c>
      <c r="B9" s="26">
        <v>216047</v>
      </c>
      <c r="C9" s="20" t="s">
        <v>30</v>
      </c>
      <c r="D9" s="21" t="s">
        <v>197</v>
      </c>
      <c r="E9" s="19" t="s">
        <v>72</v>
      </c>
      <c r="F9" s="19">
        <v>1</v>
      </c>
      <c r="G9" s="22">
        <v>44217</v>
      </c>
      <c r="H9" s="22">
        <v>44246</v>
      </c>
      <c r="I9" s="22">
        <v>44246</v>
      </c>
      <c r="J9" s="23"/>
      <c r="K9" s="20" t="s">
        <v>22</v>
      </c>
      <c r="L9" s="24" t="s">
        <v>41</v>
      </c>
      <c r="M9" s="20" t="s">
        <v>198</v>
      </c>
      <c r="N9" s="20"/>
      <c r="O9" s="20" t="s">
        <v>26</v>
      </c>
      <c r="P9" s="23" t="s">
        <v>26</v>
      </c>
      <c r="Q9" s="20" t="s">
        <v>28</v>
      </c>
      <c r="R9" s="20"/>
    </row>
    <row r="10" spans="1:18" ht="30" customHeight="1" x14ac:dyDescent="0.25">
      <c r="A10" s="18" t="s">
        <v>29</v>
      </c>
      <c r="B10" s="26">
        <v>217017</v>
      </c>
      <c r="C10" s="20" t="s">
        <v>19</v>
      </c>
      <c r="D10" s="21" t="s">
        <v>199</v>
      </c>
      <c r="E10" s="19" t="s">
        <v>72</v>
      </c>
      <c r="F10" s="19">
        <v>1</v>
      </c>
      <c r="G10" s="22">
        <v>44224</v>
      </c>
      <c r="H10" s="22">
        <v>44229</v>
      </c>
      <c r="I10" s="22">
        <v>44258</v>
      </c>
      <c r="J10" s="23"/>
      <c r="K10" s="20" t="s">
        <v>22</v>
      </c>
      <c r="L10" s="24" t="s">
        <v>57</v>
      </c>
      <c r="M10" s="20" t="s">
        <v>24</v>
      </c>
      <c r="N10" s="20"/>
      <c r="O10" s="20" t="s">
        <v>25</v>
      </c>
      <c r="P10" s="23" t="s">
        <v>26</v>
      </c>
      <c r="Q10" s="20" t="s">
        <v>28</v>
      </c>
      <c r="R10" s="20" t="s">
        <v>28</v>
      </c>
    </row>
    <row r="11" spans="1:18" ht="30" customHeight="1" x14ac:dyDescent="0.25">
      <c r="A11" s="18" t="s">
        <v>46</v>
      </c>
      <c r="B11" s="26">
        <v>221895</v>
      </c>
      <c r="C11" s="20" t="s">
        <v>19</v>
      </c>
      <c r="D11" s="21" t="s">
        <v>203</v>
      </c>
      <c r="E11" s="19" t="s">
        <v>42</v>
      </c>
      <c r="F11" s="19">
        <v>1</v>
      </c>
      <c r="G11" s="22">
        <v>44245</v>
      </c>
      <c r="H11" s="22">
        <v>44246</v>
      </c>
      <c r="I11" s="22">
        <v>44245</v>
      </c>
      <c r="J11" s="23"/>
      <c r="K11" s="20" t="s">
        <v>22</v>
      </c>
      <c r="L11" s="24" t="s">
        <v>33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0" t="s">
        <v>28</v>
      </c>
    </row>
    <row r="12" spans="1:18" ht="30" customHeight="1" x14ac:dyDescent="0.25">
      <c r="A12" s="18" t="s">
        <v>36</v>
      </c>
      <c r="B12" s="26">
        <v>222168</v>
      </c>
      <c r="C12" s="20" t="s">
        <v>19</v>
      </c>
      <c r="D12" s="21" t="s">
        <v>205</v>
      </c>
      <c r="E12" s="19" t="s">
        <v>34</v>
      </c>
      <c r="F12" s="19">
        <v>2</v>
      </c>
      <c r="G12" s="22">
        <v>44246</v>
      </c>
      <c r="H12" s="22">
        <v>44253</v>
      </c>
      <c r="I12" s="22">
        <v>44253</v>
      </c>
      <c r="J12" s="23"/>
      <c r="K12" s="20" t="s">
        <v>22</v>
      </c>
      <c r="L12" s="24" t="s">
        <v>33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0" t="s">
        <v>53</v>
      </c>
    </row>
    <row r="13" spans="1:18" ht="30" customHeight="1" x14ac:dyDescent="0.25">
      <c r="A13" s="18" t="s">
        <v>36</v>
      </c>
      <c r="B13" s="26">
        <v>222168</v>
      </c>
      <c r="C13" s="20" t="s">
        <v>19</v>
      </c>
      <c r="D13" s="21" t="s">
        <v>205</v>
      </c>
      <c r="E13" s="19" t="s">
        <v>43</v>
      </c>
      <c r="F13" s="19">
        <v>2</v>
      </c>
      <c r="G13" s="22">
        <v>44246</v>
      </c>
      <c r="H13" s="22">
        <v>44253</v>
      </c>
      <c r="I13" s="22">
        <v>44253</v>
      </c>
      <c r="J13" s="23"/>
      <c r="K13" s="20" t="s">
        <v>22</v>
      </c>
      <c r="L13" s="24" t="s">
        <v>33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0" t="s">
        <v>53</v>
      </c>
    </row>
    <row r="14" spans="1:18" ht="30" customHeight="1" x14ac:dyDescent="0.25">
      <c r="A14" s="18" t="s">
        <v>36</v>
      </c>
      <c r="B14" s="26">
        <v>222168</v>
      </c>
      <c r="C14" s="20" t="s">
        <v>19</v>
      </c>
      <c r="D14" s="21" t="s">
        <v>205</v>
      </c>
      <c r="E14" s="19" t="s">
        <v>35</v>
      </c>
      <c r="F14" s="19">
        <v>4</v>
      </c>
      <c r="G14" s="22">
        <v>44246</v>
      </c>
      <c r="H14" s="22">
        <v>44253</v>
      </c>
      <c r="I14" s="22">
        <v>44253</v>
      </c>
      <c r="J14" s="23"/>
      <c r="K14" s="20" t="s">
        <v>22</v>
      </c>
      <c r="L14" s="24" t="s">
        <v>33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0" t="s">
        <v>53</v>
      </c>
    </row>
    <row r="15" spans="1:18" ht="30" customHeight="1" x14ac:dyDescent="0.25">
      <c r="A15" s="18" t="s">
        <v>36</v>
      </c>
      <c r="B15" s="26">
        <v>222168</v>
      </c>
      <c r="C15" s="20" t="s">
        <v>19</v>
      </c>
      <c r="D15" s="21" t="s">
        <v>205</v>
      </c>
      <c r="E15" s="19" t="s">
        <v>92</v>
      </c>
      <c r="F15" s="19">
        <v>2</v>
      </c>
      <c r="G15" s="22">
        <v>44246</v>
      </c>
      <c r="H15" s="22">
        <v>44253</v>
      </c>
      <c r="I15" s="22">
        <v>44253</v>
      </c>
      <c r="J15" s="23"/>
      <c r="K15" s="20" t="s">
        <v>22</v>
      </c>
      <c r="L15" s="24" t="s">
        <v>33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0" t="s">
        <v>53</v>
      </c>
    </row>
    <row r="16" spans="1:18" ht="30" customHeight="1" x14ac:dyDescent="0.25">
      <c r="A16" s="18" t="s">
        <v>36</v>
      </c>
      <c r="B16" s="26">
        <v>222168</v>
      </c>
      <c r="C16" s="20" t="s">
        <v>19</v>
      </c>
      <c r="D16" s="21" t="s">
        <v>205</v>
      </c>
      <c r="E16" s="19" t="s">
        <v>75</v>
      </c>
      <c r="F16" s="19">
        <v>1</v>
      </c>
      <c r="G16" s="22">
        <v>44246</v>
      </c>
      <c r="H16" s="22">
        <v>44256</v>
      </c>
      <c r="I16" s="22">
        <v>44256</v>
      </c>
      <c r="J16" s="23"/>
      <c r="K16" s="20" t="s">
        <v>22</v>
      </c>
      <c r="L16" s="24" t="s">
        <v>33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0" t="s">
        <v>53</v>
      </c>
    </row>
    <row r="17" spans="1:18" ht="30" customHeight="1" x14ac:dyDescent="0.25">
      <c r="A17" s="18" t="s">
        <v>144</v>
      </c>
      <c r="B17" s="26">
        <v>222495</v>
      </c>
      <c r="C17" s="20" t="s">
        <v>19</v>
      </c>
      <c r="D17" s="21" t="s">
        <v>209</v>
      </c>
      <c r="E17" s="19" t="s">
        <v>72</v>
      </c>
      <c r="F17" s="19">
        <v>2</v>
      </c>
      <c r="G17" s="22">
        <v>44249</v>
      </c>
      <c r="H17" s="22">
        <v>44257</v>
      </c>
      <c r="I17" s="22">
        <v>44250</v>
      </c>
      <c r="J17" s="23"/>
      <c r="K17" s="20" t="s">
        <v>22</v>
      </c>
      <c r="L17" s="24" t="s">
        <v>57</v>
      </c>
      <c r="M17" s="20" t="s">
        <v>24</v>
      </c>
      <c r="N17" s="20"/>
      <c r="O17" s="20" t="s">
        <v>25</v>
      </c>
      <c r="P17" s="23"/>
      <c r="Q17" s="20" t="s">
        <v>28</v>
      </c>
      <c r="R17" s="20" t="s">
        <v>27</v>
      </c>
    </row>
    <row r="18" spans="1:18" ht="30" customHeight="1" x14ac:dyDescent="0.25">
      <c r="A18" s="18" t="s">
        <v>36</v>
      </c>
      <c r="B18" s="26">
        <v>221022</v>
      </c>
      <c r="C18" s="20" t="s">
        <v>30</v>
      </c>
      <c r="D18" s="21" t="s">
        <v>210</v>
      </c>
      <c r="E18" s="19" t="s">
        <v>35</v>
      </c>
      <c r="F18" s="19">
        <v>1</v>
      </c>
      <c r="G18" s="22">
        <v>44258</v>
      </c>
      <c r="H18" s="22">
        <v>44259</v>
      </c>
      <c r="I18" s="22">
        <v>44259</v>
      </c>
      <c r="J18" s="23"/>
      <c r="K18" s="20" t="s">
        <v>22</v>
      </c>
      <c r="L18" s="24" t="s">
        <v>23</v>
      </c>
      <c r="M18" s="20" t="s">
        <v>24</v>
      </c>
      <c r="N18" s="20"/>
      <c r="O18" s="20" t="s">
        <v>25</v>
      </c>
      <c r="P18" s="23" t="s">
        <v>25</v>
      </c>
      <c r="Q18" s="20" t="s">
        <v>53</v>
      </c>
      <c r="R18" s="20"/>
    </row>
    <row r="19" spans="1:18" ht="30" customHeight="1" x14ac:dyDescent="0.25">
      <c r="A19" s="18" t="s">
        <v>36</v>
      </c>
      <c r="B19" s="26">
        <v>221022</v>
      </c>
      <c r="C19" s="20" t="s">
        <v>30</v>
      </c>
      <c r="D19" s="21" t="s">
        <v>210</v>
      </c>
      <c r="E19" s="19" t="s">
        <v>48</v>
      </c>
      <c r="F19" s="19">
        <v>1</v>
      </c>
      <c r="G19" s="22">
        <v>44258</v>
      </c>
      <c r="H19" s="22">
        <v>44259</v>
      </c>
      <c r="I19" s="22">
        <v>44259</v>
      </c>
      <c r="J19" s="23"/>
      <c r="K19" s="20" t="s">
        <v>22</v>
      </c>
      <c r="L19" s="24" t="s">
        <v>23</v>
      </c>
      <c r="M19" s="20" t="s">
        <v>24</v>
      </c>
      <c r="N19" s="20"/>
      <c r="O19" s="20" t="s">
        <v>25</v>
      </c>
      <c r="P19" s="23" t="s">
        <v>25</v>
      </c>
      <c r="Q19" s="20" t="s">
        <v>53</v>
      </c>
      <c r="R19" s="20"/>
    </row>
    <row r="20" spans="1:18" ht="30" customHeight="1" x14ac:dyDescent="0.25">
      <c r="A20" s="18" t="s">
        <v>36</v>
      </c>
      <c r="B20" s="26">
        <v>221022</v>
      </c>
      <c r="C20" s="20" t="s">
        <v>30</v>
      </c>
      <c r="D20" s="21" t="s">
        <v>210</v>
      </c>
      <c r="E20" s="19" t="s">
        <v>32</v>
      </c>
      <c r="F20" s="19">
        <v>1</v>
      </c>
      <c r="G20" s="22">
        <v>44258</v>
      </c>
      <c r="H20" s="22">
        <v>44259</v>
      </c>
      <c r="I20" s="22">
        <v>44259</v>
      </c>
      <c r="J20" s="23"/>
      <c r="K20" s="20" t="s">
        <v>22</v>
      </c>
      <c r="L20" s="24" t="s">
        <v>23</v>
      </c>
      <c r="M20" s="20" t="s">
        <v>24</v>
      </c>
      <c r="N20" s="20"/>
      <c r="O20" s="20" t="s">
        <v>25</v>
      </c>
      <c r="P20" s="23" t="s">
        <v>25</v>
      </c>
      <c r="Q20" s="20" t="s">
        <v>53</v>
      </c>
      <c r="R20" s="20"/>
    </row>
    <row r="21" spans="1:18" ht="30" customHeight="1" x14ac:dyDescent="0.25">
      <c r="A21" s="18" t="s">
        <v>36</v>
      </c>
      <c r="B21" s="26">
        <v>221022</v>
      </c>
      <c r="C21" s="20" t="s">
        <v>30</v>
      </c>
      <c r="D21" s="21" t="s">
        <v>210</v>
      </c>
      <c r="E21" s="19" t="s">
        <v>34</v>
      </c>
      <c r="F21" s="19">
        <v>1</v>
      </c>
      <c r="G21" s="22">
        <v>44258</v>
      </c>
      <c r="H21" s="22">
        <v>44259</v>
      </c>
      <c r="I21" s="22">
        <v>44259</v>
      </c>
      <c r="J21" s="23"/>
      <c r="K21" s="20" t="s">
        <v>22</v>
      </c>
      <c r="L21" s="24" t="s">
        <v>23</v>
      </c>
      <c r="M21" s="20" t="s">
        <v>24</v>
      </c>
      <c r="N21" s="20"/>
      <c r="O21" s="20" t="s">
        <v>25</v>
      </c>
      <c r="P21" s="23" t="s">
        <v>25</v>
      </c>
      <c r="Q21" s="20" t="s">
        <v>53</v>
      </c>
      <c r="R21" s="20"/>
    </row>
    <row r="22" spans="1:18" ht="30" customHeight="1" x14ac:dyDescent="0.25">
      <c r="A22" s="18" t="s">
        <v>36</v>
      </c>
      <c r="B22" s="26">
        <v>221022</v>
      </c>
      <c r="C22" s="20" t="s">
        <v>30</v>
      </c>
      <c r="D22" s="21" t="s">
        <v>210</v>
      </c>
      <c r="E22" s="19" t="s">
        <v>211</v>
      </c>
      <c r="F22" s="19">
        <v>2</v>
      </c>
      <c r="G22" s="22">
        <v>44258</v>
      </c>
      <c r="H22" s="22">
        <v>44259</v>
      </c>
      <c r="I22" s="22">
        <v>44259</v>
      </c>
      <c r="J22" s="23"/>
      <c r="K22" s="20" t="s">
        <v>22</v>
      </c>
      <c r="L22" s="24" t="s">
        <v>23</v>
      </c>
      <c r="M22" s="20" t="s">
        <v>24</v>
      </c>
      <c r="N22" s="20"/>
      <c r="O22" s="20" t="s">
        <v>25</v>
      </c>
      <c r="P22" s="23" t="s">
        <v>25</v>
      </c>
      <c r="Q22" s="20" t="s">
        <v>53</v>
      </c>
      <c r="R22" s="20"/>
    </row>
    <row r="23" spans="1:18" ht="30" customHeight="1" x14ac:dyDescent="0.25">
      <c r="A23" s="18" t="s">
        <v>36</v>
      </c>
      <c r="B23" s="26">
        <v>221022</v>
      </c>
      <c r="C23" s="20" t="s">
        <v>30</v>
      </c>
      <c r="D23" s="21" t="s">
        <v>210</v>
      </c>
      <c r="E23" s="19" t="s">
        <v>42</v>
      </c>
      <c r="F23" s="19">
        <v>1</v>
      </c>
      <c r="G23" s="22">
        <v>44258</v>
      </c>
      <c r="H23" s="22">
        <v>44259</v>
      </c>
      <c r="I23" s="22">
        <v>44259</v>
      </c>
      <c r="J23" s="23"/>
      <c r="K23" s="20" t="s">
        <v>22</v>
      </c>
      <c r="L23" s="24" t="s">
        <v>23</v>
      </c>
      <c r="M23" s="20" t="s">
        <v>24</v>
      </c>
      <c r="N23" s="20"/>
      <c r="O23" s="20" t="s">
        <v>25</v>
      </c>
      <c r="P23" s="23" t="s">
        <v>25</v>
      </c>
      <c r="Q23" s="20" t="s">
        <v>53</v>
      </c>
      <c r="R23" s="20"/>
    </row>
    <row r="24" spans="1:18" ht="30" customHeight="1" x14ac:dyDescent="0.25">
      <c r="A24" s="18" t="s">
        <v>36</v>
      </c>
      <c r="B24" s="26">
        <v>221022</v>
      </c>
      <c r="C24" s="20" t="s">
        <v>30</v>
      </c>
      <c r="D24" s="21" t="s">
        <v>210</v>
      </c>
      <c r="E24" s="19" t="s">
        <v>61</v>
      </c>
      <c r="F24" s="19">
        <v>1</v>
      </c>
      <c r="G24" s="22">
        <v>44238</v>
      </c>
      <c r="H24" s="22">
        <v>44252</v>
      </c>
      <c r="I24" s="22">
        <v>44252</v>
      </c>
      <c r="J24" s="23"/>
      <c r="K24" s="20" t="s">
        <v>22</v>
      </c>
      <c r="L24" s="24" t="s">
        <v>23</v>
      </c>
      <c r="M24" s="20" t="s">
        <v>24</v>
      </c>
      <c r="N24" s="20"/>
      <c r="O24" s="20" t="s">
        <v>25</v>
      </c>
      <c r="P24" s="23" t="s">
        <v>25</v>
      </c>
      <c r="Q24" s="20" t="s">
        <v>53</v>
      </c>
      <c r="R24" s="20"/>
    </row>
    <row r="25" spans="1:18" ht="30" customHeight="1" x14ac:dyDescent="0.25">
      <c r="A25" s="18" t="s">
        <v>18</v>
      </c>
      <c r="B25" s="26">
        <v>223415</v>
      </c>
      <c r="C25" s="20" t="s">
        <v>30</v>
      </c>
      <c r="D25" s="21" t="s">
        <v>212</v>
      </c>
      <c r="E25" s="19" t="s">
        <v>79</v>
      </c>
      <c r="F25" s="19">
        <v>1</v>
      </c>
      <c r="G25" s="22">
        <v>44252</v>
      </c>
      <c r="H25" s="22">
        <v>44256</v>
      </c>
      <c r="I25" s="22">
        <v>44256</v>
      </c>
      <c r="J25" s="23" t="s">
        <v>213</v>
      </c>
      <c r="K25" s="20" t="s">
        <v>22</v>
      </c>
      <c r="L25" s="24" t="s">
        <v>41</v>
      </c>
      <c r="M25" s="20" t="s">
        <v>24</v>
      </c>
      <c r="N25" s="20"/>
      <c r="O25" s="20" t="s">
        <v>26</v>
      </c>
      <c r="P25" s="23"/>
      <c r="Q25" s="20"/>
      <c r="R25" s="20"/>
    </row>
    <row r="26" spans="1:18" ht="30" customHeight="1" x14ac:dyDescent="0.25">
      <c r="A26" s="18" t="s">
        <v>36</v>
      </c>
      <c r="B26" s="26">
        <v>224201</v>
      </c>
      <c r="C26" s="20" t="s">
        <v>19</v>
      </c>
      <c r="D26" s="21" t="s">
        <v>215</v>
      </c>
      <c r="E26" s="19" t="s">
        <v>43</v>
      </c>
      <c r="F26" s="19">
        <v>4</v>
      </c>
      <c r="G26" s="22">
        <v>44256</v>
      </c>
      <c r="H26" s="22">
        <v>44258</v>
      </c>
      <c r="I26" s="22">
        <v>44267</v>
      </c>
      <c r="J26" s="23"/>
      <c r="K26" s="20" t="s">
        <v>22</v>
      </c>
      <c r="L26" s="24" t="s">
        <v>41</v>
      </c>
      <c r="M26" s="20" t="s">
        <v>24</v>
      </c>
      <c r="N26" s="20">
        <v>1</v>
      </c>
      <c r="O26" s="20" t="s">
        <v>26</v>
      </c>
      <c r="P26" s="23" t="s">
        <v>26</v>
      </c>
      <c r="Q26" s="20" t="s">
        <v>27</v>
      </c>
      <c r="R26" s="20" t="s">
        <v>53</v>
      </c>
    </row>
    <row r="27" spans="1:18" ht="30" customHeight="1" x14ac:dyDescent="0.25">
      <c r="A27" s="18" t="s">
        <v>128</v>
      </c>
      <c r="B27" s="26">
        <v>224161</v>
      </c>
      <c r="C27" s="20" t="s">
        <v>19</v>
      </c>
      <c r="D27" s="21" t="s">
        <v>216</v>
      </c>
      <c r="E27" s="19" t="s">
        <v>217</v>
      </c>
      <c r="F27" s="19">
        <v>2</v>
      </c>
      <c r="G27" s="22">
        <v>44256</v>
      </c>
      <c r="H27" s="22">
        <v>44257</v>
      </c>
      <c r="I27" s="22">
        <v>44258</v>
      </c>
      <c r="J27" s="23"/>
      <c r="K27" s="20" t="s">
        <v>22</v>
      </c>
      <c r="L27" s="24" t="s">
        <v>33</v>
      </c>
      <c r="M27" s="20" t="s">
        <v>24</v>
      </c>
      <c r="N27" s="20"/>
      <c r="O27" s="20" t="s">
        <v>25</v>
      </c>
      <c r="P27" s="23"/>
      <c r="Q27" s="20" t="s">
        <v>28</v>
      </c>
      <c r="R27" s="20" t="s">
        <v>53</v>
      </c>
    </row>
    <row r="28" spans="1:18" ht="30" customHeight="1" x14ac:dyDescent="0.25">
      <c r="A28" s="18" t="s">
        <v>36</v>
      </c>
      <c r="B28" s="26">
        <v>224201</v>
      </c>
      <c r="C28" s="20" t="s">
        <v>19</v>
      </c>
      <c r="D28" s="21" t="s">
        <v>215</v>
      </c>
      <c r="E28" s="19" t="s">
        <v>48</v>
      </c>
      <c r="F28" s="19">
        <v>2</v>
      </c>
      <c r="G28" s="22">
        <v>44256</v>
      </c>
      <c r="H28" s="22">
        <v>44258</v>
      </c>
      <c r="I28" s="22">
        <v>44267</v>
      </c>
      <c r="J28" s="23"/>
      <c r="K28" s="20" t="s">
        <v>22</v>
      </c>
      <c r="L28" s="24" t="s">
        <v>41</v>
      </c>
      <c r="M28" s="20" t="s">
        <v>24</v>
      </c>
      <c r="N28" s="20">
        <v>1</v>
      </c>
      <c r="O28" s="20" t="s">
        <v>26</v>
      </c>
      <c r="P28" s="23" t="s">
        <v>26</v>
      </c>
      <c r="Q28" s="20" t="s">
        <v>27</v>
      </c>
      <c r="R28" s="20" t="s">
        <v>53</v>
      </c>
    </row>
    <row r="29" spans="1:18" ht="30" customHeight="1" x14ac:dyDescent="0.25">
      <c r="A29" s="18" t="s">
        <v>36</v>
      </c>
      <c r="B29" s="26">
        <v>224201</v>
      </c>
      <c r="C29" s="20" t="s">
        <v>19</v>
      </c>
      <c r="D29" s="21" t="s">
        <v>215</v>
      </c>
      <c r="E29" s="19" t="s">
        <v>32</v>
      </c>
      <c r="F29" s="19">
        <v>2</v>
      </c>
      <c r="G29" s="22">
        <v>44256</v>
      </c>
      <c r="H29" s="22">
        <v>44258</v>
      </c>
      <c r="I29" s="22">
        <v>44267</v>
      </c>
      <c r="J29" s="23"/>
      <c r="K29" s="20" t="s">
        <v>22</v>
      </c>
      <c r="L29" s="24" t="s">
        <v>41</v>
      </c>
      <c r="M29" s="20" t="s">
        <v>24</v>
      </c>
      <c r="N29" s="20">
        <v>1</v>
      </c>
      <c r="O29" s="20" t="s">
        <v>26</v>
      </c>
      <c r="P29" s="23" t="s">
        <v>26</v>
      </c>
      <c r="Q29" s="20" t="s">
        <v>27</v>
      </c>
      <c r="R29" s="20" t="s">
        <v>53</v>
      </c>
    </row>
    <row r="30" spans="1:18" ht="30" customHeight="1" x14ac:dyDescent="0.25">
      <c r="A30" s="18" t="s">
        <v>36</v>
      </c>
      <c r="B30" s="26">
        <v>224201</v>
      </c>
      <c r="C30" s="20" t="s">
        <v>19</v>
      </c>
      <c r="D30" s="21" t="s">
        <v>215</v>
      </c>
      <c r="E30" s="19" t="s">
        <v>35</v>
      </c>
      <c r="F30" s="19">
        <v>6</v>
      </c>
      <c r="G30" s="22">
        <v>44256</v>
      </c>
      <c r="H30" s="22">
        <v>44258</v>
      </c>
      <c r="I30" s="22">
        <v>44267</v>
      </c>
      <c r="J30" s="23"/>
      <c r="K30" s="20" t="s">
        <v>22</v>
      </c>
      <c r="L30" s="24" t="s">
        <v>41</v>
      </c>
      <c r="M30" s="20" t="s">
        <v>24</v>
      </c>
      <c r="N30" s="20">
        <v>1</v>
      </c>
      <c r="O30" s="20" t="s">
        <v>26</v>
      </c>
      <c r="P30" s="23" t="s">
        <v>26</v>
      </c>
      <c r="Q30" s="20" t="s">
        <v>27</v>
      </c>
      <c r="R30" s="20" t="s">
        <v>53</v>
      </c>
    </row>
    <row r="31" spans="1:18" ht="30" customHeight="1" x14ac:dyDescent="0.25">
      <c r="A31" s="18" t="s">
        <v>36</v>
      </c>
      <c r="B31" s="26">
        <v>224201</v>
      </c>
      <c r="C31" s="20" t="s">
        <v>19</v>
      </c>
      <c r="D31" s="21" t="s">
        <v>215</v>
      </c>
      <c r="E31" s="19" t="s">
        <v>92</v>
      </c>
      <c r="F31" s="19">
        <v>2</v>
      </c>
      <c r="G31" s="22">
        <v>44256</v>
      </c>
      <c r="H31" s="22">
        <v>44258</v>
      </c>
      <c r="I31" s="22">
        <v>44267</v>
      </c>
      <c r="J31" s="23"/>
      <c r="K31" s="20" t="s">
        <v>22</v>
      </c>
      <c r="L31" s="24" t="s">
        <v>41</v>
      </c>
      <c r="M31" s="20" t="s">
        <v>24</v>
      </c>
      <c r="N31" s="20">
        <v>1</v>
      </c>
      <c r="O31" s="20" t="s">
        <v>26</v>
      </c>
      <c r="P31" s="23" t="s">
        <v>26</v>
      </c>
      <c r="Q31" s="20" t="s">
        <v>27</v>
      </c>
      <c r="R31" s="20" t="s">
        <v>53</v>
      </c>
    </row>
    <row r="32" spans="1:18" ht="30" customHeight="1" x14ac:dyDescent="0.25">
      <c r="A32" s="18" t="s">
        <v>67</v>
      </c>
      <c r="B32" s="26">
        <v>223817</v>
      </c>
      <c r="C32" s="20" t="s">
        <v>19</v>
      </c>
      <c r="D32" s="21" t="s">
        <v>218</v>
      </c>
      <c r="E32" s="19" t="s">
        <v>151</v>
      </c>
      <c r="F32" s="19">
        <v>6</v>
      </c>
      <c r="G32" s="22">
        <v>44253</v>
      </c>
      <c r="H32" s="22">
        <v>44257</v>
      </c>
      <c r="I32" s="22">
        <v>44270</v>
      </c>
      <c r="J32" s="23"/>
      <c r="K32" s="20" t="s">
        <v>22</v>
      </c>
      <c r="L32" s="24" t="s">
        <v>33</v>
      </c>
      <c r="M32" s="20" t="s">
        <v>24</v>
      </c>
      <c r="N32" s="20"/>
      <c r="O32" s="20" t="s">
        <v>25</v>
      </c>
      <c r="P32" s="23"/>
      <c r="Q32" s="20" t="s">
        <v>27</v>
      </c>
      <c r="R32" s="20" t="s">
        <v>53</v>
      </c>
    </row>
    <row r="33" spans="1:18" ht="30" customHeight="1" x14ac:dyDescent="0.25">
      <c r="A33" s="18" t="s">
        <v>67</v>
      </c>
      <c r="B33" s="26">
        <v>223817</v>
      </c>
      <c r="C33" s="20" t="s">
        <v>19</v>
      </c>
      <c r="D33" s="21" t="s">
        <v>218</v>
      </c>
      <c r="E33" s="19" t="s">
        <v>62</v>
      </c>
      <c r="F33" s="19">
        <v>2</v>
      </c>
      <c r="G33" s="22">
        <v>44253</v>
      </c>
      <c r="H33" s="22">
        <v>44257</v>
      </c>
      <c r="I33" s="22">
        <v>44270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/>
      <c r="Q33" s="20" t="s">
        <v>27</v>
      </c>
      <c r="R33" s="20" t="s">
        <v>53</v>
      </c>
    </row>
    <row r="34" spans="1:18" ht="30" customHeight="1" x14ac:dyDescent="0.25">
      <c r="A34" s="18" t="s">
        <v>29</v>
      </c>
      <c r="B34" s="26">
        <v>225001</v>
      </c>
      <c r="C34" s="20" t="s">
        <v>30</v>
      </c>
      <c r="D34" s="21" t="s">
        <v>219</v>
      </c>
      <c r="E34" s="19" t="s">
        <v>35</v>
      </c>
      <c r="F34" s="19">
        <v>4</v>
      </c>
      <c r="G34" s="22">
        <v>44258</v>
      </c>
      <c r="H34" s="22">
        <v>44263</v>
      </c>
      <c r="I34" s="22">
        <v>44263</v>
      </c>
      <c r="J34" s="23"/>
      <c r="K34" s="20" t="s">
        <v>22</v>
      </c>
      <c r="L34" s="24" t="s">
        <v>41</v>
      </c>
      <c r="M34" s="20" t="s">
        <v>24</v>
      </c>
      <c r="N34" s="20"/>
      <c r="O34" s="20"/>
      <c r="P34" s="23"/>
      <c r="Q34" s="20"/>
      <c r="R34" s="20"/>
    </row>
    <row r="35" spans="1:18" ht="30" customHeight="1" x14ac:dyDescent="0.25">
      <c r="A35" s="18" t="s">
        <v>29</v>
      </c>
      <c r="B35" s="26">
        <v>225001</v>
      </c>
      <c r="C35" s="20" t="s">
        <v>30</v>
      </c>
      <c r="D35" s="21" t="s">
        <v>219</v>
      </c>
      <c r="E35" s="19" t="s">
        <v>48</v>
      </c>
      <c r="F35" s="19">
        <v>1</v>
      </c>
      <c r="G35" s="22">
        <v>44258</v>
      </c>
      <c r="H35" s="22">
        <v>44263</v>
      </c>
      <c r="I35" s="22">
        <v>44263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0"/>
    </row>
    <row r="36" spans="1:18" ht="30" customHeight="1" x14ac:dyDescent="0.25">
      <c r="A36" s="18" t="s">
        <v>29</v>
      </c>
      <c r="B36" s="26">
        <v>225001</v>
      </c>
      <c r="C36" s="20" t="s">
        <v>30</v>
      </c>
      <c r="D36" s="21" t="s">
        <v>219</v>
      </c>
      <c r="E36" s="19" t="s">
        <v>32</v>
      </c>
      <c r="F36" s="19">
        <v>1</v>
      </c>
      <c r="G36" s="22">
        <v>44258</v>
      </c>
      <c r="H36" s="22">
        <v>44263</v>
      </c>
      <c r="I36" s="22">
        <v>44263</v>
      </c>
      <c r="J36" s="23"/>
      <c r="K36" s="20" t="s">
        <v>22</v>
      </c>
      <c r="L36" s="24" t="s">
        <v>41</v>
      </c>
      <c r="M36" s="20" t="s">
        <v>24</v>
      </c>
      <c r="N36" s="20"/>
      <c r="O36" s="20" t="s">
        <v>26</v>
      </c>
      <c r="P36" s="23"/>
      <c r="Q36" s="20" t="s">
        <v>28</v>
      </c>
      <c r="R36" s="20"/>
    </row>
    <row r="37" spans="1:18" ht="30" customHeight="1" x14ac:dyDescent="0.25">
      <c r="A37" s="18" t="s">
        <v>36</v>
      </c>
      <c r="B37" s="26">
        <v>224536</v>
      </c>
      <c r="C37" s="20" t="s">
        <v>19</v>
      </c>
      <c r="D37" s="21" t="s">
        <v>220</v>
      </c>
      <c r="E37" s="19" t="s">
        <v>21</v>
      </c>
      <c r="F37" s="19">
        <v>1</v>
      </c>
      <c r="G37" s="22">
        <v>44257</v>
      </c>
      <c r="H37" s="22">
        <v>44260</v>
      </c>
      <c r="I37" s="22">
        <v>44264</v>
      </c>
      <c r="J37" s="23"/>
      <c r="K37" s="20" t="s">
        <v>22</v>
      </c>
      <c r="L37" s="24" t="s">
        <v>33</v>
      </c>
      <c r="M37" s="20" t="s">
        <v>24</v>
      </c>
      <c r="N37" s="20">
        <v>1</v>
      </c>
      <c r="O37" s="20" t="s">
        <v>25</v>
      </c>
      <c r="P37" s="23" t="s">
        <v>25</v>
      </c>
      <c r="Q37" s="20" t="s">
        <v>28</v>
      </c>
      <c r="R37" s="20" t="s">
        <v>53</v>
      </c>
    </row>
    <row r="38" spans="1:18" ht="30" customHeight="1" x14ac:dyDescent="0.25">
      <c r="A38" s="18" t="s">
        <v>46</v>
      </c>
      <c r="B38" s="26">
        <v>222723</v>
      </c>
      <c r="C38" s="20" t="s">
        <v>30</v>
      </c>
      <c r="D38" s="21" t="s">
        <v>153</v>
      </c>
      <c r="E38" s="19" t="s">
        <v>72</v>
      </c>
      <c r="F38" s="19">
        <v>1</v>
      </c>
      <c r="G38" s="22">
        <v>44250</v>
      </c>
      <c r="H38" s="22">
        <v>44263</v>
      </c>
      <c r="I38" s="22"/>
      <c r="J38" s="23"/>
      <c r="K38" s="20" t="s">
        <v>22</v>
      </c>
      <c r="L38" s="24" t="s">
        <v>57</v>
      </c>
      <c r="M38" s="20" t="s">
        <v>24</v>
      </c>
      <c r="N38" s="20"/>
      <c r="O38" s="20" t="s">
        <v>25</v>
      </c>
      <c r="P38" s="23"/>
      <c r="Q38" s="20" t="s">
        <v>27</v>
      </c>
      <c r="R38" s="20" t="s">
        <v>27</v>
      </c>
    </row>
    <row r="39" spans="1:18" ht="30" customHeight="1" x14ac:dyDescent="0.25">
      <c r="A39" s="18" t="s">
        <v>46</v>
      </c>
      <c r="B39" s="26">
        <v>224892</v>
      </c>
      <c r="C39" s="20" t="s">
        <v>30</v>
      </c>
      <c r="D39" s="21" t="s">
        <v>221</v>
      </c>
      <c r="E39" s="19" t="s">
        <v>34</v>
      </c>
      <c r="F39" s="19">
        <v>1</v>
      </c>
      <c r="G39" s="22">
        <v>44267</v>
      </c>
      <c r="H39" s="22">
        <v>44271</v>
      </c>
      <c r="I39" s="22">
        <v>44271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/>
      <c r="Q39" s="20" t="s">
        <v>28</v>
      </c>
      <c r="R39" s="20"/>
    </row>
    <row r="40" spans="1:18" ht="30" customHeight="1" x14ac:dyDescent="0.25">
      <c r="A40" s="18" t="s">
        <v>46</v>
      </c>
      <c r="B40" s="26">
        <v>224892</v>
      </c>
      <c r="C40" s="20" t="s">
        <v>30</v>
      </c>
      <c r="D40" s="21" t="s">
        <v>221</v>
      </c>
      <c r="E40" s="19" t="s">
        <v>89</v>
      </c>
      <c r="F40" s="19">
        <v>1</v>
      </c>
      <c r="G40" s="22">
        <v>44267</v>
      </c>
      <c r="H40" s="22">
        <v>44271</v>
      </c>
      <c r="I40" s="22">
        <v>44271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/>
      <c r="Q40" s="20" t="s">
        <v>28</v>
      </c>
      <c r="R40" s="20"/>
    </row>
    <row r="41" spans="1:18" ht="30" customHeight="1" x14ac:dyDescent="0.25">
      <c r="A41" s="18" t="s">
        <v>46</v>
      </c>
      <c r="B41" s="26">
        <v>224892</v>
      </c>
      <c r="C41" s="20" t="s">
        <v>30</v>
      </c>
      <c r="D41" s="21" t="s">
        <v>221</v>
      </c>
      <c r="E41" s="19" t="s">
        <v>35</v>
      </c>
      <c r="F41" s="19">
        <v>4</v>
      </c>
      <c r="G41" s="22">
        <v>44267</v>
      </c>
      <c r="H41" s="22">
        <v>44271</v>
      </c>
      <c r="I41" s="22">
        <v>44271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/>
      <c r="Q41" s="20" t="s">
        <v>28</v>
      </c>
      <c r="R41" s="20"/>
    </row>
    <row r="42" spans="1:18" ht="30" customHeight="1" x14ac:dyDescent="0.25">
      <c r="A42" s="18" t="s">
        <v>46</v>
      </c>
      <c r="B42" s="26">
        <v>224892</v>
      </c>
      <c r="C42" s="20" t="s">
        <v>30</v>
      </c>
      <c r="D42" s="21" t="s">
        <v>221</v>
      </c>
      <c r="E42" s="19" t="s">
        <v>42</v>
      </c>
      <c r="F42" s="19">
        <v>3</v>
      </c>
      <c r="G42" s="22">
        <v>44267</v>
      </c>
      <c r="H42" s="22">
        <v>44271</v>
      </c>
      <c r="I42" s="22">
        <v>44271</v>
      </c>
      <c r="J42" s="23"/>
      <c r="K42" s="20" t="s">
        <v>22</v>
      </c>
      <c r="L42" s="24" t="s">
        <v>33</v>
      </c>
      <c r="M42" s="20" t="s">
        <v>24</v>
      </c>
      <c r="N42" s="20">
        <v>2</v>
      </c>
      <c r="O42" s="20" t="s">
        <v>25</v>
      </c>
      <c r="P42" s="23"/>
      <c r="Q42" s="20" t="s">
        <v>28</v>
      </c>
      <c r="R42" s="20"/>
    </row>
    <row r="43" spans="1:18" ht="30" customHeight="1" x14ac:dyDescent="0.25">
      <c r="A43" s="18" t="s">
        <v>46</v>
      </c>
      <c r="B43" s="26">
        <v>224892</v>
      </c>
      <c r="C43" s="20" t="s">
        <v>30</v>
      </c>
      <c r="D43" s="21" t="s">
        <v>221</v>
      </c>
      <c r="E43" s="19" t="s">
        <v>32</v>
      </c>
      <c r="F43" s="19">
        <v>1</v>
      </c>
      <c r="G43" s="22">
        <v>44267</v>
      </c>
      <c r="H43" s="22">
        <v>44271</v>
      </c>
      <c r="I43" s="22">
        <v>44271</v>
      </c>
      <c r="J43" s="23"/>
      <c r="K43" s="20" t="s">
        <v>22</v>
      </c>
      <c r="L43" s="24" t="s">
        <v>33</v>
      </c>
      <c r="M43" s="20" t="s">
        <v>24</v>
      </c>
      <c r="N43" s="20">
        <v>2</v>
      </c>
      <c r="O43" s="20" t="s">
        <v>25</v>
      </c>
      <c r="P43" s="23"/>
      <c r="Q43" s="20" t="s">
        <v>28</v>
      </c>
      <c r="R43" s="20"/>
    </row>
    <row r="44" spans="1:18" ht="30" customHeight="1" x14ac:dyDescent="0.25">
      <c r="A44" s="18" t="s">
        <v>46</v>
      </c>
      <c r="B44" s="26">
        <v>224892</v>
      </c>
      <c r="C44" s="20" t="s">
        <v>30</v>
      </c>
      <c r="D44" s="21" t="s">
        <v>221</v>
      </c>
      <c r="E44" s="19" t="s">
        <v>88</v>
      </c>
      <c r="F44" s="19">
        <v>1</v>
      </c>
      <c r="G44" s="22">
        <v>44267</v>
      </c>
      <c r="H44" s="22">
        <v>44271</v>
      </c>
      <c r="I44" s="22">
        <v>44271</v>
      </c>
      <c r="J44" s="23" t="s">
        <v>406</v>
      </c>
      <c r="K44" s="20" t="s">
        <v>22</v>
      </c>
      <c r="L44" s="24" t="s">
        <v>33</v>
      </c>
      <c r="M44" s="20" t="s">
        <v>24</v>
      </c>
      <c r="N44" s="20">
        <v>2</v>
      </c>
      <c r="O44" s="20" t="s">
        <v>25</v>
      </c>
      <c r="P44" s="23"/>
      <c r="Q44" s="20" t="s">
        <v>28</v>
      </c>
      <c r="R44" s="20"/>
    </row>
    <row r="45" spans="1:18" ht="30" customHeight="1" x14ac:dyDescent="0.25">
      <c r="A45" s="18" t="s">
        <v>46</v>
      </c>
      <c r="B45" s="26">
        <v>224892</v>
      </c>
      <c r="C45" s="20" t="s">
        <v>30</v>
      </c>
      <c r="D45" s="21" t="s">
        <v>221</v>
      </c>
      <c r="E45" s="19" t="s">
        <v>61</v>
      </c>
      <c r="F45" s="19">
        <v>1</v>
      </c>
      <c r="G45" s="22">
        <v>44260</v>
      </c>
      <c r="H45" s="22">
        <v>44265</v>
      </c>
      <c r="I45" s="22">
        <v>44265</v>
      </c>
      <c r="J45" s="23"/>
      <c r="K45" s="20" t="s">
        <v>22</v>
      </c>
      <c r="L45" s="24" t="s">
        <v>33</v>
      </c>
      <c r="M45" s="20" t="s">
        <v>24</v>
      </c>
      <c r="N45" s="20">
        <v>2</v>
      </c>
      <c r="O45" s="20" t="s">
        <v>25</v>
      </c>
      <c r="P45" s="23"/>
      <c r="Q45" s="20" t="s">
        <v>28</v>
      </c>
      <c r="R45" s="20"/>
    </row>
    <row r="46" spans="1:18" ht="30" customHeight="1" x14ac:dyDescent="0.25">
      <c r="A46" s="18" t="s">
        <v>222</v>
      </c>
      <c r="B46" s="26">
        <v>225692</v>
      </c>
      <c r="C46" s="20" t="s">
        <v>30</v>
      </c>
      <c r="D46" s="21" t="s">
        <v>223</v>
      </c>
      <c r="E46" s="19" t="s">
        <v>35</v>
      </c>
      <c r="F46" s="19">
        <v>1</v>
      </c>
      <c r="G46" s="22">
        <v>44260</v>
      </c>
      <c r="H46" s="22">
        <v>44266</v>
      </c>
      <c r="I46" s="22">
        <v>44266</v>
      </c>
      <c r="J46" s="23"/>
      <c r="K46" s="20" t="s">
        <v>22</v>
      </c>
      <c r="L46" s="24" t="s">
        <v>41</v>
      </c>
      <c r="M46" s="20" t="s">
        <v>24</v>
      </c>
      <c r="N46" s="20"/>
      <c r="O46" s="20" t="s">
        <v>26</v>
      </c>
      <c r="P46" s="23"/>
      <c r="Q46" s="20" t="s">
        <v>28</v>
      </c>
      <c r="R46" s="20"/>
    </row>
    <row r="47" spans="1:18" ht="30" customHeight="1" x14ac:dyDescent="0.25">
      <c r="A47" s="18" t="s">
        <v>222</v>
      </c>
      <c r="B47" s="26">
        <v>225692</v>
      </c>
      <c r="C47" s="20" t="s">
        <v>30</v>
      </c>
      <c r="D47" s="21" t="s">
        <v>223</v>
      </c>
      <c r="E47" s="19" t="s">
        <v>48</v>
      </c>
      <c r="F47" s="19">
        <v>1</v>
      </c>
      <c r="G47" s="22">
        <v>44260</v>
      </c>
      <c r="H47" s="22">
        <v>44266</v>
      </c>
      <c r="I47" s="22">
        <v>44266</v>
      </c>
      <c r="J47" s="23"/>
      <c r="K47" s="20" t="s">
        <v>22</v>
      </c>
      <c r="L47" s="24" t="s">
        <v>41</v>
      </c>
      <c r="M47" s="20" t="s">
        <v>24</v>
      </c>
      <c r="N47" s="20"/>
      <c r="O47" s="20" t="s">
        <v>26</v>
      </c>
      <c r="P47" s="23"/>
      <c r="Q47" s="20" t="s">
        <v>28</v>
      </c>
      <c r="R47" s="20"/>
    </row>
    <row r="48" spans="1:18" ht="30" customHeight="1" x14ac:dyDescent="0.25">
      <c r="A48" s="18" t="s">
        <v>29</v>
      </c>
      <c r="B48" s="26">
        <v>225795</v>
      </c>
      <c r="C48" s="20" t="s">
        <v>19</v>
      </c>
      <c r="D48" s="21" t="s">
        <v>224</v>
      </c>
      <c r="E48" s="19" t="s">
        <v>34</v>
      </c>
      <c r="F48" s="19">
        <v>2</v>
      </c>
      <c r="G48" s="22">
        <v>44263</v>
      </c>
      <c r="H48" s="22">
        <v>44265</v>
      </c>
      <c r="I48" s="22">
        <v>44265</v>
      </c>
      <c r="J48" s="23"/>
      <c r="K48" s="20" t="s">
        <v>22</v>
      </c>
      <c r="L48" s="24" t="s">
        <v>33</v>
      </c>
      <c r="M48" s="20" t="s">
        <v>24</v>
      </c>
      <c r="N48" s="20"/>
      <c r="O48" s="20" t="s">
        <v>25</v>
      </c>
      <c r="P48" s="23"/>
      <c r="Q48" s="20" t="s">
        <v>28</v>
      </c>
      <c r="R48" s="20" t="s">
        <v>53</v>
      </c>
    </row>
    <row r="49" spans="1:18" ht="30" customHeight="1" x14ac:dyDescent="0.25">
      <c r="A49" s="18" t="s">
        <v>29</v>
      </c>
      <c r="B49" s="26">
        <v>225795</v>
      </c>
      <c r="C49" s="20" t="s">
        <v>19</v>
      </c>
      <c r="D49" s="21" t="s">
        <v>224</v>
      </c>
      <c r="E49" s="19" t="s">
        <v>42</v>
      </c>
      <c r="F49" s="19">
        <v>4</v>
      </c>
      <c r="G49" s="22">
        <v>44263</v>
      </c>
      <c r="H49" s="22">
        <v>44265</v>
      </c>
      <c r="I49" s="22">
        <v>44265</v>
      </c>
      <c r="J49" s="23"/>
      <c r="K49" s="20" t="s">
        <v>22</v>
      </c>
      <c r="L49" s="24" t="s">
        <v>33</v>
      </c>
      <c r="M49" s="20" t="s">
        <v>24</v>
      </c>
      <c r="N49" s="20"/>
      <c r="O49" s="20" t="s">
        <v>25</v>
      </c>
      <c r="P49" s="23"/>
      <c r="Q49" s="20" t="s">
        <v>28</v>
      </c>
      <c r="R49" s="20" t="s">
        <v>53</v>
      </c>
    </row>
    <row r="50" spans="1:18" ht="30" customHeight="1" x14ac:dyDescent="0.25">
      <c r="A50" s="18" t="s">
        <v>29</v>
      </c>
      <c r="B50" s="26">
        <v>225795</v>
      </c>
      <c r="C50" s="20" t="s">
        <v>19</v>
      </c>
      <c r="D50" s="21" t="s">
        <v>224</v>
      </c>
      <c r="E50" s="19" t="s">
        <v>32</v>
      </c>
      <c r="F50" s="19">
        <v>4</v>
      </c>
      <c r="G50" s="22">
        <v>44263</v>
      </c>
      <c r="H50" s="22">
        <v>44265</v>
      </c>
      <c r="I50" s="22">
        <v>44265</v>
      </c>
      <c r="J50" s="23"/>
      <c r="K50" s="20" t="s">
        <v>22</v>
      </c>
      <c r="L50" s="24" t="s">
        <v>33</v>
      </c>
      <c r="M50" s="20" t="s">
        <v>24</v>
      </c>
      <c r="N50" s="20"/>
      <c r="O50" s="20" t="s">
        <v>25</v>
      </c>
      <c r="P50" s="23"/>
      <c r="Q50" s="20" t="s">
        <v>28</v>
      </c>
      <c r="R50" s="20" t="s">
        <v>53</v>
      </c>
    </row>
    <row r="51" spans="1:18" ht="30" customHeight="1" x14ac:dyDescent="0.25">
      <c r="A51" s="18" t="s">
        <v>29</v>
      </c>
      <c r="B51" s="26">
        <v>225795</v>
      </c>
      <c r="C51" s="20" t="s">
        <v>19</v>
      </c>
      <c r="D51" s="21" t="s">
        <v>224</v>
      </c>
      <c r="E51" s="19" t="s">
        <v>44</v>
      </c>
      <c r="F51" s="19">
        <v>2</v>
      </c>
      <c r="G51" s="22">
        <v>44263</v>
      </c>
      <c r="H51" s="22">
        <v>44265</v>
      </c>
      <c r="I51" s="22">
        <v>44265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/>
      <c r="Q51" s="20" t="s">
        <v>28</v>
      </c>
      <c r="R51" s="20" t="s">
        <v>53</v>
      </c>
    </row>
    <row r="52" spans="1:18" ht="30" customHeight="1" x14ac:dyDescent="0.25">
      <c r="A52" s="18" t="s">
        <v>39</v>
      </c>
      <c r="B52" s="26" t="s">
        <v>95</v>
      </c>
      <c r="C52" s="20" t="s">
        <v>30</v>
      </c>
      <c r="D52" s="21" t="s">
        <v>225</v>
      </c>
      <c r="E52" s="19" t="s">
        <v>226</v>
      </c>
      <c r="F52" s="19">
        <v>1</v>
      </c>
      <c r="G52" s="22">
        <v>44264</v>
      </c>
      <c r="H52" s="22">
        <v>44266</v>
      </c>
      <c r="I52" s="22">
        <v>44266</v>
      </c>
      <c r="J52" s="23"/>
      <c r="K52" s="20" t="s">
        <v>22</v>
      </c>
      <c r="L52" s="24" t="s">
        <v>23</v>
      </c>
      <c r="M52" s="20" t="s">
        <v>24</v>
      </c>
      <c r="N52" s="20"/>
      <c r="O52" s="20" t="s">
        <v>25</v>
      </c>
      <c r="P52" s="23"/>
      <c r="Q52" s="20" t="s">
        <v>28</v>
      </c>
      <c r="R52" s="20"/>
    </row>
    <row r="53" spans="1:18" ht="30" customHeight="1" x14ac:dyDescent="0.25">
      <c r="A53" s="18" t="s">
        <v>39</v>
      </c>
      <c r="B53" s="26">
        <v>226583</v>
      </c>
      <c r="C53" s="20" t="s">
        <v>19</v>
      </c>
      <c r="D53" s="21" t="s">
        <v>137</v>
      </c>
      <c r="E53" s="19" t="s">
        <v>34</v>
      </c>
      <c r="F53" s="19">
        <v>1</v>
      </c>
      <c r="G53" s="22">
        <v>44267</v>
      </c>
      <c r="H53" s="22">
        <v>44270</v>
      </c>
      <c r="I53" s="22">
        <v>44270</v>
      </c>
      <c r="J53" s="23" t="s">
        <v>227</v>
      </c>
      <c r="K53" s="20" t="s">
        <v>22</v>
      </c>
      <c r="L53" s="24" t="s">
        <v>23</v>
      </c>
      <c r="M53" s="20" t="s">
        <v>24</v>
      </c>
      <c r="N53" s="20"/>
      <c r="O53" s="20" t="s">
        <v>25</v>
      </c>
      <c r="P53" s="23"/>
      <c r="Q53" s="20" t="s">
        <v>28</v>
      </c>
      <c r="R53" s="20" t="s">
        <v>28</v>
      </c>
    </row>
    <row r="54" spans="1:18" ht="30" customHeight="1" x14ac:dyDescent="0.25">
      <c r="A54" s="18" t="s">
        <v>39</v>
      </c>
      <c r="B54" s="26">
        <v>226583</v>
      </c>
      <c r="C54" s="20" t="s">
        <v>19</v>
      </c>
      <c r="D54" s="21" t="s">
        <v>137</v>
      </c>
      <c r="E54" s="19" t="s">
        <v>34</v>
      </c>
      <c r="F54" s="19">
        <v>1</v>
      </c>
      <c r="G54" s="22">
        <v>44267</v>
      </c>
      <c r="H54" s="22">
        <v>44267</v>
      </c>
      <c r="I54" s="22">
        <v>44267</v>
      </c>
      <c r="J54" s="23" t="s">
        <v>228</v>
      </c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0" t="s">
        <v>28</v>
      </c>
    </row>
    <row r="55" spans="1:18" ht="30" customHeight="1" x14ac:dyDescent="0.25">
      <c r="A55" s="18" t="s">
        <v>39</v>
      </c>
      <c r="B55" s="26">
        <v>226583</v>
      </c>
      <c r="C55" s="20" t="s">
        <v>19</v>
      </c>
      <c r="D55" s="21" t="s">
        <v>137</v>
      </c>
      <c r="E55" s="19" t="s">
        <v>34</v>
      </c>
      <c r="F55" s="19">
        <v>1</v>
      </c>
      <c r="G55" s="22">
        <v>44265</v>
      </c>
      <c r="H55" s="22">
        <v>44266</v>
      </c>
      <c r="I55" s="22">
        <v>44266</v>
      </c>
      <c r="J55" s="23"/>
      <c r="K55" s="20" t="s">
        <v>22</v>
      </c>
      <c r="L55" s="24" t="s">
        <v>23</v>
      </c>
      <c r="M55" s="20" t="s">
        <v>24</v>
      </c>
      <c r="N55" s="20"/>
      <c r="O55" s="20" t="s">
        <v>25</v>
      </c>
      <c r="P55" s="23"/>
      <c r="Q55" s="20" t="s">
        <v>28</v>
      </c>
      <c r="R55" s="20" t="s">
        <v>28</v>
      </c>
    </row>
    <row r="56" spans="1:18" ht="30" customHeight="1" x14ac:dyDescent="0.25">
      <c r="A56" s="18" t="s">
        <v>39</v>
      </c>
      <c r="B56" s="26">
        <v>226583</v>
      </c>
      <c r="C56" s="20" t="s">
        <v>19</v>
      </c>
      <c r="D56" s="21" t="s">
        <v>137</v>
      </c>
      <c r="E56" s="19" t="s">
        <v>34</v>
      </c>
      <c r="F56" s="19">
        <v>1</v>
      </c>
      <c r="G56" s="22">
        <v>44267</v>
      </c>
      <c r="H56" s="22">
        <v>44270</v>
      </c>
      <c r="I56" s="22">
        <v>44272</v>
      </c>
      <c r="J56" s="23" t="s">
        <v>229</v>
      </c>
      <c r="K56" s="20" t="s">
        <v>22</v>
      </c>
      <c r="L56" s="24" t="s">
        <v>23</v>
      </c>
      <c r="M56" s="20" t="s">
        <v>24</v>
      </c>
      <c r="N56" s="20"/>
      <c r="O56" s="20" t="s">
        <v>25</v>
      </c>
      <c r="P56" s="23"/>
      <c r="Q56" s="20" t="s">
        <v>28</v>
      </c>
      <c r="R56" s="20" t="s">
        <v>28</v>
      </c>
    </row>
    <row r="57" spans="1:18" ht="30" customHeight="1" x14ac:dyDescent="0.25">
      <c r="A57" s="18" t="s">
        <v>39</v>
      </c>
      <c r="B57" s="26">
        <v>226583</v>
      </c>
      <c r="C57" s="20" t="s">
        <v>19</v>
      </c>
      <c r="D57" s="21" t="s">
        <v>137</v>
      </c>
      <c r="E57" s="19" t="s">
        <v>34</v>
      </c>
      <c r="F57" s="19">
        <v>1</v>
      </c>
      <c r="G57" s="22">
        <v>44277</v>
      </c>
      <c r="H57" s="22">
        <v>44277</v>
      </c>
      <c r="I57" s="22">
        <v>44277</v>
      </c>
      <c r="J57" s="23" t="s">
        <v>230</v>
      </c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/>
      <c r="Q57" s="20" t="s">
        <v>28</v>
      </c>
      <c r="R57" s="20" t="s">
        <v>28</v>
      </c>
    </row>
    <row r="58" spans="1:18" ht="30" customHeight="1" x14ac:dyDescent="0.25">
      <c r="A58" s="18" t="s">
        <v>39</v>
      </c>
      <c r="B58" s="26">
        <v>226583</v>
      </c>
      <c r="C58" s="20" t="s">
        <v>19</v>
      </c>
      <c r="D58" s="21" t="s">
        <v>137</v>
      </c>
      <c r="E58" s="19" t="s">
        <v>34</v>
      </c>
      <c r="F58" s="19">
        <v>1</v>
      </c>
      <c r="G58" s="22">
        <v>44279</v>
      </c>
      <c r="H58" s="22">
        <v>44279</v>
      </c>
      <c r="I58" s="22">
        <v>44279</v>
      </c>
      <c r="J58" s="23" t="s">
        <v>231</v>
      </c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/>
      <c r="Q58" s="20" t="s">
        <v>28</v>
      </c>
      <c r="R58" s="20" t="s">
        <v>28</v>
      </c>
    </row>
    <row r="59" spans="1:18" ht="30" customHeight="1" x14ac:dyDescent="0.25">
      <c r="A59" s="18" t="s">
        <v>39</v>
      </c>
      <c r="B59" s="26">
        <v>226583</v>
      </c>
      <c r="C59" s="20" t="s">
        <v>19</v>
      </c>
      <c r="D59" s="21" t="s">
        <v>137</v>
      </c>
      <c r="E59" s="19" t="s">
        <v>34</v>
      </c>
      <c r="F59" s="19">
        <v>2</v>
      </c>
      <c r="G59" s="22">
        <v>44281</v>
      </c>
      <c r="H59" s="22">
        <v>44281</v>
      </c>
      <c r="I59" s="22">
        <v>44281</v>
      </c>
      <c r="J59" s="23" t="s">
        <v>407</v>
      </c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/>
      <c r="Q59" s="20" t="s">
        <v>28</v>
      </c>
      <c r="R59" s="20" t="s">
        <v>28</v>
      </c>
    </row>
    <row r="60" spans="1:18" ht="30" customHeight="1" x14ac:dyDescent="0.25">
      <c r="A60" s="18" t="s">
        <v>39</v>
      </c>
      <c r="B60" s="26">
        <v>226583</v>
      </c>
      <c r="C60" s="20" t="s">
        <v>19</v>
      </c>
      <c r="D60" s="21" t="s">
        <v>137</v>
      </c>
      <c r="E60" s="19" t="s">
        <v>34</v>
      </c>
      <c r="F60" s="19">
        <v>2</v>
      </c>
      <c r="G60" s="22">
        <v>44284</v>
      </c>
      <c r="H60" s="22">
        <v>44284</v>
      </c>
      <c r="I60" s="22">
        <v>44284</v>
      </c>
      <c r="J60" s="23" t="s">
        <v>408</v>
      </c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/>
      <c r="Q60" s="20" t="s">
        <v>28</v>
      </c>
      <c r="R60" s="20" t="s">
        <v>28</v>
      </c>
    </row>
    <row r="61" spans="1:18" ht="30" customHeight="1" x14ac:dyDescent="0.25">
      <c r="A61" s="18" t="s">
        <v>39</v>
      </c>
      <c r="B61" s="26">
        <v>226583</v>
      </c>
      <c r="C61" s="20" t="s">
        <v>19</v>
      </c>
      <c r="D61" s="21" t="s">
        <v>137</v>
      </c>
      <c r="E61" s="19" t="s">
        <v>34</v>
      </c>
      <c r="F61" s="19">
        <v>1</v>
      </c>
      <c r="G61" s="22">
        <v>44285</v>
      </c>
      <c r="H61" s="22">
        <v>44285</v>
      </c>
      <c r="I61" s="22">
        <v>44285</v>
      </c>
      <c r="J61" s="23" t="s">
        <v>409</v>
      </c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/>
      <c r="Q61" s="20" t="s">
        <v>28</v>
      </c>
      <c r="R61" s="20" t="s">
        <v>28</v>
      </c>
    </row>
    <row r="62" spans="1:18" ht="30" customHeight="1" x14ac:dyDescent="0.25">
      <c r="A62" s="18" t="s">
        <v>39</v>
      </c>
      <c r="B62" s="26" t="s">
        <v>95</v>
      </c>
      <c r="C62" s="20" t="s">
        <v>30</v>
      </c>
      <c r="D62" s="21" t="s">
        <v>232</v>
      </c>
      <c r="E62" s="19" t="s">
        <v>226</v>
      </c>
      <c r="F62" s="19">
        <v>1</v>
      </c>
      <c r="G62" s="22">
        <v>44477</v>
      </c>
      <c r="H62" s="22">
        <v>44265</v>
      </c>
      <c r="I62" s="22">
        <v>44265</v>
      </c>
      <c r="J62" s="23"/>
      <c r="K62" s="20" t="s">
        <v>22</v>
      </c>
      <c r="L62" s="24" t="s">
        <v>33</v>
      </c>
      <c r="M62" s="20" t="s">
        <v>24</v>
      </c>
      <c r="N62" s="20"/>
      <c r="O62" s="20" t="s">
        <v>25</v>
      </c>
      <c r="P62" s="23"/>
      <c r="Q62" s="20" t="s">
        <v>53</v>
      </c>
      <c r="R62" s="20" t="s">
        <v>53</v>
      </c>
    </row>
    <row r="63" spans="1:18" ht="30" customHeight="1" x14ac:dyDescent="0.25">
      <c r="A63" s="18" t="s">
        <v>39</v>
      </c>
      <c r="B63" s="26" t="s">
        <v>95</v>
      </c>
      <c r="C63" s="20" t="s">
        <v>30</v>
      </c>
      <c r="D63" s="21" t="s">
        <v>233</v>
      </c>
      <c r="E63" s="19" t="s">
        <v>226</v>
      </c>
      <c r="F63" s="19">
        <v>1</v>
      </c>
      <c r="G63" s="22">
        <v>44477</v>
      </c>
      <c r="H63" s="22">
        <v>44265</v>
      </c>
      <c r="I63" s="22">
        <v>44265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/>
      <c r="Q63" s="20" t="s">
        <v>53</v>
      </c>
      <c r="R63" s="20" t="s">
        <v>53</v>
      </c>
    </row>
    <row r="64" spans="1:18" ht="30" customHeight="1" x14ac:dyDescent="0.25">
      <c r="A64" s="18" t="s">
        <v>70</v>
      </c>
      <c r="B64" s="26">
        <v>223889</v>
      </c>
      <c r="C64" s="20" t="s">
        <v>30</v>
      </c>
      <c r="D64" s="21" t="s">
        <v>234</v>
      </c>
      <c r="E64" s="19" t="s">
        <v>43</v>
      </c>
      <c r="F64" s="19">
        <v>1</v>
      </c>
      <c r="G64" s="22">
        <v>44253</v>
      </c>
      <c r="H64" s="22">
        <v>44271</v>
      </c>
      <c r="I64" s="22">
        <v>44273</v>
      </c>
      <c r="J64" s="23"/>
      <c r="K64" s="20" t="s">
        <v>22</v>
      </c>
      <c r="L64" s="24" t="s">
        <v>33</v>
      </c>
      <c r="M64" s="20" t="s">
        <v>24</v>
      </c>
      <c r="N64" s="20"/>
      <c r="O64" s="20" t="s">
        <v>25</v>
      </c>
      <c r="P64" s="23"/>
      <c r="Q64" s="20" t="s">
        <v>28</v>
      </c>
      <c r="R64" s="20"/>
    </row>
    <row r="65" spans="1:18" ht="30" customHeight="1" x14ac:dyDescent="0.25">
      <c r="A65" s="18" t="s">
        <v>29</v>
      </c>
      <c r="B65" s="26">
        <v>226373</v>
      </c>
      <c r="C65" s="20" t="s">
        <v>19</v>
      </c>
      <c r="D65" s="21" t="s">
        <v>236</v>
      </c>
      <c r="E65" s="19" t="s">
        <v>72</v>
      </c>
      <c r="F65" s="19">
        <v>1</v>
      </c>
      <c r="G65" s="22">
        <v>44265</v>
      </c>
      <c r="H65" s="22">
        <v>44267</v>
      </c>
      <c r="I65" s="22"/>
      <c r="J65" s="23"/>
      <c r="K65" s="20" t="s">
        <v>22</v>
      </c>
      <c r="L65" s="24" t="s">
        <v>57</v>
      </c>
      <c r="M65" s="20" t="s">
        <v>24</v>
      </c>
      <c r="N65" s="20"/>
      <c r="O65" s="20" t="s">
        <v>25</v>
      </c>
      <c r="P65" s="23"/>
      <c r="Q65" s="20" t="s">
        <v>28</v>
      </c>
      <c r="R65" s="20" t="s">
        <v>53</v>
      </c>
    </row>
    <row r="66" spans="1:18" ht="30" customHeight="1" x14ac:dyDescent="0.25">
      <c r="A66" s="18" t="s">
        <v>144</v>
      </c>
      <c r="B66" s="26">
        <v>226745</v>
      </c>
      <c r="C66" s="20" t="s">
        <v>19</v>
      </c>
      <c r="D66" s="21" t="s">
        <v>237</v>
      </c>
      <c r="E66" s="19" t="s">
        <v>34</v>
      </c>
      <c r="F66" s="19">
        <v>1</v>
      </c>
      <c r="G66" s="22">
        <v>44266</v>
      </c>
      <c r="H66" s="22">
        <v>44270</v>
      </c>
      <c r="I66" s="22"/>
      <c r="J66" s="23"/>
      <c r="K66" s="20" t="s">
        <v>22</v>
      </c>
      <c r="L66" s="24" t="s">
        <v>33</v>
      </c>
      <c r="M66" s="20" t="s">
        <v>24</v>
      </c>
      <c r="N66" s="20"/>
      <c r="O66" s="20" t="s">
        <v>25</v>
      </c>
      <c r="P66" s="23"/>
      <c r="Q66" s="20" t="s">
        <v>28</v>
      </c>
      <c r="R66" s="20" t="s">
        <v>53</v>
      </c>
    </row>
    <row r="67" spans="1:18" ht="30" customHeight="1" x14ac:dyDescent="0.25">
      <c r="A67" s="18" t="s">
        <v>144</v>
      </c>
      <c r="B67" s="26">
        <v>226745</v>
      </c>
      <c r="C67" s="20" t="s">
        <v>19</v>
      </c>
      <c r="D67" s="21" t="s">
        <v>237</v>
      </c>
      <c r="E67" s="19" t="s">
        <v>32</v>
      </c>
      <c r="F67" s="19">
        <v>1</v>
      </c>
      <c r="G67" s="22">
        <v>44266</v>
      </c>
      <c r="H67" s="22">
        <v>44270</v>
      </c>
      <c r="I67" s="22"/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/>
      <c r="Q67" s="20" t="s">
        <v>28</v>
      </c>
      <c r="R67" s="20" t="s">
        <v>53</v>
      </c>
    </row>
    <row r="68" spans="1:18" ht="30" customHeight="1" x14ac:dyDescent="0.25">
      <c r="A68" s="18" t="s">
        <v>144</v>
      </c>
      <c r="B68" s="26">
        <v>226745</v>
      </c>
      <c r="C68" s="20" t="s">
        <v>19</v>
      </c>
      <c r="D68" s="21" t="s">
        <v>237</v>
      </c>
      <c r="E68" s="19" t="s">
        <v>92</v>
      </c>
      <c r="F68" s="19">
        <v>1</v>
      </c>
      <c r="G68" s="22">
        <v>44266</v>
      </c>
      <c r="H68" s="22">
        <v>44270</v>
      </c>
      <c r="I68" s="22"/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/>
      <c r="Q68" s="20" t="s">
        <v>28</v>
      </c>
      <c r="R68" s="20" t="s">
        <v>53</v>
      </c>
    </row>
    <row r="69" spans="1:18" ht="30" customHeight="1" x14ac:dyDescent="0.25">
      <c r="A69" s="18" t="s">
        <v>18</v>
      </c>
      <c r="B69" s="26">
        <v>226949</v>
      </c>
      <c r="C69" s="20" t="s">
        <v>19</v>
      </c>
      <c r="D69" s="21" t="s">
        <v>238</v>
      </c>
      <c r="E69" s="19" t="s">
        <v>34</v>
      </c>
      <c r="F69" s="19">
        <v>2</v>
      </c>
      <c r="G69" s="22">
        <v>44266</v>
      </c>
      <c r="H69" s="22">
        <v>44267</v>
      </c>
      <c r="I69" s="22">
        <v>44271</v>
      </c>
      <c r="J69" s="23"/>
      <c r="K69" s="20" t="s">
        <v>22</v>
      </c>
      <c r="L69" s="24" t="s">
        <v>33</v>
      </c>
      <c r="M69" s="20" t="s">
        <v>24</v>
      </c>
      <c r="N69" s="20">
        <v>1</v>
      </c>
      <c r="O69" s="20" t="s">
        <v>25</v>
      </c>
      <c r="P69" s="23" t="s">
        <v>25</v>
      </c>
      <c r="Q69" s="20" t="s">
        <v>28</v>
      </c>
      <c r="R69" s="20" t="s">
        <v>53</v>
      </c>
    </row>
    <row r="70" spans="1:18" ht="30" customHeight="1" x14ac:dyDescent="0.25">
      <c r="A70" s="18" t="s">
        <v>18</v>
      </c>
      <c r="B70" s="26">
        <v>226949</v>
      </c>
      <c r="C70" s="20" t="s">
        <v>19</v>
      </c>
      <c r="D70" s="21" t="s">
        <v>238</v>
      </c>
      <c r="E70" s="19" t="s">
        <v>35</v>
      </c>
      <c r="F70" s="19">
        <v>4</v>
      </c>
      <c r="G70" s="22">
        <v>44266</v>
      </c>
      <c r="H70" s="22">
        <v>44267</v>
      </c>
      <c r="I70" s="22">
        <v>44271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0" t="s">
        <v>53</v>
      </c>
    </row>
    <row r="71" spans="1:18" ht="30" customHeight="1" x14ac:dyDescent="0.25">
      <c r="A71" s="18" t="s">
        <v>18</v>
      </c>
      <c r="B71" s="26">
        <v>226949</v>
      </c>
      <c r="C71" s="20" t="s">
        <v>19</v>
      </c>
      <c r="D71" s="21" t="s">
        <v>238</v>
      </c>
      <c r="E71" s="19" t="s">
        <v>32</v>
      </c>
      <c r="F71" s="19">
        <v>1</v>
      </c>
      <c r="G71" s="22">
        <v>44266</v>
      </c>
      <c r="H71" s="22">
        <v>44267</v>
      </c>
      <c r="I71" s="22">
        <v>44271</v>
      </c>
      <c r="J71" s="23"/>
      <c r="K71" s="20" t="s">
        <v>22</v>
      </c>
      <c r="L71" s="24" t="s">
        <v>33</v>
      </c>
      <c r="M71" s="20" t="s">
        <v>24</v>
      </c>
      <c r="N71" s="20"/>
      <c r="O71" s="20" t="s">
        <v>25</v>
      </c>
      <c r="P71" s="23" t="s">
        <v>25</v>
      </c>
      <c r="Q71" s="20" t="s">
        <v>28</v>
      </c>
      <c r="R71" s="20" t="s">
        <v>53</v>
      </c>
    </row>
    <row r="72" spans="1:18" ht="30" customHeight="1" x14ac:dyDescent="0.25">
      <c r="A72" s="18" t="s">
        <v>18</v>
      </c>
      <c r="B72" s="26">
        <v>226949</v>
      </c>
      <c r="C72" s="20" t="s">
        <v>19</v>
      </c>
      <c r="D72" s="21" t="s">
        <v>238</v>
      </c>
      <c r="E72" s="19" t="s">
        <v>93</v>
      </c>
      <c r="F72" s="19">
        <v>1</v>
      </c>
      <c r="G72" s="22">
        <v>44266</v>
      </c>
      <c r="H72" s="22">
        <v>44267</v>
      </c>
      <c r="I72" s="22">
        <v>44271</v>
      </c>
      <c r="J72" s="23"/>
      <c r="K72" s="20" t="s">
        <v>22</v>
      </c>
      <c r="L72" s="24" t="s">
        <v>33</v>
      </c>
      <c r="M72" s="20" t="s">
        <v>24</v>
      </c>
      <c r="N72" s="20">
        <v>1</v>
      </c>
      <c r="O72" s="20" t="s">
        <v>25</v>
      </c>
      <c r="P72" s="23" t="s">
        <v>25</v>
      </c>
      <c r="Q72" s="20" t="s">
        <v>28</v>
      </c>
      <c r="R72" s="20" t="s">
        <v>53</v>
      </c>
    </row>
    <row r="73" spans="1:18" ht="30" customHeight="1" x14ac:dyDescent="0.25">
      <c r="A73" s="18" t="s">
        <v>18</v>
      </c>
      <c r="B73" s="26">
        <v>226949</v>
      </c>
      <c r="C73" s="20" t="s">
        <v>19</v>
      </c>
      <c r="D73" s="21" t="s">
        <v>238</v>
      </c>
      <c r="E73" s="19" t="s">
        <v>48</v>
      </c>
      <c r="F73" s="19">
        <v>1</v>
      </c>
      <c r="G73" s="22">
        <v>44266</v>
      </c>
      <c r="H73" s="22">
        <v>44267</v>
      </c>
      <c r="I73" s="22">
        <v>44271</v>
      </c>
      <c r="J73" s="23"/>
      <c r="K73" s="20" t="s">
        <v>22</v>
      </c>
      <c r="L73" s="24" t="s">
        <v>33</v>
      </c>
      <c r="M73" s="20" t="s">
        <v>24</v>
      </c>
      <c r="N73" s="20">
        <v>1</v>
      </c>
      <c r="O73" s="20" t="s">
        <v>25</v>
      </c>
      <c r="P73" s="23" t="s">
        <v>25</v>
      </c>
      <c r="Q73" s="20" t="s">
        <v>28</v>
      </c>
      <c r="R73" s="20" t="s">
        <v>53</v>
      </c>
    </row>
    <row r="74" spans="1:18" ht="30" customHeight="1" x14ac:dyDescent="0.25">
      <c r="A74" s="18" t="s">
        <v>36</v>
      </c>
      <c r="B74" s="26">
        <v>226995</v>
      </c>
      <c r="C74" s="20" t="s">
        <v>19</v>
      </c>
      <c r="D74" s="21" t="s">
        <v>241</v>
      </c>
      <c r="E74" s="19" t="s">
        <v>242</v>
      </c>
      <c r="F74" s="19">
        <v>1</v>
      </c>
      <c r="G74" s="22">
        <v>44267</v>
      </c>
      <c r="H74" s="22">
        <v>44270</v>
      </c>
      <c r="I74" s="22">
        <v>44271</v>
      </c>
      <c r="J74" s="23"/>
      <c r="K74" s="20" t="s">
        <v>22</v>
      </c>
      <c r="L74" s="24" t="s">
        <v>33</v>
      </c>
      <c r="M74" s="20" t="s">
        <v>24</v>
      </c>
      <c r="N74" s="20"/>
      <c r="O74" s="20" t="s">
        <v>25</v>
      </c>
      <c r="P74" s="23"/>
      <c r="Q74" s="20" t="s">
        <v>53</v>
      </c>
      <c r="R74" s="20"/>
    </row>
    <row r="75" spans="1:18" ht="30" customHeight="1" x14ac:dyDescent="0.25">
      <c r="A75" s="18" t="s">
        <v>36</v>
      </c>
      <c r="B75" s="26">
        <v>227227</v>
      </c>
      <c r="C75" s="20" t="s">
        <v>19</v>
      </c>
      <c r="D75" s="21" t="s">
        <v>243</v>
      </c>
      <c r="E75" s="19" t="s">
        <v>242</v>
      </c>
      <c r="F75" s="19">
        <v>1</v>
      </c>
      <c r="G75" s="22">
        <v>44267</v>
      </c>
      <c r="H75" s="22">
        <v>44271</v>
      </c>
      <c r="I75" s="22">
        <v>44277</v>
      </c>
      <c r="J75" s="23"/>
      <c r="K75" s="20" t="s">
        <v>22</v>
      </c>
      <c r="L75" s="24" t="s">
        <v>33</v>
      </c>
      <c r="M75" s="20" t="s">
        <v>24</v>
      </c>
      <c r="N75" s="20">
        <v>1</v>
      </c>
      <c r="O75" s="20" t="s">
        <v>25</v>
      </c>
      <c r="P75" s="23" t="s">
        <v>25</v>
      </c>
      <c r="Q75" s="20" t="s">
        <v>53</v>
      </c>
      <c r="R75" s="20"/>
    </row>
    <row r="76" spans="1:18" ht="30" customHeight="1" x14ac:dyDescent="0.25">
      <c r="A76" s="18" t="s">
        <v>67</v>
      </c>
      <c r="B76" s="26">
        <v>227517</v>
      </c>
      <c r="C76" s="20" t="s">
        <v>30</v>
      </c>
      <c r="D76" s="21" t="s">
        <v>245</v>
      </c>
      <c r="E76" s="19" t="s">
        <v>105</v>
      </c>
      <c r="F76" s="19">
        <v>1</v>
      </c>
      <c r="G76" s="22">
        <v>44270</v>
      </c>
      <c r="H76" s="22">
        <v>44280</v>
      </c>
      <c r="I76" s="22">
        <v>44280</v>
      </c>
      <c r="J76" s="23" t="s">
        <v>411</v>
      </c>
      <c r="K76" s="20" t="s">
        <v>22</v>
      </c>
      <c r="L76" s="24" t="s">
        <v>41</v>
      </c>
      <c r="M76" s="20" t="s">
        <v>24</v>
      </c>
      <c r="N76" s="20"/>
      <c r="O76" s="20" t="s">
        <v>26</v>
      </c>
      <c r="P76" s="23"/>
      <c r="Q76" s="20" t="s">
        <v>27</v>
      </c>
      <c r="R76" s="20"/>
    </row>
    <row r="77" spans="1:18" ht="30" customHeight="1" x14ac:dyDescent="0.25">
      <c r="A77" s="18" t="s">
        <v>67</v>
      </c>
      <c r="B77" s="26">
        <v>227517</v>
      </c>
      <c r="C77" s="20" t="s">
        <v>30</v>
      </c>
      <c r="D77" s="21" t="s">
        <v>245</v>
      </c>
      <c r="E77" s="19" t="s">
        <v>105</v>
      </c>
      <c r="F77" s="19">
        <v>1</v>
      </c>
      <c r="G77" s="22">
        <v>44270</v>
      </c>
      <c r="H77" s="22">
        <v>44280</v>
      </c>
      <c r="I77" s="22">
        <v>44280</v>
      </c>
      <c r="J77" s="23" t="s">
        <v>412</v>
      </c>
      <c r="K77" s="20" t="s">
        <v>22</v>
      </c>
      <c r="L77" s="24" t="s">
        <v>41</v>
      </c>
      <c r="M77" s="20" t="s">
        <v>24</v>
      </c>
      <c r="N77" s="20"/>
      <c r="O77" s="20" t="s">
        <v>26</v>
      </c>
      <c r="P77" s="23"/>
      <c r="Q77" s="20" t="s">
        <v>27</v>
      </c>
      <c r="R77" s="20"/>
    </row>
    <row r="78" spans="1:18" ht="30" customHeight="1" x14ac:dyDescent="0.25">
      <c r="A78" s="18" t="s">
        <v>128</v>
      </c>
      <c r="B78" s="26">
        <v>227893</v>
      </c>
      <c r="C78" s="20" t="s">
        <v>30</v>
      </c>
      <c r="D78" s="21" t="s">
        <v>247</v>
      </c>
      <c r="E78" s="19" t="s">
        <v>79</v>
      </c>
      <c r="F78" s="19">
        <v>8</v>
      </c>
      <c r="G78" s="22">
        <v>44271</v>
      </c>
      <c r="H78" s="22">
        <v>44274</v>
      </c>
      <c r="I78" s="22"/>
      <c r="J78" s="23"/>
      <c r="K78" s="20" t="s">
        <v>22</v>
      </c>
      <c r="L78" s="24" t="s">
        <v>57</v>
      </c>
      <c r="M78" s="20" t="s">
        <v>24</v>
      </c>
      <c r="N78" s="20"/>
      <c r="O78" s="20" t="s">
        <v>25</v>
      </c>
      <c r="P78" s="23"/>
      <c r="Q78" s="20" t="s">
        <v>28</v>
      </c>
      <c r="R78" s="20" t="s">
        <v>28</v>
      </c>
    </row>
    <row r="79" spans="1:18" ht="30" customHeight="1" x14ac:dyDescent="0.25">
      <c r="A79" s="18" t="s">
        <v>39</v>
      </c>
      <c r="B79" s="26" t="s">
        <v>95</v>
      </c>
      <c r="C79" s="20" t="s">
        <v>19</v>
      </c>
      <c r="D79" s="21" t="s">
        <v>249</v>
      </c>
      <c r="E79" s="19" t="s">
        <v>75</v>
      </c>
      <c r="F79" s="19">
        <v>1</v>
      </c>
      <c r="G79" s="22">
        <v>44274</v>
      </c>
      <c r="H79" s="22">
        <v>44277</v>
      </c>
      <c r="I79" s="22">
        <v>44274</v>
      </c>
      <c r="J79" s="23"/>
      <c r="K79" s="20" t="s">
        <v>22</v>
      </c>
      <c r="L79" s="24" t="s">
        <v>33</v>
      </c>
      <c r="M79" s="20" t="s">
        <v>79</v>
      </c>
      <c r="N79" s="20"/>
      <c r="O79" s="20" t="s">
        <v>26</v>
      </c>
      <c r="P79" s="23"/>
      <c r="Q79" s="20" t="s">
        <v>53</v>
      </c>
      <c r="R79" s="20" t="s">
        <v>53</v>
      </c>
    </row>
    <row r="80" spans="1:18" ht="30" customHeight="1" x14ac:dyDescent="0.25">
      <c r="A80" s="18" t="s">
        <v>39</v>
      </c>
      <c r="B80" s="26" t="s">
        <v>95</v>
      </c>
      <c r="C80" s="20" t="s">
        <v>19</v>
      </c>
      <c r="D80" s="21" t="s">
        <v>249</v>
      </c>
      <c r="E80" s="19" t="s">
        <v>93</v>
      </c>
      <c r="F80" s="19">
        <v>1</v>
      </c>
      <c r="G80" s="22">
        <v>44274</v>
      </c>
      <c r="H80" s="22">
        <v>44277</v>
      </c>
      <c r="I80" s="22">
        <v>44274</v>
      </c>
      <c r="J80" s="23"/>
      <c r="K80" s="20" t="s">
        <v>22</v>
      </c>
      <c r="L80" s="24" t="s">
        <v>33</v>
      </c>
      <c r="M80" s="20" t="s">
        <v>79</v>
      </c>
      <c r="N80" s="20"/>
      <c r="O80" s="20" t="s">
        <v>26</v>
      </c>
      <c r="P80" s="23"/>
      <c r="Q80" s="20" t="s">
        <v>53</v>
      </c>
      <c r="R80" s="20" t="s">
        <v>53</v>
      </c>
    </row>
    <row r="81" spans="1:18" ht="30" customHeight="1" x14ac:dyDescent="0.25">
      <c r="A81" s="18" t="s">
        <v>36</v>
      </c>
      <c r="B81" s="26">
        <v>229693</v>
      </c>
      <c r="C81" s="20" t="s">
        <v>19</v>
      </c>
      <c r="D81" s="21" t="s">
        <v>261</v>
      </c>
      <c r="E81" s="19" t="s">
        <v>34</v>
      </c>
      <c r="F81" s="19">
        <v>2</v>
      </c>
      <c r="G81" s="22">
        <v>44279</v>
      </c>
      <c r="H81" s="22">
        <v>44286</v>
      </c>
      <c r="I81" s="22">
        <v>44286</v>
      </c>
      <c r="J81" s="23"/>
      <c r="K81" s="20" t="s">
        <v>22</v>
      </c>
      <c r="L81" s="24" t="s">
        <v>41</v>
      </c>
      <c r="M81" s="20" t="s">
        <v>24</v>
      </c>
      <c r="N81" s="20"/>
      <c r="O81" s="20" t="s">
        <v>25</v>
      </c>
      <c r="P81" s="23"/>
      <c r="Q81" s="20" t="s">
        <v>28</v>
      </c>
      <c r="R81" s="20"/>
    </row>
    <row r="82" spans="1:18" ht="30" customHeight="1" x14ac:dyDescent="0.25">
      <c r="A82" s="18" t="s">
        <v>36</v>
      </c>
      <c r="B82" s="26">
        <v>229693</v>
      </c>
      <c r="C82" s="20" t="s">
        <v>19</v>
      </c>
      <c r="D82" s="21" t="s">
        <v>261</v>
      </c>
      <c r="E82" s="19" t="s">
        <v>32</v>
      </c>
      <c r="F82" s="19">
        <v>2</v>
      </c>
      <c r="G82" s="22">
        <v>44279</v>
      </c>
      <c r="H82" s="22">
        <v>44286</v>
      </c>
      <c r="I82" s="22">
        <v>44286</v>
      </c>
      <c r="J82" s="23"/>
      <c r="K82" s="20" t="s">
        <v>22</v>
      </c>
      <c r="L82" s="24" t="s">
        <v>41</v>
      </c>
      <c r="M82" s="20" t="s">
        <v>24</v>
      </c>
      <c r="N82" s="20"/>
      <c r="O82" s="20" t="s">
        <v>25</v>
      </c>
      <c r="P82" s="23"/>
      <c r="Q82" s="20" t="s">
        <v>28</v>
      </c>
      <c r="R82" s="20"/>
    </row>
    <row r="83" spans="1:18" ht="30" customHeight="1" x14ac:dyDescent="0.25">
      <c r="A83" s="18" t="s">
        <v>29</v>
      </c>
      <c r="B83" s="26">
        <v>228655</v>
      </c>
      <c r="C83" s="20" t="s">
        <v>63</v>
      </c>
      <c r="D83" s="21" t="s">
        <v>262</v>
      </c>
      <c r="E83" s="19" t="s">
        <v>79</v>
      </c>
      <c r="F83" s="19">
        <v>4</v>
      </c>
      <c r="G83" s="22">
        <v>44274</v>
      </c>
      <c r="H83" s="22">
        <v>44280</v>
      </c>
      <c r="I83" s="22"/>
      <c r="J83" s="23"/>
      <c r="K83" s="20" t="s">
        <v>22</v>
      </c>
      <c r="L83" s="24" t="s">
        <v>57</v>
      </c>
      <c r="M83" s="20" t="s">
        <v>79</v>
      </c>
      <c r="N83" s="20"/>
      <c r="O83" s="20" t="s">
        <v>25</v>
      </c>
      <c r="P83" s="23"/>
      <c r="Q83" s="20" t="s">
        <v>28</v>
      </c>
      <c r="R83" s="20" t="s">
        <v>53</v>
      </c>
    </row>
    <row r="84" spans="1:18" ht="30" customHeight="1" x14ac:dyDescent="0.25">
      <c r="A84" s="18" t="s">
        <v>29</v>
      </c>
      <c r="B84" s="26">
        <v>228655</v>
      </c>
      <c r="C84" s="20" t="s">
        <v>63</v>
      </c>
      <c r="D84" s="21" t="s">
        <v>262</v>
      </c>
      <c r="E84" s="19" t="s">
        <v>92</v>
      </c>
      <c r="F84" s="19">
        <v>1</v>
      </c>
      <c r="G84" s="22">
        <v>44274</v>
      </c>
      <c r="H84" s="22">
        <v>44280</v>
      </c>
      <c r="I84" s="22"/>
      <c r="J84" s="23"/>
      <c r="K84" s="20" t="s">
        <v>22</v>
      </c>
      <c r="L84" s="24" t="s">
        <v>57</v>
      </c>
      <c r="M84" s="20" t="s">
        <v>24</v>
      </c>
      <c r="N84" s="20"/>
      <c r="O84" s="20" t="s">
        <v>25</v>
      </c>
      <c r="P84" s="23"/>
      <c r="Q84" s="20" t="s">
        <v>28</v>
      </c>
      <c r="R84" s="20" t="s">
        <v>53</v>
      </c>
    </row>
    <row r="85" spans="1:18" ht="30" customHeight="1" x14ac:dyDescent="0.25">
      <c r="A85" s="18" t="s">
        <v>112</v>
      </c>
      <c r="B85" s="26">
        <v>229235</v>
      </c>
      <c r="C85" s="20" t="s">
        <v>30</v>
      </c>
      <c r="D85" s="21" t="s">
        <v>264</v>
      </c>
      <c r="E85" s="19" t="s">
        <v>72</v>
      </c>
      <c r="F85" s="19">
        <v>1</v>
      </c>
      <c r="G85" s="22">
        <v>44278</v>
      </c>
      <c r="H85" s="22">
        <v>44280</v>
      </c>
      <c r="I85" s="22">
        <v>44280</v>
      </c>
      <c r="J85" s="23"/>
      <c r="K85" s="20" t="s">
        <v>22</v>
      </c>
      <c r="L85" s="24" t="s">
        <v>57</v>
      </c>
      <c r="M85" s="20" t="s">
        <v>24</v>
      </c>
      <c r="N85" s="20"/>
      <c r="O85" s="20" t="s">
        <v>25</v>
      </c>
      <c r="P85" s="23"/>
      <c r="Q85" s="20" t="s">
        <v>28</v>
      </c>
      <c r="R85" s="20"/>
    </row>
  </sheetData>
  <conditionalFormatting sqref="A2:R85">
    <cfRule type="expression" dxfId="9" priority="156">
      <formula>$K2="CANCELADO"</formula>
    </cfRule>
    <cfRule type="expression" dxfId="8" priority="157">
      <formula>$K2="STAND-BY"</formula>
    </cfRule>
    <cfRule type="expression" dxfId="7" priority="158">
      <formula>$K2="AGUARDANDO APROVAÇÃO"</formula>
    </cfRule>
    <cfRule type="expression" dxfId="6" priority="159">
      <formula>$K2="OK"</formula>
    </cfRule>
    <cfRule type="expression" dxfId="5" priority="160">
      <formula>AND((TODAY()-$H2)&gt;0,$H2&lt;&gt;"",$I2="")=TRUE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3FFCC1-9B74-4100-A89D-3B5B460B33A1}">
          <x14:formula1>
            <xm:f>'NÃO MEXER'!$B$2:$B$15</xm:f>
          </x14:formula1>
          <xm:sqref>C2:C85</xm:sqref>
        </x14:dataValidation>
        <x14:dataValidation type="list" allowBlank="1" showInputMessage="1" showErrorMessage="1" xr:uid="{6B5F99A4-58E6-4ADD-86AC-7BADC6279436}">
          <x14:formula1>
            <xm:f>'NÃO MEXER'!$A$2:$A$25</xm:f>
          </x14:formula1>
          <xm:sqref>A2:A85</xm:sqref>
        </x14:dataValidation>
        <x14:dataValidation type="list" allowBlank="1" showInputMessage="1" showErrorMessage="1" xr:uid="{F7CE3872-EB07-4D9A-AA26-6310073DA5D7}">
          <x14:formula1>
            <xm:f>'NÃO MEXER'!$C$2:$C$84</xm:f>
          </x14:formula1>
          <xm:sqref>E2:E85</xm:sqref>
        </x14:dataValidation>
        <x14:dataValidation type="list" allowBlank="1" showInputMessage="1" showErrorMessage="1" xr:uid="{4EB4F0C0-3B56-4DCC-9882-8DEA90B1DAD0}">
          <x14:formula1>
            <xm:f>'NÃO MEXER'!$E$2:$E$6</xm:f>
          </x14:formula1>
          <xm:sqref>K2:K85</xm:sqref>
        </x14:dataValidation>
        <x14:dataValidation type="list" allowBlank="1" showInputMessage="1" showErrorMessage="1" xr:uid="{267E2694-234C-46EC-945D-A32421B64DF9}">
          <x14:formula1>
            <xm:f>'NÃO MEXER'!$F$2:$F$7</xm:f>
          </x14:formula1>
          <xm:sqref>L2:L85</xm:sqref>
        </x14:dataValidation>
        <x14:dataValidation type="list" allowBlank="1" showInputMessage="1" showErrorMessage="1" xr:uid="{E2085A64-B8E1-4B87-BB28-130D67B842B7}">
          <x14:formula1>
            <xm:f>'NÃO MEXER'!$G$2:$G$7</xm:f>
          </x14:formula1>
          <xm:sqref>M2:M85</xm:sqref>
        </x14:dataValidation>
        <x14:dataValidation type="list" allowBlank="1" showInputMessage="1" showErrorMessage="1" xr:uid="{D7291DAF-39F9-4526-838F-77795EAA6D40}">
          <x14:formula1>
            <xm:f>'NÃO MEXER'!$H$2:$H$3</xm:f>
          </x14:formula1>
          <xm:sqref>O2:P85</xm:sqref>
        </x14:dataValidation>
        <x14:dataValidation type="list" allowBlank="1" showInputMessage="1" showErrorMessage="1" xr:uid="{82BFCD5D-1ECE-4042-9FA3-C4C7FE288D0C}">
          <x14:formula1>
            <xm:f>'NÃO MEXER'!$I$2:$I$6</xm:f>
          </x14:formula1>
          <xm:sqref>Q2:Q85</xm:sqref>
        </x14:dataValidation>
        <x14:dataValidation type="list" allowBlank="1" showInputMessage="1" showErrorMessage="1" xr:uid="{D37AC5CC-B588-4B47-B294-61985C5F9EF1}">
          <x14:formula1>
            <xm:f>'NÃO MEXER'!$J$2:$J$6</xm:f>
          </x14:formula1>
          <xm:sqref>R2:R85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3F12-BAF3-4C81-9A41-FE5B5A7D112B}">
  <dimension ref="A1:R130"/>
  <sheetViews>
    <sheetView topLeftCell="E100" workbookViewId="0">
      <selection activeCell="U10" sqref="U10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</row>
    <row r="2" spans="1:18" ht="30" customHeight="1" x14ac:dyDescent="0.25">
      <c r="A2" s="18" t="s">
        <v>46</v>
      </c>
      <c r="B2" s="26">
        <v>214279</v>
      </c>
      <c r="C2" s="20" t="s">
        <v>30</v>
      </c>
      <c r="D2" s="21" t="s">
        <v>159</v>
      </c>
      <c r="E2" s="19" t="s">
        <v>34</v>
      </c>
      <c r="F2" s="19">
        <v>1</v>
      </c>
      <c r="G2" s="22">
        <v>44209</v>
      </c>
      <c r="H2" s="22">
        <v>44216</v>
      </c>
      <c r="I2" s="22">
        <v>44216</v>
      </c>
      <c r="J2" s="23"/>
      <c r="K2" s="20" t="s">
        <v>160</v>
      </c>
      <c r="L2" s="24" t="s">
        <v>23</v>
      </c>
      <c r="M2" s="20" t="s">
        <v>24</v>
      </c>
      <c r="N2" s="20">
        <v>0</v>
      </c>
      <c r="O2" s="20" t="s">
        <v>25</v>
      </c>
      <c r="P2" s="23" t="s">
        <v>26</v>
      </c>
      <c r="Q2" s="20" t="s">
        <v>73</v>
      </c>
      <c r="R2" s="20" t="s">
        <v>73</v>
      </c>
    </row>
    <row r="3" spans="1:18" ht="30" customHeight="1" x14ac:dyDescent="0.25">
      <c r="A3" s="18" t="s">
        <v>46</v>
      </c>
      <c r="B3" s="26">
        <v>214279</v>
      </c>
      <c r="C3" s="20" t="s">
        <v>30</v>
      </c>
      <c r="D3" s="21" t="s">
        <v>159</v>
      </c>
      <c r="E3" s="19" t="s">
        <v>43</v>
      </c>
      <c r="F3" s="19">
        <v>1</v>
      </c>
      <c r="G3" s="22">
        <v>44209</v>
      </c>
      <c r="H3" s="22">
        <v>44216</v>
      </c>
      <c r="I3" s="22">
        <v>44216</v>
      </c>
      <c r="J3" s="23"/>
      <c r="K3" s="20" t="s">
        <v>160</v>
      </c>
      <c r="L3" s="24" t="s">
        <v>23</v>
      </c>
      <c r="M3" s="20" t="s">
        <v>24</v>
      </c>
      <c r="N3" s="20">
        <v>2</v>
      </c>
      <c r="O3" s="20" t="s">
        <v>25</v>
      </c>
      <c r="P3" s="23" t="s">
        <v>26</v>
      </c>
      <c r="Q3" s="20" t="s">
        <v>73</v>
      </c>
      <c r="R3" s="20" t="s">
        <v>73</v>
      </c>
    </row>
    <row r="4" spans="1:18" ht="30" customHeight="1" x14ac:dyDescent="0.25">
      <c r="A4" s="18" t="s">
        <v>161</v>
      </c>
      <c r="B4" s="26">
        <v>213706</v>
      </c>
      <c r="C4" s="20" t="s">
        <v>55</v>
      </c>
      <c r="D4" s="21" t="s">
        <v>162</v>
      </c>
      <c r="E4" s="19"/>
      <c r="F4" s="19"/>
      <c r="G4" s="22">
        <v>44214.760844907411</v>
      </c>
      <c r="H4" s="22">
        <v>44218</v>
      </c>
      <c r="I4" s="22"/>
      <c r="J4" s="23"/>
      <c r="K4" s="20" t="s">
        <v>163</v>
      </c>
      <c r="L4" s="24"/>
      <c r="M4" s="20"/>
      <c r="N4" s="20"/>
      <c r="O4" s="20"/>
      <c r="P4" s="23"/>
      <c r="Q4" s="20"/>
      <c r="R4" s="20"/>
    </row>
    <row r="5" spans="1:18" ht="30" customHeight="1" x14ac:dyDescent="0.25">
      <c r="A5" s="18" t="s">
        <v>36</v>
      </c>
      <c r="B5" s="26">
        <v>214915</v>
      </c>
      <c r="C5" s="20" t="s">
        <v>19</v>
      </c>
      <c r="D5" s="21" t="s">
        <v>164</v>
      </c>
      <c r="E5" s="19" t="s">
        <v>34</v>
      </c>
      <c r="F5" s="19">
        <v>1</v>
      </c>
      <c r="G5" s="22">
        <v>44211</v>
      </c>
      <c r="H5" s="22">
        <v>44215</v>
      </c>
      <c r="I5" s="22">
        <v>44214</v>
      </c>
      <c r="J5" s="23"/>
      <c r="K5" s="20" t="s">
        <v>160</v>
      </c>
      <c r="L5" s="24" t="s">
        <v>33</v>
      </c>
      <c r="M5" s="20" t="s">
        <v>24</v>
      </c>
      <c r="N5" s="20"/>
      <c r="O5" s="20" t="s">
        <v>25</v>
      </c>
      <c r="P5" s="23" t="s">
        <v>25</v>
      </c>
      <c r="Q5" s="20" t="s">
        <v>53</v>
      </c>
      <c r="R5" s="20" t="s">
        <v>27</v>
      </c>
    </row>
    <row r="6" spans="1:18" ht="30" customHeight="1" x14ac:dyDescent="0.25">
      <c r="A6" s="18" t="s">
        <v>36</v>
      </c>
      <c r="B6" s="26">
        <v>215204</v>
      </c>
      <c r="C6" s="20" t="s">
        <v>55</v>
      </c>
      <c r="D6" s="21" t="s">
        <v>165</v>
      </c>
      <c r="E6" s="19"/>
      <c r="F6" s="19"/>
      <c r="G6" s="22">
        <v>44214.683125000003</v>
      </c>
      <c r="H6" s="22">
        <v>44228</v>
      </c>
      <c r="I6" s="22"/>
      <c r="J6" s="23"/>
      <c r="K6" s="20" t="s">
        <v>163</v>
      </c>
      <c r="L6" s="24"/>
      <c r="M6" s="20"/>
      <c r="N6" s="20"/>
      <c r="O6" s="20"/>
      <c r="P6" s="23"/>
      <c r="Q6" s="20"/>
      <c r="R6" s="20"/>
    </row>
    <row r="7" spans="1:18" ht="30" customHeight="1" x14ac:dyDescent="0.25">
      <c r="A7" s="18" t="s">
        <v>39</v>
      </c>
      <c r="B7" s="26">
        <v>214857</v>
      </c>
      <c r="C7" s="20" t="s">
        <v>55</v>
      </c>
      <c r="D7" s="21" t="s">
        <v>166</v>
      </c>
      <c r="E7" s="19"/>
      <c r="F7" s="19"/>
      <c r="G7" s="22">
        <v>44214.353356481479</v>
      </c>
      <c r="H7" s="22"/>
      <c r="I7" s="22"/>
      <c r="J7" s="23"/>
      <c r="K7" s="20" t="s">
        <v>163</v>
      </c>
      <c r="L7" s="24"/>
      <c r="M7" s="20"/>
      <c r="N7" s="20"/>
      <c r="O7" s="20"/>
      <c r="P7" s="23"/>
      <c r="Q7" s="20"/>
      <c r="R7" s="20"/>
    </row>
    <row r="8" spans="1:18" ht="30" customHeight="1" x14ac:dyDescent="0.25">
      <c r="A8" s="18" t="s">
        <v>36</v>
      </c>
      <c r="B8" s="26">
        <v>214915</v>
      </c>
      <c r="C8" s="20" t="s">
        <v>19</v>
      </c>
      <c r="D8" s="21" t="s">
        <v>164</v>
      </c>
      <c r="E8" s="19" t="s">
        <v>32</v>
      </c>
      <c r="F8" s="19">
        <v>1</v>
      </c>
      <c r="G8" s="22">
        <v>44211</v>
      </c>
      <c r="H8" s="22">
        <v>44215</v>
      </c>
      <c r="I8" s="22">
        <v>44214</v>
      </c>
      <c r="J8" s="23"/>
      <c r="K8" s="20" t="s">
        <v>160</v>
      </c>
      <c r="L8" s="24" t="s">
        <v>33</v>
      </c>
      <c r="M8" s="20" t="s">
        <v>24</v>
      </c>
      <c r="N8" s="20"/>
      <c r="O8" s="20" t="s">
        <v>25</v>
      </c>
      <c r="P8" s="23" t="s">
        <v>25</v>
      </c>
      <c r="Q8" s="20" t="s">
        <v>53</v>
      </c>
      <c r="R8" s="20" t="s">
        <v>27</v>
      </c>
    </row>
    <row r="9" spans="1:18" ht="30" customHeight="1" x14ac:dyDescent="0.25">
      <c r="A9" s="18"/>
      <c r="B9" s="26"/>
      <c r="C9" s="20" t="s">
        <v>55</v>
      </c>
      <c r="D9" s="21" t="s">
        <v>167</v>
      </c>
      <c r="E9" s="19"/>
      <c r="F9" s="19"/>
      <c r="G9" s="22">
        <v>44214</v>
      </c>
      <c r="H9" s="22">
        <v>44218</v>
      </c>
      <c r="I9" s="22"/>
      <c r="J9" s="23"/>
      <c r="K9" s="20" t="s">
        <v>163</v>
      </c>
      <c r="L9" s="24"/>
      <c r="M9" s="20"/>
      <c r="N9" s="20"/>
      <c r="O9" s="20"/>
      <c r="P9" s="23"/>
      <c r="Q9" s="20"/>
      <c r="R9" s="20"/>
    </row>
    <row r="10" spans="1:18" ht="30" customHeight="1" x14ac:dyDescent="0.25">
      <c r="A10" s="18" t="s">
        <v>39</v>
      </c>
      <c r="B10" s="26">
        <v>213540</v>
      </c>
      <c r="C10" s="20" t="s">
        <v>55</v>
      </c>
      <c r="D10" s="21" t="s">
        <v>168</v>
      </c>
      <c r="E10" s="19"/>
      <c r="F10" s="19"/>
      <c r="G10" s="22">
        <v>44208.364039351851</v>
      </c>
      <c r="H10" s="22">
        <v>44216</v>
      </c>
      <c r="I10" s="22"/>
      <c r="J10" s="23"/>
      <c r="K10" s="20" t="s">
        <v>163</v>
      </c>
      <c r="L10" s="24"/>
      <c r="M10" s="20"/>
      <c r="N10" s="20"/>
      <c r="O10" s="20"/>
      <c r="P10" s="23"/>
      <c r="Q10" s="20"/>
      <c r="R10" s="20"/>
    </row>
    <row r="11" spans="1:18" ht="30" customHeight="1" x14ac:dyDescent="0.25">
      <c r="A11" s="18" t="s">
        <v>39</v>
      </c>
      <c r="B11" s="26">
        <v>213540</v>
      </c>
      <c r="C11" s="20" t="s">
        <v>55</v>
      </c>
      <c r="D11" s="21" t="s">
        <v>168</v>
      </c>
      <c r="E11" s="19"/>
      <c r="F11" s="19"/>
      <c r="G11" s="22">
        <v>44208.363854166666</v>
      </c>
      <c r="H11" s="22">
        <v>44216</v>
      </c>
      <c r="I11" s="22"/>
      <c r="J11" s="23"/>
      <c r="K11" s="20" t="s">
        <v>163</v>
      </c>
      <c r="L11" s="24"/>
      <c r="M11" s="20"/>
      <c r="N11" s="20"/>
      <c r="O11" s="20"/>
      <c r="P11" s="23"/>
      <c r="Q11" s="20"/>
      <c r="R11" s="20"/>
    </row>
    <row r="12" spans="1:18" ht="30" customHeight="1" x14ac:dyDescent="0.25">
      <c r="A12" s="18"/>
      <c r="B12" s="26"/>
      <c r="C12" s="20" t="s">
        <v>55</v>
      </c>
      <c r="D12" s="21" t="s">
        <v>169</v>
      </c>
      <c r="E12" s="19"/>
      <c r="F12" s="19"/>
      <c r="G12" s="22">
        <v>44203</v>
      </c>
      <c r="H12" s="22">
        <v>44218</v>
      </c>
      <c r="I12" s="22"/>
      <c r="J12" s="23"/>
      <c r="K12" s="20" t="s">
        <v>163</v>
      </c>
      <c r="L12" s="24"/>
      <c r="M12" s="20"/>
      <c r="N12" s="20"/>
      <c r="O12" s="20"/>
      <c r="P12" s="23"/>
      <c r="Q12" s="20"/>
      <c r="R12" s="20"/>
    </row>
    <row r="13" spans="1:18" ht="30" customHeight="1" x14ac:dyDescent="0.25">
      <c r="A13" s="18" t="s">
        <v>29</v>
      </c>
      <c r="B13" s="26">
        <v>212059</v>
      </c>
      <c r="C13" s="20" t="s">
        <v>55</v>
      </c>
      <c r="D13" s="21" t="s">
        <v>69</v>
      </c>
      <c r="E13" s="19"/>
      <c r="F13" s="19"/>
      <c r="G13" s="22">
        <v>44200</v>
      </c>
      <c r="H13" s="22">
        <v>44207</v>
      </c>
      <c r="I13" s="22"/>
      <c r="J13" s="23"/>
      <c r="K13" s="20" t="s">
        <v>163</v>
      </c>
      <c r="L13" s="24"/>
      <c r="M13" s="20"/>
      <c r="N13" s="20"/>
      <c r="O13" s="20"/>
      <c r="P13" s="23"/>
      <c r="Q13" s="20"/>
      <c r="R13" s="20"/>
    </row>
    <row r="14" spans="1:18" ht="30" customHeight="1" x14ac:dyDescent="0.25">
      <c r="A14" s="18" t="s">
        <v>39</v>
      </c>
      <c r="B14" s="26"/>
      <c r="C14" s="20" t="s">
        <v>170</v>
      </c>
      <c r="D14" s="21" t="s">
        <v>171</v>
      </c>
      <c r="E14" s="19"/>
      <c r="F14" s="19">
        <v>1</v>
      </c>
      <c r="G14" s="22">
        <v>44139</v>
      </c>
      <c r="H14" s="22">
        <v>44145</v>
      </c>
      <c r="I14" s="22">
        <v>44144</v>
      </c>
      <c r="J14" s="23"/>
      <c r="K14" s="20" t="s">
        <v>163</v>
      </c>
      <c r="L14" s="24"/>
      <c r="M14" s="20"/>
      <c r="N14" s="20"/>
      <c r="O14" s="20"/>
      <c r="P14" s="23"/>
      <c r="Q14" s="20"/>
      <c r="R14" s="20"/>
    </row>
    <row r="15" spans="1:18" ht="30" customHeight="1" x14ac:dyDescent="0.25">
      <c r="A15" s="18" t="s">
        <v>54</v>
      </c>
      <c r="B15" s="26">
        <v>169096</v>
      </c>
      <c r="C15" s="20" t="s">
        <v>55</v>
      </c>
      <c r="D15" s="21" t="s">
        <v>172</v>
      </c>
      <c r="E15" s="19"/>
      <c r="F15" s="19">
        <v>1</v>
      </c>
      <c r="G15" s="22">
        <v>44123</v>
      </c>
      <c r="H15" s="22"/>
      <c r="I15" s="22">
        <v>44124</v>
      </c>
      <c r="J15" s="23"/>
      <c r="K15" s="20" t="s">
        <v>163</v>
      </c>
      <c r="L15" s="24" t="s">
        <v>41</v>
      </c>
      <c r="M15" s="20"/>
      <c r="N15" s="20"/>
      <c r="O15" s="20"/>
      <c r="P15" s="23"/>
      <c r="Q15" s="20"/>
      <c r="R15" s="20"/>
    </row>
    <row r="16" spans="1:18" ht="30" customHeight="1" x14ac:dyDescent="0.25">
      <c r="A16" s="18"/>
      <c r="B16" s="26"/>
      <c r="C16" s="20" t="s">
        <v>55</v>
      </c>
      <c r="D16" s="21"/>
      <c r="E16" s="19"/>
      <c r="F16" s="19">
        <v>1</v>
      </c>
      <c r="G16" s="22">
        <v>44104</v>
      </c>
      <c r="H16" s="22"/>
      <c r="I16" s="22">
        <v>44104</v>
      </c>
      <c r="J16" s="23"/>
      <c r="K16" s="20" t="s">
        <v>163</v>
      </c>
      <c r="L16" s="24" t="s">
        <v>41</v>
      </c>
      <c r="M16" s="20"/>
      <c r="N16" s="20"/>
      <c r="O16" s="20"/>
      <c r="P16" s="23"/>
      <c r="Q16" s="20"/>
      <c r="R16" s="20"/>
    </row>
    <row r="17" spans="1:18" ht="30" customHeight="1" x14ac:dyDescent="0.25">
      <c r="A17" s="18" t="s">
        <v>54</v>
      </c>
      <c r="B17" s="26">
        <v>169096</v>
      </c>
      <c r="C17" s="20" t="s">
        <v>63</v>
      </c>
      <c r="D17" s="21" t="s">
        <v>172</v>
      </c>
      <c r="E17" s="19"/>
      <c r="F17" s="19">
        <v>1</v>
      </c>
      <c r="G17" s="22">
        <v>43985</v>
      </c>
      <c r="H17" s="22"/>
      <c r="I17" s="22">
        <v>44027</v>
      </c>
      <c r="J17" s="23"/>
      <c r="K17" s="20" t="s">
        <v>160</v>
      </c>
      <c r="L17" s="24" t="s">
        <v>41</v>
      </c>
      <c r="M17" s="20"/>
      <c r="N17" s="20"/>
      <c r="O17" s="20"/>
      <c r="P17" s="23"/>
      <c r="Q17" s="20"/>
      <c r="R17" s="20"/>
    </row>
    <row r="18" spans="1:18" ht="30" customHeight="1" x14ac:dyDescent="0.25">
      <c r="A18" s="18"/>
      <c r="B18" s="26"/>
      <c r="C18" s="20" t="s">
        <v>55</v>
      </c>
      <c r="D18" s="21" t="s">
        <v>173</v>
      </c>
      <c r="E18" s="19"/>
      <c r="F18" s="19">
        <v>1</v>
      </c>
      <c r="G18" s="22">
        <v>44112</v>
      </c>
      <c r="H18" s="22"/>
      <c r="I18" s="22"/>
      <c r="J18" s="23"/>
      <c r="K18" s="20" t="s">
        <v>163</v>
      </c>
      <c r="L18" s="24" t="s">
        <v>33</v>
      </c>
      <c r="M18" s="20"/>
      <c r="N18" s="20"/>
      <c r="O18" s="20"/>
      <c r="P18" s="23"/>
      <c r="Q18" s="20"/>
      <c r="R18" s="20"/>
    </row>
    <row r="19" spans="1:18" ht="30" customHeight="1" x14ac:dyDescent="0.25">
      <c r="A19" s="18"/>
      <c r="B19" s="26">
        <v>195215</v>
      </c>
      <c r="C19" s="20" t="s">
        <v>55</v>
      </c>
      <c r="D19" s="21" t="s">
        <v>174</v>
      </c>
      <c r="E19" s="19"/>
      <c r="F19" s="19">
        <v>1</v>
      </c>
      <c r="G19" s="22">
        <v>44117</v>
      </c>
      <c r="H19" s="22"/>
      <c r="I19" s="22">
        <v>44118</v>
      </c>
      <c r="J19" s="23"/>
      <c r="K19" s="20" t="s">
        <v>163</v>
      </c>
      <c r="L19" s="24" t="s">
        <v>57</v>
      </c>
      <c r="M19" s="20"/>
      <c r="N19" s="20"/>
      <c r="O19" s="20"/>
      <c r="P19" s="23"/>
      <c r="Q19" s="20"/>
      <c r="R19" s="20"/>
    </row>
    <row r="20" spans="1:18" ht="30" customHeight="1" x14ac:dyDescent="0.25">
      <c r="A20" s="18"/>
      <c r="B20" s="26"/>
      <c r="C20" s="20" t="s">
        <v>55</v>
      </c>
      <c r="D20" s="21" t="s">
        <v>175</v>
      </c>
      <c r="E20" s="19"/>
      <c r="F20" s="19">
        <v>1</v>
      </c>
      <c r="G20" s="22">
        <v>44113</v>
      </c>
      <c r="H20" s="22"/>
      <c r="I20" s="22">
        <v>44132</v>
      </c>
      <c r="J20" s="23"/>
      <c r="K20" s="20" t="s">
        <v>163</v>
      </c>
      <c r="L20" s="24" t="s">
        <v>41</v>
      </c>
      <c r="M20" s="20"/>
      <c r="N20" s="20"/>
      <c r="O20" s="20"/>
      <c r="P20" s="23"/>
      <c r="Q20" s="20"/>
      <c r="R20" s="20"/>
    </row>
    <row r="21" spans="1:18" ht="30" customHeight="1" x14ac:dyDescent="0.25">
      <c r="A21" s="18"/>
      <c r="B21" s="26"/>
      <c r="C21" s="20" t="s">
        <v>55</v>
      </c>
      <c r="D21" s="21" t="s">
        <v>176</v>
      </c>
      <c r="E21" s="19"/>
      <c r="F21" s="19">
        <v>1</v>
      </c>
      <c r="G21" s="22">
        <v>44113</v>
      </c>
      <c r="H21" s="22"/>
      <c r="I21" s="22">
        <v>44117</v>
      </c>
      <c r="J21" s="23"/>
      <c r="K21" s="20" t="s">
        <v>163</v>
      </c>
      <c r="L21" s="24" t="s">
        <v>41</v>
      </c>
      <c r="M21" s="20"/>
      <c r="N21" s="20"/>
      <c r="O21" s="20"/>
      <c r="P21" s="23"/>
      <c r="Q21" s="20"/>
      <c r="R21" s="20"/>
    </row>
    <row r="22" spans="1:18" ht="30" customHeight="1" x14ac:dyDescent="0.25">
      <c r="A22" s="18" t="s">
        <v>39</v>
      </c>
      <c r="B22" s="26">
        <v>195121</v>
      </c>
      <c r="C22" s="20" t="s">
        <v>55</v>
      </c>
      <c r="D22" s="21" t="s">
        <v>177</v>
      </c>
      <c r="E22" s="19"/>
      <c r="F22" s="19">
        <v>1</v>
      </c>
      <c r="G22" s="22">
        <v>44117</v>
      </c>
      <c r="H22" s="22"/>
      <c r="I22" s="22">
        <v>44118</v>
      </c>
      <c r="J22" s="23"/>
      <c r="K22" s="20" t="s">
        <v>163</v>
      </c>
      <c r="L22" s="24" t="s">
        <v>23</v>
      </c>
      <c r="M22" s="20"/>
      <c r="N22" s="20"/>
      <c r="O22" s="20"/>
      <c r="P22" s="23"/>
      <c r="Q22" s="20"/>
      <c r="R22" s="20"/>
    </row>
    <row r="23" spans="1:18" ht="30" customHeight="1" x14ac:dyDescent="0.25">
      <c r="A23" s="18" t="s">
        <v>39</v>
      </c>
      <c r="B23" s="26">
        <v>193661</v>
      </c>
      <c r="C23" s="20" t="s">
        <v>55</v>
      </c>
      <c r="D23" s="21" t="s">
        <v>178</v>
      </c>
      <c r="E23" s="19"/>
      <c r="F23" s="19">
        <v>1</v>
      </c>
      <c r="G23" s="22">
        <v>44109</v>
      </c>
      <c r="H23" s="22"/>
      <c r="I23" s="22">
        <v>44119</v>
      </c>
      <c r="J23" s="23"/>
      <c r="K23" s="20" t="s">
        <v>163</v>
      </c>
      <c r="L23" s="24" t="s">
        <v>41</v>
      </c>
      <c r="M23" s="20"/>
      <c r="N23" s="20"/>
      <c r="O23" s="20"/>
      <c r="P23" s="23"/>
      <c r="Q23" s="20"/>
      <c r="R23" s="20"/>
    </row>
    <row r="24" spans="1:18" ht="30" customHeight="1" x14ac:dyDescent="0.25">
      <c r="A24" s="18" t="s">
        <v>54</v>
      </c>
      <c r="B24" s="26">
        <v>193724</v>
      </c>
      <c r="C24" s="20" t="s">
        <v>55</v>
      </c>
      <c r="D24" s="21" t="s">
        <v>179</v>
      </c>
      <c r="E24" s="19"/>
      <c r="F24" s="19">
        <v>1</v>
      </c>
      <c r="G24" s="22">
        <v>44109</v>
      </c>
      <c r="H24" s="22"/>
      <c r="I24" s="22">
        <v>44120</v>
      </c>
      <c r="J24" s="23"/>
      <c r="K24" s="20" t="s">
        <v>163</v>
      </c>
      <c r="L24" s="24" t="s">
        <v>41</v>
      </c>
      <c r="M24" s="20"/>
      <c r="N24" s="20"/>
      <c r="O24" s="20"/>
      <c r="P24" s="23"/>
      <c r="Q24" s="20"/>
      <c r="R24" s="20"/>
    </row>
    <row r="25" spans="1:18" ht="30" customHeight="1" x14ac:dyDescent="0.25">
      <c r="A25" s="18" t="s">
        <v>67</v>
      </c>
      <c r="B25" s="26">
        <v>193091</v>
      </c>
      <c r="C25" s="20" t="s">
        <v>55</v>
      </c>
      <c r="D25" s="21" t="s">
        <v>180</v>
      </c>
      <c r="E25" s="19"/>
      <c r="F25" s="19">
        <v>1</v>
      </c>
      <c r="G25" s="22">
        <v>44105</v>
      </c>
      <c r="H25" s="22"/>
      <c r="I25" s="22">
        <v>44123</v>
      </c>
      <c r="J25" s="23"/>
      <c r="K25" s="20" t="s">
        <v>163</v>
      </c>
      <c r="L25" s="24" t="s">
        <v>41</v>
      </c>
      <c r="M25" s="20"/>
      <c r="N25" s="20"/>
      <c r="O25" s="20"/>
      <c r="P25" s="23"/>
      <c r="Q25" s="20"/>
      <c r="R25" s="20"/>
    </row>
    <row r="26" spans="1:18" ht="30" customHeight="1" x14ac:dyDescent="0.25">
      <c r="A26" s="18" t="s">
        <v>181</v>
      </c>
      <c r="B26" s="26">
        <v>193525</v>
      </c>
      <c r="C26" s="20" t="s">
        <v>55</v>
      </c>
      <c r="D26" s="21" t="s">
        <v>182</v>
      </c>
      <c r="E26" s="19"/>
      <c r="F26" s="19">
        <v>1</v>
      </c>
      <c r="G26" s="22">
        <v>44106</v>
      </c>
      <c r="H26" s="22"/>
      <c r="I26" s="22">
        <v>44118</v>
      </c>
      <c r="J26" s="23"/>
      <c r="K26" s="20" t="s">
        <v>163</v>
      </c>
      <c r="L26" s="24" t="s">
        <v>41</v>
      </c>
      <c r="M26" s="20"/>
      <c r="N26" s="20"/>
      <c r="O26" s="20"/>
      <c r="P26" s="23"/>
      <c r="Q26" s="20" t="s">
        <v>28</v>
      </c>
      <c r="R26" s="20"/>
    </row>
    <row r="27" spans="1:18" ht="30" customHeight="1" x14ac:dyDescent="0.25">
      <c r="A27" s="18" t="s">
        <v>39</v>
      </c>
      <c r="B27" s="26">
        <v>160587</v>
      </c>
      <c r="C27" s="20" t="s">
        <v>55</v>
      </c>
      <c r="D27" s="21" t="s">
        <v>183</v>
      </c>
      <c r="E27" s="19"/>
      <c r="F27" s="19">
        <v>1</v>
      </c>
      <c r="G27" s="22">
        <v>43934</v>
      </c>
      <c r="H27" s="22"/>
      <c r="I27" s="22"/>
      <c r="J27" s="23"/>
      <c r="K27" s="20" t="s">
        <v>163</v>
      </c>
      <c r="L27" s="24" t="s">
        <v>41</v>
      </c>
      <c r="M27" s="20"/>
      <c r="N27" s="20"/>
      <c r="O27" s="20"/>
      <c r="P27" s="23"/>
      <c r="Q27" s="20"/>
      <c r="R27" s="20"/>
    </row>
    <row r="28" spans="1:18" ht="30" customHeight="1" x14ac:dyDescent="0.25">
      <c r="A28" s="18" t="s">
        <v>94</v>
      </c>
      <c r="B28" s="26">
        <v>160624</v>
      </c>
      <c r="C28" s="20" t="s">
        <v>55</v>
      </c>
      <c r="D28" s="21" t="s">
        <v>184</v>
      </c>
      <c r="E28" s="19"/>
      <c r="F28" s="19">
        <v>1</v>
      </c>
      <c r="G28" s="22">
        <v>43934</v>
      </c>
      <c r="H28" s="22"/>
      <c r="I28" s="22">
        <v>43951</v>
      </c>
      <c r="J28" s="23"/>
      <c r="K28" s="20" t="s">
        <v>163</v>
      </c>
      <c r="L28" s="24" t="s">
        <v>41</v>
      </c>
      <c r="M28" s="20"/>
      <c r="N28" s="20"/>
      <c r="O28" s="20"/>
      <c r="P28" s="23"/>
      <c r="Q28" s="20"/>
      <c r="R28" s="20"/>
    </row>
    <row r="29" spans="1:18" ht="30" customHeight="1" x14ac:dyDescent="0.25">
      <c r="A29" s="18" t="s">
        <v>39</v>
      </c>
      <c r="B29" s="26" t="s">
        <v>95</v>
      </c>
      <c r="C29" s="20" t="s">
        <v>55</v>
      </c>
      <c r="D29" s="21" t="s">
        <v>185</v>
      </c>
      <c r="E29" s="19"/>
      <c r="F29" s="19">
        <v>1</v>
      </c>
      <c r="G29" s="22">
        <v>43949</v>
      </c>
      <c r="H29" s="22"/>
      <c r="I29" s="22">
        <v>43983</v>
      </c>
      <c r="J29" s="23"/>
      <c r="K29" s="20" t="s">
        <v>163</v>
      </c>
      <c r="L29" s="24" t="s">
        <v>33</v>
      </c>
      <c r="M29" s="20"/>
      <c r="N29" s="20"/>
      <c r="O29" s="20"/>
      <c r="P29" s="23"/>
      <c r="Q29" s="20"/>
      <c r="R29" s="20"/>
    </row>
    <row r="30" spans="1:18" ht="30" customHeight="1" x14ac:dyDescent="0.25">
      <c r="A30" s="18" t="s">
        <v>39</v>
      </c>
      <c r="B30" s="26">
        <v>153722</v>
      </c>
      <c r="C30" s="20" t="s">
        <v>19</v>
      </c>
      <c r="D30" s="21" t="s">
        <v>186</v>
      </c>
      <c r="E30" s="19"/>
      <c r="F30" s="19"/>
      <c r="G30" s="22">
        <v>43894</v>
      </c>
      <c r="H30" s="22"/>
      <c r="I30" s="22">
        <v>43908</v>
      </c>
      <c r="J30" s="23"/>
      <c r="K30" s="20" t="s">
        <v>163</v>
      </c>
      <c r="L30" s="24"/>
      <c r="M30" s="20"/>
      <c r="N30" s="20"/>
      <c r="O30" s="20"/>
      <c r="P30" s="23"/>
      <c r="Q30" s="20"/>
      <c r="R30" s="20"/>
    </row>
    <row r="31" spans="1:18" ht="30" customHeight="1" x14ac:dyDescent="0.25">
      <c r="A31" s="18" t="s">
        <v>181</v>
      </c>
      <c r="B31" s="26">
        <v>193243</v>
      </c>
      <c r="C31" s="20" t="s">
        <v>55</v>
      </c>
      <c r="D31" s="21" t="s">
        <v>187</v>
      </c>
      <c r="E31" s="19"/>
      <c r="F31" s="19">
        <v>2</v>
      </c>
      <c r="G31" s="22">
        <v>44105</v>
      </c>
      <c r="H31" s="22"/>
      <c r="I31" s="22">
        <v>44119</v>
      </c>
      <c r="J31" s="23"/>
      <c r="K31" s="20" t="s">
        <v>163</v>
      </c>
      <c r="L31" s="24" t="s">
        <v>23</v>
      </c>
      <c r="M31" s="20"/>
      <c r="N31" s="20"/>
      <c r="O31" s="20"/>
      <c r="P31" s="23"/>
      <c r="Q31" s="20"/>
      <c r="R31" s="20"/>
    </row>
    <row r="32" spans="1:18" ht="30" customHeight="1" x14ac:dyDescent="0.25">
      <c r="A32" s="18" t="s">
        <v>181</v>
      </c>
      <c r="B32" s="26">
        <v>193243</v>
      </c>
      <c r="C32" s="20" t="s">
        <v>55</v>
      </c>
      <c r="D32" s="21" t="s">
        <v>187</v>
      </c>
      <c r="E32" s="19"/>
      <c r="F32" s="19">
        <v>1</v>
      </c>
      <c r="G32" s="22">
        <v>44105</v>
      </c>
      <c r="H32" s="22"/>
      <c r="I32" s="22">
        <v>44119</v>
      </c>
      <c r="J32" s="23"/>
      <c r="K32" s="20" t="s">
        <v>163</v>
      </c>
      <c r="L32" s="24" t="s">
        <v>23</v>
      </c>
      <c r="M32" s="20"/>
      <c r="N32" s="20"/>
      <c r="O32" s="20"/>
      <c r="P32" s="23"/>
      <c r="Q32" s="20"/>
      <c r="R32" s="20"/>
    </row>
    <row r="33" spans="1:18" ht="30" customHeight="1" x14ac:dyDescent="0.25">
      <c r="A33" s="18" t="s">
        <v>181</v>
      </c>
      <c r="B33" s="26">
        <v>193243</v>
      </c>
      <c r="C33" s="20" t="s">
        <v>55</v>
      </c>
      <c r="D33" s="21" t="s">
        <v>187</v>
      </c>
      <c r="E33" s="19"/>
      <c r="F33" s="19">
        <v>1</v>
      </c>
      <c r="G33" s="22">
        <v>44105</v>
      </c>
      <c r="H33" s="22"/>
      <c r="I33" s="22">
        <v>44119</v>
      </c>
      <c r="J33" s="23"/>
      <c r="K33" s="20" t="s">
        <v>163</v>
      </c>
      <c r="L33" s="24" t="s">
        <v>23</v>
      </c>
      <c r="M33" s="20"/>
      <c r="N33" s="20"/>
      <c r="O33" s="20"/>
      <c r="P33" s="23"/>
      <c r="Q33" s="20"/>
      <c r="R33" s="20"/>
    </row>
    <row r="34" spans="1:18" ht="30" customHeight="1" x14ac:dyDescent="0.25">
      <c r="A34" s="18" t="s">
        <v>46</v>
      </c>
      <c r="B34" s="26">
        <v>194777</v>
      </c>
      <c r="C34" s="20" t="s">
        <v>55</v>
      </c>
      <c r="D34" s="21" t="s">
        <v>173</v>
      </c>
      <c r="E34" s="19"/>
      <c r="F34" s="19">
        <v>3</v>
      </c>
      <c r="G34" s="22">
        <v>44112</v>
      </c>
      <c r="H34" s="22"/>
      <c r="I34" s="22">
        <v>44117</v>
      </c>
      <c r="J34" s="23"/>
      <c r="K34" s="20" t="s">
        <v>163</v>
      </c>
      <c r="L34" s="24" t="s">
        <v>33</v>
      </c>
      <c r="M34" s="20"/>
      <c r="N34" s="20"/>
      <c r="O34" s="20"/>
      <c r="P34" s="23"/>
      <c r="Q34" s="20"/>
      <c r="R34" s="20"/>
    </row>
    <row r="35" spans="1:18" ht="30" customHeight="1" x14ac:dyDescent="0.25">
      <c r="A35" s="18" t="s">
        <v>46</v>
      </c>
      <c r="B35" s="26">
        <v>194777</v>
      </c>
      <c r="C35" s="20" t="s">
        <v>55</v>
      </c>
      <c r="D35" s="21" t="s">
        <v>173</v>
      </c>
      <c r="E35" s="19"/>
      <c r="F35" s="19">
        <v>1</v>
      </c>
      <c r="G35" s="22">
        <v>44112</v>
      </c>
      <c r="H35" s="22"/>
      <c r="I35" s="22">
        <v>44117</v>
      </c>
      <c r="J35" s="23"/>
      <c r="K35" s="20" t="s">
        <v>163</v>
      </c>
      <c r="L35" s="24" t="s">
        <v>33</v>
      </c>
      <c r="M35" s="20"/>
      <c r="N35" s="20"/>
      <c r="O35" s="20"/>
      <c r="P35" s="23"/>
      <c r="Q35" s="20"/>
      <c r="R35" s="20"/>
    </row>
    <row r="36" spans="1:18" ht="30" customHeight="1" x14ac:dyDescent="0.25">
      <c r="A36" s="18" t="s">
        <v>46</v>
      </c>
      <c r="B36" s="26">
        <v>194777</v>
      </c>
      <c r="C36" s="20" t="s">
        <v>55</v>
      </c>
      <c r="D36" s="21" t="s">
        <v>173</v>
      </c>
      <c r="E36" s="19"/>
      <c r="F36" s="19">
        <v>1</v>
      </c>
      <c r="G36" s="22">
        <v>44112</v>
      </c>
      <c r="H36" s="22"/>
      <c r="I36" s="22">
        <v>44117</v>
      </c>
      <c r="J36" s="23"/>
      <c r="K36" s="20" t="s">
        <v>163</v>
      </c>
      <c r="L36" s="24" t="s">
        <v>33</v>
      </c>
      <c r="M36" s="20"/>
      <c r="N36" s="20"/>
      <c r="O36" s="20"/>
      <c r="P36" s="23"/>
      <c r="Q36" s="20"/>
      <c r="R36" s="20"/>
    </row>
    <row r="37" spans="1:18" ht="30" customHeight="1" x14ac:dyDescent="0.25">
      <c r="A37" s="18"/>
      <c r="B37" s="26"/>
      <c r="C37" s="20" t="s">
        <v>55</v>
      </c>
      <c r="D37" s="21" t="s">
        <v>188</v>
      </c>
      <c r="E37" s="19"/>
      <c r="F37" s="19">
        <v>1</v>
      </c>
      <c r="G37" s="22">
        <v>44099</v>
      </c>
      <c r="H37" s="22"/>
      <c r="I37" s="22">
        <v>44076</v>
      </c>
      <c r="J37" s="23"/>
      <c r="K37" s="20" t="s">
        <v>163</v>
      </c>
      <c r="L37" s="24" t="s">
        <v>41</v>
      </c>
      <c r="M37" s="20"/>
      <c r="N37" s="20"/>
      <c r="O37" s="20"/>
      <c r="P37" s="23"/>
      <c r="Q37" s="20"/>
      <c r="R37" s="20"/>
    </row>
    <row r="38" spans="1:18" ht="30" customHeight="1" x14ac:dyDescent="0.25">
      <c r="A38" s="18"/>
      <c r="B38" s="26"/>
      <c r="C38" s="20" t="s">
        <v>55</v>
      </c>
      <c r="D38" s="21" t="s">
        <v>189</v>
      </c>
      <c r="E38" s="19"/>
      <c r="F38" s="19">
        <v>5</v>
      </c>
      <c r="G38" s="22">
        <v>44104</v>
      </c>
      <c r="H38" s="22"/>
      <c r="I38" s="22">
        <v>44105</v>
      </c>
      <c r="J38" s="23"/>
      <c r="K38" s="20" t="s">
        <v>163</v>
      </c>
      <c r="L38" s="24" t="s">
        <v>41</v>
      </c>
      <c r="M38" s="20"/>
      <c r="N38" s="20"/>
      <c r="O38" s="20"/>
      <c r="P38" s="23"/>
      <c r="Q38" s="20"/>
      <c r="R38" s="20"/>
    </row>
    <row r="39" spans="1:18" ht="30" customHeight="1" x14ac:dyDescent="0.25">
      <c r="A39" s="18"/>
      <c r="B39" s="26"/>
      <c r="C39" s="20" t="s">
        <v>55</v>
      </c>
      <c r="D39" s="21" t="s">
        <v>190</v>
      </c>
      <c r="E39" s="19"/>
      <c r="F39" s="19">
        <v>2</v>
      </c>
      <c r="G39" s="22">
        <v>44071</v>
      </c>
      <c r="H39" s="22"/>
      <c r="I39" s="22">
        <v>44090</v>
      </c>
      <c r="J39" s="23"/>
      <c r="K39" s="20" t="s">
        <v>163</v>
      </c>
      <c r="L39" s="24" t="s">
        <v>41</v>
      </c>
      <c r="M39" s="20"/>
      <c r="N39" s="20">
        <v>2</v>
      </c>
      <c r="O39" s="20"/>
      <c r="P39" s="23"/>
      <c r="Q39" s="20"/>
      <c r="R39" s="20"/>
    </row>
    <row r="40" spans="1:18" ht="30" customHeight="1" x14ac:dyDescent="0.25">
      <c r="A40" s="18"/>
      <c r="B40" s="26"/>
      <c r="C40" s="20" t="s">
        <v>55</v>
      </c>
      <c r="D40" s="21" t="s">
        <v>190</v>
      </c>
      <c r="E40" s="19"/>
      <c r="F40" s="19">
        <v>1</v>
      </c>
      <c r="G40" s="22">
        <v>44071</v>
      </c>
      <c r="H40" s="22"/>
      <c r="I40" s="22">
        <v>44090</v>
      </c>
      <c r="J40" s="23"/>
      <c r="K40" s="20" t="s">
        <v>163</v>
      </c>
      <c r="L40" s="24" t="s">
        <v>41</v>
      </c>
      <c r="M40" s="20"/>
      <c r="N40" s="20">
        <v>2</v>
      </c>
      <c r="O40" s="20"/>
      <c r="P40" s="23"/>
      <c r="Q40" s="20"/>
      <c r="R40" s="20"/>
    </row>
    <row r="41" spans="1:18" ht="30" customHeight="1" x14ac:dyDescent="0.25">
      <c r="A41" s="18"/>
      <c r="B41" s="26"/>
      <c r="C41" s="20" t="s">
        <v>55</v>
      </c>
      <c r="D41" s="21" t="s">
        <v>190</v>
      </c>
      <c r="E41" s="19"/>
      <c r="F41" s="19">
        <v>1</v>
      </c>
      <c r="G41" s="22">
        <v>44071</v>
      </c>
      <c r="H41" s="22"/>
      <c r="I41" s="22">
        <v>44090</v>
      </c>
      <c r="J41" s="23"/>
      <c r="K41" s="20" t="s">
        <v>163</v>
      </c>
      <c r="L41" s="24" t="s">
        <v>41</v>
      </c>
      <c r="M41" s="20"/>
      <c r="N41" s="20"/>
      <c r="O41" s="20"/>
      <c r="P41" s="23"/>
      <c r="Q41" s="20"/>
      <c r="R41" s="20"/>
    </row>
    <row r="42" spans="1:18" ht="30" customHeight="1" x14ac:dyDescent="0.25">
      <c r="A42" s="18"/>
      <c r="B42" s="26"/>
      <c r="C42" s="20" t="s">
        <v>55</v>
      </c>
      <c r="D42" s="21" t="s">
        <v>190</v>
      </c>
      <c r="E42" s="19"/>
      <c r="F42" s="19">
        <v>1</v>
      </c>
      <c r="G42" s="22">
        <v>44071</v>
      </c>
      <c r="H42" s="22"/>
      <c r="I42" s="22">
        <v>44090</v>
      </c>
      <c r="J42" s="23"/>
      <c r="K42" s="20" t="s">
        <v>163</v>
      </c>
      <c r="L42" s="24" t="s">
        <v>41</v>
      </c>
      <c r="M42" s="20"/>
      <c r="N42" s="20">
        <v>2</v>
      </c>
      <c r="O42" s="20"/>
      <c r="P42" s="23"/>
      <c r="Q42" s="20"/>
      <c r="R42" s="20"/>
    </row>
    <row r="43" spans="1:18" ht="30" customHeight="1" x14ac:dyDescent="0.25">
      <c r="A43" s="18"/>
      <c r="B43" s="26"/>
      <c r="C43" s="20" t="s">
        <v>55</v>
      </c>
      <c r="D43" s="21" t="s">
        <v>190</v>
      </c>
      <c r="E43" s="19"/>
      <c r="F43" s="19">
        <v>1</v>
      </c>
      <c r="G43" s="22">
        <v>44071</v>
      </c>
      <c r="H43" s="22"/>
      <c r="I43" s="22">
        <v>44090</v>
      </c>
      <c r="J43" s="23"/>
      <c r="K43" s="20" t="s">
        <v>163</v>
      </c>
      <c r="L43" s="24" t="s">
        <v>41</v>
      </c>
      <c r="M43" s="20"/>
      <c r="N43" s="20">
        <v>1</v>
      </c>
      <c r="O43" s="20"/>
      <c r="P43" s="23"/>
      <c r="Q43" s="20"/>
      <c r="R43" s="20"/>
    </row>
    <row r="44" spans="1:18" ht="30" customHeight="1" x14ac:dyDescent="0.25">
      <c r="A44" s="18" t="s">
        <v>191</v>
      </c>
      <c r="B44" s="26"/>
      <c r="C44" s="20" t="s">
        <v>55</v>
      </c>
      <c r="D44" s="21" t="s">
        <v>192</v>
      </c>
      <c r="E44" s="19"/>
      <c r="F44" s="19">
        <v>2</v>
      </c>
      <c r="G44" s="22">
        <v>44062</v>
      </c>
      <c r="H44" s="22"/>
      <c r="I44" s="22">
        <v>44083</v>
      </c>
      <c r="J44" s="23"/>
      <c r="K44" s="20" t="s">
        <v>163</v>
      </c>
      <c r="L44" s="24" t="s">
        <v>41</v>
      </c>
      <c r="M44" s="20"/>
      <c r="N44" s="20"/>
      <c r="O44" s="20"/>
      <c r="P44" s="23"/>
      <c r="Q44" s="20"/>
      <c r="R44" s="20"/>
    </row>
    <row r="45" spans="1:18" ht="30" customHeight="1" x14ac:dyDescent="0.25">
      <c r="A45" s="18" t="s">
        <v>191</v>
      </c>
      <c r="B45" s="26"/>
      <c r="C45" s="20" t="s">
        <v>55</v>
      </c>
      <c r="D45" s="21" t="s">
        <v>192</v>
      </c>
      <c r="E45" s="19"/>
      <c r="F45" s="19">
        <v>1</v>
      </c>
      <c r="G45" s="22">
        <v>44062</v>
      </c>
      <c r="H45" s="22"/>
      <c r="I45" s="22">
        <v>44083</v>
      </c>
      <c r="J45" s="23"/>
      <c r="K45" s="20" t="s">
        <v>163</v>
      </c>
      <c r="L45" s="24" t="s">
        <v>41</v>
      </c>
      <c r="M45" s="20"/>
      <c r="N45" s="20"/>
      <c r="O45" s="20"/>
      <c r="P45" s="23"/>
      <c r="Q45" s="20"/>
      <c r="R45" s="20"/>
    </row>
    <row r="46" spans="1:18" ht="30" customHeight="1" x14ac:dyDescent="0.25">
      <c r="A46" s="18"/>
      <c r="B46" s="26"/>
      <c r="C46" s="20" t="s">
        <v>55</v>
      </c>
      <c r="D46" s="21" t="s">
        <v>193</v>
      </c>
      <c r="E46" s="19"/>
      <c r="F46" s="19">
        <v>2</v>
      </c>
      <c r="G46" s="22">
        <v>44061</v>
      </c>
      <c r="H46" s="22"/>
      <c r="I46" s="22">
        <v>44069</v>
      </c>
      <c r="J46" s="23"/>
      <c r="K46" s="20" t="s">
        <v>163</v>
      </c>
      <c r="L46" s="24" t="s">
        <v>23</v>
      </c>
      <c r="M46" s="20"/>
      <c r="N46" s="20"/>
      <c r="O46" s="20"/>
      <c r="P46" s="23"/>
      <c r="Q46" s="20"/>
      <c r="R46" s="20"/>
    </row>
    <row r="47" spans="1:18" ht="30" customHeight="1" x14ac:dyDescent="0.25">
      <c r="A47" s="18"/>
      <c r="B47" s="26"/>
      <c r="C47" s="20" t="s">
        <v>55</v>
      </c>
      <c r="D47" s="21" t="s">
        <v>193</v>
      </c>
      <c r="E47" s="19"/>
      <c r="F47" s="19">
        <v>1</v>
      </c>
      <c r="G47" s="22">
        <v>44061</v>
      </c>
      <c r="H47" s="22"/>
      <c r="I47" s="22">
        <v>44069</v>
      </c>
      <c r="J47" s="23"/>
      <c r="K47" s="20" t="s">
        <v>163</v>
      </c>
      <c r="L47" s="24" t="s">
        <v>41</v>
      </c>
      <c r="M47" s="20"/>
      <c r="N47" s="20"/>
      <c r="O47" s="20"/>
      <c r="P47" s="23"/>
      <c r="Q47" s="20"/>
      <c r="R47" s="20"/>
    </row>
    <row r="48" spans="1:18" ht="30" customHeight="1" x14ac:dyDescent="0.25">
      <c r="A48" s="18" t="s">
        <v>39</v>
      </c>
      <c r="B48" s="26">
        <v>215807</v>
      </c>
      <c r="C48" s="20" t="s">
        <v>30</v>
      </c>
      <c r="D48" s="21" t="s">
        <v>194</v>
      </c>
      <c r="E48" s="19" t="s">
        <v>61</v>
      </c>
      <c r="F48" s="19">
        <v>4</v>
      </c>
      <c r="G48" s="22">
        <v>44216</v>
      </c>
      <c r="H48" s="22">
        <v>44222</v>
      </c>
      <c r="I48" s="22"/>
      <c r="J48" s="23"/>
      <c r="K48" s="20" t="s">
        <v>195</v>
      </c>
      <c r="L48" s="24" t="s">
        <v>41</v>
      </c>
      <c r="M48" s="20" t="s">
        <v>24</v>
      </c>
      <c r="N48" s="20"/>
      <c r="O48" s="20" t="s">
        <v>26</v>
      </c>
      <c r="P48" s="23"/>
      <c r="Q48" s="20"/>
      <c r="R48" s="20"/>
    </row>
    <row r="49" spans="1:18" ht="30" customHeight="1" x14ac:dyDescent="0.25">
      <c r="A49" s="18" t="s">
        <v>39</v>
      </c>
      <c r="B49" s="26">
        <v>216830</v>
      </c>
      <c r="C49" s="20" t="s">
        <v>19</v>
      </c>
      <c r="D49" s="21" t="s">
        <v>196</v>
      </c>
      <c r="E49" s="19" t="s">
        <v>34</v>
      </c>
      <c r="F49" s="19">
        <v>1</v>
      </c>
      <c r="G49" s="22">
        <v>44223</v>
      </c>
      <c r="H49" s="22">
        <v>44223</v>
      </c>
      <c r="I49" s="22"/>
      <c r="J49" s="23"/>
      <c r="K49" s="20" t="s">
        <v>160</v>
      </c>
      <c r="L49" s="24" t="s">
        <v>23</v>
      </c>
      <c r="M49" s="20" t="s">
        <v>24</v>
      </c>
      <c r="N49" s="20"/>
      <c r="O49" s="20" t="s">
        <v>25</v>
      </c>
      <c r="P49" s="23" t="s">
        <v>25</v>
      </c>
      <c r="Q49" s="20" t="s">
        <v>28</v>
      </c>
      <c r="R49" s="20"/>
    </row>
    <row r="50" spans="1:18" ht="30" customHeight="1" x14ac:dyDescent="0.25">
      <c r="A50" s="18" t="s">
        <v>39</v>
      </c>
      <c r="B50" s="26">
        <v>216830</v>
      </c>
      <c r="C50" s="20" t="s">
        <v>19</v>
      </c>
      <c r="D50" s="21" t="s">
        <v>196</v>
      </c>
      <c r="E50" s="19" t="s">
        <v>32</v>
      </c>
      <c r="F50" s="19">
        <v>1</v>
      </c>
      <c r="G50" s="22">
        <v>44223</v>
      </c>
      <c r="H50" s="22">
        <v>44223</v>
      </c>
      <c r="I50" s="22"/>
      <c r="J50" s="23"/>
      <c r="K50" s="20" t="s">
        <v>160</v>
      </c>
      <c r="L50" s="24" t="s">
        <v>23</v>
      </c>
      <c r="M50" s="20" t="s">
        <v>24</v>
      </c>
      <c r="N50" s="20"/>
      <c r="O50" s="20" t="s">
        <v>25</v>
      </c>
      <c r="P50" s="23" t="s">
        <v>25</v>
      </c>
      <c r="Q50" s="20" t="s">
        <v>28</v>
      </c>
      <c r="R50" s="20"/>
    </row>
    <row r="51" spans="1:18" ht="30" customHeight="1" x14ac:dyDescent="0.25">
      <c r="A51" s="18" t="s">
        <v>36</v>
      </c>
      <c r="B51" s="26">
        <v>216047</v>
      </c>
      <c r="C51" s="20" t="s">
        <v>30</v>
      </c>
      <c r="D51" s="21" t="s">
        <v>197</v>
      </c>
      <c r="E51" s="19" t="s">
        <v>270</v>
      </c>
      <c r="F51" s="19">
        <v>1</v>
      </c>
      <c r="G51" s="22">
        <v>44266</v>
      </c>
      <c r="H51" s="22">
        <v>44286</v>
      </c>
      <c r="I51" s="22"/>
      <c r="J51" s="23"/>
      <c r="K51" s="20" t="s">
        <v>275</v>
      </c>
      <c r="L51" s="24" t="s">
        <v>33</v>
      </c>
      <c r="M51" s="20" t="s">
        <v>198</v>
      </c>
      <c r="N51" s="20"/>
      <c r="O51" s="20" t="s">
        <v>26</v>
      </c>
      <c r="P51" s="23" t="s">
        <v>26</v>
      </c>
      <c r="Q51" s="20" t="s">
        <v>28</v>
      </c>
      <c r="R51" s="20"/>
    </row>
    <row r="52" spans="1:18" ht="30" customHeight="1" x14ac:dyDescent="0.25">
      <c r="A52" s="18" t="s">
        <v>36</v>
      </c>
      <c r="B52" s="26">
        <v>216047</v>
      </c>
      <c r="C52" s="20" t="s">
        <v>30</v>
      </c>
      <c r="D52" s="21" t="s">
        <v>197</v>
      </c>
      <c r="E52" s="19" t="s">
        <v>79</v>
      </c>
      <c r="F52" s="19">
        <v>1</v>
      </c>
      <c r="G52" s="22">
        <v>44266</v>
      </c>
      <c r="H52" s="22">
        <v>44286</v>
      </c>
      <c r="I52" s="22"/>
      <c r="J52" s="23"/>
      <c r="K52" s="20" t="s">
        <v>163</v>
      </c>
      <c r="L52" s="24" t="s">
        <v>33</v>
      </c>
      <c r="M52" s="20" t="s">
        <v>198</v>
      </c>
      <c r="N52" s="20"/>
      <c r="O52" s="20" t="s">
        <v>26</v>
      </c>
      <c r="P52" s="23" t="s">
        <v>26</v>
      </c>
      <c r="Q52" s="20" t="s">
        <v>28</v>
      </c>
      <c r="R52" s="20"/>
    </row>
    <row r="53" spans="1:18" ht="30" customHeight="1" x14ac:dyDescent="0.25">
      <c r="A53" s="18" t="s">
        <v>94</v>
      </c>
      <c r="B53" s="26">
        <v>217989</v>
      </c>
      <c r="C53" s="20" t="s">
        <v>19</v>
      </c>
      <c r="D53" s="21" t="s">
        <v>200</v>
      </c>
      <c r="E53" s="19" t="s">
        <v>34</v>
      </c>
      <c r="F53" s="19">
        <v>1</v>
      </c>
      <c r="G53" s="22">
        <v>44228</v>
      </c>
      <c r="H53" s="22">
        <v>44230</v>
      </c>
      <c r="I53" s="22"/>
      <c r="J53" s="23"/>
      <c r="K53" s="20" t="s">
        <v>160</v>
      </c>
      <c r="L53" s="24" t="s">
        <v>23</v>
      </c>
      <c r="M53" s="20" t="s">
        <v>24</v>
      </c>
      <c r="N53" s="20"/>
      <c r="O53" s="20" t="s">
        <v>25</v>
      </c>
      <c r="P53" s="23"/>
      <c r="Q53" s="20" t="s">
        <v>28</v>
      </c>
      <c r="R53" s="20"/>
    </row>
    <row r="54" spans="1:18" ht="30" customHeight="1" x14ac:dyDescent="0.25">
      <c r="A54" s="18" t="s">
        <v>94</v>
      </c>
      <c r="B54" s="26">
        <v>217989</v>
      </c>
      <c r="C54" s="20" t="s">
        <v>19</v>
      </c>
      <c r="D54" s="21" t="s">
        <v>200</v>
      </c>
      <c r="E54" s="19" t="s">
        <v>32</v>
      </c>
      <c r="F54" s="19">
        <v>1</v>
      </c>
      <c r="G54" s="22">
        <v>44228</v>
      </c>
      <c r="H54" s="22">
        <v>44230</v>
      </c>
      <c r="I54" s="22"/>
      <c r="J54" s="23"/>
      <c r="K54" s="20" t="s">
        <v>160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0"/>
    </row>
    <row r="55" spans="1:18" ht="30" customHeight="1" x14ac:dyDescent="0.25">
      <c r="A55" s="18" t="s">
        <v>144</v>
      </c>
      <c r="B55" s="26">
        <v>218759</v>
      </c>
      <c r="C55" s="20" t="s">
        <v>19</v>
      </c>
      <c r="D55" s="21" t="s">
        <v>201</v>
      </c>
      <c r="E55" s="19" t="s">
        <v>34</v>
      </c>
      <c r="F55" s="19">
        <v>2</v>
      </c>
      <c r="G55" s="22">
        <v>44230</v>
      </c>
      <c r="H55" s="22">
        <v>44230</v>
      </c>
      <c r="I55" s="22"/>
      <c r="J55" s="23"/>
      <c r="K55" s="20" t="s">
        <v>163</v>
      </c>
      <c r="L55" s="24" t="s">
        <v>33</v>
      </c>
      <c r="M55" s="20" t="s">
        <v>24</v>
      </c>
      <c r="N55" s="20"/>
      <c r="O55" s="20" t="s">
        <v>25</v>
      </c>
      <c r="P55" s="23"/>
      <c r="Q55" s="20"/>
      <c r="R55" s="20"/>
    </row>
    <row r="56" spans="1:18" ht="30" customHeight="1" x14ac:dyDescent="0.25">
      <c r="A56" s="18" t="s">
        <v>39</v>
      </c>
      <c r="B56" s="26">
        <v>219689</v>
      </c>
      <c r="C56" s="20" t="s">
        <v>19</v>
      </c>
      <c r="D56" s="21" t="s">
        <v>202</v>
      </c>
      <c r="E56" s="19" t="s">
        <v>82</v>
      </c>
      <c r="F56" s="19">
        <v>1</v>
      </c>
      <c r="G56" s="22">
        <v>44236</v>
      </c>
      <c r="H56" s="22">
        <v>44238</v>
      </c>
      <c r="I56" s="22"/>
      <c r="J56" s="23"/>
      <c r="K56" s="20" t="s">
        <v>163</v>
      </c>
      <c r="L56" s="24" t="s">
        <v>41</v>
      </c>
      <c r="M56" s="20" t="s">
        <v>24</v>
      </c>
      <c r="N56" s="20"/>
      <c r="O56" s="20" t="s">
        <v>26</v>
      </c>
      <c r="P56" s="23" t="s">
        <v>25</v>
      </c>
      <c r="Q56" s="20" t="s">
        <v>28</v>
      </c>
      <c r="R56" s="20"/>
    </row>
    <row r="57" spans="1:18" ht="30" customHeight="1" x14ac:dyDescent="0.25">
      <c r="A57" s="18" t="s">
        <v>39</v>
      </c>
      <c r="B57" s="26">
        <v>219689</v>
      </c>
      <c r="C57" s="20" t="s">
        <v>19</v>
      </c>
      <c r="D57" s="21" t="s">
        <v>202</v>
      </c>
      <c r="E57" s="19" t="s">
        <v>34</v>
      </c>
      <c r="F57" s="19">
        <v>1</v>
      </c>
      <c r="G57" s="22">
        <v>44236</v>
      </c>
      <c r="H57" s="22">
        <v>44238</v>
      </c>
      <c r="I57" s="22"/>
      <c r="J57" s="23"/>
      <c r="K57" s="20" t="s">
        <v>160</v>
      </c>
      <c r="L57" s="24" t="s">
        <v>23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0"/>
    </row>
    <row r="58" spans="1:18" ht="30" customHeight="1" x14ac:dyDescent="0.25">
      <c r="A58" s="18" t="s">
        <v>39</v>
      </c>
      <c r="B58" s="26">
        <v>219689</v>
      </c>
      <c r="C58" s="20" t="s">
        <v>19</v>
      </c>
      <c r="D58" s="21" t="s">
        <v>202</v>
      </c>
      <c r="E58" s="19" t="s">
        <v>32</v>
      </c>
      <c r="F58" s="19">
        <v>1</v>
      </c>
      <c r="G58" s="22">
        <v>44236</v>
      </c>
      <c r="H58" s="22">
        <v>44238</v>
      </c>
      <c r="I58" s="22"/>
      <c r="J58" s="23"/>
      <c r="K58" s="20" t="s">
        <v>160</v>
      </c>
      <c r="L58" s="24" t="s">
        <v>23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0"/>
    </row>
    <row r="59" spans="1:18" ht="30" customHeight="1" x14ac:dyDescent="0.25">
      <c r="A59" s="18" t="s">
        <v>39</v>
      </c>
      <c r="B59" s="26">
        <v>220202</v>
      </c>
      <c r="C59" s="20" t="s">
        <v>19</v>
      </c>
      <c r="D59" s="21" t="s">
        <v>202</v>
      </c>
      <c r="E59" s="19" t="s">
        <v>34</v>
      </c>
      <c r="F59" s="19">
        <v>1</v>
      </c>
      <c r="G59" s="22">
        <v>44236</v>
      </c>
      <c r="H59" s="22">
        <v>44236</v>
      </c>
      <c r="I59" s="22"/>
      <c r="J59" s="23"/>
      <c r="K59" s="20" t="s">
        <v>160</v>
      </c>
      <c r="L59" s="24" t="s">
        <v>23</v>
      </c>
      <c r="M59" s="20" t="s">
        <v>24</v>
      </c>
      <c r="N59" s="20"/>
      <c r="O59" s="20" t="s">
        <v>25</v>
      </c>
      <c r="P59" s="23" t="s">
        <v>25</v>
      </c>
      <c r="Q59" s="20" t="s">
        <v>28</v>
      </c>
      <c r="R59" s="20"/>
    </row>
    <row r="60" spans="1:18" ht="30" customHeight="1" x14ac:dyDescent="0.25">
      <c r="A60" s="27" t="s">
        <v>39</v>
      </c>
      <c r="B60" s="28">
        <v>220202</v>
      </c>
      <c r="C60" s="29" t="s">
        <v>19</v>
      </c>
      <c r="D60" s="30" t="s">
        <v>202</v>
      </c>
      <c r="E60" s="31" t="s">
        <v>32</v>
      </c>
      <c r="F60" s="31">
        <v>1</v>
      </c>
      <c r="G60" s="32">
        <v>44236</v>
      </c>
      <c r="H60" s="32">
        <v>44236</v>
      </c>
      <c r="I60" s="32"/>
      <c r="J60" s="33"/>
      <c r="K60" s="29" t="s">
        <v>160</v>
      </c>
      <c r="L60" s="34" t="s">
        <v>23</v>
      </c>
      <c r="M60" s="29" t="s">
        <v>24</v>
      </c>
      <c r="N60" s="29"/>
      <c r="O60" s="29" t="s">
        <v>25</v>
      </c>
      <c r="P60" s="33" t="s">
        <v>25</v>
      </c>
      <c r="Q60" s="29" t="s">
        <v>28</v>
      </c>
      <c r="R60" s="29"/>
    </row>
    <row r="61" spans="1:18" ht="30" customHeight="1" x14ac:dyDescent="0.25">
      <c r="A61" s="27" t="s">
        <v>112</v>
      </c>
      <c r="B61" s="28">
        <v>218999</v>
      </c>
      <c r="C61" s="29" t="s">
        <v>19</v>
      </c>
      <c r="D61" s="30" t="s">
        <v>204</v>
      </c>
      <c r="E61" s="31" t="s">
        <v>72</v>
      </c>
      <c r="F61" s="31">
        <v>1</v>
      </c>
      <c r="G61" s="32">
        <v>44230</v>
      </c>
      <c r="H61" s="32">
        <v>44249</v>
      </c>
      <c r="I61" s="32"/>
      <c r="J61" s="33"/>
      <c r="K61" s="29" t="s">
        <v>163</v>
      </c>
      <c r="L61" s="34" t="s">
        <v>23</v>
      </c>
      <c r="M61" s="29" t="s">
        <v>24</v>
      </c>
      <c r="N61" s="29"/>
      <c r="O61" s="29" t="s">
        <v>25</v>
      </c>
      <c r="P61" s="33"/>
      <c r="Q61" s="29" t="s">
        <v>27</v>
      </c>
      <c r="R61" s="29"/>
    </row>
    <row r="62" spans="1:18" ht="30" customHeight="1" x14ac:dyDescent="0.25">
      <c r="A62" s="18" t="s">
        <v>94</v>
      </c>
      <c r="B62" s="26">
        <v>222688</v>
      </c>
      <c r="C62" s="20" t="s">
        <v>63</v>
      </c>
      <c r="D62" s="21" t="s">
        <v>206</v>
      </c>
      <c r="E62" s="19" t="s">
        <v>79</v>
      </c>
      <c r="F62" s="19">
        <v>1</v>
      </c>
      <c r="G62" s="22">
        <v>44249</v>
      </c>
      <c r="H62" s="22">
        <v>44258</v>
      </c>
      <c r="I62" s="22"/>
      <c r="J62" s="23"/>
      <c r="K62" s="20" t="s">
        <v>163</v>
      </c>
      <c r="L62" s="24" t="s">
        <v>41</v>
      </c>
      <c r="M62" s="20" t="s">
        <v>79</v>
      </c>
      <c r="N62" s="20"/>
      <c r="O62" s="20" t="s">
        <v>26</v>
      </c>
      <c r="P62" s="23"/>
      <c r="Q62" s="20" t="s">
        <v>28</v>
      </c>
      <c r="R62" s="20"/>
    </row>
    <row r="63" spans="1:18" ht="30" customHeight="1" x14ac:dyDescent="0.25">
      <c r="A63" s="18" t="s">
        <v>144</v>
      </c>
      <c r="B63" s="26">
        <v>222008</v>
      </c>
      <c r="C63" s="20" t="s">
        <v>19</v>
      </c>
      <c r="D63" s="21" t="s">
        <v>207</v>
      </c>
      <c r="E63" s="19" t="s">
        <v>208</v>
      </c>
      <c r="F63" s="19">
        <v>1</v>
      </c>
      <c r="G63" s="22">
        <v>44245</v>
      </c>
      <c r="H63" s="22">
        <v>44258</v>
      </c>
      <c r="I63" s="22">
        <v>44263</v>
      </c>
      <c r="J63" s="23"/>
      <c r="K63" s="20" t="s">
        <v>195</v>
      </c>
      <c r="L63" s="24" t="s">
        <v>33</v>
      </c>
      <c r="M63" s="20" t="s">
        <v>24</v>
      </c>
      <c r="N63" s="20"/>
      <c r="O63" s="20" t="s">
        <v>25</v>
      </c>
      <c r="P63" s="23"/>
      <c r="Q63" s="20" t="s">
        <v>28</v>
      </c>
      <c r="R63" s="20" t="s">
        <v>28</v>
      </c>
    </row>
    <row r="64" spans="1:18" ht="30" customHeight="1" x14ac:dyDescent="0.25">
      <c r="A64" s="27" t="s">
        <v>144</v>
      </c>
      <c r="B64" s="28">
        <v>222008</v>
      </c>
      <c r="C64" s="29" t="s">
        <v>19</v>
      </c>
      <c r="D64" s="30" t="s">
        <v>207</v>
      </c>
      <c r="E64" s="31" t="s">
        <v>62</v>
      </c>
      <c r="F64" s="31">
        <v>1</v>
      </c>
      <c r="G64" s="32">
        <v>44245</v>
      </c>
      <c r="H64" s="32">
        <v>44258</v>
      </c>
      <c r="I64" s="32">
        <v>44263</v>
      </c>
      <c r="J64" s="33"/>
      <c r="K64" s="29" t="s">
        <v>195</v>
      </c>
      <c r="L64" s="34" t="s">
        <v>33</v>
      </c>
      <c r="M64" s="29" t="s">
        <v>24</v>
      </c>
      <c r="N64" s="29"/>
      <c r="O64" s="29" t="s">
        <v>25</v>
      </c>
      <c r="P64" s="33"/>
      <c r="Q64" s="29" t="s">
        <v>28</v>
      </c>
      <c r="R64" s="29" t="s">
        <v>28</v>
      </c>
    </row>
    <row r="65" spans="1:18" ht="30" customHeight="1" x14ac:dyDescent="0.25">
      <c r="A65" s="27" t="s">
        <v>36</v>
      </c>
      <c r="B65" s="28">
        <v>222168</v>
      </c>
      <c r="C65" s="29" t="s">
        <v>19</v>
      </c>
      <c r="D65" s="30" t="s">
        <v>136</v>
      </c>
      <c r="E65" s="31" t="s">
        <v>72</v>
      </c>
      <c r="F65" s="31">
        <v>1</v>
      </c>
      <c r="G65" s="32">
        <v>44246</v>
      </c>
      <c r="H65" s="32">
        <v>44253</v>
      </c>
      <c r="I65" s="32"/>
      <c r="J65" s="33"/>
      <c r="K65" s="29" t="s">
        <v>163</v>
      </c>
      <c r="L65" s="34" t="s">
        <v>41</v>
      </c>
      <c r="M65" s="29" t="s">
        <v>79</v>
      </c>
      <c r="N65" s="29"/>
      <c r="O65" s="29" t="s">
        <v>26</v>
      </c>
      <c r="P65" s="33"/>
      <c r="Q65" s="29" t="s">
        <v>28</v>
      </c>
      <c r="R65" s="29"/>
    </row>
    <row r="66" spans="1:18" ht="30" customHeight="1" x14ac:dyDescent="0.25">
      <c r="A66" s="18" t="s">
        <v>94</v>
      </c>
      <c r="B66" s="26">
        <v>223995</v>
      </c>
      <c r="C66" s="20" t="s">
        <v>19</v>
      </c>
      <c r="D66" s="21" t="s">
        <v>214</v>
      </c>
      <c r="E66" s="19" t="s">
        <v>34</v>
      </c>
      <c r="F66" s="19">
        <v>1</v>
      </c>
      <c r="G66" s="22">
        <v>44253</v>
      </c>
      <c r="H66" s="22">
        <v>44258</v>
      </c>
      <c r="I66" s="22"/>
      <c r="J66" s="23"/>
      <c r="K66" s="20" t="s">
        <v>160</v>
      </c>
      <c r="L66" s="24" t="s">
        <v>41</v>
      </c>
      <c r="M66" s="20" t="s">
        <v>24</v>
      </c>
      <c r="N66" s="20"/>
      <c r="O66" s="20" t="s">
        <v>26</v>
      </c>
      <c r="P66" s="23"/>
      <c r="Q66" s="20" t="s">
        <v>28</v>
      </c>
      <c r="R66" s="20"/>
    </row>
    <row r="67" spans="1:18" ht="30" customHeight="1" x14ac:dyDescent="0.25">
      <c r="A67" s="27" t="s">
        <v>94</v>
      </c>
      <c r="B67" s="28">
        <v>223995</v>
      </c>
      <c r="C67" s="29" t="s">
        <v>19</v>
      </c>
      <c r="D67" s="30" t="s">
        <v>214</v>
      </c>
      <c r="E67" s="31" t="s">
        <v>32</v>
      </c>
      <c r="F67" s="31">
        <v>1</v>
      </c>
      <c r="G67" s="32">
        <v>44253</v>
      </c>
      <c r="H67" s="32">
        <v>44258</v>
      </c>
      <c r="I67" s="32"/>
      <c r="J67" s="33"/>
      <c r="K67" s="29" t="s">
        <v>160</v>
      </c>
      <c r="L67" s="34" t="s">
        <v>41</v>
      </c>
      <c r="M67" s="29" t="s">
        <v>24</v>
      </c>
      <c r="N67" s="29"/>
      <c r="O67" s="29" t="s">
        <v>26</v>
      </c>
      <c r="P67" s="33"/>
      <c r="Q67" s="29" t="s">
        <v>28</v>
      </c>
      <c r="R67" s="29"/>
    </row>
    <row r="68" spans="1:18" ht="30" customHeight="1" x14ac:dyDescent="0.25">
      <c r="A68" s="27" t="s">
        <v>39</v>
      </c>
      <c r="B68" s="28">
        <v>225198</v>
      </c>
      <c r="C68" s="29" t="s">
        <v>19</v>
      </c>
      <c r="D68" s="30" t="s">
        <v>157</v>
      </c>
      <c r="E68" s="31" t="s">
        <v>34</v>
      </c>
      <c r="F68" s="31">
        <v>1</v>
      </c>
      <c r="G68" s="32">
        <v>44259</v>
      </c>
      <c r="H68" s="32">
        <v>44259</v>
      </c>
      <c r="I68" s="32"/>
      <c r="J68" s="33"/>
      <c r="K68" s="29" t="s">
        <v>160</v>
      </c>
      <c r="L68" s="34" t="s">
        <v>33</v>
      </c>
      <c r="M68" s="29" t="s">
        <v>24</v>
      </c>
      <c r="N68" s="29"/>
      <c r="O68" s="29" t="s">
        <v>26</v>
      </c>
      <c r="P68" s="33"/>
      <c r="Q68" s="29" t="s">
        <v>28</v>
      </c>
      <c r="R68" s="29" t="s">
        <v>28</v>
      </c>
    </row>
    <row r="69" spans="1:18" ht="30" customHeight="1" x14ac:dyDescent="0.25">
      <c r="A69" s="18" t="s">
        <v>76</v>
      </c>
      <c r="B69" s="26">
        <v>226301</v>
      </c>
      <c r="C69" s="20" t="s">
        <v>19</v>
      </c>
      <c r="D69" s="21" t="s">
        <v>235</v>
      </c>
      <c r="E69" s="19" t="s">
        <v>34</v>
      </c>
      <c r="F69" s="19">
        <v>1</v>
      </c>
      <c r="G69" s="22">
        <v>44264</v>
      </c>
      <c r="H69" s="22">
        <v>44267</v>
      </c>
      <c r="I69" s="22"/>
      <c r="J69" s="23"/>
      <c r="K69" s="20" t="s">
        <v>160</v>
      </c>
      <c r="L69" s="24" t="s">
        <v>33</v>
      </c>
      <c r="M69" s="20" t="s">
        <v>24</v>
      </c>
      <c r="N69" s="20"/>
      <c r="O69" s="20" t="s">
        <v>25</v>
      </c>
      <c r="P69" s="23"/>
      <c r="Q69" s="20" t="s">
        <v>28</v>
      </c>
      <c r="R69" s="20"/>
    </row>
    <row r="70" spans="1:18" ht="30" customHeight="1" x14ac:dyDescent="0.25">
      <c r="A70" s="18" t="s">
        <v>76</v>
      </c>
      <c r="B70" s="26">
        <v>226301</v>
      </c>
      <c r="C70" s="20" t="s">
        <v>19</v>
      </c>
      <c r="D70" s="21" t="s">
        <v>235</v>
      </c>
      <c r="E70" s="19" t="s">
        <v>48</v>
      </c>
      <c r="F70" s="19">
        <v>1</v>
      </c>
      <c r="G70" s="22">
        <v>44264</v>
      </c>
      <c r="H70" s="22">
        <v>44267</v>
      </c>
      <c r="I70" s="22"/>
      <c r="J70" s="23"/>
      <c r="K70" s="20" t="s">
        <v>160</v>
      </c>
      <c r="L70" s="24" t="s">
        <v>33</v>
      </c>
      <c r="M70" s="20" t="s">
        <v>24</v>
      </c>
      <c r="N70" s="20"/>
      <c r="O70" s="20" t="s">
        <v>25</v>
      </c>
      <c r="P70" s="23"/>
      <c r="Q70" s="20" t="s">
        <v>28</v>
      </c>
      <c r="R70" s="20"/>
    </row>
    <row r="71" spans="1:18" ht="30" customHeight="1" x14ac:dyDescent="0.25">
      <c r="A71" s="18" t="s">
        <v>76</v>
      </c>
      <c r="B71" s="26">
        <v>226301</v>
      </c>
      <c r="C71" s="20" t="s">
        <v>19</v>
      </c>
      <c r="D71" s="21" t="s">
        <v>235</v>
      </c>
      <c r="E71" s="19" t="s">
        <v>32</v>
      </c>
      <c r="F71" s="19">
        <v>1</v>
      </c>
      <c r="G71" s="22">
        <v>44264</v>
      </c>
      <c r="H71" s="22">
        <v>44267</v>
      </c>
      <c r="I71" s="22"/>
      <c r="J71" s="23"/>
      <c r="K71" s="20" t="s">
        <v>160</v>
      </c>
      <c r="L71" s="24" t="s">
        <v>33</v>
      </c>
      <c r="M71" s="20" t="s">
        <v>24</v>
      </c>
      <c r="N71" s="20"/>
      <c r="O71" s="20" t="s">
        <v>25</v>
      </c>
      <c r="P71" s="23"/>
      <c r="Q71" s="20" t="s">
        <v>28</v>
      </c>
      <c r="R71" s="20"/>
    </row>
    <row r="72" spans="1:18" ht="30" customHeight="1" x14ac:dyDescent="0.25">
      <c r="A72" s="18" t="s">
        <v>76</v>
      </c>
      <c r="B72" s="26">
        <v>226301</v>
      </c>
      <c r="C72" s="20" t="s">
        <v>19</v>
      </c>
      <c r="D72" s="21" t="s">
        <v>235</v>
      </c>
      <c r="E72" s="19" t="s">
        <v>38</v>
      </c>
      <c r="F72" s="19">
        <v>1</v>
      </c>
      <c r="G72" s="22">
        <v>44264</v>
      </c>
      <c r="H72" s="22">
        <v>44267</v>
      </c>
      <c r="I72" s="22"/>
      <c r="J72" s="23"/>
      <c r="K72" s="20" t="s">
        <v>160</v>
      </c>
      <c r="L72" s="24" t="s">
        <v>33</v>
      </c>
      <c r="M72" s="20" t="s">
        <v>24</v>
      </c>
      <c r="N72" s="20"/>
      <c r="O72" s="20" t="s">
        <v>25</v>
      </c>
      <c r="P72" s="23"/>
      <c r="Q72" s="20" t="s">
        <v>28</v>
      </c>
      <c r="R72" s="20"/>
    </row>
    <row r="73" spans="1:18" ht="30" customHeight="1" x14ac:dyDescent="0.25">
      <c r="A73" s="27" t="s">
        <v>76</v>
      </c>
      <c r="B73" s="28">
        <v>226301</v>
      </c>
      <c r="C73" s="29" t="s">
        <v>19</v>
      </c>
      <c r="D73" s="30" t="s">
        <v>235</v>
      </c>
      <c r="E73" s="31" t="s">
        <v>44</v>
      </c>
      <c r="F73" s="31">
        <v>1</v>
      </c>
      <c r="G73" s="32">
        <v>44264</v>
      </c>
      <c r="H73" s="32">
        <v>44267</v>
      </c>
      <c r="I73" s="32"/>
      <c r="J73" s="33"/>
      <c r="K73" s="29" t="s">
        <v>160</v>
      </c>
      <c r="L73" s="34" t="s">
        <v>33</v>
      </c>
      <c r="M73" s="29" t="s">
        <v>24</v>
      </c>
      <c r="N73" s="29"/>
      <c r="O73" s="29" t="s">
        <v>25</v>
      </c>
      <c r="P73" s="33"/>
      <c r="Q73" s="29" t="s">
        <v>28</v>
      </c>
      <c r="R73" s="29"/>
    </row>
    <row r="74" spans="1:18" ht="30" customHeight="1" x14ac:dyDescent="0.25">
      <c r="A74" s="18" t="s">
        <v>46</v>
      </c>
      <c r="B74" s="26">
        <v>226595</v>
      </c>
      <c r="C74" s="20" t="s">
        <v>30</v>
      </c>
      <c r="D74" s="21" t="s">
        <v>239</v>
      </c>
      <c r="E74" s="19" t="s">
        <v>34</v>
      </c>
      <c r="F74" s="19">
        <v>1</v>
      </c>
      <c r="G74" s="22">
        <v>44265</v>
      </c>
      <c r="H74" s="22">
        <v>44272</v>
      </c>
      <c r="I74" s="22">
        <v>44274</v>
      </c>
      <c r="J74" s="23"/>
      <c r="K74" s="20" t="s">
        <v>160</v>
      </c>
      <c r="L74" s="24" t="s">
        <v>41</v>
      </c>
      <c r="M74" s="20" t="s">
        <v>24</v>
      </c>
      <c r="N74" s="20"/>
      <c r="O74" s="20" t="s">
        <v>26</v>
      </c>
      <c r="P74" s="23"/>
      <c r="Q74" s="20" t="s">
        <v>27</v>
      </c>
      <c r="R74" s="20"/>
    </row>
    <row r="75" spans="1:18" ht="30" customHeight="1" x14ac:dyDescent="0.25">
      <c r="A75" s="18" t="s">
        <v>54</v>
      </c>
      <c r="B75" s="26">
        <v>226994</v>
      </c>
      <c r="C75" s="20" t="s">
        <v>19</v>
      </c>
      <c r="D75" s="21" t="s">
        <v>240</v>
      </c>
      <c r="E75" s="19" t="s">
        <v>32</v>
      </c>
      <c r="F75" s="19">
        <v>9</v>
      </c>
      <c r="G75" s="22">
        <v>44267</v>
      </c>
      <c r="H75" s="22">
        <v>44274</v>
      </c>
      <c r="I75" s="22"/>
      <c r="J75" s="23"/>
      <c r="K75" s="20" t="s">
        <v>160</v>
      </c>
      <c r="L75" s="24" t="s">
        <v>33</v>
      </c>
      <c r="M75" s="20" t="s">
        <v>24</v>
      </c>
      <c r="N75" s="20"/>
      <c r="O75" s="20" t="s">
        <v>25</v>
      </c>
      <c r="P75" s="23" t="s">
        <v>25</v>
      </c>
      <c r="Q75" s="20" t="s">
        <v>28</v>
      </c>
      <c r="R75" s="20"/>
    </row>
    <row r="76" spans="1:18" ht="30" customHeight="1" x14ac:dyDescent="0.25">
      <c r="A76" s="18" t="s">
        <v>54</v>
      </c>
      <c r="B76" s="26">
        <v>226994</v>
      </c>
      <c r="C76" s="20" t="s">
        <v>19</v>
      </c>
      <c r="D76" s="21" t="s">
        <v>240</v>
      </c>
      <c r="E76" s="19" t="s">
        <v>93</v>
      </c>
      <c r="F76" s="19">
        <v>9</v>
      </c>
      <c r="G76" s="22">
        <v>44267</v>
      </c>
      <c r="H76" s="22">
        <v>44274</v>
      </c>
      <c r="I76" s="22"/>
      <c r="J76" s="23"/>
      <c r="K76" s="20" t="s">
        <v>160</v>
      </c>
      <c r="L76" s="24" t="s">
        <v>33</v>
      </c>
      <c r="M76" s="20" t="s">
        <v>24</v>
      </c>
      <c r="N76" s="20"/>
      <c r="O76" s="20" t="s">
        <v>25</v>
      </c>
      <c r="P76" s="23" t="s">
        <v>25</v>
      </c>
      <c r="Q76" s="20" t="s">
        <v>28</v>
      </c>
      <c r="R76" s="20"/>
    </row>
    <row r="77" spans="1:18" ht="30" customHeight="1" x14ac:dyDescent="0.25">
      <c r="A77" s="18" t="s">
        <v>54</v>
      </c>
      <c r="B77" s="26">
        <v>226994</v>
      </c>
      <c r="C77" s="20" t="s">
        <v>19</v>
      </c>
      <c r="D77" s="21" t="s">
        <v>240</v>
      </c>
      <c r="E77" s="19" t="s">
        <v>34</v>
      </c>
      <c r="F77" s="19">
        <v>9</v>
      </c>
      <c r="G77" s="22">
        <v>44267</v>
      </c>
      <c r="H77" s="22">
        <v>44274</v>
      </c>
      <c r="I77" s="22"/>
      <c r="J77" s="23"/>
      <c r="K77" s="20" t="s">
        <v>160</v>
      </c>
      <c r="L77" s="24" t="s">
        <v>33</v>
      </c>
      <c r="M77" s="20" t="s">
        <v>24</v>
      </c>
      <c r="N77" s="20"/>
      <c r="O77" s="20" t="s">
        <v>25</v>
      </c>
      <c r="P77" s="23" t="s">
        <v>25</v>
      </c>
      <c r="Q77" s="20" t="s">
        <v>28</v>
      </c>
      <c r="R77" s="20"/>
    </row>
    <row r="78" spans="1:18" ht="30" customHeight="1" x14ac:dyDescent="0.25">
      <c r="A78" s="27" t="s">
        <v>54</v>
      </c>
      <c r="B78" s="28">
        <v>226994</v>
      </c>
      <c r="C78" s="29" t="s">
        <v>19</v>
      </c>
      <c r="D78" s="30" t="s">
        <v>240</v>
      </c>
      <c r="E78" s="31" t="s">
        <v>35</v>
      </c>
      <c r="F78" s="31">
        <v>30</v>
      </c>
      <c r="G78" s="32">
        <v>44267</v>
      </c>
      <c r="H78" s="32">
        <v>44274</v>
      </c>
      <c r="I78" s="32"/>
      <c r="J78" s="33"/>
      <c r="K78" s="29" t="s">
        <v>160</v>
      </c>
      <c r="L78" s="34" t="s">
        <v>33</v>
      </c>
      <c r="M78" s="29" t="s">
        <v>24</v>
      </c>
      <c r="N78" s="29"/>
      <c r="O78" s="29" t="s">
        <v>25</v>
      </c>
      <c r="P78" s="33" t="s">
        <v>25</v>
      </c>
      <c r="Q78" s="29" t="s">
        <v>28</v>
      </c>
      <c r="R78" s="29"/>
    </row>
    <row r="79" spans="1:18" ht="30" customHeight="1" x14ac:dyDescent="0.25">
      <c r="A79" s="18" t="s">
        <v>29</v>
      </c>
      <c r="B79" s="26">
        <v>224197</v>
      </c>
      <c r="C79" s="20" t="s">
        <v>63</v>
      </c>
      <c r="D79" s="21" t="s">
        <v>244</v>
      </c>
      <c r="E79" s="19" t="s">
        <v>79</v>
      </c>
      <c r="F79" s="19">
        <v>1</v>
      </c>
      <c r="G79" s="22">
        <v>44256</v>
      </c>
      <c r="H79" s="22">
        <v>44274</v>
      </c>
      <c r="I79" s="22"/>
      <c r="J79" s="23"/>
      <c r="K79" s="20" t="s">
        <v>163</v>
      </c>
      <c r="L79" s="24" t="s">
        <v>41</v>
      </c>
      <c r="M79" s="20" t="s">
        <v>24</v>
      </c>
      <c r="N79" s="20"/>
      <c r="O79" s="20" t="s">
        <v>26</v>
      </c>
      <c r="P79" s="23"/>
      <c r="Q79" s="20" t="s">
        <v>28</v>
      </c>
      <c r="R79" s="20"/>
    </row>
    <row r="80" spans="1:18" ht="30" customHeight="1" x14ac:dyDescent="0.25">
      <c r="A80" s="27" t="s">
        <v>67</v>
      </c>
      <c r="B80" s="28">
        <v>227517</v>
      </c>
      <c r="C80" s="29" t="s">
        <v>30</v>
      </c>
      <c r="D80" s="30" t="s">
        <v>245</v>
      </c>
      <c r="E80" s="31" t="s">
        <v>105</v>
      </c>
      <c r="F80" s="31">
        <v>1</v>
      </c>
      <c r="G80" s="32">
        <v>44270</v>
      </c>
      <c r="H80" s="32">
        <v>44284</v>
      </c>
      <c r="I80" s="32"/>
      <c r="J80" s="33" t="s">
        <v>410</v>
      </c>
      <c r="K80" s="29" t="s">
        <v>163</v>
      </c>
      <c r="L80" s="34" t="s">
        <v>33</v>
      </c>
      <c r="M80" s="29" t="s">
        <v>24</v>
      </c>
      <c r="N80" s="29"/>
      <c r="O80" s="29" t="s">
        <v>26</v>
      </c>
      <c r="P80" s="33"/>
      <c r="Q80" s="29" t="s">
        <v>27</v>
      </c>
      <c r="R80" s="29"/>
    </row>
    <row r="81" spans="1:18" ht="30" customHeight="1" x14ac:dyDescent="0.25">
      <c r="A81" s="27" t="s">
        <v>94</v>
      </c>
      <c r="B81" s="28">
        <v>228081</v>
      </c>
      <c r="C81" s="29" t="s">
        <v>19</v>
      </c>
      <c r="D81" s="30" t="s">
        <v>246</v>
      </c>
      <c r="E81" s="31" t="s">
        <v>34</v>
      </c>
      <c r="F81" s="31">
        <v>1</v>
      </c>
      <c r="G81" s="32">
        <v>44272</v>
      </c>
      <c r="H81" s="32">
        <v>44273</v>
      </c>
      <c r="I81" s="32"/>
      <c r="J81" s="33"/>
      <c r="K81" s="29" t="s">
        <v>160</v>
      </c>
      <c r="L81" s="34" t="s">
        <v>33</v>
      </c>
      <c r="M81" s="29" t="s">
        <v>24</v>
      </c>
      <c r="N81" s="29"/>
      <c r="O81" s="29" t="s">
        <v>25</v>
      </c>
      <c r="P81" s="33"/>
      <c r="Q81" s="29" t="s">
        <v>27</v>
      </c>
      <c r="R81" s="29"/>
    </row>
    <row r="82" spans="1:18" ht="30" customHeight="1" x14ac:dyDescent="0.25">
      <c r="A82" s="27" t="s">
        <v>39</v>
      </c>
      <c r="B82" s="28">
        <v>228488</v>
      </c>
      <c r="C82" s="29" t="s">
        <v>19</v>
      </c>
      <c r="D82" s="30" t="s">
        <v>248</v>
      </c>
      <c r="E82" s="31" t="s">
        <v>208</v>
      </c>
      <c r="F82" s="31">
        <v>6</v>
      </c>
      <c r="G82" s="32">
        <v>44273</v>
      </c>
      <c r="H82" s="32">
        <v>44277</v>
      </c>
      <c r="I82" s="32"/>
      <c r="J82" s="33"/>
      <c r="K82" s="29" t="s">
        <v>160</v>
      </c>
      <c r="L82" s="34" t="s">
        <v>41</v>
      </c>
      <c r="M82" s="29" t="s">
        <v>24</v>
      </c>
      <c r="N82" s="29">
        <v>1</v>
      </c>
      <c r="O82" s="29" t="s">
        <v>26</v>
      </c>
      <c r="P82" s="33"/>
      <c r="Q82" s="29" t="s">
        <v>28</v>
      </c>
      <c r="R82" s="29"/>
    </row>
    <row r="83" spans="1:18" ht="30" customHeight="1" x14ac:dyDescent="0.25">
      <c r="A83" s="18" t="s">
        <v>36</v>
      </c>
      <c r="B83" s="26">
        <v>227874</v>
      </c>
      <c r="C83" s="20" t="s">
        <v>19</v>
      </c>
      <c r="D83" s="21" t="s">
        <v>250</v>
      </c>
      <c r="E83" s="19" t="s">
        <v>34</v>
      </c>
      <c r="F83" s="19">
        <v>2</v>
      </c>
      <c r="G83" s="22">
        <v>44271</v>
      </c>
      <c r="H83" s="22">
        <v>44280</v>
      </c>
      <c r="I83" s="22"/>
      <c r="J83" s="23"/>
      <c r="K83" s="20" t="s">
        <v>160</v>
      </c>
      <c r="L83" s="24" t="s">
        <v>41</v>
      </c>
      <c r="M83" s="20" t="s">
        <v>24</v>
      </c>
      <c r="N83" s="20">
        <v>1</v>
      </c>
      <c r="O83" s="20" t="s">
        <v>25</v>
      </c>
      <c r="P83" s="23"/>
      <c r="Q83" s="20" t="s">
        <v>27</v>
      </c>
      <c r="R83" s="20" t="s">
        <v>53</v>
      </c>
    </row>
    <row r="84" spans="1:18" ht="30" customHeight="1" x14ac:dyDescent="0.25">
      <c r="A84" s="18" t="s">
        <v>36</v>
      </c>
      <c r="B84" s="26">
        <v>227874</v>
      </c>
      <c r="C84" s="20" t="s">
        <v>19</v>
      </c>
      <c r="D84" s="21" t="s">
        <v>250</v>
      </c>
      <c r="E84" s="19" t="s">
        <v>48</v>
      </c>
      <c r="F84" s="19">
        <v>2</v>
      </c>
      <c r="G84" s="22">
        <v>44271</v>
      </c>
      <c r="H84" s="22">
        <v>44280</v>
      </c>
      <c r="I84" s="22"/>
      <c r="J84" s="23"/>
      <c r="K84" s="20" t="s">
        <v>160</v>
      </c>
      <c r="L84" s="24" t="s">
        <v>41</v>
      </c>
      <c r="M84" s="20" t="s">
        <v>24</v>
      </c>
      <c r="N84" s="20"/>
      <c r="O84" s="20" t="s">
        <v>25</v>
      </c>
      <c r="P84" s="23"/>
      <c r="Q84" s="20" t="s">
        <v>27</v>
      </c>
      <c r="R84" s="20" t="s">
        <v>53</v>
      </c>
    </row>
    <row r="85" spans="1:18" ht="30" customHeight="1" x14ac:dyDescent="0.25">
      <c r="A85" s="18" t="s">
        <v>36</v>
      </c>
      <c r="B85" s="26">
        <v>227874</v>
      </c>
      <c r="C85" s="20" t="s">
        <v>19</v>
      </c>
      <c r="D85" s="21" t="s">
        <v>250</v>
      </c>
      <c r="E85" s="19" t="s">
        <v>92</v>
      </c>
      <c r="F85" s="19">
        <v>2</v>
      </c>
      <c r="G85" s="22">
        <v>44271</v>
      </c>
      <c r="H85" s="22">
        <v>44280</v>
      </c>
      <c r="I85" s="22"/>
      <c r="J85" s="23"/>
      <c r="K85" s="20" t="s">
        <v>160</v>
      </c>
      <c r="L85" s="24" t="s">
        <v>41</v>
      </c>
      <c r="M85" s="20" t="s">
        <v>24</v>
      </c>
      <c r="N85" s="20">
        <v>1</v>
      </c>
      <c r="O85" s="20" t="s">
        <v>25</v>
      </c>
      <c r="P85" s="23"/>
      <c r="Q85" s="20" t="s">
        <v>27</v>
      </c>
      <c r="R85" s="20" t="s">
        <v>53</v>
      </c>
    </row>
    <row r="86" spans="1:18" ht="30" customHeight="1" x14ac:dyDescent="0.25">
      <c r="A86" s="18" t="s">
        <v>54</v>
      </c>
      <c r="B86" s="26">
        <v>228924</v>
      </c>
      <c r="C86" s="20" t="s">
        <v>19</v>
      </c>
      <c r="D86" s="21" t="s">
        <v>251</v>
      </c>
      <c r="E86" s="19" t="s">
        <v>72</v>
      </c>
      <c r="F86" s="19">
        <v>1</v>
      </c>
      <c r="G86" s="22">
        <v>44277</v>
      </c>
      <c r="H86" s="22">
        <v>44277</v>
      </c>
      <c r="I86" s="22"/>
      <c r="J86" s="23"/>
      <c r="K86" s="20" t="s">
        <v>160</v>
      </c>
      <c r="L86" s="24" t="s">
        <v>57</v>
      </c>
      <c r="M86" s="20" t="s">
        <v>24</v>
      </c>
      <c r="N86" s="20"/>
      <c r="O86" s="20" t="s">
        <v>25</v>
      </c>
      <c r="P86" s="23"/>
      <c r="Q86" s="20" t="s">
        <v>53</v>
      </c>
      <c r="R86" s="20" t="s">
        <v>27</v>
      </c>
    </row>
    <row r="87" spans="1:18" ht="30" customHeight="1" x14ac:dyDescent="0.25">
      <c r="A87" s="18" t="s">
        <v>29</v>
      </c>
      <c r="B87" s="26">
        <v>228902</v>
      </c>
      <c r="C87" s="20" t="s">
        <v>19</v>
      </c>
      <c r="D87" s="21" t="s">
        <v>104</v>
      </c>
      <c r="E87" s="19" t="s">
        <v>72</v>
      </c>
      <c r="F87" s="19">
        <v>1</v>
      </c>
      <c r="G87" s="22">
        <v>44277</v>
      </c>
      <c r="H87" s="22">
        <v>44279</v>
      </c>
      <c r="I87" s="22"/>
      <c r="J87" s="23"/>
      <c r="K87" s="20" t="s">
        <v>163</v>
      </c>
      <c r="L87" s="24" t="s">
        <v>57</v>
      </c>
      <c r="M87" s="20" t="s">
        <v>24</v>
      </c>
      <c r="N87" s="20"/>
      <c r="O87" s="20" t="s">
        <v>25</v>
      </c>
      <c r="P87" s="23"/>
      <c r="Q87" s="20" t="s">
        <v>28</v>
      </c>
      <c r="R87" s="20"/>
    </row>
    <row r="88" spans="1:18" ht="30" customHeight="1" x14ac:dyDescent="0.25">
      <c r="A88" s="18" t="s">
        <v>29</v>
      </c>
      <c r="B88" s="26">
        <v>228546</v>
      </c>
      <c r="C88" s="20" t="s">
        <v>30</v>
      </c>
      <c r="D88" s="21" t="s">
        <v>252</v>
      </c>
      <c r="E88" s="19" t="s">
        <v>43</v>
      </c>
      <c r="F88" s="19">
        <v>2</v>
      </c>
      <c r="G88" s="22">
        <v>44273</v>
      </c>
      <c r="H88" s="22">
        <v>44279</v>
      </c>
      <c r="I88" s="22">
        <v>44279</v>
      </c>
      <c r="J88" s="23"/>
      <c r="K88" s="20" t="s">
        <v>160</v>
      </c>
      <c r="L88" s="24" t="s">
        <v>33</v>
      </c>
      <c r="M88" s="20" t="s">
        <v>24</v>
      </c>
      <c r="N88" s="20"/>
      <c r="O88" s="20" t="s">
        <v>25</v>
      </c>
      <c r="P88" s="23"/>
      <c r="Q88" s="20" t="s">
        <v>28</v>
      </c>
      <c r="R88" s="20"/>
    </row>
    <row r="89" spans="1:18" ht="30" customHeight="1" x14ac:dyDescent="0.25">
      <c r="A89" s="18" t="s">
        <v>144</v>
      </c>
      <c r="B89" s="26">
        <v>228024</v>
      </c>
      <c r="C89" s="20" t="s">
        <v>19</v>
      </c>
      <c r="D89" s="21" t="s">
        <v>253</v>
      </c>
      <c r="E89" s="19" t="s">
        <v>32</v>
      </c>
      <c r="F89" s="19">
        <v>1</v>
      </c>
      <c r="G89" s="22">
        <v>44272</v>
      </c>
      <c r="H89" s="22">
        <v>44285</v>
      </c>
      <c r="I89" s="22"/>
      <c r="J89" s="23"/>
      <c r="K89" s="20" t="s">
        <v>160</v>
      </c>
      <c r="L89" s="24" t="s">
        <v>41</v>
      </c>
      <c r="M89" s="20" t="s">
        <v>24</v>
      </c>
      <c r="N89" s="20"/>
      <c r="O89" s="20" t="s">
        <v>26</v>
      </c>
      <c r="P89" s="23"/>
      <c r="Q89" s="20" t="s">
        <v>28</v>
      </c>
      <c r="R89" s="20"/>
    </row>
    <row r="90" spans="1:18" ht="30" customHeight="1" x14ac:dyDescent="0.25">
      <c r="A90" s="18" t="s">
        <v>144</v>
      </c>
      <c r="B90" s="26">
        <v>228024</v>
      </c>
      <c r="C90" s="20" t="s">
        <v>19</v>
      </c>
      <c r="D90" s="21" t="s">
        <v>253</v>
      </c>
      <c r="E90" s="19" t="s">
        <v>48</v>
      </c>
      <c r="F90" s="19">
        <v>1</v>
      </c>
      <c r="G90" s="22">
        <v>44272</v>
      </c>
      <c r="H90" s="22">
        <v>44285</v>
      </c>
      <c r="I90" s="22"/>
      <c r="J90" s="23"/>
      <c r="K90" s="20" t="s">
        <v>160</v>
      </c>
      <c r="L90" s="24" t="s">
        <v>41</v>
      </c>
      <c r="M90" s="20" t="s">
        <v>24</v>
      </c>
      <c r="N90" s="20"/>
      <c r="O90" s="20" t="s">
        <v>26</v>
      </c>
      <c r="P90" s="23"/>
      <c r="Q90" s="20" t="s">
        <v>28</v>
      </c>
      <c r="R90" s="20"/>
    </row>
    <row r="91" spans="1:18" ht="30" customHeight="1" x14ac:dyDescent="0.25">
      <c r="A91" s="18" t="s">
        <v>144</v>
      </c>
      <c r="B91" s="26">
        <v>228024</v>
      </c>
      <c r="C91" s="20" t="s">
        <v>19</v>
      </c>
      <c r="D91" s="21" t="s">
        <v>253</v>
      </c>
      <c r="E91" s="19" t="s">
        <v>35</v>
      </c>
      <c r="F91" s="19">
        <v>4</v>
      </c>
      <c r="G91" s="22">
        <v>44272</v>
      </c>
      <c r="H91" s="22">
        <v>44285</v>
      </c>
      <c r="I91" s="22"/>
      <c r="J91" s="23"/>
      <c r="K91" s="20" t="s">
        <v>160</v>
      </c>
      <c r="L91" s="24" t="s">
        <v>41</v>
      </c>
      <c r="M91" s="20" t="s">
        <v>24</v>
      </c>
      <c r="N91" s="20"/>
      <c r="O91" s="20" t="s">
        <v>26</v>
      </c>
      <c r="P91" s="23"/>
      <c r="Q91" s="20" t="s">
        <v>28</v>
      </c>
      <c r="R91" s="20"/>
    </row>
    <row r="92" spans="1:18" ht="30" customHeight="1" x14ac:dyDescent="0.25">
      <c r="A92" s="18" t="s">
        <v>144</v>
      </c>
      <c r="B92" s="26">
        <v>228024</v>
      </c>
      <c r="C92" s="20" t="s">
        <v>19</v>
      </c>
      <c r="D92" s="21" t="s">
        <v>253</v>
      </c>
      <c r="E92" s="19" t="s">
        <v>92</v>
      </c>
      <c r="F92" s="19">
        <v>1</v>
      </c>
      <c r="G92" s="22">
        <v>44272</v>
      </c>
      <c r="H92" s="22">
        <v>44285</v>
      </c>
      <c r="I92" s="22"/>
      <c r="J92" s="23"/>
      <c r="K92" s="20" t="s">
        <v>160</v>
      </c>
      <c r="L92" s="24" t="s">
        <v>41</v>
      </c>
      <c r="M92" s="20" t="s">
        <v>24</v>
      </c>
      <c r="N92" s="20"/>
      <c r="O92" s="20" t="s">
        <v>26</v>
      </c>
      <c r="P92" s="23"/>
      <c r="Q92" s="20" t="s">
        <v>28</v>
      </c>
      <c r="R92" s="20"/>
    </row>
    <row r="93" spans="1:18" ht="30" customHeight="1" x14ac:dyDescent="0.25">
      <c r="A93" s="18" t="s">
        <v>254</v>
      </c>
      <c r="B93" s="26">
        <v>227457</v>
      </c>
      <c r="C93" s="20" t="s">
        <v>19</v>
      </c>
      <c r="D93" s="21" t="s">
        <v>255</v>
      </c>
      <c r="E93" s="19" t="s">
        <v>21</v>
      </c>
      <c r="F93" s="19">
        <v>4</v>
      </c>
      <c r="G93" s="22">
        <v>44270</v>
      </c>
      <c r="H93" s="22">
        <v>44278</v>
      </c>
      <c r="I93" s="22"/>
      <c r="J93" s="23"/>
      <c r="K93" s="20" t="s">
        <v>160</v>
      </c>
      <c r="L93" s="24" t="s">
        <v>33</v>
      </c>
      <c r="M93" s="20" t="s">
        <v>24</v>
      </c>
      <c r="N93" s="20"/>
      <c r="O93" s="20" t="s">
        <v>25</v>
      </c>
      <c r="P93" s="23"/>
      <c r="Q93" s="20" t="s">
        <v>28</v>
      </c>
      <c r="R93" s="20"/>
    </row>
    <row r="94" spans="1:18" ht="30" customHeight="1" x14ac:dyDescent="0.25">
      <c r="A94" s="18" t="s">
        <v>67</v>
      </c>
      <c r="B94" s="26">
        <v>229448</v>
      </c>
      <c r="C94" s="20" t="s">
        <v>19</v>
      </c>
      <c r="D94" s="21" t="s">
        <v>256</v>
      </c>
      <c r="E94" s="19" t="s">
        <v>32</v>
      </c>
      <c r="F94" s="19">
        <v>1</v>
      </c>
      <c r="G94" s="22">
        <v>44278</v>
      </c>
      <c r="H94" s="22">
        <v>44278</v>
      </c>
      <c r="I94" s="22"/>
      <c r="J94" s="23"/>
      <c r="K94" s="20" t="s">
        <v>160</v>
      </c>
      <c r="L94" s="24" t="s">
        <v>33</v>
      </c>
      <c r="M94" s="20" t="s">
        <v>24</v>
      </c>
      <c r="N94" s="20"/>
      <c r="O94" s="20" t="s">
        <v>25</v>
      </c>
      <c r="P94" s="23"/>
      <c r="Q94" s="20" t="s">
        <v>28</v>
      </c>
      <c r="R94" s="20" t="s">
        <v>28</v>
      </c>
    </row>
    <row r="95" spans="1:18" ht="30" customHeight="1" x14ac:dyDescent="0.25">
      <c r="A95" s="18" t="s">
        <v>46</v>
      </c>
      <c r="B95" s="26">
        <v>227888</v>
      </c>
      <c r="C95" s="20" t="s">
        <v>30</v>
      </c>
      <c r="D95" s="21" t="s">
        <v>257</v>
      </c>
      <c r="E95" s="19" t="s">
        <v>34</v>
      </c>
      <c r="F95" s="19">
        <v>1</v>
      </c>
      <c r="G95" s="22">
        <v>44271</v>
      </c>
      <c r="H95" s="22">
        <v>44279</v>
      </c>
      <c r="I95" s="22">
        <v>44279</v>
      </c>
      <c r="J95" s="23"/>
      <c r="K95" s="20" t="s">
        <v>160</v>
      </c>
      <c r="L95" s="24" t="s">
        <v>33</v>
      </c>
      <c r="M95" s="20" t="s">
        <v>24</v>
      </c>
      <c r="N95" s="20"/>
      <c r="O95" s="20" t="s">
        <v>25</v>
      </c>
      <c r="P95" s="23"/>
      <c r="Q95" s="20" t="s">
        <v>27</v>
      </c>
      <c r="R95" s="20"/>
    </row>
    <row r="96" spans="1:18" ht="30" customHeight="1" x14ac:dyDescent="0.25">
      <c r="A96" s="18" t="s">
        <v>144</v>
      </c>
      <c r="B96" s="26">
        <v>227710</v>
      </c>
      <c r="C96" s="20" t="s">
        <v>30</v>
      </c>
      <c r="D96" s="21" t="s">
        <v>258</v>
      </c>
      <c r="E96" s="19" t="s">
        <v>208</v>
      </c>
      <c r="F96" s="19">
        <v>1</v>
      </c>
      <c r="G96" s="22">
        <v>44271</v>
      </c>
      <c r="H96" s="22">
        <v>44280</v>
      </c>
      <c r="I96" s="22"/>
      <c r="J96" s="23"/>
      <c r="K96" s="20" t="s">
        <v>163</v>
      </c>
      <c r="L96" s="24" t="s">
        <v>33</v>
      </c>
      <c r="M96" s="20" t="s">
        <v>24</v>
      </c>
      <c r="N96" s="20"/>
      <c r="O96" s="20" t="s">
        <v>25</v>
      </c>
      <c r="P96" s="23"/>
      <c r="Q96" s="20" t="s">
        <v>28</v>
      </c>
      <c r="R96" s="20"/>
    </row>
    <row r="97" spans="1:18" ht="30" customHeight="1" x14ac:dyDescent="0.25">
      <c r="A97" s="18" t="s">
        <v>36</v>
      </c>
      <c r="B97" s="26">
        <v>227568</v>
      </c>
      <c r="C97" s="20" t="s">
        <v>19</v>
      </c>
      <c r="D97" s="21" t="s">
        <v>259</v>
      </c>
      <c r="E97" s="19" t="s">
        <v>82</v>
      </c>
      <c r="F97" s="19">
        <v>1</v>
      </c>
      <c r="G97" s="22">
        <v>44271</v>
      </c>
      <c r="H97" s="22">
        <v>44280</v>
      </c>
      <c r="I97" s="22"/>
      <c r="J97" s="23"/>
      <c r="K97" s="20" t="s">
        <v>160</v>
      </c>
      <c r="L97" s="24" t="s">
        <v>41</v>
      </c>
      <c r="M97" s="20" t="s">
        <v>24</v>
      </c>
      <c r="N97" s="20"/>
      <c r="O97" s="20" t="s">
        <v>26</v>
      </c>
      <c r="P97" s="23"/>
      <c r="Q97" s="20" t="s">
        <v>28</v>
      </c>
      <c r="R97" s="20"/>
    </row>
    <row r="98" spans="1:18" ht="30" customHeight="1" x14ac:dyDescent="0.25">
      <c r="A98" s="27" t="s">
        <v>29</v>
      </c>
      <c r="B98" s="28">
        <v>229524</v>
      </c>
      <c r="C98" s="29" t="s">
        <v>30</v>
      </c>
      <c r="D98" s="30" t="s">
        <v>260</v>
      </c>
      <c r="E98" s="31" t="s">
        <v>72</v>
      </c>
      <c r="F98" s="31">
        <v>1</v>
      </c>
      <c r="G98" s="32">
        <v>44279</v>
      </c>
      <c r="H98" s="32">
        <v>44280</v>
      </c>
      <c r="I98" s="32"/>
      <c r="J98" s="33"/>
      <c r="K98" s="29" t="s">
        <v>163</v>
      </c>
      <c r="L98" s="34" t="s">
        <v>33</v>
      </c>
      <c r="M98" s="29" t="s">
        <v>24</v>
      </c>
      <c r="N98" s="29"/>
      <c r="O98" s="29" t="s">
        <v>25</v>
      </c>
      <c r="P98" s="33"/>
      <c r="Q98" s="29" t="s">
        <v>28</v>
      </c>
      <c r="R98" s="29"/>
    </row>
    <row r="99" spans="1:18" ht="30" customHeight="1" x14ac:dyDescent="0.25">
      <c r="A99" s="27" t="s">
        <v>29</v>
      </c>
      <c r="B99" s="28">
        <v>229051</v>
      </c>
      <c r="C99" s="29" t="s">
        <v>19</v>
      </c>
      <c r="D99" s="30" t="s">
        <v>263</v>
      </c>
      <c r="E99" s="31" t="s">
        <v>79</v>
      </c>
      <c r="F99" s="31">
        <v>10</v>
      </c>
      <c r="G99" s="32">
        <v>44277</v>
      </c>
      <c r="H99" s="32">
        <v>44281</v>
      </c>
      <c r="I99" s="32"/>
      <c r="J99" s="33"/>
      <c r="K99" s="29" t="s">
        <v>160</v>
      </c>
      <c r="L99" s="34" t="s">
        <v>57</v>
      </c>
      <c r="M99" s="29" t="s">
        <v>24</v>
      </c>
      <c r="N99" s="29"/>
      <c r="O99" s="29" t="s">
        <v>25</v>
      </c>
      <c r="P99" s="33"/>
      <c r="Q99" s="29" t="s">
        <v>28</v>
      </c>
      <c r="R99" s="29"/>
    </row>
    <row r="100" spans="1:18" ht="30" customHeight="1" x14ac:dyDescent="0.25">
      <c r="A100" s="18" t="s">
        <v>29</v>
      </c>
      <c r="B100" s="26">
        <v>229086</v>
      </c>
      <c r="C100" s="20" t="s">
        <v>30</v>
      </c>
      <c r="D100" s="21" t="s">
        <v>265</v>
      </c>
      <c r="E100" s="19" t="s">
        <v>72</v>
      </c>
      <c r="F100" s="19">
        <v>1</v>
      </c>
      <c r="G100" s="22">
        <v>44277</v>
      </c>
      <c r="H100" s="22">
        <v>44281</v>
      </c>
      <c r="I100" s="22"/>
      <c r="J100" s="23"/>
      <c r="K100" s="20" t="s">
        <v>163</v>
      </c>
      <c r="L100" s="24" t="s">
        <v>33</v>
      </c>
      <c r="M100" s="20" t="s">
        <v>24</v>
      </c>
      <c r="N100" s="20"/>
      <c r="O100" s="20" t="s">
        <v>26</v>
      </c>
      <c r="P100" s="23"/>
      <c r="Q100" s="20" t="s">
        <v>28</v>
      </c>
      <c r="R100" s="20"/>
    </row>
    <row r="101" spans="1:18" ht="30" customHeight="1" x14ac:dyDescent="0.25">
      <c r="A101" s="18" t="s">
        <v>29</v>
      </c>
      <c r="B101" s="26">
        <v>229763</v>
      </c>
      <c r="C101" s="20" t="s">
        <v>30</v>
      </c>
      <c r="D101" s="21" t="s">
        <v>266</v>
      </c>
      <c r="E101" s="19" t="s">
        <v>72</v>
      </c>
      <c r="F101" s="19">
        <v>1</v>
      </c>
      <c r="G101" s="22">
        <v>44279</v>
      </c>
      <c r="H101" s="22">
        <v>44286</v>
      </c>
      <c r="I101" s="22"/>
      <c r="J101" s="23"/>
      <c r="K101" s="20" t="s">
        <v>163</v>
      </c>
      <c r="L101" s="24" t="s">
        <v>41</v>
      </c>
      <c r="M101" s="20" t="s">
        <v>24</v>
      </c>
      <c r="N101" s="20"/>
      <c r="O101" s="20" t="s">
        <v>26</v>
      </c>
      <c r="P101" s="23"/>
      <c r="Q101" s="20" t="s">
        <v>28</v>
      </c>
      <c r="R101" s="20"/>
    </row>
    <row r="102" spans="1:18" ht="30" customHeight="1" x14ac:dyDescent="0.25">
      <c r="A102" s="18" t="s">
        <v>36</v>
      </c>
      <c r="B102" s="26">
        <v>229691</v>
      </c>
      <c r="C102" s="20" t="s">
        <v>19</v>
      </c>
      <c r="D102" s="21" t="s">
        <v>413</v>
      </c>
      <c r="E102" s="19" t="s">
        <v>34</v>
      </c>
      <c r="F102" s="19">
        <v>2</v>
      </c>
      <c r="G102" s="22">
        <v>44279</v>
      </c>
      <c r="H102" s="22">
        <v>44286</v>
      </c>
      <c r="I102" s="22"/>
      <c r="J102" s="23"/>
      <c r="K102" s="20" t="s">
        <v>160</v>
      </c>
      <c r="L102" s="24" t="s">
        <v>41</v>
      </c>
      <c r="M102" s="20" t="s">
        <v>24</v>
      </c>
      <c r="N102" s="20"/>
      <c r="O102" s="20" t="s">
        <v>25</v>
      </c>
      <c r="P102" s="23"/>
      <c r="Q102" s="20" t="s">
        <v>28</v>
      </c>
      <c r="R102" s="20"/>
    </row>
    <row r="103" spans="1:18" ht="30" customHeight="1" x14ac:dyDescent="0.25">
      <c r="A103" s="18" t="s">
        <v>36</v>
      </c>
      <c r="B103" s="26">
        <v>229691</v>
      </c>
      <c r="C103" s="20" t="s">
        <v>19</v>
      </c>
      <c r="D103" s="21" t="s">
        <v>413</v>
      </c>
      <c r="E103" s="19" t="s">
        <v>32</v>
      </c>
      <c r="F103" s="19">
        <v>2</v>
      </c>
      <c r="G103" s="22">
        <v>44279</v>
      </c>
      <c r="H103" s="22">
        <v>44286</v>
      </c>
      <c r="I103" s="22"/>
      <c r="J103" s="23"/>
      <c r="K103" s="20" t="s">
        <v>160</v>
      </c>
      <c r="L103" s="24" t="s">
        <v>41</v>
      </c>
      <c r="M103" s="20" t="s">
        <v>24</v>
      </c>
      <c r="N103" s="20"/>
      <c r="O103" s="20" t="s">
        <v>25</v>
      </c>
      <c r="P103" s="23"/>
      <c r="Q103" s="20" t="s">
        <v>28</v>
      </c>
      <c r="R103" s="20"/>
    </row>
    <row r="104" spans="1:18" ht="30" customHeight="1" x14ac:dyDescent="0.25">
      <c r="A104" s="18" t="s">
        <v>36</v>
      </c>
      <c r="B104" s="26">
        <v>229691</v>
      </c>
      <c r="C104" s="20" t="s">
        <v>19</v>
      </c>
      <c r="D104" s="21" t="s">
        <v>413</v>
      </c>
      <c r="E104" s="19" t="s">
        <v>48</v>
      </c>
      <c r="F104" s="19">
        <v>2</v>
      </c>
      <c r="G104" s="22">
        <v>44279</v>
      </c>
      <c r="H104" s="22">
        <v>44286</v>
      </c>
      <c r="I104" s="22"/>
      <c r="J104" s="23"/>
      <c r="K104" s="20" t="s">
        <v>160</v>
      </c>
      <c r="L104" s="24" t="s">
        <v>41</v>
      </c>
      <c r="M104" s="20" t="s">
        <v>24</v>
      </c>
      <c r="N104" s="20"/>
      <c r="O104" s="20" t="s">
        <v>25</v>
      </c>
      <c r="P104" s="23"/>
      <c r="Q104" s="20" t="s">
        <v>28</v>
      </c>
      <c r="R104" s="20"/>
    </row>
    <row r="105" spans="1:18" ht="30" customHeight="1" x14ac:dyDescent="0.25">
      <c r="A105" s="18" t="s">
        <v>36</v>
      </c>
      <c r="B105" s="26">
        <v>229691</v>
      </c>
      <c r="C105" s="20" t="s">
        <v>19</v>
      </c>
      <c r="D105" s="21" t="s">
        <v>413</v>
      </c>
      <c r="E105" s="19" t="s">
        <v>92</v>
      </c>
      <c r="F105" s="19">
        <v>2</v>
      </c>
      <c r="G105" s="22">
        <v>44279</v>
      </c>
      <c r="H105" s="22">
        <v>44286</v>
      </c>
      <c r="I105" s="22"/>
      <c r="J105" s="23"/>
      <c r="K105" s="20" t="s">
        <v>160</v>
      </c>
      <c r="L105" s="24" t="s">
        <v>41</v>
      </c>
      <c r="M105" s="20" t="s">
        <v>24</v>
      </c>
      <c r="N105" s="20"/>
      <c r="O105" s="20" t="s">
        <v>25</v>
      </c>
      <c r="P105" s="23"/>
      <c r="Q105" s="20" t="s">
        <v>28</v>
      </c>
      <c r="R105" s="20"/>
    </row>
    <row r="106" spans="1:18" x14ac:dyDescent="0.25">
      <c r="A106" s="18"/>
      <c r="B106" s="26"/>
      <c r="C106" s="20"/>
      <c r="D106" s="21"/>
      <c r="E106" s="19"/>
      <c r="F106" s="19"/>
      <c r="G106" s="22"/>
      <c r="H106" s="22"/>
      <c r="I106" s="22"/>
      <c r="J106" s="23"/>
      <c r="K106" s="20"/>
      <c r="L106" s="24"/>
      <c r="M106" s="20"/>
      <c r="N106" s="20"/>
      <c r="O106" s="20"/>
      <c r="P106" s="23"/>
      <c r="Q106" s="20"/>
      <c r="R106" s="20"/>
    </row>
    <row r="107" spans="1:18" x14ac:dyDescent="0.25">
      <c r="A107" s="18"/>
      <c r="B107" s="26"/>
      <c r="C107" s="20"/>
      <c r="D107" s="21"/>
      <c r="E107" s="19"/>
      <c r="F107" s="19"/>
      <c r="G107" s="22"/>
      <c r="H107" s="22"/>
      <c r="I107" s="22"/>
      <c r="J107" s="23"/>
      <c r="K107" s="20"/>
      <c r="L107" s="24"/>
      <c r="M107" s="20"/>
      <c r="N107" s="20"/>
      <c r="O107" s="20"/>
      <c r="P107" s="23"/>
      <c r="Q107" s="20"/>
      <c r="R107" s="20"/>
    </row>
    <row r="108" spans="1:18" x14ac:dyDescent="0.25">
      <c r="A108" s="18"/>
      <c r="B108" s="26"/>
      <c r="C108" s="20"/>
      <c r="D108" s="21"/>
      <c r="E108" s="19"/>
      <c r="F108" s="19"/>
      <c r="G108" s="22"/>
      <c r="H108" s="22"/>
      <c r="I108" s="22"/>
      <c r="J108" s="23"/>
      <c r="K108" s="20"/>
      <c r="L108" s="24"/>
      <c r="M108" s="20"/>
      <c r="N108" s="20"/>
      <c r="O108" s="20"/>
      <c r="P108" s="23"/>
      <c r="Q108" s="20"/>
      <c r="R108" s="20"/>
    </row>
    <row r="109" spans="1:18" x14ac:dyDescent="0.25">
      <c r="A109" s="18"/>
      <c r="B109" s="26"/>
      <c r="C109" s="20"/>
      <c r="D109" s="21"/>
      <c r="E109" s="19"/>
      <c r="F109" s="19"/>
      <c r="G109" s="22"/>
      <c r="H109" s="22"/>
      <c r="I109" s="22"/>
      <c r="J109" s="23"/>
      <c r="K109" s="20"/>
      <c r="L109" s="24"/>
      <c r="M109" s="20"/>
      <c r="N109" s="20"/>
      <c r="O109" s="20"/>
      <c r="P109" s="23"/>
      <c r="Q109" s="20"/>
      <c r="R109" s="20"/>
    </row>
    <row r="110" spans="1:18" x14ac:dyDescent="0.25">
      <c r="A110" s="18"/>
      <c r="B110" s="26"/>
      <c r="C110" s="20"/>
      <c r="D110" s="21"/>
      <c r="E110" s="19"/>
      <c r="F110" s="19"/>
      <c r="G110" s="22"/>
      <c r="H110" s="22"/>
      <c r="I110" s="22"/>
      <c r="J110" s="23"/>
      <c r="K110" s="20"/>
      <c r="L110" s="24"/>
      <c r="M110" s="20"/>
      <c r="N110" s="20"/>
      <c r="O110" s="20"/>
      <c r="P110" s="23"/>
      <c r="Q110" s="20"/>
      <c r="R110" s="20"/>
    </row>
    <row r="111" spans="1:18" x14ac:dyDescent="0.25">
      <c r="A111" s="18"/>
      <c r="B111" s="26"/>
      <c r="C111" s="20"/>
      <c r="D111" s="21"/>
      <c r="E111" s="19"/>
      <c r="F111" s="19"/>
      <c r="G111" s="22"/>
      <c r="H111" s="22"/>
      <c r="I111" s="22"/>
      <c r="J111" s="23"/>
      <c r="K111" s="20"/>
      <c r="L111" s="24"/>
      <c r="M111" s="20"/>
      <c r="N111" s="20"/>
      <c r="O111" s="20"/>
      <c r="P111" s="23"/>
      <c r="Q111" s="20"/>
      <c r="R111" s="20"/>
    </row>
    <row r="112" spans="1:18" x14ac:dyDescent="0.25">
      <c r="A112" s="18"/>
      <c r="B112" s="26"/>
      <c r="C112" s="20"/>
      <c r="D112" s="21"/>
      <c r="E112" s="19"/>
      <c r="F112" s="19"/>
      <c r="G112" s="22"/>
      <c r="H112" s="22"/>
      <c r="I112" s="22"/>
      <c r="J112" s="23"/>
      <c r="K112" s="20"/>
      <c r="L112" s="24"/>
      <c r="M112" s="20"/>
      <c r="N112" s="20"/>
      <c r="O112" s="20"/>
      <c r="P112" s="23"/>
      <c r="Q112" s="20"/>
      <c r="R112" s="20"/>
    </row>
    <row r="113" spans="1:18" x14ac:dyDescent="0.25">
      <c r="A113" s="18"/>
      <c r="B113" s="26"/>
      <c r="C113" s="20"/>
      <c r="D113" s="21"/>
      <c r="E113" s="19"/>
      <c r="F113" s="19"/>
      <c r="G113" s="22"/>
      <c r="H113" s="22"/>
      <c r="I113" s="22"/>
      <c r="J113" s="23"/>
      <c r="K113" s="20"/>
      <c r="L113" s="24"/>
      <c r="M113" s="20"/>
      <c r="N113" s="20"/>
      <c r="O113" s="20"/>
      <c r="P113" s="23"/>
      <c r="Q113" s="20"/>
      <c r="R113" s="20"/>
    </row>
    <row r="114" spans="1:18" x14ac:dyDescent="0.25">
      <c r="A114" s="18"/>
      <c r="B114" s="26"/>
      <c r="C114" s="20"/>
      <c r="D114" s="21"/>
      <c r="E114" s="19"/>
      <c r="F114" s="19"/>
      <c r="G114" s="22"/>
      <c r="H114" s="22"/>
      <c r="I114" s="22"/>
      <c r="J114" s="23"/>
      <c r="K114" s="20"/>
      <c r="L114" s="24"/>
      <c r="M114" s="20"/>
      <c r="N114" s="20"/>
      <c r="O114" s="20"/>
      <c r="P114" s="23"/>
      <c r="Q114" s="20"/>
      <c r="R114" s="20"/>
    </row>
    <row r="115" spans="1:18" x14ac:dyDescent="0.25">
      <c r="A115" s="18"/>
      <c r="B115" s="26"/>
      <c r="C115" s="20"/>
      <c r="D115" s="21"/>
      <c r="E115" s="19"/>
      <c r="F115" s="19"/>
      <c r="G115" s="22"/>
      <c r="H115" s="22"/>
      <c r="I115" s="22"/>
      <c r="J115" s="23"/>
      <c r="K115" s="20"/>
      <c r="L115" s="24"/>
      <c r="M115" s="20"/>
      <c r="N115" s="20"/>
      <c r="O115" s="20"/>
      <c r="P115" s="23"/>
      <c r="Q115" s="20"/>
      <c r="R115" s="20"/>
    </row>
    <row r="116" spans="1:18" x14ac:dyDescent="0.25">
      <c r="A116" s="18"/>
      <c r="B116" s="26"/>
      <c r="C116" s="20"/>
      <c r="D116" s="21"/>
      <c r="E116" s="19"/>
      <c r="F116" s="19"/>
      <c r="G116" s="22"/>
      <c r="H116" s="22"/>
      <c r="I116" s="22"/>
      <c r="J116" s="23"/>
      <c r="K116" s="20"/>
      <c r="L116" s="24"/>
      <c r="M116" s="20"/>
      <c r="N116" s="20"/>
      <c r="O116" s="20"/>
      <c r="P116" s="23"/>
      <c r="Q116" s="20"/>
      <c r="R116" s="20"/>
    </row>
    <row r="117" spans="1:18" x14ac:dyDescent="0.25">
      <c r="A117" s="18"/>
      <c r="B117" s="26"/>
      <c r="C117" s="20"/>
      <c r="D117" s="21"/>
      <c r="E117" s="19"/>
      <c r="F117" s="19"/>
      <c r="G117" s="22"/>
      <c r="H117" s="22"/>
      <c r="I117" s="22"/>
      <c r="J117" s="23"/>
      <c r="K117" s="20"/>
      <c r="L117" s="24"/>
      <c r="M117" s="20"/>
      <c r="N117" s="20"/>
      <c r="O117" s="20"/>
      <c r="P117" s="23"/>
      <c r="Q117" s="20"/>
      <c r="R117" s="20"/>
    </row>
    <row r="118" spans="1:18" x14ac:dyDescent="0.25">
      <c r="A118" s="18"/>
      <c r="B118" s="26"/>
      <c r="C118" s="20"/>
      <c r="D118" s="21"/>
      <c r="E118" s="19"/>
      <c r="F118" s="19"/>
      <c r="G118" s="22"/>
      <c r="H118" s="22"/>
      <c r="I118" s="22"/>
      <c r="J118" s="23"/>
      <c r="K118" s="20"/>
      <c r="L118" s="24"/>
      <c r="M118" s="20"/>
      <c r="N118" s="20"/>
      <c r="O118" s="20"/>
      <c r="P118" s="23"/>
      <c r="Q118" s="20"/>
      <c r="R118" s="20"/>
    </row>
    <row r="119" spans="1:18" x14ac:dyDescent="0.25">
      <c r="A119" s="18"/>
      <c r="B119" s="26"/>
      <c r="C119" s="20"/>
      <c r="D119" s="21"/>
      <c r="E119" s="19"/>
      <c r="F119" s="19"/>
      <c r="G119" s="22"/>
      <c r="H119" s="22"/>
      <c r="I119" s="22"/>
      <c r="J119" s="23"/>
      <c r="K119" s="20"/>
      <c r="L119" s="24"/>
      <c r="M119" s="20"/>
      <c r="N119" s="20"/>
      <c r="O119" s="20"/>
      <c r="P119" s="23"/>
      <c r="Q119" s="20"/>
      <c r="R119" s="20"/>
    </row>
    <row r="120" spans="1:18" x14ac:dyDescent="0.25">
      <c r="A120" s="18"/>
      <c r="B120" s="26"/>
      <c r="C120" s="20"/>
      <c r="D120" s="21"/>
      <c r="E120" s="19"/>
      <c r="F120" s="19"/>
      <c r="G120" s="22"/>
      <c r="H120" s="22"/>
      <c r="I120" s="22"/>
      <c r="J120" s="23"/>
      <c r="K120" s="20"/>
      <c r="L120" s="24"/>
      <c r="M120" s="20"/>
      <c r="N120" s="20"/>
      <c r="O120" s="20"/>
      <c r="P120" s="23"/>
      <c r="Q120" s="20"/>
      <c r="R120" s="20"/>
    </row>
    <row r="121" spans="1:18" x14ac:dyDescent="0.25">
      <c r="A121" s="18"/>
      <c r="B121" s="26"/>
      <c r="C121" s="20"/>
      <c r="D121" s="21"/>
      <c r="E121" s="19"/>
      <c r="F121" s="19"/>
      <c r="G121" s="22"/>
      <c r="H121" s="22"/>
      <c r="I121" s="22"/>
      <c r="J121" s="23"/>
      <c r="K121" s="20"/>
      <c r="L121" s="24"/>
      <c r="M121" s="20"/>
      <c r="N121" s="20"/>
      <c r="O121" s="20"/>
      <c r="P121" s="23"/>
      <c r="Q121" s="20"/>
      <c r="R121" s="20"/>
    </row>
    <row r="122" spans="1:18" x14ac:dyDescent="0.25">
      <c r="A122" s="18"/>
      <c r="B122" s="26"/>
      <c r="C122" s="20"/>
      <c r="D122" s="21"/>
      <c r="E122" s="19"/>
      <c r="F122" s="19"/>
      <c r="G122" s="22"/>
      <c r="H122" s="22"/>
      <c r="I122" s="22"/>
      <c r="J122" s="23"/>
      <c r="K122" s="20"/>
      <c r="L122" s="24"/>
      <c r="M122" s="20"/>
      <c r="N122" s="20"/>
      <c r="O122" s="20"/>
      <c r="P122" s="23"/>
      <c r="Q122" s="20"/>
      <c r="R122" s="20"/>
    </row>
    <row r="123" spans="1:18" x14ac:dyDescent="0.25">
      <c r="A123" s="18"/>
      <c r="B123" s="26"/>
      <c r="C123" s="20"/>
      <c r="D123" s="21"/>
      <c r="E123" s="19"/>
      <c r="F123" s="19"/>
      <c r="G123" s="22"/>
      <c r="H123" s="22"/>
      <c r="I123" s="22"/>
      <c r="J123" s="23"/>
      <c r="K123" s="20"/>
      <c r="L123" s="24"/>
      <c r="M123" s="20"/>
      <c r="N123" s="20"/>
      <c r="O123" s="20"/>
      <c r="P123" s="23"/>
      <c r="Q123" s="20"/>
      <c r="R123" s="20"/>
    </row>
    <row r="124" spans="1:18" x14ac:dyDescent="0.25">
      <c r="A124" s="18"/>
      <c r="B124" s="26"/>
      <c r="C124" s="20"/>
      <c r="D124" s="21"/>
      <c r="E124" s="19"/>
      <c r="F124" s="19"/>
      <c r="G124" s="22"/>
      <c r="H124" s="22"/>
      <c r="I124" s="22"/>
      <c r="J124" s="23"/>
      <c r="K124" s="20"/>
      <c r="L124" s="24"/>
      <c r="M124" s="20"/>
      <c r="N124" s="20"/>
      <c r="O124" s="20"/>
      <c r="P124" s="23"/>
      <c r="Q124" s="20"/>
      <c r="R124" s="20"/>
    </row>
    <row r="125" spans="1:18" x14ac:dyDescent="0.25">
      <c r="A125" s="18"/>
      <c r="B125" s="26"/>
      <c r="C125" s="20"/>
      <c r="D125" s="21"/>
      <c r="E125" s="19"/>
      <c r="F125" s="19"/>
      <c r="G125" s="22"/>
      <c r="H125" s="22"/>
      <c r="I125" s="22"/>
      <c r="J125" s="23"/>
      <c r="K125" s="20"/>
      <c r="L125" s="24"/>
      <c r="M125" s="20"/>
      <c r="N125" s="20"/>
      <c r="O125" s="20"/>
      <c r="P125" s="23"/>
      <c r="Q125" s="20"/>
      <c r="R125" s="20"/>
    </row>
    <row r="126" spans="1:18" x14ac:dyDescent="0.25">
      <c r="A126" s="18"/>
      <c r="B126" s="26"/>
      <c r="C126" s="20"/>
      <c r="D126" s="21"/>
      <c r="E126" s="19"/>
      <c r="F126" s="19"/>
      <c r="G126" s="22"/>
      <c r="H126" s="22"/>
      <c r="I126" s="22"/>
      <c r="J126" s="23"/>
      <c r="K126" s="20"/>
      <c r="L126" s="24"/>
      <c r="M126" s="20"/>
      <c r="N126" s="20"/>
      <c r="O126" s="20"/>
      <c r="P126" s="23"/>
      <c r="Q126" s="20"/>
      <c r="R126" s="20"/>
    </row>
    <row r="127" spans="1:18" x14ac:dyDescent="0.25">
      <c r="A127" s="18"/>
      <c r="B127" s="26"/>
      <c r="C127" s="20"/>
      <c r="D127" s="21"/>
      <c r="E127" s="19"/>
      <c r="F127" s="19"/>
      <c r="G127" s="22"/>
      <c r="H127" s="22"/>
      <c r="I127" s="22"/>
      <c r="J127" s="23"/>
      <c r="K127" s="20"/>
      <c r="L127" s="24"/>
      <c r="M127" s="20"/>
      <c r="N127" s="20"/>
      <c r="O127" s="20"/>
      <c r="P127" s="23"/>
      <c r="Q127" s="20"/>
      <c r="R127" s="20"/>
    </row>
    <row r="128" spans="1:18" x14ac:dyDescent="0.25">
      <c r="A128" s="18"/>
      <c r="B128" s="26"/>
      <c r="C128" s="20"/>
      <c r="D128" s="21"/>
      <c r="E128" s="19"/>
      <c r="F128" s="19"/>
      <c r="G128" s="22"/>
      <c r="H128" s="22"/>
      <c r="I128" s="22"/>
      <c r="J128" s="23"/>
      <c r="K128" s="20"/>
      <c r="L128" s="24"/>
      <c r="M128" s="20"/>
      <c r="N128" s="20"/>
      <c r="O128" s="20"/>
      <c r="P128" s="23"/>
      <c r="Q128" s="20"/>
      <c r="R128" s="20"/>
    </row>
    <row r="129" spans="1:18" x14ac:dyDescent="0.25">
      <c r="A129" s="18"/>
      <c r="B129" s="26"/>
      <c r="C129" s="20"/>
      <c r="D129" s="21"/>
      <c r="E129" s="19"/>
      <c r="F129" s="19"/>
      <c r="G129" s="22"/>
      <c r="H129" s="22"/>
      <c r="I129" s="22"/>
      <c r="J129" s="23"/>
      <c r="K129" s="20"/>
      <c r="L129" s="24"/>
      <c r="M129" s="20"/>
      <c r="N129" s="20"/>
      <c r="O129" s="20"/>
      <c r="P129" s="23"/>
      <c r="Q129" s="20"/>
      <c r="R129" s="20"/>
    </row>
    <row r="130" spans="1:18" x14ac:dyDescent="0.25">
      <c r="A130" s="27"/>
      <c r="B130" s="28"/>
      <c r="C130" s="29"/>
      <c r="D130" s="30"/>
      <c r="E130" s="31"/>
      <c r="F130" s="31"/>
      <c r="G130" s="32"/>
      <c r="H130" s="32"/>
      <c r="I130" s="32"/>
      <c r="J130" s="33"/>
      <c r="K130" s="29"/>
      <c r="L130" s="34"/>
      <c r="M130" s="29"/>
      <c r="N130" s="29"/>
      <c r="O130" s="29"/>
      <c r="P130" s="33"/>
      <c r="Q130" s="29"/>
      <c r="R130" s="29"/>
    </row>
  </sheetData>
  <conditionalFormatting sqref="A2:R130">
    <cfRule type="expression" dxfId="4" priority="136">
      <formula>$K2="CANCELADO"</formula>
    </cfRule>
    <cfRule type="expression" dxfId="3" priority="137">
      <formula>$K2="STAND-BY"</formula>
    </cfRule>
    <cfRule type="expression" dxfId="2" priority="138">
      <formula>$K2="AGUARDANDO APROVAÇÃO"</formula>
    </cfRule>
    <cfRule type="expression" dxfId="1" priority="139">
      <formula>$K2="OK"</formula>
    </cfRule>
    <cfRule type="expression" dxfId="0" priority="140">
      <formula>AND((TODAY()-$H2)&gt;0,$H2&lt;&gt;"",$I2="")=TRUE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FB46650-56D3-4FA5-AAFA-BB36F2BBC989}">
          <x14:formula1>
            <xm:f>'NÃO MEXER'!$B$2:$B$15</xm:f>
          </x14:formula1>
          <xm:sqref>C2:C130</xm:sqref>
        </x14:dataValidation>
        <x14:dataValidation type="list" allowBlank="1" showInputMessage="1" showErrorMessage="1" xr:uid="{9BF0B260-9382-4DC3-BF66-AE73D1C72A91}">
          <x14:formula1>
            <xm:f>'NÃO MEXER'!$A$2:$A$25</xm:f>
          </x14:formula1>
          <xm:sqref>A2:A130</xm:sqref>
        </x14:dataValidation>
        <x14:dataValidation type="list" allowBlank="1" showInputMessage="1" showErrorMessage="1" xr:uid="{019CE8E3-30A7-42CA-B88D-4DE4F58110FA}">
          <x14:formula1>
            <xm:f>'NÃO MEXER'!$C$2:$C$84</xm:f>
          </x14:formula1>
          <xm:sqref>E2:E130</xm:sqref>
        </x14:dataValidation>
        <x14:dataValidation type="list" allowBlank="1" showInputMessage="1" showErrorMessage="1" xr:uid="{D8411997-0C89-4DC0-869F-404EFA2AADA8}">
          <x14:formula1>
            <xm:f>'NÃO MEXER'!$E$2:$E$6</xm:f>
          </x14:formula1>
          <xm:sqref>K2:K130</xm:sqref>
        </x14:dataValidation>
        <x14:dataValidation type="list" allowBlank="1" showInputMessage="1" showErrorMessage="1" xr:uid="{88E0FC4E-935C-41F2-8990-1639ACAF06E4}">
          <x14:formula1>
            <xm:f>'NÃO MEXER'!$F$2:$F$7</xm:f>
          </x14:formula1>
          <xm:sqref>L2:L130</xm:sqref>
        </x14:dataValidation>
        <x14:dataValidation type="list" allowBlank="1" showInputMessage="1" showErrorMessage="1" xr:uid="{D4B77994-9CB5-4EC6-8934-8BF514DCC6FF}">
          <x14:formula1>
            <xm:f>'NÃO MEXER'!$G$2:$G$7</xm:f>
          </x14:formula1>
          <xm:sqref>M2:M130</xm:sqref>
        </x14:dataValidation>
        <x14:dataValidation type="list" allowBlank="1" showInputMessage="1" showErrorMessage="1" xr:uid="{A2D8E136-A1C0-4C5F-97F0-F06418493764}">
          <x14:formula1>
            <xm:f>'NÃO MEXER'!$H$2:$H$3</xm:f>
          </x14:formula1>
          <xm:sqref>O2:P130</xm:sqref>
        </x14:dataValidation>
        <x14:dataValidation type="list" allowBlank="1" showInputMessage="1" showErrorMessage="1" xr:uid="{F6905CA4-948F-4F47-818D-5D9FBAFFB5AD}">
          <x14:formula1>
            <xm:f>'NÃO MEXER'!$I$2:$I$6</xm:f>
          </x14:formula1>
          <xm:sqref>Q2:Q130</xm:sqref>
        </x14:dataValidation>
        <x14:dataValidation type="list" allowBlank="1" showInputMessage="1" showErrorMessage="1" xr:uid="{EA4D5E0B-D90A-42AB-8D56-21B5EC2C9BDF}">
          <x14:formula1>
            <xm:f>'NÃO MEXER'!$J$2:$J$6</xm:f>
          </x14:formula1>
          <xm:sqref>R2:R130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CONSOLIDADO</vt:lpstr>
      <vt:lpstr>NÃO MEXER</vt:lpstr>
      <vt:lpstr>ANÁLISE</vt:lpstr>
      <vt:lpstr>FAROL</vt:lpstr>
      <vt:lpstr>JAN</vt:lpstr>
      <vt:lpstr>FEV</vt:lpstr>
      <vt:lpstr>MAR</vt:lpstr>
      <vt:lpstr>ABR</vt:lpstr>
      <vt:lpstr>Adaptação</vt:lpstr>
      <vt:lpstr>Criação</vt:lpstr>
      <vt:lpstr>Derivação</vt:lpstr>
      <vt:lpstr>Eventos_Apoio</vt:lpstr>
      <vt:lpstr>Vídeo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2021-04-01T14:51:50Z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