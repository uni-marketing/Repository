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namedSheetViews/namedSheetView2.xml" ContentType="application/vnd.ms-excel.namedsheetviews+xml"/>
  <Override PartName="/xl/tables/table5.xml" ContentType="application/vnd.openxmlformats-officedocument.spreadsheetml.table+xml"/>
  <Override PartName="/xl/namedSheetViews/namedSheetView3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EstaPastaDeTrabalho"/>
  <xr:revisionPtr revIDLastSave="1251299" documentId="113_{99182A55-95A0-4077-AE47-94FC570D8BEC}" xr6:coauthVersionLast="46" xr6:coauthVersionMax="47" xr10:uidLastSave="{8C073EA6-1D4A-4C6C-82E0-2FBB796661F0}"/>
  <bookViews>
    <workbookView xWindow="-2055" yWindow="-16320" windowWidth="29040" windowHeight="15840" xr2:uid="{00000000-000D-0000-FFFF-FFFF00000000}"/>
  </bookViews>
  <sheets>
    <sheet name="CONSOLIDADO" sheetId="11" r:id="rId1"/>
    <sheet name="NÃO MEXER" sheetId="1" r:id="rId2"/>
    <sheet name="ROA" sheetId="44" r:id="rId3"/>
    <sheet name="ANÁLISE" sheetId="39" r:id="rId4"/>
    <sheet name="FAROL" sheetId="40" r:id="rId5"/>
    <sheet name="JAN" sheetId="34" r:id="rId6"/>
    <sheet name="FEV" sheetId="36" r:id="rId7"/>
    <sheet name="MAR" sheetId="43" r:id="rId8"/>
    <sheet name="ABR" sheetId="45" r:id="rId9"/>
    <sheet name="MAI" sheetId="46" r:id="rId10"/>
  </sheets>
  <definedNames>
    <definedName name="_Adaptação_">'NÃO MEXER'!#REF!</definedName>
    <definedName name="_xlnm._FilterDatabase" localSheetId="0" hidden="1">CONSOLIDADO!$A$1:$S$77</definedName>
    <definedName name="_xlnm._FilterDatabase" localSheetId="1" hidden="1">'NÃO MEXER'!$C$2:$C$85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  <definedName name="Vídeo">'NÃO MEXER'!$G$8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1" i="40" l="1"/>
  <c r="G52" i="40"/>
  <c r="G55" i="40"/>
  <c r="G56" i="40"/>
  <c r="G57" i="40"/>
  <c r="G60" i="40"/>
  <c r="E57" i="40"/>
  <c r="F57" i="40" s="1"/>
  <c r="E52" i="40"/>
  <c r="F52" i="40" s="1"/>
  <c r="F60" i="40"/>
  <c r="F59" i="40"/>
  <c r="G59" i="40" s="1"/>
  <c r="F58" i="40"/>
  <c r="G58" i="40" s="1"/>
  <c r="F56" i="40"/>
  <c r="F55" i="40"/>
  <c r="F54" i="40"/>
  <c r="G54" i="40" s="1"/>
  <c r="F53" i="40"/>
  <c r="G53" i="40" s="1"/>
  <c r="F51" i="40"/>
  <c r="G45" i="40"/>
  <c r="G44" i="40"/>
  <c r="G43" i="40"/>
  <c r="G42" i="40"/>
  <c r="G41" i="40"/>
  <c r="G40" i="40"/>
  <c r="G39" i="40"/>
  <c r="G38" i="40"/>
  <c r="G37" i="40"/>
  <c r="G36" i="40"/>
  <c r="F35" i="40"/>
  <c r="F46" i="40" s="1"/>
  <c r="G35" i="40" l="1"/>
  <c r="G46" i="40" s="1"/>
  <c r="D28" i="44" l="1"/>
  <c r="D38" i="44"/>
  <c r="N12" i="40" l="1"/>
  <c r="N7" i="40"/>
  <c r="B10" i="39" l="1"/>
  <c r="C10" i="39"/>
  <c r="D10" i="39"/>
  <c r="E10" i="39"/>
  <c r="F10" i="39"/>
  <c r="G10" i="39"/>
  <c r="H10" i="39"/>
  <c r="I10" i="39"/>
  <c r="J10" i="39"/>
  <c r="K10" i="39"/>
  <c r="L10" i="39"/>
  <c r="M10" i="39"/>
  <c r="B9" i="39"/>
  <c r="C9" i="39" l="1"/>
  <c r="C11" i="39" s="1"/>
  <c r="D9" i="39"/>
  <c r="D11" i="39" s="1"/>
  <c r="E9" i="39"/>
  <c r="E11" i="39" s="1"/>
  <c r="F9" i="39"/>
  <c r="F11" i="39" s="1"/>
  <c r="G9" i="39"/>
  <c r="G11" i="39" s="1"/>
  <c r="H9" i="39"/>
  <c r="H11" i="39" s="1"/>
  <c r="I9" i="39"/>
  <c r="I11" i="39" s="1"/>
  <c r="J9" i="39"/>
  <c r="J11" i="39" s="1"/>
  <c r="K9" i="39"/>
  <c r="K11" i="39" s="1"/>
  <c r="L9" i="39"/>
  <c r="L11" i="39" s="1"/>
  <c r="M9" i="39"/>
  <c r="M11" i="39" s="1"/>
  <c r="B11" i="39"/>
  <c r="B9" i="44" l="1"/>
  <c r="S77" i="11" l="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C9" i="44"/>
  <c r="D9" i="44"/>
  <c r="E9" i="44"/>
  <c r="F9" i="44"/>
  <c r="G9" i="44"/>
  <c r="H9" i="44"/>
  <c r="I9" i="44"/>
  <c r="J9" i="44"/>
  <c r="K9" i="44"/>
  <c r="L9" i="44"/>
  <c r="M9" i="44"/>
  <c r="C10" i="44"/>
  <c r="D10" i="44"/>
  <c r="E10" i="44"/>
  <c r="F10" i="44"/>
  <c r="G10" i="44"/>
  <c r="H10" i="44"/>
  <c r="I10" i="44"/>
  <c r="J10" i="44"/>
  <c r="K10" i="44"/>
  <c r="L10" i="44"/>
  <c r="M10" i="44"/>
  <c r="C11" i="44"/>
  <c r="D11" i="44"/>
  <c r="E11" i="44"/>
  <c r="F11" i="44"/>
  <c r="G11" i="44"/>
  <c r="H11" i="44"/>
  <c r="I11" i="44"/>
  <c r="J11" i="44"/>
  <c r="K11" i="44"/>
  <c r="L11" i="44"/>
  <c r="M11" i="44"/>
  <c r="C12" i="44"/>
  <c r="D12" i="44"/>
  <c r="E12" i="44"/>
  <c r="F12" i="44"/>
  <c r="G12" i="44"/>
  <c r="H12" i="44"/>
  <c r="I12" i="44"/>
  <c r="J12" i="44"/>
  <c r="K12" i="44"/>
  <c r="L12" i="44"/>
  <c r="M12" i="44"/>
  <c r="C13" i="44"/>
  <c r="D13" i="44"/>
  <c r="E13" i="44"/>
  <c r="F13" i="44"/>
  <c r="G13" i="44"/>
  <c r="H13" i="44"/>
  <c r="I13" i="44"/>
  <c r="J13" i="44"/>
  <c r="K13" i="44"/>
  <c r="L13" i="44"/>
  <c r="M13" i="44"/>
  <c r="C14" i="44"/>
  <c r="D14" i="44"/>
  <c r="E14" i="44"/>
  <c r="F14" i="44"/>
  <c r="G14" i="44"/>
  <c r="H14" i="44"/>
  <c r="I14" i="44"/>
  <c r="J14" i="44"/>
  <c r="K14" i="44"/>
  <c r="L14" i="44"/>
  <c r="M14" i="44"/>
  <c r="C15" i="44"/>
  <c r="D15" i="44"/>
  <c r="E15" i="44"/>
  <c r="F15" i="44"/>
  <c r="G15" i="44"/>
  <c r="H15" i="44"/>
  <c r="I15" i="44"/>
  <c r="J15" i="44"/>
  <c r="K15" i="44"/>
  <c r="L15" i="44"/>
  <c r="M15" i="44"/>
  <c r="C16" i="44"/>
  <c r="D16" i="44"/>
  <c r="E16" i="44"/>
  <c r="F16" i="44"/>
  <c r="G16" i="44"/>
  <c r="H16" i="44"/>
  <c r="I16" i="44"/>
  <c r="J16" i="44"/>
  <c r="K16" i="44"/>
  <c r="L16" i="44"/>
  <c r="M16" i="44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C19" i="44"/>
  <c r="D19" i="44"/>
  <c r="E19" i="44"/>
  <c r="F19" i="44"/>
  <c r="G19" i="44"/>
  <c r="H19" i="44"/>
  <c r="I19" i="44"/>
  <c r="J19" i="44"/>
  <c r="K19" i="44"/>
  <c r="L19" i="44"/>
  <c r="M19" i="44"/>
  <c r="C20" i="44"/>
  <c r="D20" i="44"/>
  <c r="E20" i="44"/>
  <c r="F20" i="44"/>
  <c r="G20" i="44"/>
  <c r="H20" i="44"/>
  <c r="I20" i="44"/>
  <c r="J20" i="44"/>
  <c r="K20" i="44"/>
  <c r="L20" i="44"/>
  <c r="M20" i="44"/>
  <c r="C21" i="44"/>
  <c r="D21" i="44"/>
  <c r="E21" i="44"/>
  <c r="F21" i="44"/>
  <c r="G21" i="44"/>
  <c r="H21" i="44"/>
  <c r="I21" i="44"/>
  <c r="J21" i="44"/>
  <c r="K21" i="44"/>
  <c r="L21" i="44"/>
  <c r="M21" i="44"/>
  <c r="C22" i="44"/>
  <c r="D22" i="44"/>
  <c r="E22" i="44"/>
  <c r="F22" i="44"/>
  <c r="G22" i="44"/>
  <c r="H22" i="44"/>
  <c r="I22" i="44"/>
  <c r="J22" i="44"/>
  <c r="K22" i="44"/>
  <c r="L22" i="44"/>
  <c r="M22" i="44"/>
  <c r="C23" i="44"/>
  <c r="D23" i="44"/>
  <c r="E23" i="44"/>
  <c r="F23" i="44"/>
  <c r="G23" i="44"/>
  <c r="H23" i="44"/>
  <c r="I23" i="44"/>
  <c r="J23" i="44"/>
  <c r="K23" i="44"/>
  <c r="L23" i="44"/>
  <c r="M23" i="44"/>
  <c r="C24" i="44"/>
  <c r="D24" i="44"/>
  <c r="E24" i="44"/>
  <c r="F24" i="44"/>
  <c r="G24" i="44"/>
  <c r="H24" i="44"/>
  <c r="I24" i="44"/>
  <c r="J24" i="44"/>
  <c r="K24" i="44"/>
  <c r="L24" i="44"/>
  <c r="M24" i="44"/>
  <c r="C25" i="44"/>
  <c r="D25" i="44"/>
  <c r="E25" i="44"/>
  <c r="F25" i="44"/>
  <c r="G25" i="44"/>
  <c r="H25" i="44"/>
  <c r="I25" i="44"/>
  <c r="J25" i="44"/>
  <c r="K25" i="44"/>
  <c r="L25" i="44"/>
  <c r="M25" i="44"/>
  <c r="C26" i="44"/>
  <c r="D26" i="44"/>
  <c r="E26" i="44"/>
  <c r="F26" i="44"/>
  <c r="G26" i="44"/>
  <c r="H26" i="44"/>
  <c r="I26" i="44"/>
  <c r="J26" i="44"/>
  <c r="K26" i="44"/>
  <c r="L26" i="44"/>
  <c r="M26" i="44"/>
  <c r="C27" i="44"/>
  <c r="D27" i="44"/>
  <c r="E27" i="44"/>
  <c r="F27" i="44"/>
  <c r="G27" i="44"/>
  <c r="H27" i="44"/>
  <c r="I27" i="44"/>
  <c r="J27" i="44"/>
  <c r="K27" i="44"/>
  <c r="L27" i="44"/>
  <c r="M27" i="44"/>
  <c r="C28" i="44"/>
  <c r="E28" i="44"/>
  <c r="F28" i="44"/>
  <c r="G28" i="44"/>
  <c r="H28" i="44"/>
  <c r="I28" i="44"/>
  <c r="J28" i="44"/>
  <c r="K28" i="44"/>
  <c r="L28" i="44"/>
  <c r="M28" i="44"/>
  <c r="C29" i="44"/>
  <c r="D29" i="44"/>
  <c r="E29" i="44"/>
  <c r="F29" i="44"/>
  <c r="G29" i="44"/>
  <c r="H29" i="44"/>
  <c r="I29" i="44"/>
  <c r="J29" i="44"/>
  <c r="K29" i="44"/>
  <c r="L29" i="44"/>
  <c r="M29" i="44"/>
  <c r="C30" i="44"/>
  <c r="D30" i="44"/>
  <c r="E30" i="44"/>
  <c r="F30" i="44"/>
  <c r="G30" i="44"/>
  <c r="H30" i="44"/>
  <c r="I30" i="44"/>
  <c r="J30" i="44"/>
  <c r="K30" i="44"/>
  <c r="L30" i="44"/>
  <c r="M30" i="44"/>
  <c r="C31" i="44"/>
  <c r="D31" i="44"/>
  <c r="E31" i="44"/>
  <c r="F31" i="44"/>
  <c r="G31" i="44"/>
  <c r="H31" i="44"/>
  <c r="I31" i="44"/>
  <c r="J31" i="44"/>
  <c r="K31" i="44"/>
  <c r="L31" i="44"/>
  <c r="M31" i="44"/>
  <c r="C32" i="44"/>
  <c r="D32" i="44"/>
  <c r="E32" i="44"/>
  <c r="F32" i="44"/>
  <c r="G32" i="44"/>
  <c r="H32" i="44"/>
  <c r="I32" i="44"/>
  <c r="J32" i="44"/>
  <c r="K32" i="44"/>
  <c r="L32" i="44"/>
  <c r="M32" i="44"/>
  <c r="C33" i="44"/>
  <c r="D33" i="44"/>
  <c r="E33" i="44"/>
  <c r="F33" i="44"/>
  <c r="G33" i="44"/>
  <c r="H33" i="44"/>
  <c r="I33" i="44"/>
  <c r="J33" i="44"/>
  <c r="K33" i="44"/>
  <c r="L33" i="44"/>
  <c r="M33" i="44"/>
  <c r="C34" i="44"/>
  <c r="D34" i="44"/>
  <c r="E34" i="44"/>
  <c r="F34" i="44"/>
  <c r="G34" i="44"/>
  <c r="H34" i="44"/>
  <c r="I34" i="44"/>
  <c r="J34" i="44"/>
  <c r="K34" i="44"/>
  <c r="L34" i="44"/>
  <c r="M34" i="44"/>
  <c r="C35" i="44"/>
  <c r="D35" i="44"/>
  <c r="E35" i="44"/>
  <c r="F35" i="44"/>
  <c r="G35" i="44"/>
  <c r="H35" i="44"/>
  <c r="I35" i="44"/>
  <c r="J35" i="44"/>
  <c r="K35" i="44"/>
  <c r="L35" i="44"/>
  <c r="M35" i="44"/>
  <c r="C36" i="44"/>
  <c r="D36" i="44"/>
  <c r="E36" i="44"/>
  <c r="F36" i="44"/>
  <c r="G36" i="44"/>
  <c r="H36" i="44"/>
  <c r="I36" i="44"/>
  <c r="J36" i="44"/>
  <c r="K36" i="44"/>
  <c r="L36" i="44"/>
  <c r="M36" i="44"/>
  <c r="C37" i="44"/>
  <c r="D37" i="44"/>
  <c r="E37" i="44"/>
  <c r="F37" i="44"/>
  <c r="G37" i="44"/>
  <c r="H37" i="44"/>
  <c r="I37" i="44"/>
  <c r="J37" i="44"/>
  <c r="K37" i="44"/>
  <c r="L37" i="44"/>
  <c r="M37" i="44"/>
  <c r="C38" i="44"/>
  <c r="E38" i="44"/>
  <c r="F38" i="44"/>
  <c r="G38" i="44"/>
  <c r="H38" i="44"/>
  <c r="I38" i="44"/>
  <c r="J38" i="44"/>
  <c r="K38" i="44"/>
  <c r="L38" i="44"/>
  <c r="M38" i="44"/>
  <c r="C39" i="44"/>
  <c r="D39" i="44"/>
  <c r="E39" i="44"/>
  <c r="F39" i="44"/>
  <c r="G39" i="44"/>
  <c r="H39" i="44"/>
  <c r="I39" i="44"/>
  <c r="J39" i="44"/>
  <c r="K39" i="44"/>
  <c r="L39" i="44"/>
  <c r="M39" i="44"/>
  <c r="C40" i="44"/>
  <c r="D40" i="44"/>
  <c r="E40" i="44"/>
  <c r="F40" i="44"/>
  <c r="G40" i="44"/>
  <c r="H40" i="44"/>
  <c r="I40" i="44"/>
  <c r="J40" i="44"/>
  <c r="K40" i="44"/>
  <c r="L40" i="44"/>
  <c r="M40" i="44"/>
  <c r="C41" i="44"/>
  <c r="D41" i="44"/>
  <c r="E41" i="44"/>
  <c r="F41" i="44"/>
  <c r="G41" i="44"/>
  <c r="H41" i="44"/>
  <c r="I41" i="44"/>
  <c r="J41" i="44"/>
  <c r="K41" i="44"/>
  <c r="L41" i="44"/>
  <c r="M41" i="44"/>
  <c r="C42" i="44"/>
  <c r="D42" i="44"/>
  <c r="E42" i="44"/>
  <c r="F42" i="44"/>
  <c r="G42" i="44"/>
  <c r="H42" i="44"/>
  <c r="I42" i="44"/>
  <c r="J42" i="44"/>
  <c r="K42" i="44"/>
  <c r="L42" i="44"/>
  <c r="M42" i="44"/>
  <c r="C43" i="44"/>
  <c r="D43" i="44"/>
  <c r="E43" i="44"/>
  <c r="F43" i="44"/>
  <c r="G43" i="44"/>
  <c r="H43" i="44"/>
  <c r="I43" i="44"/>
  <c r="J43" i="44"/>
  <c r="K43" i="44"/>
  <c r="L43" i="44"/>
  <c r="M43" i="44"/>
  <c r="C44" i="44"/>
  <c r="D44" i="44"/>
  <c r="E44" i="44"/>
  <c r="F44" i="44"/>
  <c r="G44" i="44"/>
  <c r="H44" i="44"/>
  <c r="I44" i="44"/>
  <c r="J44" i="44"/>
  <c r="K44" i="44"/>
  <c r="L44" i="44"/>
  <c r="M44" i="44"/>
  <c r="C45" i="44"/>
  <c r="D45" i="44"/>
  <c r="E45" i="44"/>
  <c r="F45" i="44"/>
  <c r="G45" i="44"/>
  <c r="H45" i="44"/>
  <c r="I45" i="44"/>
  <c r="J45" i="44"/>
  <c r="K45" i="44"/>
  <c r="L45" i="44"/>
  <c r="M45" i="44"/>
  <c r="C46" i="44"/>
  <c r="D46" i="44"/>
  <c r="E46" i="44"/>
  <c r="F46" i="44"/>
  <c r="G46" i="44"/>
  <c r="H46" i="44"/>
  <c r="I46" i="44"/>
  <c r="J46" i="44"/>
  <c r="K46" i="44"/>
  <c r="L46" i="44"/>
  <c r="M46" i="44"/>
  <c r="C47" i="44"/>
  <c r="D47" i="44"/>
  <c r="E47" i="44"/>
  <c r="F47" i="44"/>
  <c r="G47" i="44"/>
  <c r="H47" i="44"/>
  <c r="I47" i="44"/>
  <c r="J47" i="44"/>
  <c r="K47" i="44"/>
  <c r="L47" i="44"/>
  <c r="M47" i="44"/>
  <c r="C48" i="44"/>
  <c r="D48" i="44"/>
  <c r="E48" i="44"/>
  <c r="F48" i="44"/>
  <c r="G48" i="44"/>
  <c r="H48" i="44"/>
  <c r="I48" i="44"/>
  <c r="J48" i="44"/>
  <c r="K48" i="44"/>
  <c r="L48" i="44"/>
  <c r="M48" i="44"/>
  <c r="C49" i="44"/>
  <c r="D49" i="44"/>
  <c r="E49" i="44"/>
  <c r="F49" i="44"/>
  <c r="G49" i="44"/>
  <c r="H49" i="44"/>
  <c r="I49" i="44"/>
  <c r="J49" i="44"/>
  <c r="K49" i="44"/>
  <c r="L49" i="44"/>
  <c r="M49" i="44"/>
  <c r="C50" i="44"/>
  <c r="D50" i="44"/>
  <c r="E50" i="44"/>
  <c r="F50" i="44"/>
  <c r="G50" i="44"/>
  <c r="H50" i="44"/>
  <c r="I50" i="44"/>
  <c r="J50" i="44"/>
  <c r="K50" i="44"/>
  <c r="L50" i="44"/>
  <c r="M50" i="44"/>
  <c r="C51" i="44"/>
  <c r="D51" i="44"/>
  <c r="E51" i="44"/>
  <c r="F51" i="44"/>
  <c r="G51" i="44"/>
  <c r="H51" i="44"/>
  <c r="I51" i="44"/>
  <c r="J51" i="44"/>
  <c r="K51" i="44"/>
  <c r="L51" i="44"/>
  <c r="M51" i="44"/>
  <c r="C52" i="44"/>
  <c r="D52" i="44"/>
  <c r="E52" i="44"/>
  <c r="F52" i="44"/>
  <c r="G52" i="44"/>
  <c r="H52" i="44"/>
  <c r="I52" i="44"/>
  <c r="J52" i="44"/>
  <c r="K52" i="44"/>
  <c r="L52" i="44"/>
  <c r="M52" i="44"/>
  <c r="C53" i="44"/>
  <c r="D53" i="44"/>
  <c r="E53" i="44"/>
  <c r="F53" i="44"/>
  <c r="G53" i="44"/>
  <c r="H53" i="44"/>
  <c r="I53" i="44"/>
  <c r="J53" i="44"/>
  <c r="K53" i="44"/>
  <c r="L53" i="44"/>
  <c r="M53" i="44"/>
  <c r="C54" i="44"/>
  <c r="D54" i="44"/>
  <c r="E54" i="44"/>
  <c r="F54" i="44"/>
  <c r="G54" i="44"/>
  <c r="H54" i="44"/>
  <c r="I54" i="44"/>
  <c r="J54" i="44"/>
  <c r="K54" i="44"/>
  <c r="L54" i="44"/>
  <c r="M54" i="44"/>
  <c r="C55" i="44"/>
  <c r="D55" i="44"/>
  <c r="E55" i="44"/>
  <c r="F55" i="44"/>
  <c r="G55" i="44"/>
  <c r="H55" i="44"/>
  <c r="I55" i="44"/>
  <c r="J55" i="44"/>
  <c r="K55" i="44"/>
  <c r="L55" i="44"/>
  <c r="M55" i="44"/>
  <c r="C56" i="44"/>
  <c r="D56" i="44"/>
  <c r="E56" i="44"/>
  <c r="F56" i="44"/>
  <c r="G56" i="44"/>
  <c r="H56" i="44"/>
  <c r="I56" i="44"/>
  <c r="J56" i="44"/>
  <c r="K56" i="44"/>
  <c r="L56" i="44"/>
  <c r="M56" i="44"/>
  <c r="C57" i="44"/>
  <c r="D57" i="44"/>
  <c r="E57" i="44"/>
  <c r="F57" i="44"/>
  <c r="G57" i="44"/>
  <c r="H57" i="44"/>
  <c r="I57" i="44"/>
  <c r="J57" i="44"/>
  <c r="K57" i="44"/>
  <c r="L57" i="44"/>
  <c r="M57" i="44"/>
  <c r="C58" i="44"/>
  <c r="D58" i="44"/>
  <c r="E58" i="44"/>
  <c r="F58" i="44"/>
  <c r="G58" i="44"/>
  <c r="H58" i="44"/>
  <c r="I58" i="44"/>
  <c r="J58" i="44"/>
  <c r="K58" i="44"/>
  <c r="L58" i="44"/>
  <c r="M58" i="44"/>
  <c r="C59" i="44"/>
  <c r="D59" i="44"/>
  <c r="E59" i="44"/>
  <c r="F59" i="44"/>
  <c r="G59" i="44"/>
  <c r="H59" i="44"/>
  <c r="I59" i="44"/>
  <c r="J59" i="44"/>
  <c r="K59" i="44"/>
  <c r="L59" i="44"/>
  <c r="M59" i="44"/>
  <c r="C60" i="44"/>
  <c r="D60" i="44"/>
  <c r="E60" i="44"/>
  <c r="F60" i="44"/>
  <c r="G60" i="44"/>
  <c r="H60" i="44"/>
  <c r="I60" i="44"/>
  <c r="J60" i="44"/>
  <c r="K60" i="44"/>
  <c r="L60" i="44"/>
  <c r="M60" i="44"/>
  <c r="C61" i="44"/>
  <c r="D61" i="44"/>
  <c r="E61" i="44"/>
  <c r="F61" i="44"/>
  <c r="G61" i="44"/>
  <c r="H61" i="44"/>
  <c r="I61" i="44"/>
  <c r="J61" i="44"/>
  <c r="K61" i="44"/>
  <c r="L61" i="44"/>
  <c r="M61" i="44"/>
  <c r="C62" i="44"/>
  <c r="D62" i="44"/>
  <c r="E62" i="44"/>
  <c r="F62" i="44"/>
  <c r="G62" i="44"/>
  <c r="H62" i="44"/>
  <c r="I62" i="44"/>
  <c r="J62" i="44"/>
  <c r="K62" i="44"/>
  <c r="L62" i="44"/>
  <c r="M62" i="44"/>
  <c r="C63" i="44"/>
  <c r="D63" i="44"/>
  <c r="E63" i="44"/>
  <c r="F63" i="44"/>
  <c r="G63" i="44"/>
  <c r="H63" i="44"/>
  <c r="I63" i="44"/>
  <c r="J63" i="44"/>
  <c r="K63" i="44"/>
  <c r="L63" i="44"/>
  <c r="M63" i="44"/>
  <c r="C64" i="44"/>
  <c r="D64" i="44"/>
  <c r="E64" i="44"/>
  <c r="F64" i="44"/>
  <c r="G64" i="44"/>
  <c r="H64" i="44"/>
  <c r="I64" i="44"/>
  <c r="J64" i="44"/>
  <c r="K64" i="44"/>
  <c r="L64" i="44"/>
  <c r="M64" i="44"/>
  <c r="C65" i="44"/>
  <c r="D65" i="44"/>
  <c r="E65" i="44"/>
  <c r="F65" i="44"/>
  <c r="G65" i="44"/>
  <c r="H65" i="44"/>
  <c r="I65" i="44"/>
  <c r="J65" i="44"/>
  <c r="K65" i="44"/>
  <c r="L65" i="44"/>
  <c r="M65" i="44"/>
  <c r="C66" i="44"/>
  <c r="D66" i="44"/>
  <c r="E66" i="44"/>
  <c r="F66" i="44"/>
  <c r="G66" i="44"/>
  <c r="H66" i="44"/>
  <c r="I66" i="44"/>
  <c r="J66" i="44"/>
  <c r="K66" i="44"/>
  <c r="L66" i="44"/>
  <c r="M66" i="44"/>
  <c r="C67" i="44"/>
  <c r="D67" i="44"/>
  <c r="E67" i="44"/>
  <c r="F67" i="44"/>
  <c r="G67" i="44"/>
  <c r="H67" i="44"/>
  <c r="I67" i="44"/>
  <c r="J67" i="44"/>
  <c r="K67" i="44"/>
  <c r="L67" i="44"/>
  <c r="M67" i="44"/>
  <c r="C68" i="44"/>
  <c r="D68" i="44"/>
  <c r="E68" i="44"/>
  <c r="F68" i="44"/>
  <c r="G68" i="44"/>
  <c r="H68" i="44"/>
  <c r="I68" i="44"/>
  <c r="J68" i="44"/>
  <c r="K68" i="44"/>
  <c r="L68" i="44"/>
  <c r="M68" i="44"/>
  <c r="C69" i="44"/>
  <c r="D69" i="44"/>
  <c r="E69" i="44"/>
  <c r="F69" i="44"/>
  <c r="G69" i="44"/>
  <c r="H69" i="44"/>
  <c r="I69" i="44"/>
  <c r="J69" i="44"/>
  <c r="K69" i="44"/>
  <c r="L69" i="44"/>
  <c r="M69" i="44"/>
  <c r="C70" i="44"/>
  <c r="D70" i="44"/>
  <c r="E70" i="44"/>
  <c r="F70" i="44"/>
  <c r="G70" i="44"/>
  <c r="H70" i="44"/>
  <c r="I70" i="44"/>
  <c r="J70" i="44"/>
  <c r="K70" i="44"/>
  <c r="L70" i="44"/>
  <c r="M70" i="44"/>
  <c r="C71" i="44"/>
  <c r="D71" i="44"/>
  <c r="E71" i="44"/>
  <c r="F71" i="44"/>
  <c r="G71" i="44"/>
  <c r="H71" i="44"/>
  <c r="I71" i="44"/>
  <c r="J71" i="44"/>
  <c r="K71" i="44"/>
  <c r="L71" i="44"/>
  <c r="M71" i="44"/>
  <c r="C72" i="44"/>
  <c r="D72" i="44"/>
  <c r="E72" i="44"/>
  <c r="F72" i="44"/>
  <c r="G72" i="44"/>
  <c r="H72" i="44"/>
  <c r="I72" i="44"/>
  <c r="J72" i="44"/>
  <c r="K72" i="44"/>
  <c r="L72" i="44"/>
  <c r="M72" i="44"/>
  <c r="C73" i="44"/>
  <c r="D73" i="44"/>
  <c r="E73" i="44"/>
  <c r="F73" i="44"/>
  <c r="G73" i="44"/>
  <c r="H73" i="44"/>
  <c r="I73" i="44"/>
  <c r="J73" i="44"/>
  <c r="K73" i="44"/>
  <c r="L73" i="44"/>
  <c r="M73" i="44"/>
  <c r="C74" i="44"/>
  <c r="D74" i="44"/>
  <c r="E74" i="44"/>
  <c r="F74" i="44"/>
  <c r="G74" i="44"/>
  <c r="H74" i="44"/>
  <c r="I74" i="44"/>
  <c r="J74" i="44"/>
  <c r="K74" i="44"/>
  <c r="L74" i="44"/>
  <c r="M74" i="44"/>
  <c r="C75" i="44"/>
  <c r="D75" i="44"/>
  <c r="E75" i="44"/>
  <c r="F75" i="44"/>
  <c r="G75" i="44"/>
  <c r="H75" i="44"/>
  <c r="I75" i="44"/>
  <c r="J75" i="44"/>
  <c r="K75" i="44"/>
  <c r="L75" i="44"/>
  <c r="M75" i="44"/>
  <c r="C76" i="44"/>
  <c r="D76" i="44"/>
  <c r="E76" i="44"/>
  <c r="F76" i="44"/>
  <c r="G76" i="44"/>
  <c r="H76" i="44"/>
  <c r="I76" i="44"/>
  <c r="J76" i="44"/>
  <c r="K76" i="44"/>
  <c r="L76" i="44"/>
  <c r="M76" i="44"/>
  <c r="C77" i="44"/>
  <c r="D77" i="44"/>
  <c r="E77" i="44"/>
  <c r="F77" i="44"/>
  <c r="G77" i="44"/>
  <c r="H77" i="44"/>
  <c r="I77" i="44"/>
  <c r="J77" i="44"/>
  <c r="K77" i="44"/>
  <c r="L77" i="44"/>
  <c r="M77" i="44"/>
  <c r="C78" i="44"/>
  <c r="D78" i="44"/>
  <c r="E78" i="44"/>
  <c r="F78" i="44"/>
  <c r="G78" i="44"/>
  <c r="H78" i="44"/>
  <c r="I78" i="44"/>
  <c r="J78" i="44"/>
  <c r="K78" i="44"/>
  <c r="L78" i="44"/>
  <c r="M78" i="44"/>
  <c r="C79" i="44"/>
  <c r="D79" i="44"/>
  <c r="E79" i="44"/>
  <c r="F79" i="44"/>
  <c r="G79" i="44"/>
  <c r="H79" i="44"/>
  <c r="I79" i="44"/>
  <c r="J79" i="44"/>
  <c r="K79" i="44"/>
  <c r="L79" i="44"/>
  <c r="M79" i="44"/>
  <c r="C80" i="44"/>
  <c r="D80" i="44"/>
  <c r="E80" i="44"/>
  <c r="F80" i="44"/>
  <c r="G80" i="44"/>
  <c r="H80" i="44"/>
  <c r="I80" i="44"/>
  <c r="J80" i="44"/>
  <c r="K80" i="44"/>
  <c r="L80" i="44"/>
  <c r="M80" i="44"/>
  <c r="C81" i="44"/>
  <c r="D81" i="44"/>
  <c r="E81" i="44"/>
  <c r="F81" i="44"/>
  <c r="G81" i="44"/>
  <c r="H81" i="44"/>
  <c r="I81" i="44"/>
  <c r="J81" i="44"/>
  <c r="K81" i="44"/>
  <c r="L81" i="44"/>
  <c r="M81" i="44"/>
  <c r="C82" i="44"/>
  <c r="D82" i="44"/>
  <c r="E82" i="44"/>
  <c r="F82" i="44"/>
  <c r="G82" i="44"/>
  <c r="H82" i="44"/>
  <c r="I82" i="44"/>
  <c r="J82" i="44"/>
  <c r="K82" i="44"/>
  <c r="L82" i="44"/>
  <c r="M82" i="44"/>
  <c r="C83" i="44"/>
  <c r="D83" i="44"/>
  <c r="E83" i="44"/>
  <c r="F83" i="44"/>
  <c r="G83" i="44"/>
  <c r="H83" i="44"/>
  <c r="I83" i="44"/>
  <c r="J83" i="44"/>
  <c r="K83" i="44"/>
  <c r="L83" i="44"/>
  <c r="M83" i="44"/>
  <c r="C84" i="44"/>
  <c r="D84" i="44"/>
  <c r="E84" i="44"/>
  <c r="F84" i="44"/>
  <c r="G84" i="44"/>
  <c r="H84" i="44"/>
  <c r="I84" i="44"/>
  <c r="J84" i="44"/>
  <c r="K84" i="44"/>
  <c r="L84" i="44"/>
  <c r="M84" i="44"/>
  <c r="C85" i="44"/>
  <c r="D85" i="44"/>
  <c r="E85" i="44"/>
  <c r="F85" i="44"/>
  <c r="G85" i="44"/>
  <c r="H85" i="44"/>
  <c r="I85" i="44"/>
  <c r="J85" i="44"/>
  <c r="K85" i="44"/>
  <c r="L85" i="44"/>
  <c r="M85" i="44"/>
  <c r="C86" i="44"/>
  <c r="D86" i="44"/>
  <c r="E86" i="44"/>
  <c r="F86" i="44"/>
  <c r="G86" i="44"/>
  <c r="H86" i="44"/>
  <c r="I86" i="44"/>
  <c r="J86" i="44"/>
  <c r="K86" i="44"/>
  <c r="L86" i="44"/>
  <c r="M86" i="44"/>
  <c r="C87" i="44"/>
  <c r="D87" i="44"/>
  <c r="E87" i="44"/>
  <c r="F87" i="44"/>
  <c r="G87" i="44"/>
  <c r="H87" i="44"/>
  <c r="I87" i="44"/>
  <c r="J87" i="44"/>
  <c r="K87" i="44"/>
  <c r="L87" i="44"/>
  <c r="M87" i="44"/>
  <c r="C88" i="44"/>
  <c r="D88" i="44"/>
  <c r="E88" i="44"/>
  <c r="F88" i="44"/>
  <c r="G88" i="44"/>
  <c r="H88" i="44"/>
  <c r="I88" i="44"/>
  <c r="J88" i="44"/>
  <c r="K88" i="44"/>
  <c r="L88" i="44"/>
  <c r="M88" i="44"/>
  <c r="C89" i="44"/>
  <c r="D89" i="44"/>
  <c r="E89" i="44"/>
  <c r="F89" i="44"/>
  <c r="G89" i="44"/>
  <c r="H89" i="44"/>
  <c r="I89" i="44"/>
  <c r="J89" i="44"/>
  <c r="K89" i="44"/>
  <c r="L89" i="44"/>
  <c r="M89" i="44"/>
  <c r="C90" i="44"/>
  <c r="D90" i="44"/>
  <c r="E90" i="44"/>
  <c r="F90" i="44"/>
  <c r="G90" i="44"/>
  <c r="H90" i="44"/>
  <c r="I90" i="44"/>
  <c r="J90" i="44"/>
  <c r="K90" i="44"/>
  <c r="L90" i="44"/>
  <c r="M90" i="44"/>
  <c r="C91" i="44"/>
  <c r="D91" i="44"/>
  <c r="E91" i="44"/>
  <c r="F91" i="44"/>
  <c r="G91" i="44"/>
  <c r="H91" i="44"/>
  <c r="I91" i="44"/>
  <c r="J91" i="44"/>
  <c r="K91" i="44"/>
  <c r="L91" i="44"/>
  <c r="M91" i="44"/>
  <c r="C92" i="44"/>
  <c r="D92" i="44"/>
  <c r="E92" i="44"/>
  <c r="F92" i="44"/>
  <c r="G92" i="44"/>
  <c r="H92" i="44"/>
  <c r="I92" i="44"/>
  <c r="J92" i="44"/>
  <c r="K92" i="44"/>
  <c r="L92" i="44"/>
  <c r="M92" i="44"/>
  <c r="C93" i="44"/>
  <c r="D93" i="44"/>
  <c r="E93" i="44"/>
  <c r="F93" i="44"/>
  <c r="G93" i="44"/>
  <c r="H93" i="44"/>
  <c r="I93" i="44"/>
  <c r="J93" i="44"/>
  <c r="K93" i="44"/>
  <c r="L93" i="44"/>
  <c r="M93" i="44"/>
  <c r="C94" i="44"/>
  <c r="D94" i="44"/>
  <c r="E94" i="44"/>
  <c r="F94" i="44"/>
  <c r="G94" i="44"/>
  <c r="H94" i="44"/>
  <c r="I94" i="44"/>
  <c r="J94" i="44"/>
  <c r="K94" i="44"/>
  <c r="L94" i="44"/>
  <c r="M94" i="44"/>
  <c r="C95" i="44"/>
  <c r="D95" i="44"/>
  <c r="E95" i="44"/>
  <c r="F95" i="44"/>
  <c r="G95" i="44"/>
  <c r="H95" i="44"/>
  <c r="I95" i="44"/>
  <c r="J95" i="44"/>
  <c r="K95" i="44"/>
  <c r="L95" i="44"/>
  <c r="M95" i="44"/>
  <c r="C96" i="44"/>
  <c r="D96" i="44"/>
  <c r="E96" i="44"/>
  <c r="F96" i="44"/>
  <c r="G96" i="44"/>
  <c r="H96" i="44"/>
  <c r="I96" i="44"/>
  <c r="J96" i="44"/>
  <c r="K96" i="44"/>
  <c r="L96" i="44"/>
  <c r="M96" i="44"/>
  <c r="C97" i="44"/>
  <c r="D97" i="44"/>
  <c r="E97" i="44"/>
  <c r="F97" i="44"/>
  <c r="G97" i="44"/>
  <c r="H97" i="44"/>
  <c r="I97" i="44"/>
  <c r="J97" i="44"/>
  <c r="K97" i="44"/>
  <c r="L97" i="44"/>
  <c r="M97" i="44"/>
  <c r="C98" i="44"/>
  <c r="D98" i="44"/>
  <c r="E98" i="44"/>
  <c r="F98" i="44"/>
  <c r="G98" i="44"/>
  <c r="H98" i="44"/>
  <c r="I98" i="44"/>
  <c r="J98" i="44"/>
  <c r="K98" i="44"/>
  <c r="L98" i="44"/>
  <c r="M98" i="44"/>
  <c r="C99" i="44"/>
  <c r="D99" i="44"/>
  <c r="E99" i="44"/>
  <c r="F99" i="44"/>
  <c r="G99" i="44"/>
  <c r="H99" i="44"/>
  <c r="I99" i="44"/>
  <c r="J99" i="44"/>
  <c r="K99" i="44"/>
  <c r="L99" i="44"/>
  <c r="M99" i="44"/>
  <c r="M100" i="44" l="1"/>
  <c r="I100" i="44"/>
  <c r="E100" i="44"/>
  <c r="K100" i="44"/>
  <c r="G100" i="44"/>
  <c r="C100" i="44"/>
  <c r="L100" i="44"/>
  <c r="H100" i="44"/>
  <c r="D100" i="44"/>
  <c r="J100" i="44"/>
  <c r="F100" i="44"/>
  <c r="C4" i="39" l="1"/>
  <c r="D4" i="39"/>
  <c r="E4" i="39"/>
  <c r="F4" i="39"/>
  <c r="G4" i="39"/>
  <c r="H4" i="39"/>
  <c r="I4" i="39"/>
  <c r="J4" i="39"/>
  <c r="K4" i="39"/>
  <c r="L4" i="39"/>
  <c r="M4" i="39"/>
  <c r="B4" i="39"/>
  <c r="C3" i="39"/>
  <c r="C5" i="39" s="1"/>
  <c r="D3" i="39"/>
  <c r="D5" i="39" s="1"/>
  <c r="E3" i="39"/>
  <c r="E5" i="39" s="1"/>
  <c r="F3" i="39"/>
  <c r="F5" i="39" s="1"/>
  <c r="G3" i="39"/>
  <c r="G5" i="39" s="1"/>
  <c r="H3" i="39"/>
  <c r="H5" i="39" s="1"/>
  <c r="I3" i="39"/>
  <c r="I5" i="39" s="1"/>
  <c r="J3" i="39"/>
  <c r="J5" i="39" s="1"/>
  <c r="K3" i="39"/>
  <c r="K5" i="39" s="1"/>
  <c r="L3" i="39"/>
  <c r="L5" i="39" s="1"/>
  <c r="M3" i="39"/>
  <c r="M5" i="39" s="1"/>
  <c r="B3" i="39"/>
  <c r="Q10" i="44" l="1"/>
  <c r="T10" i="44"/>
  <c r="U10" i="44"/>
  <c r="X10" i="44"/>
  <c r="Y10" i="44"/>
  <c r="Z10" i="44"/>
  <c r="Q11" i="44"/>
  <c r="R11" i="44"/>
  <c r="T11" i="44"/>
  <c r="U11" i="44"/>
  <c r="V11" i="44"/>
  <c r="W11" i="44"/>
  <c r="X11" i="44"/>
  <c r="Y11" i="44"/>
  <c r="Z11" i="44"/>
  <c r="AA11" i="44"/>
  <c r="Q12" i="44"/>
  <c r="R12" i="44"/>
  <c r="S12" i="44"/>
  <c r="T12" i="44"/>
  <c r="U12" i="44"/>
  <c r="V12" i="44"/>
  <c r="W12" i="44"/>
  <c r="X12" i="44"/>
  <c r="Y12" i="44"/>
  <c r="Z12" i="44"/>
  <c r="AA12" i="44"/>
  <c r="Q13" i="44"/>
  <c r="R13" i="44"/>
  <c r="S13" i="44"/>
  <c r="T13" i="44"/>
  <c r="U13" i="44"/>
  <c r="V13" i="44"/>
  <c r="W13" i="44"/>
  <c r="X13" i="44"/>
  <c r="Y13" i="44"/>
  <c r="Z13" i="44"/>
  <c r="AA13" i="44"/>
  <c r="Q14" i="44"/>
  <c r="R14" i="44"/>
  <c r="S14" i="44"/>
  <c r="T14" i="44"/>
  <c r="U14" i="44"/>
  <c r="V14" i="44"/>
  <c r="W14" i="44"/>
  <c r="X14" i="44"/>
  <c r="Y14" i="44"/>
  <c r="Z14" i="44"/>
  <c r="AA14" i="44"/>
  <c r="Q15" i="44"/>
  <c r="R15" i="44"/>
  <c r="S15" i="44"/>
  <c r="T15" i="44"/>
  <c r="U15" i="44"/>
  <c r="V15" i="44"/>
  <c r="W15" i="44"/>
  <c r="X15" i="44"/>
  <c r="Y15" i="44"/>
  <c r="Z15" i="44"/>
  <c r="AA15" i="44"/>
  <c r="Q16" i="44"/>
  <c r="R16" i="44"/>
  <c r="S16" i="44"/>
  <c r="T16" i="44"/>
  <c r="U16" i="44"/>
  <c r="V16" i="44"/>
  <c r="W16" i="44"/>
  <c r="X16" i="44"/>
  <c r="Y16" i="44"/>
  <c r="Z16" i="44"/>
  <c r="AA16" i="44"/>
  <c r="Q17" i="44"/>
  <c r="R17" i="44"/>
  <c r="S17" i="44"/>
  <c r="T17" i="44"/>
  <c r="U17" i="44"/>
  <c r="V17" i="44"/>
  <c r="W17" i="44"/>
  <c r="X17" i="44"/>
  <c r="Y17" i="44"/>
  <c r="Z17" i="44"/>
  <c r="AA17" i="44"/>
  <c r="Q18" i="44"/>
  <c r="R18" i="44"/>
  <c r="S18" i="44"/>
  <c r="T18" i="44"/>
  <c r="U18" i="44"/>
  <c r="V18" i="44"/>
  <c r="W18" i="44"/>
  <c r="X18" i="44"/>
  <c r="Y18" i="44"/>
  <c r="Z18" i="44"/>
  <c r="AA18" i="44"/>
  <c r="Q19" i="44"/>
  <c r="R19" i="44"/>
  <c r="S19" i="44"/>
  <c r="T19" i="44"/>
  <c r="U19" i="44"/>
  <c r="V19" i="44"/>
  <c r="W19" i="44"/>
  <c r="X19" i="44"/>
  <c r="Y19" i="44"/>
  <c r="Z19" i="44"/>
  <c r="AA19" i="44"/>
  <c r="Q20" i="44"/>
  <c r="R20" i="44"/>
  <c r="S20" i="44"/>
  <c r="T20" i="44"/>
  <c r="U20" i="44"/>
  <c r="V20" i="44"/>
  <c r="W20" i="44"/>
  <c r="X20" i="44"/>
  <c r="Y20" i="44"/>
  <c r="Z20" i="44"/>
  <c r="AA20" i="44"/>
  <c r="Q21" i="44"/>
  <c r="R21" i="44"/>
  <c r="S21" i="44"/>
  <c r="T21" i="44"/>
  <c r="U21" i="44"/>
  <c r="V21" i="44"/>
  <c r="W21" i="44"/>
  <c r="X21" i="44"/>
  <c r="Y21" i="44"/>
  <c r="Z21" i="44"/>
  <c r="AA21" i="44"/>
  <c r="Q22" i="44"/>
  <c r="R22" i="44"/>
  <c r="S22" i="44"/>
  <c r="T22" i="44"/>
  <c r="U22" i="44"/>
  <c r="V22" i="44"/>
  <c r="W22" i="44"/>
  <c r="X22" i="44"/>
  <c r="Y22" i="44"/>
  <c r="Z22" i="44"/>
  <c r="AA22" i="44"/>
  <c r="Q23" i="44"/>
  <c r="R23" i="44"/>
  <c r="S23" i="44"/>
  <c r="T23" i="44"/>
  <c r="U23" i="44"/>
  <c r="V23" i="44"/>
  <c r="W23" i="44"/>
  <c r="X23" i="44"/>
  <c r="Y23" i="44"/>
  <c r="Z23" i="44"/>
  <c r="AA23" i="44"/>
  <c r="Q24" i="44"/>
  <c r="R24" i="44"/>
  <c r="S24" i="44"/>
  <c r="T24" i="44"/>
  <c r="U24" i="44"/>
  <c r="V24" i="44"/>
  <c r="W24" i="44"/>
  <c r="X24" i="44"/>
  <c r="Y24" i="44"/>
  <c r="Z24" i="44"/>
  <c r="AA24" i="44"/>
  <c r="Q25" i="44"/>
  <c r="R25" i="44"/>
  <c r="S25" i="44"/>
  <c r="T25" i="44"/>
  <c r="U25" i="44"/>
  <c r="V25" i="44"/>
  <c r="W25" i="44"/>
  <c r="X25" i="44"/>
  <c r="Y25" i="44"/>
  <c r="Z25" i="44"/>
  <c r="AA25" i="44"/>
  <c r="Q26" i="44"/>
  <c r="R26" i="44"/>
  <c r="S26" i="44"/>
  <c r="T26" i="44"/>
  <c r="U26" i="44"/>
  <c r="V26" i="44"/>
  <c r="W26" i="44"/>
  <c r="X26" i="44"/>
  <c r="Y26" i="44"/>
  <c r="Z26" i="44"/>
  <c r="AA26" i="44"/>
  <c r="Q27" i="44"/>
  <c r="R27" i="44"/>
  <c r="S27" i="44"/>
  <c r="T27" i="44"/>
  <c r="U27" i="44"/>
  <c r="V27" i="44"/>
  <c r="W27" i="44"/>
  <c r="X27" i="44"/>
  <c r="Y27" i="44"/>
  <c r="Z27" i="44"/>
  <c r="AA27" i="44"/>
  <c r="Q28" i="44"/>
  <c r="R28" i="44"/>
  <c r="S28" i="44"/>
  <c r="T28" i="44"/>
  <c r="U28" i="44"/>
  <c r="V28" i="44"/>
  <c r="W28" i="44"/>
  <c r="X28" i="44"/>
  <c r="Y28" i="44"/>
  <c r="Z28" i="44"/>
  <c r="AA28" i="44"/>
  <c r="Q29" i="44"/>
  <c r="R29" i="44"/>
  <c r="S29" i="44"/>
  <c r="T29" i="44"/>
  <c r="U29" i="44"/>
  <c r="V29" i="44"/>
  <c r="W29" i="44"/>
  <c r="X29" i="44"/>
  <c r="Y29" i="44"/>
  <c r="Z29" i="44"/>
  <c r="AA29" i="44"/>
  <c r="Q30" i="44"/>
  <c r="R30" i="44"/>
  <c r="S30" i="44"/>
  <c r="T30" i="44"/>
  <c r="U30" i="44"/>
  <c r="V30" i="44"/>
  <c r="W30" i="44"/>
  <c r="X30" i="44"/>
  <c r="Y30" i="44"/>
  <c r="Z30" i="44"/>
  <c r="AA30" i="44"/>
  <c r="Q31" i="44"/>
  <c r="R31" i="44"/>
  <c r="S31" i="44"/>
  <c r="T31" i="44"/>
  <c r="U31" i="44"/>
  <c r="V31" i="44"/>
  <c r="W31" i="44"/>
  <c r="X31" i="44"/>
  <c r="Y31" i="44"/>
  <c r="Z31" i="44"/>
  <c r="AA31" i="44"/>
  <c r="Q32" i="44"/>
  <c r="R32" i="44"/>
  <c r="S32" i="44"/>
  <c r="T32" i="44"/>
  <c r="U32" i="44"/>
  <c r="V32" i="44"/>
  <c r="W32" i="44"/>
  <c r="X32" i="44"/>
  <c r="Y32" i="44"/>
  <c r="Z32" i="44"/>
  <c r="AA32" i="44"/>
  <c r="Q33" i="44"/>
  <c r="R33" i="44"/>
  <c r="S33" i="44"/>
  <c r="T33" i="44"/>
  <c r="U33" i="44"/>
  <c r="V33" i="44"/>
  <c r="W33" i="44"/>
  <c r="X33" i="44"/>
  <c r="Y33" i="44"/>
  <c r="Z33" i="44"/>
  <c r="AA33" i="44"/>
  <c r="Q34" i="44"/>
  <c r="R34" i="44"/>
  <c r="S34" i="44"/>
  <c r="T34" i="44"/>
  <c r="U34" i="44"/>
  <c r="V34" i="44"/>
  <c r="W34" i="44"/>
  <c r="X34" i="44"/>
  <c r="Y34" i="44"/>
  <c r="Z34" i="44"/>
  <c r="AA34" i="44"/>
  <c r="Q35" i="44"/>
  <c r="R35" i="44"/>
  <c r="S35" i="44"/>
  <c r="T35" i="44"/>
  <c r="U35" i="44"/>
  <c r="V35" i="44"/>
  <c r="W35" i="44"/>
  <c r="X35" i="44"/>
  <c r="Y35" i="44"/>
  <c r="Z35" i="44"/>
  <c r="AA35" i="44"/>
  <c r="Q36" i="44"/>
  <c r="R36" i="44"/>
  <c r="S36" i="44"/>
  <c r="T36" i="44"/>
  <c r="U36" i="44"/>
  <c r="V36" i="44"/>
  <c r="W36" i="44"/>
  <c r="X36" i="44"/>
  <c r="Y36" i="44"/>
  <c r="Z36" i="44"/>
  <c r="AA36" i="44"/>
  <c r="Q37" i="44"/>
  <c r="R37" i="44"/>
  <c r="S37" i="44"/>
  <c r="T37" i="44"/>
  <c r="U37" i="44"/>
  <c r="V37" i="44"/>
  <c r="W37" i="44"/>
  <c r="X37" i="44"/>
  <c r="Y37" i="44"/>
  <c r="Z37" i="44"/>
  <c r="AA37" i="44"/>
  <c r="Q38" i="44"/>
  <c r="R38" i="44"/>
  <c r="S38" i="44"/>
  <c r="T38" i="44"/>
  <c r="U38" i="44"/>
  <c r="V38" i="44"/>
  <c r="W38" i="44"/>
  <c r="X38" i="44"/>
  <c r="Y38" i="44"/>
  <c r="Z38" i="44"/>
  <c r="AA38" i="44"/>
  <c r="Q39" i="44"/>
  <c r="R39" i="44"/>
  <c r="S39" i="44"/>
  <c r="T39" i="44"/>
  <c r="U39" i="44"/>
  <c r="V39" i="44"/>
  <c r="W39" i="44"/>
  <c r="X39" i="44"/>
  <c r="Y39" i="44"/>
  <c r="Z39" i="44"/>
  <c r="AA39" i="44"/>
  <c r="Q40" i="44"/>
  <c r="R40" i="44"/>
  <c r="S40" i="44"/>
  <c r="T40" i="44"/>
  <c r="U40" i="44"/>
  <c r="V40" i="44"/>
  <c r="W40" i="44"/>
  <c r="X40" i="44"/>
  <c r="Y40" i="44"/>
  <c r="Z40" i="44"/>
  <c r="AA40" i="44"/>
  <c r="Q41" i="44"/>
  <c r="R41" i="44"/>
  <c r="S41" i="44"/>
  <c r="T41" i="44"/>
  <c r="U41" i="44"/>
  <c r="V41" i="44"/>
  <c r="W41" i="44"/>
  <c r="X41" i="44"/>
  <c r="Y41" i="44"/>
  <c r="Z41" i="44"/>
  <c r="AA41" i="44"/>
  <c r="Q42" i="44"/>
  <c r="R42" i="44"/>
  <c r="S42" i="44"/>
  <c r="T42" i="44"/>
  <c r="U42" i="44"/>
  <c r="V42" i="44"/>
  <c r="W42" i="44"/>
  <c r="X42" i="44"/>
  <c r="Y42" i="44"/>
  <c r="Z42" i="44"/>
  <c r="AA42" i="44"/>
  <c r="Q43" i="44"/>
  <c r="R43" i="44"/>
  <c r="S43" i="44"/>
  <c r="T43" i="44"/>
  <c r="U43" i="44"/>
  <c r="V43" i="44"/>
  <c r="W43" i="44"/>
  <c r="X43" i="44"/>
  <c r="Y43" i="44"/>
  <c r="Z43" i="44"/>
  <c r="AA43" i="44"/>
  <c r="Q44" i="44"/>
  <c r="R44" i="44"/>
  <c r="S44" i="44"/>
  <c r="T44" i="44"/>
  <c r="U44" i="44"/>
  <c r="V44" i="44"/>
  <c r="W44" i="44"/>
  <c r="X44" i="44"/>
  <c r="Y44" i="44"/>
  <c r="Z44" i="44"/>
  <c r="AA44" i="44"/>
  <c r="Q45" i="44"/>
  <c r="R45" i="44"/>
  <c r="S45" i="44"/>
  <c r="T45" i="44"/>
  <c r="U45" i="44"/>
  <c r="V45" i="44"/>
  <c r="W45" i="44"/>
  <c r="X45" i="44"/>
  <c r="Y45" i="44"/>
  <c r="Z45" i="44"/>
  <c r="AA45" i="44"/>
  <c r="Q46" i="44"/>
  <c r="R46" i="44"/>
  <c r="S46" i="44"/>
  <c r="T46" i="44"/>
  <c r="U46" i="44"/>
  <c r="V46" i="44"/>
  <c r="W46" i="44"/>
  <c r="X46" i="44"/>
  <c r="Y46" i="44"/>
  <c r="Z46" i="44"/>
  <c r="AA46" i="44"/>
  <c r="Q47" i="44"/>
  <c r="R47" i="44"/>
  <c r="S47" i="44"/>
  <c r="T47" i="44"/>
  <c r="U47" i="44"/>
  <c r="V47" i="44"/>
  <c r="W47" i="44"/>
  <c r="X47" i="44"/>
  <c r="Y47" i="44"/>
  <c r="Z47" i="44"/>
  <c r="AA47" i="44"/>
  <c r="Q48" i="44"/>
  <c r="R48" i="44"/>
  <c r="S48" i="44"/>
  <c r="T48" i="44"/>
  <c r="U48" i="44"/>
  <c r="V48" i="44"/>
  <c r="W48" i="44"/>
  <c r="X48" i="44"/>
  <c r="Y48" i="44"/>
  <c r="Z48" i="44"/>
  <c r="AA48" i="44"/>
  <c r="Q49" i="44"/>
  <c r="R49" i="44"/>
  <c r="S49" i="44"/>
  <c r="T49" i="44"/>
  <c r="U49" i="44"/>
  <c r="V49" i="44"/>
  <c r="W49" i="44"/>
  <c r="X49" i="44"/>
  <c r="Y49" i="44"/>
  <c r="Z49" i="44"/>
  <c r="AA49" i="44"/>
  <c r="Q50" i="44"/>
  <c r="R50" i="44"/>
  <c r="S50" i="44"/>
  <c r="T50" i="44"/>
  <c r="U50" i="44"/>
  <c r="V50" i="44"/>
  <c r="W50" i="44"/>
  <c r="X50" i="44"/>
  <c r="Y50" i="44"/>
  <c r="Z50" i="44"/>
  <c r="AA50" i="44"/>
  <c r="Q51" i="44"/>
  <c r="R51" i="44"/>
  <c r="S51" i="44"/>
  <c r="T51" i="44"/>
  <c r="U51" i="44"/>
  <c r="V51" i="44"/>
  <c r="W51" i="44"/>
  <c r="X51" i="44"/>
  <c r="Y51" i="44"/>
  <c r="Z51" i="44"/>
  <c r="AA51" i="44"/>
  <c r="Q52" i="44"/>
  <c r="R52" i="44"/>
  <c r="S52" i="44"/>
  <c r="T52" i="44"/>
  <c r="U52" i="44"/>
  <c r="V52" i="44"/>
  <c r="W52" i="44"/>
  <c r="X52" i="44"/>
  <c r="Y52" i="44"/>
  <c r="Z52" i="44"/>
  <c r="AA52" i="44"/>
  <c r="Q53" i="44"/>
  <c r="R53" i="44"/>
  <c r="S53" i="44"/>
  <c r="T53" i="44"/>
  <c r="U53" i="44"/>
  <c r="V53" i="44"/>
  <c r="W53" i="44"/>
  <c r="X53" i="44"/>
  <c r="Y53" i="44"/>
  <c r="Z53" i="44"/>
  <c r="AA53" i="44"/>
  <c r="Q54" i="44"/>
  <c r="R54" i="44"/>
  <c r="S54" i="44"/>
  <c r="T54" i="44"/>
  <c r="U54" i="44"/>
  <c r="V54" i="44"/>
  <c r="W54" i="44"/>
  <c r="X54" i="44"/>
  <c r="Y54" i="44"/>
  <c r="Z54" i="44"/>
  <c r="AA54" i="44"/>
  <c r="Q55" i="44"/>
  <c r="R55" i="44"/>
  <c r="S55" i="44"/>
  <c r="T55" i="44"/>
  <c r="U55" i="44"/>
  <c r="V55" i="44"/>
  <c r="W55" i="44"/>
  <c r="X55" i="44"/>
  <c r="Y55" i="44"/>
  <c r="Z55" i="44"/>
  <c r="AA55" i="44"/>
  <c r="Q56" i="44"/>
  <c r="R56" i="44"/>
  <c r="S56" i="44"/>
  <c r="T56" i="44"/>
  <c r="U56" i="44"/>
  <c r="V56" i="44"/>
  <c r="W56" i="44"/>
  <c r="X56" i="44"/>
  <c r="Y56" i="44"/>
  <c r="Z56" i="44"/>
  <c r="AA56" i="44"/>
  <c r="Q57" i="44"/>
  <c r="R57" i="44"/>
  <c r="S57" i="44"/>
  <c r="T57" i="44"/>
  <c r="U57" i="44"/>
  <c r="V57" i="44"/>
  <c r="W57" i="44"/>
  <c r="X57" i="44"/>
  <c r="Y57" i="44"/>
  <c r="Z57" i="44"/>
  <c r="AA57" i="44"/>
  <c r="Q58" i="44"/>
  <c r="R58" i="44"/>
  <c r="S58" i="44"/>
  <c r="T58" i="44"/>
  <c r="U58" i="44"/>
  <c r="V58" i="44"/>
  <c r="W58" i="44"/>
  <c r="X58" i="44"/>
  <c r="Y58" i="44"/>
  <c r="Z58" i="44"/>
  <c r="AA58" i="44"/>
  <c r="Q59" i="44"/>
  <c r="R59" i="44"/>
  <c r="S59" i="44"/>
  <c r="T59" i="44"/>
  <c r="U59" i="44"/>
  <c r="V59" i="44"/>
  <c r="W59" i="44"/>
  <c r="X59" i="44"/>
  <c r="Y59" i="44"/>
  <c r="Z59" i="44"/>
  <c r="AA59" i="44"/>
  <c r="Q60" i="44"/>
  <c r="R60" i="44"/>
  <c r="S60" i="44"/>
  <c r="T60" i="44"/>
  <c r="U60" i="44"/>
  <c r="V60" i="44"/>
  <c r="W60" i="44"/>
  <c r="X60" i="44"/>
  <c r="Y60" i="44"/>
  <c r="Z60" i="44"/>
  <c r="AA60" i="44"/>
  <c r="Q61" i="44"/>
  <c r="R61" i="44"/>
  <c r="S61" i="44"/>
  <c r="T61" i="44"/>
  <c r="U61" i="44"/>
  <c r="V61" i="44"/>
  <c r="W61" i="44"/>
  <c r="X61" i="44"/>
  <c r="Y61" i="44"/>
  <c r="Z61" i="44"/>
  <c r="AA61" i="44"/>
  <c r="Q62" i="44"/>
  <c r="R62" i="44"/>
  <c r="S62" i="44"/>
  <c r="T62" i="44"/>
  <c r="U62" i="44"/>
  <c r="V62" i="44"/>
  <c r="W62" i="44"/>
  <c r="X62" i="44"/>
  <c r="Y62" i="44"/>
  <c r="Z62" i="44"/>
  <c r="AA62" i="44"/>
  <c r="Q63" i="44"/>
  <c r="R63" i="44"/>
  <c r="S63" i="44"/>
  <c r="T63" i="44"/>
  <c r="U63" i="44"/>
  <c r="V63" i="44"/>
  <c r="W63" i="44"/>
  <c r="X63" i="44"/>
  <c r="Y63" i="44"/>
  <c r="Z63" i="44"/>
  <c r="AA63" i="44"/>
  <c r="Q64" i="44"/>
  <c r="R64" i="44"/>
  <c r="S64" i="44"/>
  <c r="T64" i="44"/>
  <c r="U64" i="44"/>
  <c r="V64" i="44"/>
  <c r="W64" i="44"/>
  <c r="X64" i="44"/>
  <c r="Y64" i="44"/>
  <c r="Z64" i="44"/>
  <c r="AA64" i="44"/>
  <c r="Q65" i="44"/>
  <c r="R65" i="44"/>
  <c r="S65" i="44"/>
  <c r="T65" i="44"/>
  <c r="U65" i="44"/>
  <c r="V65" i="44"/>
  <c r="W65" i="44"/>
  <c r="X65" i="44"/>
  <c r="Y65" i="44"/>
  <c r="Z65" i="44"/>
  <c r="AA65" i="44"/>
  <c r="Q66" i="44"/>
  <c r="R66" i="44"/>
  <c r="S66" i="44"/>
  <c r="T66" i="44"/>
  <c r="U66" i="44"/>
  <c r="V66" i="44"/>
  <c r="W66" i="44"/>
  <c r="X66" i="44"/>
  <c r="Y66" i="44"/>
  <c r="Z66" i="44"/>
  <c r="AA66" i="44"/>
  <c r="Q67" i="44"/>
  <c r="R67" i="44"/>
  <c r="S67" i="44"/>
  <c r="T67" i="44"/>
  <c r="U67" i="44"/>
  <c r="V67" i="44"/>
  <c r="W67" i="44"/>
  <c r="X67" i="44"/>
  <c r="Y67" i="44"/>
  <c r="Z67" i="44"/>
  <c r="AA67" i="44"/>
  <c r="Q68" i="44"/>
  <c r="R68" i="44"/>
  <c r="S68" i="44"/>
  <c r="T68" i="44"/>
  <c r="U68" i="44"/>
  <c r="V68" i="44"/>
  <c r="W68" i="44"/>
  <c r="X68" i="44"/>
  <c r="Y68" i="44"/>
  <c r="Z68" i="44"/>
  <c r="AA68" i="44"/>
  <c r="Q69" i="44"/>
  <c r="R69" i="44"/>
  <c r="S69" i="44"/>
  <c r="T69" i="44"/>
  <c r="U69" i="44"/>
  <c r="V69" i="44"/>
  <c r="W69" i="44"/>
  <c r="X69" i="44"/>
  <c r="Y69" i="44"/>
  <c r="Z69" i="44"/>
  <c r="AA69" i="44"/>
  <c r="Q70" i="44"/>
  <c r="R70" i="44"/>
  <c r="S70" i="44"/>
  <c r="T70" i="44"/>
  <c r="U70" i="44"/>
  <c r="V70" i="44"/>
  <c r="W70" i="44"/>
  <c r="X70" i="44"/>
  <c r="Y70" i="44"/>
  <c r="Z70" i="44"/>
  <c r="AA70" i="44"/>
  <c r="Q71" i="44"/>
  <c r="R71" i="44"/>
  <c r="S71" i="44"/>
  <c r="T71" i="44"/>
  <c r="U71" i="44"/>
  <c r="V71" i="44"/>
  <c r="W71" i="44"/>
  <c r="X71" i="44"/>
  <c r="Y71" i="44"/>
  <c r="Z71" i="44"/>
  <c r="AA71" i="44"/>
  <c r="Q72" i="44"/>
  <c r="R72" i="44"/>
  <c r="S72" i="44"/>
  <c r="T72" i="44"/>
  <c r="U72" i="44"/>
  <c r="V72" i="44"/>
  <c r="W72" i="44"/>
  <c r="X72" i="44"/>
  <c r="Y72" i="44"/>
  <c r="Z72" i="44"/>
  <c r="AA72" i="44"/>
  <c r="Q73" i="44"/>
  <c r="R73" i="44"/>
  <c r="S73" i="44"/>
  <c r="T73" i="44"/>
  <c r="U73" i="44"/>
  <c r="V73" i="44"/>
  <c r="W73" i="44"/>
  <c r="X73" i="44"/>
  <c r="Y73" i="44"/>
  <c r="Z73" i="44"/>
  <c r="AA73" i="44"/>
  <c r="Q74" i="44"/>
  <c r="R74" i="44"/>
  <c r="S74" i="44"/>
  <c r="T74" i="44"/>
  <c r="U74" i="44"/>
  <c r="V74" i="44"/>
  <c r="W74" i="44"/>
  <c r="X74" i="44"/>
  <c r="Y74" i="44"/>
  <c r="Z74" i="44"/>
  <c r="AA74" i="44"/>
  <c r="Q75" i="44"/>
  <c r="R75" i="44"/>
  <c r="S75" i="44"/>
  <c r="T75" i="44"/>
  <c r="U75" i="44"/>
  <c r="V75" i="44"/>
  <c r="W75" i="44"/>
  <c r="X75" i="44"/>
  <c r="Y75" i="44"/>
  <c r="Z75" i="44"/>
  <c r="AA75" i="44"/>
  <c r="Q76" i="44"/>
  <c r="R76" i="44"/>
  <c r="S76" i="44"/>
  <c r="T76" i="44"/>
  <c r="U76" i="44"/>
  <c r="V76" i="44"/>
  <c r="W76" i="44"/>
  <c r="X76" i="44"/>
  <c r="Y76" i="44"/>
  <c r="Z76" i="44"/>
  <c r="AA76" i="44"/>
  <c r="Q77" i="44"/>
  <c r="R77" i="44"/>
  <c r="S77" i="44"/>
  <c r="T77" i="44"/>
  <c r="U77" i="44"/>
  <c r="V77" i="44"/>
  <c r="W77" i="44"/>
  <c r="X77" i="44"/>
  <c r="Y77" i="44"/>
  <c r="Z77" i="44"/>
  <c r="AA77" i="44"/>
  <c r="Q78" i="44"/>
  <c r="R78" i="44"/>
  <c r="S78" i="44"/>
  <c r="T78" i="44"/>
  <c r="U78" i="44"/>
  <c r="V78" i="44"/>
  <c r="W78" i="44"/>
  <c r="X78" i="44"/>
  <c r="Y78" i="44"/>
  <c r="Z78" i="44"/>
  <c r="AA78" i="44"/>
  <c r="Q79" i="44"/>
  <c r="R79" i="44"/>
  <c r="S79" i="44"/>
  <c r="T79" i="44"/>
  <c r="U79" i="44"/>
  <c r="V79" i="44"/>
  <c r="W79" i="44"/>
  <c r="X79" i="44"/>
  <c r="Y79" i="44"/>
  <c r="Z79" i="44"/>
  <c r="AA79" i="44"/>
  <c r="Q80" i="44"/>
  <c r="R80" i="44"/>
  <c r="S80" i="44"/>
  <c r="T80" i="44"/>
  <c r="U80" i="44"/>
  <c r="V80" i="44"/>
  <c r="W80" i="44"/>
  <c r="X80" i="44"/>
  <c r="Y80" i="44"/>
  <c r="Z80" i="44"/>
  <c r="AA80" i="44"/>
  <c r="Q81" i="44"/>
  <c r="R81" i="44"/>
  <c r="S81" i="44"/>
  <c r="T81" i="44"/>
  <c r="U81" i="44"/>
  <c r="V81" i="44"/>
  <c r="W81" i="44"/>
  <c r="X81" i="44"/>
  <c r="Y81" i="44"/>
  <c r="Z81" i="44"/>
  <c r="AA81" i="44"/>
  <c r="Q82" i="44"/>
  <c r="R82" i="44"/>
  <c r="S82" i="44"/>
  <c r="T82" i="44"/>
  <c r="U82" i="44"/>
  <c r="V82" i="44"/>
  <c r="W82" i="44"/>
  <c r="X82" i="44"/>
  <c r="Y82" i="44"/>
  <c r="Z82" i="44"/>
  <c r="AA82" i="44"/>
  <c r="Q83" i="44"/>
  <c r="R83" i="44"/>
  <c r="S83" i="44"/>
  <c r="T83" i="44"/>
  <c r="U83" i="44"/>
  <c r="V83" i="44"/>
  <c r="W83" i="44"/>
  <c r="X83" i="44"/>
  <c r="Y83" i="44"/>
  <c r="Z83" i="44"/>
  <c r="AA83" i="44"/>
  <c r="Q84" i="44"/>
  <c r="R84" i="44"/>
  <c r="S84" i="44"/>
  <c r="T84" i="44"/>
  <c r="U84" i="44"/>
  <c r="V84" i="44"/>
  <c r="W84" i="44"/>
  <c r="X84" i="44"/>
  <c r="Y84" i="44"/>
  <c r="Z84" i="44"/>
  <c r="AA84" i="44"/>
  <c r="Q85" i="44"/>
  <c r="R85" i="44"/>
  <c r="S85" i="44"/>
  <c r="T85" i="44"/>
  <c r="U85" i="44"/>
  <c r="V85" i="44"/>
  <c r="W85" i="44"/>
  <c r="X85" i="44"/>
  <c r="Y85" i="44"/>
  <c r="Z85" i="44"/>
  <c r="AA85" i="44"/>
  <c r="Q86" i="44"/>
  <c r="R86" i="44"/>
  <c r="S86" i="44"/>
  <c r="T86" i="44"/>
  <c r="U86" i="44"/>
  <c r="V86" i="44"/>
  <c r="W86" i="44"/>
  <c r="X86" i="44"/>
  <c r="Y86" i="44"/>
  <c r="Z86" i="44"/>
  <c r="AA86" i="44"/>
  <c r="Q87" i="44"/>
  <c r="R87" i="44"/>
  <c r="S87" i="44"/>
  <c r="T87" i="44"/>
  <c r="U87" i="44"/>
  <c r="V87" i="44"/>
  <c r="X87" i="44"/>
  <c r="Y87" i="44"/>
  <c r="Z87" i="44"/>
  <c r="AA87" i="44"/>
  <c r="Q88" i="44"/>
  <c r="R88" i="44"/>
  <c r="S88" i="44"/>
  <c r="T88" i="44"/>
  <c r="U88" i="44"/>
  <c r="V88" i="44"/>
  <c r="W88" i="44"/>
  <c r="X88" i="44"/>
  <c r="Y88" i="44"/>
  <c r="Z88" i="44"/>
  <c r="AA88" i="44"/>
  <c r="Q89" i="44"/>
  <c r="R89" i="44"/>
  <c r="S89" i="44"/>
  <c r="T89" i="44"/>
  <c r="U89" i="44"/>
  <c r="V89" i="44"/>
  <c r="W89" i="44"/>
  <c r="X89" i="44"/>
  <c r="Y89" i="44"/>
  <c r="Z89" i="44"/>
  <c r="AA89" i="44"/>
  <c r="Q90" i="44"/>
  <c r="R90" i="44"/>
  <c r="S90" i="44"/>
  <c r="T90" i="44"/>
  <c r="U90" i="44"/>
  <c r="V90" i="44"/>
  <c r="W90" i="44"/>
  <c r="X90" i="44"/>
  <c r="Y90" i="44"/>
  <c r="Z90" i="44"/>
  <c r="AA90" i="44"/>
  <c r="Q91" i="44"/>
  <c r="R91" i="44"/>
  <c r="S91" i="44"/>
  <c r="T91" i="44"/>
  <c r="U91" i="44"/>
  <c r="V91" i="44"/>
  <c r="W91" i="44"/>
  <c r="X91" i="44"/>
  <c r="Y91" i="44"/>
  <c r="Z91" i="44"/>
  <c r="AA91" i="44"/>
  <c r="Q92" i="44"/>
  <c r="R92" i="44"/>
  <c r="S92" i="44"/>
  <c r="T92" i="44"/>
  <c r="U92" i="44"/>
  <c r="V92" i="44"/>
  <c r="W92" i="44"/>
  <c r="X92" i="44"/>
  <c r="Y92" i="44"/>
  <c r="Z92" i="44"/>
  <c r="AA92" i="44"/>
  <c r="Q93" i="44"/>
  <c r="R93" i="44"/>
  <c r="S93" i="44"/>
  <c r="T93" i="44"/>
  <c r="U93" i="44"/>
  <c r="V93" i="44"/>
  <c r="W93" i="44"/>
  <c r="X93" i="44"/>
  <c r="Y93" i="44"/>
  <c r="Z93" i="44"/>
  <c r="AA93" i="44"/>
  <c r="Q94" i="44"/>
  <c r="R94" i="44"/>
  <c r="S94" i="44"/>
  <c r="T94" i="44"/>
  <c r="U94" i="44"/>
  <c r="V94" i="44"/>
  <c r="W94" i="44"/>
  <c r="X94" i="44"/>
  <c r="Y94" i="44"/>
  <c r="Z94" i="44"/>
  <c r="AA94" i="44"/>
  <c r="Q95" i="44"/>
  <c r="R95" i="44"/>
  <c r="S95" i="44"/>
  <c r="T95" i="44"/>
  <c r="U95" i="44"/>
  <c r="V95" i="44"/>
  <c r="W95" i="44"/>
  <c r="X95" i="44"/>
  <c r="Y95" i="44"/>
  <c r="Z95" i="44"/>
  <c r="AA95" i="44"/>
  <c r="Q96" i="44"/>
  <c r="R96" i="44"/>
  <c r="S96" i="44"/>
  <c r="T96" i="44"/>
  <c r="U96" i="44"/>
  <c r="V96" i="44"/>
  <c r="W96" i="44"/>
  <c r="X96" i="44"/>
  <c r="Y96" i="44"/>
  <c r="Z96" i="44"/>
  <c r="AA96" i="44"/>
  <c r="Q97" i="44"/>
  <c r="R97" i="44"/>
  <c r="S97" i="44"/>
  <c r="T97" i="44"/>
  <c r="U97" i="44"/>
  <c r="V97" i="44"/>
  <c r="W97" i="44"/>
  <c r="X97" i="44"/>
  <c r="Y97" i="44"/>
  <c r="Z97" i="44"/>
  <c r="AA97" i="44"/>
  <c r="Q98" i="44"/>
  <c r="R98" i="44"/>
  <c r="S98" i="44"/>
  <c r="T98" i="44"/>
  <c r="U98" i="44"/>
  <c r="V98" i="44"/>
  <c r="W98" i="44"/>
  <c r="X98" i="44"/>
  <c r="Y98" i="44"/>
  <c r="Z98" i="44"/>
  <c r="AA98" i="44"/>
  <c r="Q99" i="44"/>
  <c r="R99" i="44"/>
  <c r="S99" i="44"/>
  <c r="T99" i="44"/>
  <c r="U99" i="44"/>
  <c r="V99" i="44"/>
  <c r="W99" i="44"/>
  <c r="X99" i="44"/>
  <c r="Y99" i="44"/>
  <c r="Z99" i="44"/>
  <c r="AA99" i="44"/>
  <c r="B17" i="44"/>
  <c r="P17" i="44" s="1"/>
  <c r="B10" i="44"/>
  <c r="P10" i="44" s="1"/>
  <c r="B11" i="44"/>
  <c r="P11" i="44" s="1"/>
  <c r="B12" i="44"/>
  <c r="P12" i="44" s="1"/>
  <c r="B13" i="44"/>
  <c r="P13" i="44" s="1"/>
  <c r="B14" i="44"/>
  <c r="P14" i="44" s="1"/>
  <c r="B15" i="44"/>
  <c r="P15" i="44" s="1"/>
  <c r="B16" i="44"/>
  <c r="P16" i="44" s="1"/>
  <c r="B18" i="44"/>
  <c r="P18" i="44" s="1"/>
  <c r="B19" i="44"/>
  <c r="P19" i="44" s="1"/>
  <c r="B20" i="44"/>
  <c r="P20" i="44" s="1"/>
  <c r="B21" i="44"/>
  <c r="P21" i="44" s="1"/>
  <c r="B22" i="44"/>
  <c r="P22" i="44" s="1"/>
  <c r="B23" i="44"/>
  <c r="P23" i="44" s="1"/>
  <c r="B24" i="44"/>
  <c r="P24" i="44" s="1"/>
  <c r="B25" i="44"/>
  <c r="P25" i="44" s="1"/>
  <c r="B26" i="44"/>
  <c r="P26" i="44" s="1"/>
  <c r="B27" i="44"/>
  <c r="P27" i="44" s="1"/>
  <c r="B28" i="44"/>
  <c r="P28" i="44" s="1"/>
  <c r="B29" i="44"/>
  <c r="P29" i="44" s="1"/>
  <c r="B30" i="44"/>
  <c r="P30" i="44" s="1"/>
  <c r="B31" i="44"/>
  <c r="P31" i="44" s="1"/>
  <c r="B32" i="44"/>
  <c r="P32" i="44" s="1"/>
  <c r="B33" i="44"/>
  <c r="P33" i="44" s="1"/>
  <c r="B34" i="44"/>
  <c r="P34" i="44" s="1"/>
  <c r="B35" i="44"/>
  <c r="P35" i="44" s="1"/>
  <c r="B36" i="44"/>
  <c r="P36" i="44" s="1"/>
  <c r="B37" i="44"/>
  <c r="P37" i="44" s="1"/>
  <c r="B38" i="44"/>
  <c r="P38" i="44" s="1"/>
  <c r="B39" i="44"/>
  <c r="P39" i="44" s="1"/>
  <c r="B40" i="44"/>
  <c r="P40" i="44" s="1"/>
  <c r="B41" i="44"/>
  <c r="P41" i="44" s="1"/>
  <c r="B42" i="44"/>
  <c r="P42" i="44" s="1"/>
  <c r="B43" i="44"/>
  <c r="P43" i="44" s="1"/>
  <c r="B44" i="44"/>
  <c r="P44" i="44" s="1"/>
  <c r="B45" i="44"/>
  <c r="P45" i="44" s="1"/>
  <c r="B46" i="44"/>
  <c r="P46" i="44" s="1"/>
  <c r="B47" i="44"/>
  <c r="P47" i="44" s="1"/>
  <c r="B48" i="44"/>
  <c r="P48" i="44" s="1"/>
  <c r="B49" i="44"/>
  <c r="P49" i="44" s="1"/>
  <c r="B50" i="44"/>
  <c r="P50" i="44" s="1"/>
  <c r="B51" i="44"/>
  <c r="P51" i="44" s="1"/>
  <c r="B52" i="44"/>
  <c r="P52" i="44" s="1"/>
  <c r="B53" i="44"/>
  <c r="P53" i="44" s="1"/>
  <c r="B54" i="44"/>
  <c r="P54" i="44" s="1"/>
  <c r="B55" i="44"/>
  <c r="P55" i="44" s="1"/>
  <c r="B56" i="44"/>
  <c r="P56" i="44" s="1"/>
  <c r="B57" i="44"/>
  <c r="P57" i="44" s="1"/>
  <c r="B58" i="44"/>
  <c r="P58" i="44" s="1"/>
  <c r="B59" i="44"/>
  <c r="P59" i="44" s="1"/>
  <c r="B60" i="44"/>
  <c r="P60" i="44" s="1"/>
  <c r="B61" i="44"/>
  <c r="P61" i="44" s="1"/>
  <c r="B62" i="44"/>
  <c r="P62" i="44" s="1"/>
  <c r="B63" i="44"/>
  <c r="P63" i="44" s="1"/>
  <c r="B64" i="44"/>
  <c r="P64" i="44" s="1"/>
  <c r="B65" i="44"/>
  <c r="P65" i="44" s="1"/>
  <c r="B66" i="44"/>
  <c r="P66" i="44" s="1"/>
  <c r="B67" i="44"/>
  <c r="P67" i="44" s="1"/>
  <c r="B68" i="44"/>
  <c r="P68" i="44" s="1"/>
  <c r="B69" i="44"/>
  <c r="P69" i="44" s="1"/>
  <c r="B70" i="44"/>
  <c r="P70" i="44" s="1"/>
  <c r="B71" i="44"/>
  <c r="P71" i="44" s="1"/>
  <c r="B72" i="44"/>
  <c r="P72" i="44" s="1"/>
  <c r="B73" i="44"/>
  <c r="P73" i="44" s="1"/>
  <c r="B74" i="44"/>
  <c r="P74" i="44" s="1"/>
  <c r="B75" i="44"/>
  <c r="P75" i="44" s="1"/>
  <c r="B76" i="44"/>
  <c r="P76" i="44" s="1"/>
  <c r="B77" i="44"/>
  <c r="P77" i="44" s="1"/>
  <c r="B78" i="44"/>
  <c r="P78" i="44" s="1"/>
  <c r="B79" i="44"/>
  <c r="P79" i="44" s="1"/>
  <c r="B80" i="44"/>
  <c r="P80" i="44" s="1"/>
  <c r="B81" i="44"/>
  <c r="P81" i="44" s="1"/>
  <c r="B82" i="44"/>
  <c r="P82" i="44" s="1"/>
  <c r="B83" i="44"/>
  <c r="P83" i="44" s="1"/>
  <c r="B84" i="44"/>
  <c r="P84" i="44" s="1"/>
  <c r="B85" i="44"/>
  <c r="P85" i="44" s="1"/>
  <c r="B86" i="44"/>
  <c r="P86" i="44" s="1"/>
  <c r="B87" i="44"/>
  <c r="P87" i="44" s="1"/>
  <c r="B88" i="44"/>
  <c r="P88" i="44" s="1"/>
  <c r="B89" i="44"/>
  <c r="P89" i="44" s="1"/>
  <c r="B90" i="44"/>
  <c r="P90" i="44" s="1"/>
  <c r="B91" i="44"/>
  <c r="P91" i="44" s="1"/>
  <c r="B92" i="44"/>
  <c r="P92" i="44" s="1"/>
  <c r="B93" i="44"/>
  <c r="P93" i="44" s="1"/>
  <c r="B94" i="44"/>
  <c r="P94" i="44" s="1"/>
  <c r="B95" i="44"/>
  <c r="P95" i="44" s="1"/>
  <c r="B96" i="44"/>
  <c r="P96" i="44" s="1"/>
  <c r="B97" i="44"/>
  <c r="P97" i="44" s="1"/>
  <c r="B98" i="44"/>
  <c r="P98" i="44" s="1"/>
  <c r="B99" i="44"/>
  <c r="P99" i="44" s="1"/>
  <c r="D116" i="44"/>
  <c r="D115" i="44"/>
  <c r="D114" i="44"/>
  <c r="D113" i="44"/>
  <c r="D112" i="44"/>
  <c r="D117" i="44" s="1"/>
  <c r="C109" i="44"/>
  <c r="B109" i="44"/>
  <c r="D107" i="44"/>
  <c r="D109" i="44" s="1"/>
  <c r="N100" i="44"/>
  <c r="S11" i="44"/>
  <c r="AA10" i="44"/>
  <c r="W10" i="44"/>
  <c r="V10" i="44"/>
  <c r="S10" i="44"/>
  <c r="R10" i="44"/>
  <c r="W87" i="44" l="1"/>
  <c r="B100" i="44"/>
  <c r="P9" i="44"/>
  <c r="P100" i="44" s="1"/>
  <c r="T9" i="44"/>
  <c r="T100" i="44" s="1"/>
  <c r="X9" i="44"/>
  <c r="X100" i="44" s="1"/>
  <c r="S9" i="44"/>
  <c r="S100" i="44" s="1"/>
  <c r="W9" i="44"/>
  <c r="AA9" i="44"/>
  <c r="AA100" i="44" s="1"/>
  <c r="Q9" i="44"/>
  <c r="Q100" i="44" s="1"/>
  <c r="U9" i="44"/>
  <c r="U100" i="44" s="1"/>
  <c r="Y9" i="44"/>
  <c r="Y100" i="44" s="1"/>
  <c r="R9" i="44"/>
  <c r="R100" i="44" s="1"/>
  <c r="I106" i="44" s="1"/>
  <c r="V9" i="44"/>
  <c r="V100" i="44" s="1"/>
  <c r="Z9" i="44"/>
  <c r="Z100" i="44" s="1"/>
  <c r="W100" i="44" l="1"/>
  <c r="N106" i="44" s="1"/>
  <c r="I105" i="44"/>
  <c r="G106" i="44"/>
  <c r="G105" i="44"/>
  <c r="P106" i="44"/>
  <c r="P105" i="44"/>
  <c r="J106" i="44"/>
  <c r="E50" i="40" s="1"/>
  <c r="F50" i="40" s="1"/>
  <c r="J105" i="44"/>
  <c r="Q106" i="44"/>
  <c r="Q105" i="44"/>
  <c r="L106" i="44"/>
  <c r="L105" i="44"/>
  <c r="O106" i="44"/>
  <c r="O105" i="44"/>
  <c r="M106" i="44"/>
  <c r="M105" i="44"/>
  <c r="H106" i="44"/>
  <c r="H105" i="44"/>
  <c r="R106" i="44"/>
  <c r="R105" i="44"/>
  <c r="K106" i="44"/>
  <c r="K105" i="44"/>
  <c r="F61" i="40" l="1"/>
  <c r="G50" i="40"/>
  <c r="G61" i="40" s="1"/>
  <c r="N105" i="44"/>
  <c r="G31" i="40" l="1"/>
  <c r="F31" i="40"/>
  <c r="G30" i="40"/>
  <c r="G29" i="40"/>
  <c r="G28" i="40"/>
  <c r="G27" i="40"/>
  <c r="G26" i="40"/>
  <c r="G25" i="40"/>
  <c r="G24" i="40"/>
  <c r="G23" i="40"/>
  <c r="G22" i="40"/>
  <c r="G21" i="40"/>
  <c r="G20" i="40"/>
  <c r="F27" i="40"/>
  <c r="F30" i="40"/>
  <c r="F29" i="40"/>
  <c r="F28" i="40"/>
  <c r="F26" i="40"/>
  <c r="F25" i="40"/>
  <c r="F24" i="40"/>
  <c r="F23" i="40"/>
  <c r="F22" i="40"/>
  <c r="F21" i="40"/>
  <c r="F20" i="40"/>
  <c r="O15" i="40"/>
  <c r="P15" i="40" s="1"/>
  <c r="F15" i="40"/>
  <c r="G15" i="40" s="1"/>
  <c r="O14" i="40"/>
  <c r="P14" i="40" s="1"/>
  <c r="F14" i="40"/>
  <c r="G14" i="40" s="1"/>
  <c r="O13" i="40"/>
  <c r="P13" i="40" s="1"/>
  <c r="F13" i="40"/>
  <c r="G13" i="40" s="1"/>
  <c r="O12" i="40"/>
  <c r="P12" i="40" s="1"/>
  <c r="G12" i="40"/>
  <c r="F12" i="40"/>
  <c r="P11" i="40"/>
  <c r="O11" i="40"/>
  <c r="G11" i="40"/>
  <c r="F11" i="40"/>
  <c r="P10" i="40"/>
  <c r="O10" i="40"/>
  <c r="G10" i="40"/>
  <c r="F10" i="40"/>
  <c r="P9" i="40"/>
  <c r="O9" i="40"/>
  <c r="G9" i="40"/>
  <c r="F9" i="40"/>
  <c r="P8" i="40"/>
  <c r="O8" i="40"/>
  <c r="G8" i="40"/>
  <c r="F8" i="40"/>
  <c r="O7" i="40"/>
  <c r="G7" i="40"/>
  <c r="F7" i="40"/>
  <c r="P6" i="40"/>
  <c r="O6" i="40"/>
  <c r="G6" i="40"/>
  <c r="F6" i="40"/>
  <c r="P5" i="40"/>
  <c r="O5" i="40"/>
  <c r="G5" i="40"/>
  <c r="G16" i="40" s="1"/>
  <c r="F5" i="40"/>
  <c r="O16" i="40" l="1"/>
  <c r="P16" i="40"/>
  <c r="B5" i="39"/>
  <c r="F16" i="40"/>
</calcChain>
</file>

<file path=xl/sharedStrings.xml><?xml version="1.0" encoding="utf-8"?>
<sst xmlns="http://schemas.openxmlformats.org/spreadsheetml/2006/main" count="12232" uniqueCount="513">
  <si>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</si>
  <si>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</si>
  <si>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</si>
  <si>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</si>
  <si>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</si>
  <si>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</si>
  <si>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</si>
  <si>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</si>
  <si>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</si>
  <si>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</si>
  <si>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</si>
  <si>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</si>
  <si>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</si>
  <si>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</si>
  <si>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</si>
  <si>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</si>
  <si>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</si>
  <si>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</si>
  <si>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ENTREGA PASSIVA</t>
  </si>
  <si>
    <t>5004 - Sicoob UniCentro Brasileira</t>
  </si>
  <si>
    <t>Arley</t>
  </si>
  <si>
    <t>Informativo Top - 3ª Edição - UNICB</t>
  </si>
  <si>
    <t>Anúncio</t>
  </si>
  <si>
    <t>Ok</t>
  </si>
  <si>
    <t>Adaptação</t>
  </si>
  <si>
    <t>Peça de arte estática</t>
  </si>
  <si>
    <t>Sim</t>
  </si>
  <si>
    <t>Não</t>
  </si>
  <si>
    <t>3 - Regular</t>
  </si>
  <si>
    <t>4 - Bom</t>
  </si>
  <si>
    <t>5024 - Sicoob UniCentro Norte Goiano</t>
  </si>
  <si>
    <t>Ana Clara</t>
  </si>
  <si>
    <t>Peças promocionais condomínios 2021 - UNICNG</t>
  </si>
  <si>
    <t>Post Whatsapp</t>
  </si>
  <si>
    <t>Derivação</t>
  </si>
  <si>
    <t>E-mail MKT</t>
  </si>
  <si>
    <t>Story</t>
  </si>
  <si>
    <t>5631 - Sicoob Uni Sudeste</t>
  </si>
  <si>
    <t>Campanha Feirão de Veículos - UNI SUDESTE</t>
  </si>
  <si>
    <t>Banner</t>
  </si>
  <si>
    <t>2015 - Central Sicoob Uni</t>
  </si>
  <si>
    <t>Divulgação de resultado CNV Sicoobcard</t>
  </si>
  <si>
    <t>Criação</t>
  </si>
  <si>
    <t>Banner site</t>
  </si>
  <si>
    <t>Cartaz</t>
  </si>
  <si>
    <t>Filipeta</t>
  </si>
  <si>
    <t>SMS</t>
  </si>
  <si>
    <t>3246 - Sicoob Credseguro</t>
  </si>
  <si>
    <t>POST E SMS - pagamento de juros ao Capital</t>
  </si>
  <si>
    <t>Post Redes Sociais</t>
  </si>
  <si>
    <t>4 - Regular</t>
  </si>
  <si>
    <t>5 - Regular</t>
  </si>
  <si>
    <t>6 - Regular</t>
  </si>
  <si>
    <t>RDC</t>
  </si>
  <si>
    <t>5 - Ótimo</t>
  </si>
  <si>
    <t>3300 - Sicoob Lojicred</t>
  </si>
  <si>
    <t>Tatau</t>
  </si>
  <si>
    <t>Campanha de Crédito</t>
  </si>
  <si>
    <t>Dúvidas/Envio de material</t>
  </si>
  <si>
    <t>5014 - Sicoob Unicidades</t>
  </si>
  <si>
    <t>PORTIFÓLIO - LIVRETO - BOAS VINDAS</t>
  </si>
  <si>
    <t>Cartilha</t>
  </si>
  <si>
    <t>Folder</t>
  </si>
  <si>
    <t>Mockup</t>
  </si>
  <si>
    <t>João</t>
  </si>
  <si>
    <t>Peça aberta</t>
  </si>
  <si>
    <t>COTA PLUS | REGULAMENTO</t>
  </si>
  <si>
    <t>Apresentação</t>
  </si>
  <si>
    <t>5018 - Sicoob UniRondônia</t>
  </si>
  <si>
    <t>SOLICITAÇÃO DE ARTE - CONSIGNADO SEMANA DO APOSENTADO TAXAS INSS</t>
  </si>
  <si>
    <t>Campanha Crédito Rural - Safrinha</t>
  </si>
  <si>
    <t>3064 - Sicoob Goiânia</t>
  </si>
  <si>
    <t>Arte SIPAG</t>
  </si>
  <si>
    <t>Campanha</t>
  </si>
  <si>
    <t>2 - Ruim</t>
  </si>
  <si>
    <t>PPT - CNV 2021</t>
  </si>
  <si>
    <t>Post Vídeo</t>
  </si>
  <si>
    <t>3055 - Sicoob Coopercred</t>
  </si>
  <si>
    <t>Comunicado de pagamento de juros ao capital</t>
  </si>
  <si>
    <t>Campanha Sicoobcard - Incremento de faturamento</t>
  </si>
  <si>
    <t>Vídeo</t>
  </si>
  <si>
    <t>GIF</t>
  </si>
  <si>
    <t>PDF</t>
  </si>
  <si>
    <t>Identidade visual</t>
  </si>
  <si>
    <t>SOLICITAÇÃO DE ARTE PARA PIX</t>
  </si>
  <si>
    <t>3300_Campanha de Capitalização</t>
  </si>
  <si>
    <t>Comunicação Externa</t>
  </si>
  <si>
    <t>Comunicação Interna</t>
  </si>
  <si>
    <t>E-mail mkt</t>
  </si>
  <si>
    <t>Selo</t>
  </si>
  <si>
    <t>Post Carrossel</t>
  </si>
  <si>
    <t>Não Carrossel</t>
  </si>
  <si>
    <t>Carrossel</t>
  </si>
  <si>
    <t>Legenda Post</t>
  </si>
  <si>
    <t>Tv Senha</t>
  </si>
  <si>
    <t>2015 - UniCorretora</t>
  </si>
  <si>
    <t>ATIVA</t>
  </si>
  <si>
    <t>Ranking Grupo exclusivo</t>
  </si>
  <si>
    <t>Atualização organograma MKT</t>
  </si>
  <si>
    <t>Cota Plus - LOJICRED</t>
  </si>
  <si>
    <t>Associação Digital - UNICB</t>
  </si>
  <si>
    <t>Atendimento Geral Produtos</t>
  </si>
  <si>
    <t>Campanha Super Giro</t>
  </si>
  <si>
    <t>Campanha Linha de Crédito para Imposto</t>
  </si>
  <si>
    <t>SOLICITAÇÃO DE ARTE PARA CAPA DE CARNE SIPAG</t>
  </si>
  <si>
    <t>Campanha de atualização cadastral</t>
  </si>
  <si>
    <t>Peça conceito</t>
  </si>
  <si>
    <t>Campanhas/projetos
e identidade visual</t>
  </si>
  <si>
    <t>interno e externo</t>
  </si>
  <si>
    <t>Wallpaper</t>
  </si>
  <si>
    <t>interno</t>
  </si>
  <si>
    <t>externo</t>
  </si>
  <si>
    <t>Elaboração de folder</t>
  </si>
  <si>
    <t>5038 - Sicoob UNIRBO</t>
  </si>
  <si>
    <t>2015 - 5038 - MATERIAL CONSIGNADO</t>
  </si>
  <si>
    <t>Peça Financiamento Imobiliário - 2015</t>
  </si>
  <si>
    <t>Ajustes Material | Guia de Associação Digital ao Sicoob</t>
  </si>
  <si>
    <t>Guia</t>
  </si>
  <si>
    <t>Consocio grupo especial</t>
  </si>
  <si>
    <t>5 - Bom</t>
  </si>
  <si>
    <t>6 - Bom</t>
  </si>
  <si>
    <t>7 - Bom</t>
  </si>
  <si>
    <t>Convite Ciclo de Conversas INVESTIMENTOS</t>
  </si>
  <si>
    <t>Apresentação PJ | Guia de Associação Digital ao Sicoob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</si>
  <si>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</si>
  <si>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</si>
  <si>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</si>
  <si>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</si>
  <si>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</si>
  <si>
    <t>3336 - Sicoob Credi Comigo</t>
  </si>
  <si>
    <t>ARTE PREMIAÇÃO</t>
  </si>
  <si>
    <t>Logo</t>
  </si>
  <si>
    <t>Alterações Folder Unicap 2021</t>
  </si>
  <si>
    <t>3058 - Sicoob Credigoiás</t>
  </si>
  <si>
    <t>alteração da logomarca no folder crédito rural</t>
  </si>
  <si>
    <t>Solicitação de Arte</t>
  </si>
  <si>
    <t>Adequação das peças da Campanha Crédito Consignado</t>
  </si>
  <si>
    <t>Campanha de Conscientização dos Cooperados sobre o pagamento duplicado de boleto de cartão de crédito</t>
  </si>
  <si>
    <t>Ranking Grupo Exclusivo Consorcio 1090 e 1171</t>
  </si>
  <si>
    <t>Campanha fotovoltaica</t>
  </si>
  <si>
    <t>Outdoor</t>
  </si>
  <si>
    <t>Placas de mesa PIX</t>
  </si>
  <si>
    <t>Placa</t>
  </si>
  <si>
    <t>Alterações Folder Unicap 2021 - Veículo</t>
  </si>
  <si>
    <t>SOLICITAÇÃO ARTE CAMPANHA ESQUENTA CARNAVAL - TAXAS INSS E SIAPE</t>
  </si>
  <si>
    <t>3350 - Sicoob Cooprem</t>
  </si>
  <si>
    <t>Cartão de reconhecimento</t>
  </si>
  <si>
    <t>Cartão</t>
  </si>
  <si>
    <t>Atualização planejamento mês a mês</t>
  </si>
  <si>
    <t>Peça de divulgação ENCERRAMENTO CAMPANHA AVANTE SIPAG</t>
  </si>
  <si>
    <t>Peças digitais - Taxas Consignado SIAPE/INSS</t>
  </si>
  <si>
    <t>3300_Quadros decorativos de produtos e serviços</t>
  </si>
  <si>
    <t>Quadro</t>
  </si>
  <si>
    <t>Ranking Grupo Exclusivo Consorcio 1090 e 1171 - 23/02</t>
  </si>
  <si>
    <t>Arte e Regulamento para Campanha de Cadatro</t>
  </si>
  <si>
    <t>Spot crédito para a vida melhorar</t>
  </si>
  <si>
    <t>Spot</t>
  </si>
  <si>
    <t>EDIÇÃO DE VIDEO</t>
  </si>
  <si>
    <t>Atualização do e-mail marketing</t>
  </si>
  <si>
    <t>Ranking Grupo Exclusivo Consorcio 1090 e 1171 - 24/02</t>
  </si>
  <si>
    <t>Campanha Agência Digital Uni Sudeste</t>
  </si>
  <si>
    <t>Campanhas/projetos_x000D_
e identidade visual</t>
  </si>
  <si>
    <t>Dia da Mulher - Produtos/Institucional</t>
  </si>
  <si>
    <t>Arte para Revista SINCOR - Juros pagos ao capital</t>
  </si>
  <si>
    <t>Peças - Pagamento Duplicado</t>
  </si>
  <si>
    <t>Comunicação PARCEIRO + e seguro vida mulher</t>
  </si>
  <si>
    <t>Campanha Cota Premiada</t>
  </si>
  <si>
    <t>Papelaria</t>
  </si>
  <si>
    <t>Vídeo Passo a Passo - Conta Digital</t>
  </si>
  <si>
    <t>CARTELA P/ VÍDEO</t>
  </si>
  <si>
    <t>Solicitação de arte de Parceria</t>
  </si>
  <si>
    <t>ARTE FACHADA</t>
  </si>
  <si>
    <t>Lona</t>
  </si>
  <si>
    <t>PUBLICAÇÃO DE ARTE SIPAG</t>
  </si>
  <si>
    <t>Linha de Crédito especial para semana da mulher</t>
  </si>
  <si>
    <t>Anúncio da Revista da Associação Paulista de Medicina</t>
  </si>
  <si>
    <t>ATUALIZA QUE É VANTAGEM - SICOOB CREDSEGURO</t>
  </si>
  <si>
    <t>assinatura e-mail</t>
  </si>
  <si>
    <t>5028 - Sicoob Roraima</t>
  </si>
  <si>
    <t>5028_RORAIMA_DIVULGAÇÃO_TAXA PROMOCIONAL</t>
  </si>
  <si>
    <t>Derivação de Peças</t>
  </si>
  <si>
    <t>Organograma MKT - CENTRAL</t>
  </si>
  <si>
    <t>Lâmina PPT</t>
  </si>
  <si>
    <t>SEMANA 3 - TERÇA</t>
  </si>
  <si>
    <t>SEMANA 2 - SEXta</t>
  </si>
  <si>
    <t>SEMANA 3 - QUARTA</t>
  </si>
  <si>
    <t>SEMANA 4 - SEGUNDA</t>
  </si>
  <si>
    <t>SEMANA 4 - QUARTA</t>
  </si>
  <si>
    <t>SEMANA 4 - SEXTA</t>
  </si>
  <si>
    <t>SEMANA 5 - SEGUNDA</t>
  </si>
  <si>
    <t>SEMANA 5 - quarta</t>
  </si>
  <si>
    <t>Lâmina Consórcios Grupo Exclusivo - Comitê de Mkt</t>
  </si>
  <si>
    <t>Lâmina Seguro Dia da Mulher - Comitê de Mkt</t>
  </si>
  <si>
    <t>Arte Atualização Cadastral</t>
  </si>
  <si>
    <t>Campanha Indicação de Associados</t>
  </si>
  <si>
    <t>Arte deposito de cheque</t>
  </si>
  <si>
    <t>Campanha de financiamento de veículo</t>
  </si>
  <si>
    <t>Solicitação Backdrop da campanha Crédito para a vida melhorar</t>
  </si>
  <si>
    <t>Backdrop</t>
  </si>
  <si>
    <t>Solicitação Backdrop da campanha Cota Plus</t>
  </si>
  <si>
    <t>SOLICITAÇÃO DE ARTE - CAMPANHA PASCOA</t>
  </si>
  <si>
    <t>credito</t>
  </si>
  <si>
    <t>investimento</t>
  </si>
  <si>
    <t>VIDEOS</t>
  </si>
  <si>
    <t>Campanha do Agasalho - doe agora</t>
  </si>
  <si>
    <t>Parceira com a OAB Juiz de Fora</t>
  </si>
  <si>
    <t>Vídeo utilização dos canais digitais</t>
  </si>
  <si>
    <t>2015 - 5038 PEÇA</t>
  </si>
  <si>
    <t>Mês da renegociação</t>
  </si>
  <si>
    <t>Vídeo Trade Marketing</t>
  </si>
  <si>
    <t>Cartela</t>
  </si>
  <si>
    <t>Trade Marketing</t>
  </si>
  <si>
    <t>Cartela para Reunião Comitê de MKT</t>
  </si>
  <si>
    <t>ARTE PARA DIVULGAÇÃO DO CRÉDITO CONSIGNADO - CREDSEGURO</t>
  </si>
  <si>
    <t>Aguardando Aprovação</t>
  </si>
  <si>
    <t>Carta Premiação Acelera Previ</t>
  </si>
  <si>
    <t>Cancelado</t>
  </si>
  <si>
    <t>Adesivo</t>
  </si>
  <si>
    <t>Stand-By</t>
  </si>
  <si>
    <t>Novo</t>
  </si>
  <si>
    <t>ARTE PARA ASSOCIAÇÃO DIGITAL - EMPRESAS PRIVADAS</t>
  </si>
  <si>
    <t>DERIVAÇÕES</t>
  </si>
  <si>
    <t>Campanha Indique um Amigo</t>
  </si>
  <si>
    <t>ARTE PARA DIVULGAÇÃO DE SOBRAS</t>
  </si>
  <si>
    <t>Post redes sociais</t>
  </si>
  <si>
    <t>Camiseta</t>
  </si>
  <si>
    <t>Peças Financiamento Imóvel</t>
  </si>
  <si>
    <t>Portfolio digital 5024 - Derivação</t>
  </si>
  <si>
    <t>Portifólio</t>
  </si>
  <si>
    <t>Campanha Agro - Desmama de Bovinos</t>
  </si>
  <si>
    <t>Campanha - Recuperação de Crédito</t>
  </si>
  <si>
    <t>3054 - Sicoob Credi-Rural</t>
  </si>
  <si>
    <t>MATERIAL CRÉDITO PESSOAL AUTOMÁTICO</t>
  </si>
  <si>
    <t>Alteração de Cartaz</t>
  </si>
  <si>
    <t>SOLICITAÇÃO DE ARTE - ATUALIZAÇÃO CADASTRAL</t>
  </si>
  <si>
    <t>3056 - Sicoob Mineiros</t>
  </si>
  <si>
    <t>Divulgação edital de convocação das eleições 2021 - SICOOB MINEIROS</t>
  </si>
  <si>
    <t>Art Serit - Adicionar logo OAB-RJ</t>
  </si>
  <si>
    <t>Solicitação para arte de divulgação do Uni Sudeste</t>
  </si>
  <si>
    <t>Anúncio - PIX</t>
  </si>
  <si>
    <t>Criação de convite para o 1º comite de pontos focais de produtos e negócios e Uni corretora</t>
  </si>
  <si>
    <t>Sicoobcard benefícios</t>
  </si>
  <si>
    <t>CAMPANHA CONTRATOU, GANHOU!</t>
  </si>
  <si>
    <t>5145 - Sicoob Medcred</t>
  </si>
  <si>
    <t>capitalização medcred sorteio</t>
  </si>
  <si>
    <t>Projeto para ampliação da base de associados - Planejamento Estratégico</t>
  </si>
  <si>
    <t>Videos Seguro Vida e Residencial</t>
  </si>
  <si>
    <t>Atualização cadastral</t>
  </si>
  <si>
    <t>medcred ainda mais forte</t>
  </si>
  <si>
    <t>E-mail Marketing - CASAG PROSPECTS</t>
  </si>
  <si>
    <t>Convite Ciclo de Conversas - Coopcerto e Sicoobcard</t>
  </si>
  <si>
    <t>PRODUÇÃO ARTE DE DIVULGAÇÃO - BONUS CNV SEGUROS GERAIS E VIDA (SEGUROS QUE LÁ VEM BONUS!)</t>
  </si>
  <si>
    <t>e-mail marketing</t>
  </si>
  <si>
    <t>Ciclo de Conversas - Consórcios</t>
  </si>
  <si>
    <t>2015 - 5038 - PEÇAS NOVA POUPANÇA</t>
  </si>
  <si>
    <t>Solicitação Video - Ação Bancoob - Semana da Mulher</t>
  </si>
  <si>
    <t>Arte camiseta</t>
  </si>
  <si>
    <t>COMUNICADO PAGAMENTO DE BÔNUS CONSÓRCIO</t>
  </si>
  <si>
    <t>Material para divulgação</t>
  </si>
  <si>
    <t>Crédito PJ</t>
  </si>
  <si>
    <t>Vídeos de produtos - Tutoriais</t>
  </si>
  <si>
    <t>CONSÓRCIO PREMIAÇÃO SEMANAL</t>
  </si>
  <si>
    <t>Layout para Camisetas Central</t>
  </si>
  <si>
    <t>Arte de parceira entre o Uni Sudeste e a OABRJ e CAARJ</t>
  </si>
  <si>
    <t>Corrida RDC</t>
  </si>
  <si>
    <t>Arte para devolução de cheques</t>
  </si>
  <si>
    <t>Anúncios - Revista Credi-Rural 4</t>
  </si>
  <si>
    <t>Post - consignado Rondonia estadual</t>
  </si>
  <si>
    <t>Arte de protótipo da moto da Campanha Cota Premiada</t>
  </si>
  <si>
    <t>"Tutoriais" sobre App Sicoob</t>
  </si>
  <si>
    <t>Solicitação de campanha de parceira</t>
  </si>
  <si>
    <t>SEMANA 5 - quinta</t>
  </si>
  <si>
    <t>SEMANA 6 - segunda</t>
  </si>
  <si>
    <t>SEMANA 6 - terça</t>
  </si>
  <si>
    <t>SEMANA 6 - ranking comissionados</t>
  </si>
  <si>
    <t>SEMANA 6 - quarta</t>
  </si>
  <si>
    <t>SEMANA 6 - quinta</t>
  </si>
  <si>
    <t>SEMANA 6 - sexta</t>
  </si>
  <si>
    <t>SEMANA 7 - segunda</t>
  </si>
  <si>
    <t>Solicitação para endossar arte da campanha consórcio veicular</t>
  </si>
  <si>
    <t>SOLICITAÇÃO DE ARTE TABELA DE LIMITES DE TRANFERENCIA</t>
  </si>
  <si>
    <t>1 - Muito Ruim</t>
  </si>
  <si>
    <t>2015 - 5038 - PEÇAS ABRIL DO AUTO</t>
  </si>
  <si>
    <t>Quadro de metas</t>
  </si>
  <si>
    <t>Anúncio para a revista AESC</t>
  </si>
  <si>
    <t>PEÇAS Período Investidor</t>
  </si>
  <si>
    <t>Totem</t>
  </si>
  <si>
    <t>Testeira</t>
  </si>
  <si>
    <t>ARTE ASSOCIAÇÃO DIGITAL - INSERIR NOSSO CÓDIGO E NOSSA LOGO</t>
  </si>
  <si>
    <t>Filipeta energia solar</t>
  </si>
  <si>
    <t>Panfleto</t>
  </si>
  <si>
    <t>5028_RORAIMA_PROMOÇÃO RDC/ POUPANÇA</t>
  </si>
  <si>
    <t>Voucher Impresso</t>
  </si>
  <si>
    <t>cupom sorteio</t>
  </si>
  <si>
    <t>Painel de Led</t>
  </si>
  <si>
    <t>Criação de uma arte em A4 para as agências</t>
  </si>
  <si>
    <t>Arte do portfólio dos produtos do Uni Sudeste</t>
  </si>
  <si>
    <t>Power Point</t>
  </si>
  <si>
    <t>Banner site - Atualiza agora</t>
  </si>
  <si>
    <t>Imagens agência trade mkt</t>
  </si>
  <si>
    <t>I2104-118494</t>
  </si>
  <si>
    <t>Peças de artes estáticas: adaptação ou derivação.</t>
  </si>
  <si>
    <t>Campanha de Seguro para equipamentos eletrônicos</t>
  </si>
  <si>
    <t>vídeo passo a passo cadastro na promoção de investimento</t>
  </si>
  <si>
    <t>I2104-130966</t>
  </si>
  <si>
    <t>Criação de campanha publicitária e identidade visual</t>
  </si>
  <si>
    <t>Apresentação trade mkt</t>
  </si>
  <si>
    <t>I2104-113153</t>
  </si>
  <si>
    <t>Criação, validação e orientação - Apresentação app sicoob</t>
  </si>
  <si>
    <t>I2104-136706</t>
  </si>
  <si>
    <t>Campanha de credito - dia das mães</t>
  </si>
  <si>
    <t>cartelas</t>
  </si>
  <si>
    <t>I2104-141540</t>
  </si>
  <si>
    <t>Criação, validação e orientação - Campanha Divulgação de Produtos</t>
  </si>
  <si>
    <t>Revista</t>
  </si>
  <si>
    <t>I2104-149021</t>
  </si>
  <si>
    <t>AUMENTO DE MARGEM CONSIGNADO</t>
  </si>
  <si>
    <t>Grupo exclusivo de consórcio - premiação dobrada</t>
  </si>
  <si>
    <t>I2104-170075</t>
  </si>
  <si>
    <t>Campanha Financiamento de Autos</t>
  </si>
  <si>
    <t>I2104-135093</t>
  </si>
  <si>
    <t>Parceria_uniodonto_unimed Leopoldina</t>
  </si>
  <si>
    <t>I2104-215327</t>
  </si>
  <si>
    <t>Emkt Sou Rural</t>
  </si>
  <si>
    <t>I2104-189571</t>
  </si>
  <si>
    <t>Sicoobcard dia das mães</t>
  </si>
  <si>
    <t>I2104-239677</t>
  </si>
  <si>
    <t>Tabela de campanha de consórcios</t>
  </si>
  <si>
    <t>I2104-170511</t>
  </si>
  <si>
    <t>apresentação do Uni Sudeste</t>
  </si>
  <si>
    <t>I2104-240103</t>
  </si>
  <si>
    <t>Convite para o produtor rural ser cooperado no Sicoob</t>
  </si>
  <si>
    <t>I2104-170868</t>
  </si>
  <si>
    <t>mudança na bandeira do vale refeição</t>
  </si>
  <si>
    <t>I2104-196985</t>
  </si>
  <si>
    <t>Taxa promocional - Mês das Mães</t>
  </si>
  <si>
    <t>Crédito Consignado - Prefeituras</t>
  </si>
  <si>
    <t>Seguros que lá vem Bônus</t>
  </si>
  <si>
    <t>Seguro vida</t>
  </si>
  <si>
    <t>pedido pelo whatsapp</t>
  </si>
  <si>
    <t>DICOTÔMICA</t>
  </si>
  <si>
    <t>Retorno Dado à Central</t>
  </si>
  <si>
    <t>Sistêmico</t>
  </si>
  <si>
    <t>Bárbara</t>
  </si>
  <si>
    <t>Brenda</t>
  </si>
  <si>
    <t>ATM</t>
  </si>
  <si>
    <t>Eventos e Apoio</t>
  </si>
  <si>
    <t>Redação</t>
  </si>
  <si>
    <t>Gabi</t>
  </si>
  <si>
    <t>Eventos para Associados</t>
  </si>
  <si>
    <t>Balão</t>
  </si>
  <si>
    <t>Eventos para Colaboradores</t>
  </si>
  <si>
    <t>Júlia</t>
  </si>
  <si>
    <t>Acompanhamento</t>
  </si>
  <si>
    <t>Kátia</t>
  </si>
  <si>
    <t>Marina</t>
  </si>
  <si>
    <t>Bateco</t>
  </si>
  <si>
    <t>3299 - Sicoob Engecred</t>
  </si>
  <si>
    <t>Michel</t>
  </si>
  <si>
    <t>Brinde</t>
  </si>
  <si>
    <t>Mônada</t>
  </si>
  <si>
    <t>Caderno</t>
  </si>
  <si>
    <t>Pedro</t>
  </si>
  <si>
    <t>3343 - Sicoob Empresarial</t>
  </si>
  <si>
    <t>Saulo</t>
  </si>
  <si>
    <t>Caneta</t>
  </si>
  <si>
    <t>Capa redes</t>
  </si>
  <si>
    <t>5008 - Sicoob UNIAM</t>
  </si>
  <si>
    <t>Cartão de visitas</t>
  </si>
  <si>
    <t>Cheque Simbólico</t>
  </si>
  <si>
    <t>Convite digital</t>
  </si>
  <si>
    <t>Convite Impresso</t>
  </si>
  <si>
    <t>4295 - Sicoob UniSP</t>
  </si>
  <si>
    <t>Crachá</t>
  </si>
  <si>
    <t>Credencial</t>
  </si>
  <si>
    <t>Display</t>
  </si>
  <si>
    <t>Envelope</t>
  </si>
  <si>
    <t>Espaço Instagramável</t>
  </si>
  <si>
    <t>Faixa</t>
  </si>
  <si>
    <t>Fotos</t>
  </si>
  <si>
    <t>Mala direta</t>
  </si>
  <si>
    <t>Marca</t>
  </si>
  <si>
    <t>Móbile</t>
  </si>
  <si>
    <t>Mochila</t>
  </si>
  <si>
    <t>Moleskine</t>
  </si>
  <si>
    <t>Newsletter</t>
  </si>
  <si>
    <t>Papel Timbrado</t>
  </si>
  <si>
    <t>Pasta</t>
  </si>
  <si>
    <t>Porta contas</t>
  </si>
  <si>
    <t>Roteiro</t>
  </si>
  <si>
    <t>Rótulo</t>
  </si>
  <si>
    <t>Sacola</t>
  </si>
  <si>
    <t>Story Vídeo</t>
  </si>
  <si>
    <t>Tag</t>
  </si>
  <si>
    <t>Voucher Digital</t>
  </si>
  <si>
    <t>Woobler</t>
  </si>
  <si>
    <t>DATAS DE REFERÊNCIA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</si>
  <si>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</si>
  <si>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</si>
  <si>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</si>
  <si>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</si>
  <si>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</si>
  <si>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</si>
  <si>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</si>
  <si>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</si>
  <si>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</si>
  <si>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</si>
  <si>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</si>
  <si>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</si>
  <si>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</si>
  <si>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</si>
  <si>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</si>
  <si>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</si>
  <si>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</si>
  <si>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</si>
  <si>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</si>
  <si>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</si>
  <si>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</si>
  <si>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</si>
  <si>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</si>
  <si>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</si>
  <si>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</si>
  <si>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</si>
  <si>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</si>
  <si>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</si>
  <si>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</si>
  <si>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</si>
  <si>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</si>
  <si>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</si>
  <si>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</si>
  <si>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</si>
  <si>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</si>
  <si>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</si>
  <si>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QUANTIDADE DE PEÇAS PRODUZIDAS POR MÊS</t>
  </si>
  <si>
    <t>REFERÊNCIAS PARA CÁLCULO</t>
  </si>
  <si>
    <t>TOTAL EM REAIS DA PRODUÇÃO DO TIME INSTITUCIONAL POR MÊS</t>
  </si>
  <si>
    <t>TIPO DE PEÇA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</si>
  <si>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</si>
  <si>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</si>
  <si>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</si>
  <si>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</si>
  <si>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</si>
  <si>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</si>
  <si>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</si>
  <si>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</si>
  <si>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</si>
  <si>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</si>
  <si>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</si>
  <si>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</si>
  <si>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Valor Cobrado por Agências</t>
  </si>
  <si>
    <t>DESCONTO APLICADO</t>
  </si>
  <si>
    <t>Calendário</t>
  </si>
  <si>
    <t>Conceito</t>
  </si>
  <si>
    <t>Diagramação (Revista)</t>
  </si>
  <si>
    <t>Diagramação (Relatório de gestão)</t>
  </si>
  <si>
    <t>Inflável</t>
  </si>
  <si>
    <t>Stopper</t>
  </si>
  <si>
    <t>Story Carrossel</t>
  </si>
  <si>
    <t>Tenda</t>
  </si>
  <si>
    <t>TOTAL</t>
  </si>
  <si>
    <t>COLABORADOR</t>
  </si>
  <si>
    <t>SALÁRIO</t>
  </si>
  <si>
    <t>LICENÇA ADOBE</t>
  </si>
  <si>
    <t>ITENS PARA EXERCER FUNÇÃO</t>
  </si>
  <si>
    <t>ROI</t>
  </si>
  <si>
    <t>JOÃO</t>
  </si>
  <si>
    <t>ROA</t>
  </si>
  <si>
    <t>ARLEY</t>
  </si>
  <si>
    <t>*SAMUEL TEM +750 SOMADO DEVIDO A UTILIZAÇÃO DO SHUTTERSTOCK VÍDEO (DIVIDIDO MEIO A MEIO COM O SAULO)</t>
  </si>
  <si>
    <t>META</t>
  </si>
  <si>
    <t>ATIVOS NÃO CIRCULANTES</t>
  </si>
  <si>
    <t>VALOR</t>
  </si>
  <si>
    <t>QUANTIDADE</t>
  </si>
  <si>
    <t>VALOR DE TIVOS TOTAIS</t>
  </si>
  <si>
    <t>MESA</t>
  </si>
  <si>
    <t>COMPUTADORES TOP</t>
  </si>
  <si>
    <t>MONITORES</t>
  </si>
  <si>
    <t>COMPUTADOR SIMPLES</t>
  </si>
  <si>
    <t>CADEIRAS</t>
  </si>
  <si>
    <t>-</t>
  </si>
  <si>
    <t>ATIVOS CIRCULANTES</t>
  </si>
  <si>
    <t>Caixa</t>
  </si>
  <si>
    <t>USO DE GÔNDOLA</t>
  </si>
  <si>
    <t>SIM</t>
  </si>
  <si>
    <t>NÃO</t>
  </si>
  <si>
    <t>PERCENTUAL</t>
  </si>
  <si>
    <t>ENTREGAS PASSIVAS (STATUS OK X NOVOS)</t>
  </si>
  <si>
    <t>OK</t>
  </si>
  <si>
    <t>NOVO</t>
  </si>
  <si>
    <t>HISTÓRICO DE FAROL DE METAS</t>
  </si>
  <si>
    <t>FAROL DE METAS MENSAL</t>
  </si>
  <si>
    <t>FAROL DE METAS - PRODUTOS JANEIRO</t>
  </si>
  <si>
    <t>FAROL DE METAS - PRODUTOS</t>
  </si>
  <si>
    <t>Métrica</t>
  </si>
  <si>
    <t>Peso Meta</t>
  </si>
  <si>
    <t>Meta Mês</t>
  </si>
  <si>
    <t>Real</t>
  </si>
  <si>
    <t>Atingimento</t>
  </si>
  <si>
    <t>Média Acum. Ano</t>
  </si>
  <si>
    <t>Qualidade</t>
  </si>
  <si>
    <t>Cumprir agenda de visitas</t>
  </si>
  <si>
    <t>Média da avaliação de chamados = ou &gt; que 4</t>
  </si>
  <si>
    <t>Trade</t>
  </si>
  <si>
    <t>Entregas</t>
  </si>
  <si>
    <t>Passivas</t>
  </si>
  <si>
    <t>Ativas (Planejamento mês a mês)</t>
  </si>
  <si>
    <t>Rotina de Contatos (Centrais e CCS)</t>
  </si>
  <si>
    <t>Atingimento do Farol de Metas</t>
  </si>
  <si>
    <t>FAROL DE METAS - PRODUTOS FEVEREIRO</t>
  </si>
  <si>
    <t>FAROL DE METAS - PRODUTOS MARÇO</t>
  </si>
  <si>
    <t>FAROL DE METAS - PRODUTOS ABRIL</t>
  </si>
  <si>
    <t>Consorcio moto</t>
  </si>
  <si>
    <t>Panfleto crédito consignado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</si>
</sst>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</numFmts>
  <fonts count="19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Verdana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7" fillId="8" borderId="16" xfId="0" applyFont="1" applyFill="1" applyBorder="1"/>
    <xf numFmtId="0" fontId="8" fillId="0" borderId="16" xfId="4" applyFont="1" applyBorder="1" applyAlignment="1">
      <alignment horizontal="left"/>
    </xf>
    <xf numFmtId="0" fontId="0" fillId="3" borderId="16" xfId="0" applyFill="1" applyBorder="1"/>
    <xf numFmtId="14" fontId="5" fillId="0" borderId="16" xfId="5" applyNumberFormat="1" applyBorder="1" applyAlignment="1">
      <alignment horizontal="center"/>
    </xf>
    <xf numFmtId="9" fontId="0" fillId="3" borderId="16" xfId="6" applyFont="1" applyFill="1" applyBorder="1"/>
    <xf numFmtId="0" fontId="0" fillId="8" borderId="0" xfId="0" applyFill="1"/>
    <xf numFmtId="0" fontId="0" fillId="9" borderId="0" xfId="0" applyFill="1"/>
    <xf numFmtId="0" fontId="11" fillId="9" borderId="0" xfId="0" applyFont="1" applyFill="1"/>
    <xf numFmtId="0" fontId="6" fillId="9" borderId="0" xfId="0" applyFont="1" applyFill="1"/>
    <xf numFmtId="0" fontId="8" fillId="9" borderId="0" xfId="0" applyFont="1" applyFill="1" applyAlignment="1">
      <alignment horizontal="right" vertical="top"/>
    </xf>
    <xf numFmtId="0" fontId="13" fillId="10" borderId="17" xfId="0" applyFont="1" applyFill="1" applyBorder="1" applyAlignment="1">
      <alignment horizontal="center"/>
    </xf>
    <xf numFmtId="0" fontId="13" fillId="10" borderId="17" xfId="0" applyFont="1" applyFill="1" applyBorder="1" applyAlignment="1">
      <alignment horizontal="center" vertical="center"/>
    </xf>
    <xf numFmtId="0" fontId="14" fillId="11" borderId="17" xfId="0" applyFont="1" applyFill="1" applyBorder="1"/>
    <xf numFmtId="9" fontId="14" fillId="11" borderId="17" xfId="0" applyNumberFormat="1" applyFont="1" applyFill="1" applyBorder="1" applyAlignment="1">
      <alignment horizontal="center" vertical="center"/>
    </xf>
    <xf numFmtId="9" fontId="14" fillId="11" borderId="17" xfId="0" applyNumberFormat="1" applyFont="1" applyFill="1" applyBorder="1" applyAlignment="1">
      <alignment horizontal="center"/>
    </xf>
    <xf numFmtId="9" fontId="14" fillId="11" borderId="17" xfId="6" applyFont="1" applyFill="1" applyBorder="1" applyAlignment="1">
      <alignment horizontal="center" vertical="center"/>
    </xf>
    <xf numFmtId="9" fontId="14" fillId="11" borderId="17" xfId="6" applyFont="1" applyFill="1" applyBorder="1" applyAlignment="1">
      <alignment horizontal="center"/>
    </xf>
    <xf numFmtId="0" fontId="0" fillId="3" borderId="17" xfId="0" applyFill="1" applyBorder="1" applyAlignment="1">
      <alignment horizontal="left" indent="4"/>
    </xf>
    <xf numFmtId="9" fontId="0" fillId="3" borderId="17" xfId="6" applyFont="1" applyFill="1" applyBorder="1" applyAlignment="1">
      <alignment horizontal="center"/>
    </xf>
    <xf numFmtId="9" fontId="0" fillId="3" borderId="17" xfId="0" applyNumberFormat="1" applyFill="1" applyBorder="1" applyAlignment="1">
      <alignment horizontal="center"/>
    </xf>
    <xf numFmtId="9" fontId="11" fillId="3" borderId="17" xfId="0" applyNumberFormat="1" applyFont="1" applyFill="1" applyBorder="1" applyAlignment="1">
      <alignment horizontal="center" vertical="center"/>
    </xf>
    <xf numFmtId="9" fontId="15" fillId="3" borderId="17" xfId="0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left" wrapText="1" indent="4"/>
    </xf>
    <xf numFmtId="9" fontId="0" fillId="3" borderId="17" xfId="6" applyFont="1" applyFill="1" applyBorder="1" applyAlignment="1">
      <alignment horizontal="center" vertical="center"/>
    </xf>
    <xf numFmtId="9" fontId="0" fillId="3" borderId="17" xfId="0" applyNumberFormat="1" applyFill="1" applyBorder="1" applyAlignment="1">
      <alignment horizontal="center" vertical="center"/>
    </xf>
    <xf numFmtId="9" fontId="11" fillId="3" borderId="17" xfId="6" applyFont="1" applyFill="1" applyBorder="1" applyAlignment="1">
      <alignment horizontal="center" vertical="center"/>
    </xf>
    <xf numFmtId="9" fontId="12" fillId="10" borderId="17" xfId="0" applyNumberFormat="1" applyFont="1" applyFill="1" applyBorder="1" applyAlignment="1">
      <alignment horizontal="center"/>
    </xf>
    <xf numFmtId="0" fontId="13" fillId="8" borderId="16" xfId="0" applyFont="1" applyFill="1" applyBorder="1"/>
    <xf numFmtId="0" fontId="3" fillId="0" borderId="16" xfId="0" applyFont="1" applyBorder="1"/>
    <xf numFmtId="9" fontId="0" fillId="0" borderId="16" xfId="6" applyFont="1" applyBorder="1"/>
    <xf numFmtId="164" fontId="0" fillId="0" borderId="16" xfId="7" applyFont="1" applyBorder="1"/>
    <xf numFmtId="0" fontId="2" fillId="8" borderId="16" xfId="0" applyFont="1" applyFill="1" applyBorder="1"/>
    <xf numFmtId="0" fontId="0" fillId="12" borderId="0" xfId="0" applyFill="1"/>
    <xf numFmtId="44" fontId="0" fillId="0" borderId="16" xfId="0" applyNumberFormat="1" applyBorder="1"/>
    <xf numFmtId="0" fontId="2" fillId="8" borderId="19" xfId="0" applyFont="1" applyFill="1" applyBorder="1"/>
    <xf numFmtId="0" fontId="2" fillId="8" borderId="20" xfId="0" applyFont="1" applyFill="1" applyBorder="1"/>
    <xf numFmtId="164" fontId="0" fillId="0" borderId="16" xfId="7" applyFont="1" applyBorder="1" applyAlignment="1">
      <alignment horizontal="center"/>
    </xf>
    <xf numFmtId="0" fontId="0" fillId="0" borderId="16" xfId="0" applyBorder="1" applyAlignment="1">
      <alignment horizontal="center"/>
    </xf>
    <xf numFmtId="44" fontId="0" fillId="0" borderId="0" xfId="0" applyNumberFormat="1"/>
    <xf numFmtId="164" fontId="0" fillId="0" borderId="0" xfId="0" applyNumberFormat="1"/>
    <xf numFmtId="9" fontId="0" fillId="0" borderId="0" xfId="6" applyFont="1"/>
    <xf numFmtId="0" fontId="2" fillId="6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14" fontId="3" fillId="0" borderId="7" xfId="0" applyNumberFormat="1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18" fillId="0" borderId="7" xfId="0" applyFont="1" applyBorder="1" applyAlignment="1">
      <alignment horizontal="left" vertical="center" wrapText="1"/>
    </xf>
    <xf numFmtId="9" fontId="0" fillId="0" borderId="0" xfId="0" applyNumberFormat="1"/>
    <xf numFmtId="0" fontId="17" fillId="0" borderId="16" xfId="0" applyFont="1" applyBorder="1" applyAlignment="1">
      <alignment horizontal="center" vertical="center"/>
    </xf>
    <xf numFmtId="0" fontId="13" fillId="8" borderId="0" xfId="0" applyFont="1" applyFill="1" applyAlignment="1">
      <alignment horizontal="center"/>
    </xf>
    <xf numFmtId="0" fontId="13" fillId="8" borderId="18" xfId="0" applyFont="1" applyFill="1" applyBorder="1" applyAlignment="1">
      <alignment horizontal="center"/>
    </xf>
    <xf numFmtId="0" fontId="13" fillId="8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9" fillId="6" borderId="1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/>
    </xf>
    <xf numFmtId="0" fontId="12" fillId="6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2" fillId="6" borderId="5" xfId="0" applyNumberFormat="1" applyFont="1" applyFill="1" applyBorder="1" applyAlignment="1">
      <alignment horizontal="center" vertical="center" wrapText="1"/>
    </xf>
    <xf numFmtId="0" fontId="0" fillId="0" borderId="0" xfId="0" applyNumberFormat="1"/>
  </cellXfs>
  <cellStyles count="8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6" builtinId="5"/>
    <cellStyle name="Porcentagem 2 2 2" xfId="3" xr:uid="{0034591D-2F19-4BA8-8732-99095DA192C8}"/>
    <cellStyle name="Vírgula" xfId="5" builtinId="3"/>
  </cellStyles>
  <dxfs count="478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rgb="FFA6A6A6"/>
        </top>
      </border>
    </dxf>
    <dxf>
      <border diagonalUp="0" diagonalDown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>
  <namedSheetView name="Exibir1" id="{3A427A66-FF6E-4101-9062-27C3828B4916}">
    <nsvFilter filterId="{A7D0B3B0-18C7-40E9-A209-001A51174EE9}" ref="A1:R230" tableId="1">
      <columnFilter colId="15" id="{2014438B-D0BC-4366-A1CB-7F70A49E3E08}">
        <filter colId="15">
          <x:filters>
            <x:filter val="Sim"/>
          </x:filters>
        </filter>
      </columnFilter>
    </nsvFilter>
  </namedSheetView>
</namedSheetViews>
</file>

<file path=xl/namedSheetViews/namedSheetView3.xml><?xml version="1.0" encoding="utf-8"?>
<namedSheetViews xmlns="http://schemas.microsoft.com/office/spreadsheetml/2019/namedsheetviews" xmlns:x="http://schemas.openxmlformats.org/spreadsheetml/2006/main">
  <namedSheetView name="Exibir1" id="{9CAB321F-F6FF-49FB-BB79-C30AAB7ADC23}">
    <nsvFilter filterId="{A7D0B3B0-18C7-40E9-A209-001A51174EE9}" ref="A1:R52" tableId="4">
      <columnFilter colId="15" id="{64A6C121-10A7-4DBC-92CA-8AF694AEF337}">
        <filter colId="15">
          <x:filters>
            <x:filter val="Sim"/>
          </x:filters>
        </filter>
      </columnFilter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340" dataDxfId="338" headerRowBorderDxfId="339" tableBorderDxfId="337" totalsRowBorderDxfId="336">
  <autoFilter ref="A1:R71" xr:uid="{6E2E79EF-F309-4C9F-9A79-E8E4560B1C6E}"/>
  <tableColumns count="18">
    <tableColumn id="1" xr3:uid="{AA9474B7-B0E6-4ED1-A889-DC49C3017BE6}" name="Cliente" dataDxfId="335"/>
    <tableColumn id="2" xr3:uid="{71C5FC51-17FD-49BF-928D-AF7DA7C4B279}" name="Origem" dataDxfId="334"/>
    <tableColumn id="3" xr3:uid="{B61C151D-50E1-4F68-A3A8-1967222967D6}" name="Atribuição" dataDxfId="333"/>
    <tableColumn id="4" xr3:uid="{3F35109B-2DCE-4E6C-8C3A-BEB9AED94A76}" name="Nome do Chamado" dataDxfId="332"/>
    <tableColumn id="5" xr3:uid="{10B07128-997C-4420-9D2C-698A29765E53}" name="Peça" dataDxfId="331"/>
    <tableColumn id="6" xr3:uid="{AADB728B-F848-4D3B-8C17-E24D1983A39C}" name="Quantidade" dataDxfId="330"/>
    <tableColumn id="7" xr3:uid="{437F6107-1008-48CF-B2D5-F5AC0D61EE30}" name="Data de Solicitação" dataDxfId="329"/>
    <tableColumn id="8" xr3:uid="{FAC57980-05E9-44E5-8DA7-0E158AD55E5A}" name="Prazo" dataDxfId="328"/>
    <tableColumn id="9" xr3:uid="{CAA8285B-B46B-4BDE-B877-B5C32501D4E6}" name="Data de Conclusão" dataDxfId="327"/>
    <tableColumn id="10" xr3:uid="{BA6D3D44-F25D-47A5-ACA7-33B6FCC7B11A}" name="Observações" dataDxfId="326"/>
    <tableColumn id="11" xr3:uid="{253BE95D-FC40-46C2-98C5-BFA1C07C53AF}" name="Status" dataDxfId="325"/>
    <tableColumn id="12" xr3:uid="{8D479A52-10BC-4B39-A0AC-26C28E34A2CC}" name="Categoria" dataDxfId="324"/>
    <tableColumn id="13" xr3:uid="{7D91B75D-15A0-4D8A-9AFB-0D9CC06E3D1D}" name="Serviço" dataDxfId="323"/>
    <tableColumn id="14" xr3:uid="{1D3AEBD6-0E74-42EB-B39B-91F793773254}" name="Alterações" dataDxfId="322"/>
    <tableColumn id="15" xr3:uid="{B8CA9CDD-E5D3-4D50-ABAD-155C6384A2B0}" name="Gôndola" dataDxfId="321"/>
    <tableColumn id="16" xr3:uid="{1E3E1768-1660-4ABE-B683-39994F7AE447}" name="Boas Práticas" dataDxfId="320"/>
    <tableColumn id="17" xr3:uid="{FD3685A8-CB89-448B-A814-535B7121D451}" name="Briefing" dataDxfId="319"/>
    <tableColumn id="18" xr3:uid="{F92CAB28-F3F2-4F2E-A59B-21F8EE572616}" name="Retorno à Central" dataDxfId="31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F2C3B5-2876-48DA-9287-36C2DBD154D2}" name="Tabela13423" displayName="Tabela13423" ref="A1:R85" totalsRowShown="0" headerRowDxfId="297" dataDxfId="295" headerRowBorderDxfId="296" tableBorderDxfId="294" totalsRowBorderDxfId="293">
  <autoFilter ref="A1:R85" xr:uid="{52CA09FF-5846-4F66-A57A-B20903FDE4A9}"/>
  <tableColumns count="18">
    <tableColumn id="1" xr3:uid="{38B8A345-5E5C-417E-88CE-69825C4878DD}" name="Cliente" dataDxfId="292"/>
    <tableColumn id="2" xr3:uid="{DA526638-866B-43E6-828F-4A5DA1B27E75}" name="Origem" dataDxfId="291"/>
    <tableColumn id="3" xr3:uid="{1366CDEC-730B-4322-B8F0-65BB3E1B6E04}" name="Atribuição" dataDxfId="290"/>
    <tableColumn id="4" xr3:uid="{4794EF17-CA86-4B1A-BCDB-D84A88CE250F}" name="Nome do Chamado" dataDxfId="289"/>
    <tableColumn id="5" xr3:uid="{5DFF4F66-1716-4783-AB7C-8DA68F69328D}" name="Peça" dataDxfId="288"/>
    <tableColumn id="6" xr3:uid="{711B3A3F-ABC7-4FF4-8DBB-0CE530D76505}" name="Quantidade" dataDxfId="287"/>
    <tableColumn id="7" xr3:uid="{463DF918-A0AF-4200-B575-B0253C623059}" name="Data de Solicitação" dataDxfId="286"/>
    <tableColumn id="8" xr3:uid="{EB46F7A8-55AD-4B59-ADF9-EDB748BE387E}" name="Prazo" dataDxfId="285"/>
    <tableColumn id="9" xr3:uid="{88DE93A5-27A0-44E5-809D-3F346FC5A4D0}" name="Data de Conclusão" dataDxfId="284"/>
    <tableColumn id="10" xr3:uid="{4BFBB660-7757-48AA-861A-B14764E4A186}" name="Observações" dataDxfId="283"/>
    <tableColumn id="11" xr3:uid="{BF756D26-ECA1-45C6-A3FB-1321F8370EC5}" name="Status" dataDxfId="282"/>
    <tableColumn id="12" xr3:uid="{8EB39143-C671-4371-968E-D3672D37B7D5}" name="Categoria" dataDxfId="281"/>
    <tableColumn id="13" xr3:uid="{EE7C0EF2-8E0A-4A3F-A5AF-1644D5D84C1D}" name="Serviço" dataDxfId="280"/>
    <tableColumn id="14" xr3:uid="{9B1371D9-0EA0-46F6-977A-DD58DF43A466}" name="Alterações" dataDxfId="279"/>
    <tableColumn id="15" xr3:uid="{8FC57AF6-EE27-4AE3-B676-1DA0D2406F51}" name="Gôndola" dataDxfId="278"/>
    <tableColumn id="16" xr3:uid="{FCAC1112-74A1-4BAC-AED3-AEC8A957527A}" name="Boas Práticas" dataDxfId="277"/>
    <tableColumn id="17" xr3:uid="{2927CA9E-7E94-45D6-A66D-D3A14C710411}" name="Briefing" dataDxfId="276"/>
    <tableColumn id="18" xr3:uid="{8268800D-61EF-48E2-89E7-47114467A312}" name="Retorno à Central" dataDxfId="27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F24AC4-9010-4C84-9691-2CEC9F529228}" name="Tabela134232526" displayName="Tabela134232526" ref="A1:R98" totalsRowShown="0" headerRowDxfId="224" dataDxfId="222" headerRowBorderDxfId="223" tableBorderDxfId="221" totalsRowBorderDxfId="220">
  <autoFilter ref="A1:R98" xr:uid="{E976E938-AF02-4B62-895A-0B684328AF42}"/>
  <tableColumns count="18">
    <tableColumn id="1" xr3:uid="{10817205-246B-4244-9C20-1B8BD6CBCE1C}" name="Cliente" dataDxfId="219"/>
    <tableColumn id="2" xr3:uid="{18BCBF91-019F-48CC-8F1C-EB96558AC7C1}" name="Origem" dataDxfId="218"/>
    <tableColumn id="3" xr3:uid="{CF004BBF-FD68-4964-B9E5-501F68D8D432}" name="Atribuição" dataDxfId="217"/>
    <tableColumn id="4" xr3:uid="{9C8C81BC-CFAF-41DE-81ED-FEA34F675671}" name="Nome do Chamado" dataDxfId="216"/>
    <tableColumn id="5" xr3:uid="{91701125-E141-45B7-B801-959031F47988}" name="Peça" dataDxfId="215"/>
    <tableColumn id="6" xr3:uid="{BC94A7FF-9CD1-4901-ABA2-577AE3EBF250}" name="Quantidade" dataDxfId="214"/>
    <tableColumn id="7" xr3:uid="{909E0387-E56B-45D0-8A20-7CE83A49B3B1}" name="Data de Solicitação" dataDxfId="213"/>
    <tableColumn id="8" xr3:uid="{EF128CDC-0703-463F-82B3-5CF5D49BF9FC}" name="Prazo" dataDxfId="212"/>
    <tableColumn id="9" xr3:uid="{1B10E73C-1B0E-4E68-B2DC-25DE5D7E9FEC}" name="Data de Conclusão" dataDxfId="211"/>
    <tableColumn id="10" xr3:uid="{F26AE66E-9B0A-472B-86F2-8CE25A6F0555}" name="Observações" dataDxfId="210"/>
    <tableColumn id="11" xr3:uid="{05C6FEDD-56E9-4ADB-ACE7-4F7ABF096E6C}" name="Status" dataDxfId="209"/>
    <tableColumn id="12" xr3:uid="{08298DC8-208F-4CBA-A7A0-E5FA32E2ECCB}" name="Categoria" dataDxfId="208"/>
    <tableColumn id="13" xr3:uid="{A94F49FA-9F23-4875-9CFD-1A370991996F}" name="Serviço" dataDxfId="207"/>
    <tableColumn id="14" xr3:uid="{43781A27-066B-47D5-91D3-89585076A66C}" name="Alterações" dataDxfId="206"/>
    <tableColumn id="15" xr3:uid="{6B906001-E983-4038-BBF9-DE5D5BE42144}" name="Gôndola" dataDxfId="205"/>
    <tableColumn id="16" xr3:uid="{17322B37-EB11-4E69-A447-DA581BAF745C}" name="Boas Práticas" dataDxfId="204"/>
    <tableColumn id="17" xr3:uid="{41464AF5-4F82-43AA-A430-4A2AD61FE119}" name="Briefing" dataDxfId="203"/>
    <tableColumn id="18" xr3:uid="{D0EBDBF3-6066-4F65-9EAA-383251E4EC2F}" name="Retorno à Central" dataDxfId="20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518C6-D192-4181-A72F-D6CCF1A7F370}" name="Tabela1342325252" displayName="Tabela1342325252" ref="A1:R230" totalsRowShown="0" headerRowDxfId="77" dataDxfId="75" headerRowBorderDxfId="76" tableBorderDxfId="74" totalsRowBorderDxfId="73">
  <autoFilter ref="A1:R230" xr:uid="{A7D0B3B0-18C7-40E9-A209-001A51174EE9}">
    <filterColumn colId="10">
      <filters>
        <filter val="Ok"/>
      </filters>
    </filterColumn>
  </autoFilter>
  <tableColumns count="18">
    <tableColumn id="1" xr3:uid="{8EB8BA06-0F41-41A8-B178-EE03B3503F0D}" name="Cliente" dataDxfId="72"/>
    <tableColumn id="2" xr3:uid="{14B6E069-377D-4962-876B-B7BA618ABE8F}" name="Origem" dataDxfId="71"/>
    <tableColumn id="3" xr3:uid="{902C9CDE-D281-4C26-B1DF-2D753507152F}" name="Atribuição" dataDxfId="70"/>
    <tableColumn id="4" xr3:uid="{F726B75B-B61C-4651-9283-876BA8CC2293}" name="Nome do Chamado" dataDxfId="69"/>
    <tableColumn id="5" xr3:uid="{1CA5C530-6547-40F5-B454-B355AC3BB902}" name="Peça" dataDxfId="68"/>
    <tableColumn id="6" xr3:uid="{51642782-E182-4393-BBC2-5BEACA8221A9}" name="Quantidade" dataDxfId="67"/>
    <tableColumn id="7" xr3:uid="{3E9414A9-79CD-449F-9EC6-A3FD1F7ECE47}" name="Data de Solicitação" dataDxfId="66"/>
    <tableColumn id="8" xr3:uid="{F50E8C66-CAB1-404E-8BEE-BE6038369095}" name="Prazo" dataDxfId="65"/>
    <tableColumn id="9" xr3:uid="{5ED837C7-FC53-4DA1-8941-73867683C7F5}" name="Data de Conclusão" dataDxfId="64"/>
    <tableColumn id="10" xr3:uid="{49ED2B10-AB8C-401A-B616-CC8132D77514}" name="Observações" dataDxfId="63"/>
    <tableColumn id="11" xr3:uid="{033245EF-DD39-42F3-881D-1830B60F09A5}" name="Status" dataDxfId="62"/>
    <tableColumn id="12" xr3:uid="{395E936A-DD5D-42CB-B5CB-F0D594C44E94}" name="Categoria" dataDxfId="61"/>
    <tableColumn id="13" xr3:uid="{AC906E27-255C-473D-AE87-1ED22AF2C817}" name="Serviço" dataDxfId="60"/>
    <tableColumn id="14" xr3:uid="{EBBCF507-6310-49DE-A6E1-A50B1E03FA92}" name="Alterações" dataDxfId="59"/>
    <tableColumn id="15" xr3:uid="{25A28287-6A5B-40E5-B712-FE1385AB7C59}" name="Gôndola" dataDxfId="58"/>
    <tableColumn id="16" xr3:uid="{2014438B-D0BC-4366-A1CB-7F70A49E3E08}" name="Boas Práticas" dataDxfId="57"/>
    <tableColumn id="17" xr3:uid="{A11633DF-FAB9-42BC-8806-B931CAFC3AAB}" name="Briefing" dataDxfId="56"/>
    <tableColumn id="18" xr3:uid="{BA7F7AE4-4A77-4F37-AA36-971F9A5696E0}" name="Retorno à Central" dataDxfId="5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202162-B4B2-445C-8BB6-091545D9568B}" name="Tabela13423252525" displayName="Tabela13423252525" ref="A1:R52" totalsRowShown="0" headerRowDxfId="22" dataDxfId="20" headerRowBorderDxfId="21" tableBorderDxfId="19" totalsRowBorderDxfId="18">
  <autoFilter ref="A1:R52" xr:uid="{A7D0B3B0-18C7-40E9-A209-001A51174EE9}"/>
  <tableColumns count="18">
    <tableColumn id="1" xr3:uid="{A8E062FC-122B-46BC-8FC7-6C234CFE4004}" name="Cliente" dataDxfId="17"/>
    <tableColumn id="2" xr3:uid="{EF36E415-8F68-4881-A735-6B4003B3278A}" name="Origem" dataDxfId="16"/>
    <tableColumn id="3" xr3:uid="{23AC6131-9151-4A2B-99B6-9E2E65788F7D}" name="Atribuição" dataDxfId="15"/>
    <tableColumn id="4" xr3:uid="{426C43F8-4A62-418E-A877-CB8204AE5E60}" name="Nome do Chamado" dataDxfId="14"/>
    <tableColumn id="5" xr3:uid="{895B4B92-CDC7-4D97-99DC-A24DD1307789}" name="Peça" dataDxfId="13"/>
    <tableColumn id="6" xr3:uid="{589A1559-9BBF-4AFC-BABB-2AA79371CA94}" name="Quantidade" dataDxfId="12"/>
    <tableColumn id="7" xr3:uid="{4A8100DF-C217-4A18-B0FF-423C3BC0C1D7}" name="Data de Solicitação" dataDxfId="11"/>
    <tableColumn id="8" xr3:uid="{E93BE49E-4390-4411-9049-3C4F3F6A5193}" name="Prazo" dataDxfId="10"/>
    <tableColumn id="9" xr3:uid="{E6E5BEF2-B74B-43B7-90A8-520DCDA259BD}" name="Data de Conclusão" dataDxfId="9"/>
    <tableColumn id="10" xr3:uid="{AFDD0551-174B-417E-88A5-F3E4DA90FE16}" name="Observações" dataDxfId="8"/>
    <tableColumn id="11" xr3:uid="{B3B046E9-208D-40F3-BD55-7CA378FDA442}" name="Status" dataDxfId="7"/>
    <tableColumn id="12" xr3:uid="{0C3C8BD2-F4EC-45E1-9F44-6529396F4DFB}" name="Categoria" dataDxfId="6"/>
    <tableColumn id="13" xr3:uid="{497C0549-6EBF-464C-BDE7-13B5E35F3E94}" name="Serviço" dataDxfId="5"/>
    <tableColumn id="14" xr3:uid="{3F026E91-23E1-4442-BF22-60F25CC17420}" name="Alterações" dataDxfId="4"/>
    <tableColumn id="15" xr3:uid="{025EC924-790D-4379-80D9-95C30C322101}" name="Gôndola" dataDxfId="3"/>
    <tableColumn id="16" xr3:uid="{64A6C121-10A7-4DBC-92CA-8AF694AEF337}" name="Boas Práticas" dataDxfId="2"/>
    <tableColumn id="17" xr3:uid="{F4A78760-B3F6-4350-8021-1D9DFA392810}" name="Briefing" dataDxfId="1"/>
    <tableColumn id="18" xr3:uid="{69AE63D8-0C18-4541-9569-D230D872EF2B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2.xml"/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3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662"/>
  <sheetViews>
    <sheetView tabSelected="1" zoomScale="85" zoomScaleNormal="85" workbookViewId="0">
      <selection activeCell="G276" sqref="G27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89" customWidth="1"/>
    <col min="8" max="8" width="10.85546875" bestFit="1" customWidth="1"/>
    <col min="9" max="9" width="12.42578125" customWidth="1"/>
    <col min="10" max="10" width="19.28515625" customWidth="1"/>
    <col min="11" max="11" width="13.8554687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9" width="18.85546875" customWidth="1"/>
  </cols>
  <sheetData>
    <row r="1" spans="1:19" ht="60.75" customHeigh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88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72" t="s">
        <v>18</v>
      </c>
    </row>
    <row r="2" spans="1:19" x14ac:dyDescent="0.25">
      <c r="A2" t="s">
        <v>19</v>
      </c>
      <c r="B2">
        <v>198501</v>
      </c>
      <c r="C2" t="s">
        <v>20</v>
      </c>
      <c r="D2" t="s">
        <v>21</v>
      </c>
      <c r="E2" t="s">
        <v>22</v>
      </c>
      <c r="F2">
        <v>4</v>
      </c>
      <c r="G2" s="89">
        <v>44132</v>
      </c>
      <c r="H2">
        <v>44216</v>
      </c>
      <c r="I2">
        <v>44218</v>
      </c>
      <c r="K2" t="s">
        <v>23</v>
      </c>
      <c r="L2" t="s">
        <v>24</v>
      </c>
      <c r="M2" t="s">
        <v>25</v>
      </c>
      <c r="N2">
        <v>3</v>
      </c>
      <c r="O2" t="s">
        <v>26</v>
      </c>
      <c r="P2" t="s">
        <v>27</v>
      </c>
      <c r="Q2" t="s">
        <v>28</v>
      </c>
      <c r="R2" t="s">
        <v>29</v>
      </c>
      <c r="S2">
        <f t="shared" ref="S2:S34" si="0">I2-H2</f>
        <v>2</v>
      </c>
    </row>
    <row r="3" spans="1:19" x14ac:dyDescent="0.25">
      <c r="A3" t="s">
        <v>30</v>
      </c>
      <c r="B3">
        <v>215118</v>
      </c>
      <c r="C3" t="s">
        <v>31</v>
      </c>
      <c r="D3" t="s">
        <v>32</v>
      </c>
      <c r="E3" t="s">
        <v>33</v>
      </c>
      <c r="F3">
        <v>1</v>
      </c>
      <c r="G3" s="89">
        <v>44214</v>
      </c>
      <c r="H3">
        <v>44218</v>
      </c>
      <c r="I3">
        <v>44218</v>
      </c>
      <c r="K3" t="s">
        <v>23</v>
      </c>
      <c r="L3" t="s">
        <v>34</v>
      </c>
      <c r="M3" t="s">
        <v>25</v>
      </c>
      <c r="N3">
        <v>0</v>
      </c>
      <c r="O3" t="s">
        <v>27</v>
      </c>
      <c r="P3" t="s">
        <v>27</v>
      </c>
      <c r="Q3" t="s">
        <v>28</v>
      </c>
      <c r="R3" t="s">
        <v>29</v>
      </c>
      <c r="S3">
        <f t="shared" si="0"/>
        <v>0</v>
      </c>
    </row>
    <row r="4" spans="1:19" ht="30" x14ac:dyDescent="0.25">
      <c r="A4" t="s">
        <v>30</v>
      </c>
      <c r="B4">
        <v>215118</v>
      </c>
      <c r="C4" t="s">
        <v>31</v>
      </c>
      <c r="D4" t="s">
        <v>32</v>
      </c>
      <c r="E4" t="s">
        <v>35</v>
      </c>
      <c r="F4">
        <v>1</v>
      </c>
      <c r="G4" s="89">
        <v>44214</v>
      </c>
      <c r="H4">
        <v>44218</v>
      </c>
      <c r="I4">
        <v>44218</v>
      </c>
      <c r="K4" t="s">
        <v>23</v>
      </c>
      <c r="L4" t="s">
        <v>34</v>
      </c>
      <c r="M4" s="73" t="s">
        <v>25</v>
      </c>
      <c r="N4">
        <v>0</v>
      </c>
      <c r="O4" t="s">
        <v>27</v>
      </c>
      <c r="P4" t="s">
        <v>27</v>
      </c>
      <c r="Q4" t="s">
        <v>28</v>
      </c>
      <c r="R4" t="s">
        <v>29</v>
      </c>
      <c r="S4">
        <f t="shared" si="0"/>
        <v>0</v>
      </c>
    </row>
    <row r="5" spans="1:19" ht="30" x14ac:dyDescent="0.25">
      <c r="A5" t="s">
        <v>30</v>
      </c>
      <c r="B5">
        <v>215118</v>
      </c>
      <c r="C5" t="s">
        <v>31</v>
      </c>
      <c r="D5" t="s">
        <v>32</v>
      </c>
      <c r="E5" t="s">
        <v>36</v>
      </c>
      <c r="F5">
        <v>7</v>
      </c>
      <c r="G5" s="89">
        <v>44214</v>
      </c>
      <c r="H5">
        <v>44218</v>
      </c>
      <c r="I5">
        <v>44218</v>
      </c>
      <c r="K5" t="s">
        <v>23</v>
      </c>
      <c r="L5" t="s">
        <v>34</v>
      </c>
      <c r="M5" s="73" t="s">
        <v>25</v>
      </c>
      <c r="N5">
        <v>1</v>
      </c>
      <c r="O5" t="s">
        <v>27</v>
      </c>
      <c r="P5" t="s">
        <v>27</v>
      </c>
      <c r="Q5" t="s">
        <v>28</v>
      </c>
      <c r="R5" t="s">
        <v>29</v>
      </c>
      <c r="S5">
        <f t="shared" si="0"/>
        <v>0</v>
      </c>
    </row>
    <row r="6" spans="1:19" x14ac:dyDescent="0.25">
      <c r="A6" t="s">
        <v>37</v>
      </c>
      <c r="B6">
        <v>214003</v>
      </c>
      <c r="C6" t="s">
        <v>20</v>
      </c>
      <c r="D6" t="s">
        <v>38</v>
      </c>
      <c r="E6" t="s">
        <v>39</v>
      </c>
      <c r="F6">
        <v>1</v>
      </c>
      <c r="G6" s="89">
        <v>44210</v>
      </c>
      <c r="H6">
        <v>44215</v>
      </c>
      <c r="I6">
        <v>44215</v>
      </c>
      <c r="K6" t="s">
        <v>23</v>
      </c>
      <c r="L6" t="s">
        <v>24</v>
      </c>
      <c r="M6" t="s">
        <v>25</v>
      </c>
      <c r="O6" t="s">
        <v>26</v>
      </c>
      <c r="P6" t="s">
        <v>26</v>
      </c>
      <c r="Q6" t="s">
        <v>29</v>
      </c>
      <c r="R6" t="s">
        <v>29</v>
      </c>
      <c r="S6">
        <f t="shared" si="0"/>
        <v>0</v>
      </c>
    </row>
    <row r="7" spans="1:19" x14ac:dyDescent="0.25">
      <c r="A7" t="s">
        <v>40</v>
      </c>
      <c r="B7">
        <v>214035</v>
      </c>
      <c r="C7" t="s">
        <v>31</v>
      </c>
      <c r="D7" t="s">
        <v>41</v>
      </c>
      <c r="E7" t="s">
        <v>33</v>
      </c>
      <c r="F7">
        <v>1</v>
      </c>
      <c r="G7" s="89">
        <v>44208</v>
      </c>
      <c r="H7">
        <v>44216</v>
      </c>
      <c r="I7">
        <v>44216</v>
      </c>
      <c r="K7" t="s">
        <v>23</v>
      </c>
      <c r="L7" t="s">
        <v>42</v>
      </c>
      <c r="M7" t="s">
        <v>25</v>
      </c>
      <c r="N7">
        <v>1</v>
      </c>
      <c r="O7" t="s">
        <v>27</v>
      </c>
      <c r="P7" t="s">
        <v>27</v>
      </c>
      <c r="Q7" t="s">
        <v>28</v>
      </c>
      <c r="R7" t="s">
        <v>29</v>
      </c>
      <c r="S7">
        <f t="shared" si="0"/>
        <v>0</v>
      </c>
    </row>
    <row r="8" spans="1:19" x14ac:dyDescent="0.25">
      <c r="A8" t="s">
        <v>40</v>
      </c>
      <c r="B8">
        <v>214035</v>
      </c>
      <c r="C8" t="s">
        <v>31</v>
      </c>
      <c r="D8" t="s">
        <v>41</v>
      </c>
      <c r="E8" t="s">
        <v>35</v>
      </c>
      <c r="F8">
        <v>1</v>
      </c>
      <c r="G8" s="89">
        <v>44208</v>
      </c>
      <c r="H8">
        <v>44216</v>
      </c>
      <c r="I8">
        <v>44216</v>
      </c>
      <c r="K8" t="s">
        <v>23</v>
      </c>
      <c r="L8" t="s">
        <v>42</v>
      </c>
      <c r="M8" t="s">
        <v>25</v>
      </c>
      <c r="N8">
        <v>1</v>
      </c>
      <c r="O8" t="s">
        <v>27</v>
      </c>
      <c r="P8" t="s">
        <v>27</v>
      </c>
      <c r="Q8" t="s">
        <v>28</v>
      </c>
      <c r="R8" t="s">
        <v>29</v>
      </c>
      <c r="S8">
        <f t="shared" si="0"/>
        <v>0</v>
      </c>
    </row>
    <row r="9" spans="1:19" x14ac:dyDescent="0.25">
      <c r="A9" t="s">
        <v>37</v>
      </c>
      <c r="B9">
        <v>214003</v>
      </c>
      <c r="C9" t="s">
        <v>20</v>
      </c>
      <c r="D9" t="s">
        <v>38</v>
      </c>
      <c r="E9" t="s">
        <v>43</v>
      </c>
      <c r="F9">
        <v>1</v>
      </c>
      <c r="G9" s="89">
        <v>44210</v>
      </c>
      <c r="H9">
        <v>44215</v>
      </c>
      <c r="I9">
        <v>44215</v>
      </c>
      <c r="K9" t="s">
        <v>23</v>
      </c>
      <c r="L9" t="s">
        <v>24</v>
      </c>
      <c r="M9" t="s">
        <v>25</v>
      </c>
      <c r="O9" t="s">
        <v>26</v>
      </c>
      <c r="P9" t="s">
        <v>26</v>
      </c>
      <c r="Q9" t="s">
        <v>29</v>
      </c>
      <c r="R9" t="s">
        <v>29</v>
      </c>
      <c r="S9">
        <f t="shared" si="0"/>
        <v>0</v>
      </c>
    </row>
    <row r="10" spans="1:19" x14ac:dyDescent="0.25">
      <c r="A10" t="s">
        <v>37</v>
      </c>
      <c r="B10">
        <v>214003</v>
      </c>
      <c r="C10" t="s">
        <v>20</v>
      </c>
      <c r="D10" t="s">
        <v>38</v>
      </c>
      <c r="E10" t="s">
        <v>44</v>
      </c>
      <c r="F10">
        <v>1</v>
      </c>
      <c r="G10" s="89">
        <v>44210</v>
      </c>
      <c r="H10">
        <v>44215</v>
      </c>
      <c r="I10">
        <v>44215</v>
      </c>
      <c r="K10" t="s">
        <v>23</v>
      </c>
      <c r="L10" t="s">
        <v>24</v>
      </c>
      <c r="M10" t="s">
        <v>25</v>
      </c>
      <c r="O10" t="s">
        <v>26</v>
      </c>
      <c r="P10" t="s">
        <v>26</v>
      </c>
      <c r="Q10" t="s">
        <v>29</v>
      </c>
      <c r="R10" t="s">
        <v>29</v>
      </c>
      <c r="S10">
        <f t="shared" si="0"/>
        <v>0</v>
      </c>
    </row>
    <row r="11" spans="1:19" x14ac:dyDescent="0.25">
      <c r="A11" t="s">
        <v>37</v>
      </c>
      <c r="B11">
        <v>214003</v>
      </c>
      <c r="C11" t="s">
        <v>20</v>
      </c>
      <c r="D11" t="s">
        <v>38</v>
      </c>
      <c r="E11" t="s">
        <v>35</v>
      </c>
      <c r="F11">
        <v>1</v>
      </c>
      <c r="G11" s="89">
        <v>44210</v>
      </c>
      <c r="H11">
        <v>44215</v>
      </c>
      <c r="I11">
        <v>44215</v>
      </c>
      <c r="K11" t="s">
        <v>23</v>
      </c>
      <c r="L11" t="s">
        <v>24</v>
      </c>
      <c r="M11" t="s">
        <v>25</v>
      </c>
      <c r="O11" t="s">
        <v>26</v>
      </c>
      <c r="P11" t="s">
        <v>26</v>
      </c>
      <c r="Q11" t="s">
        <v>29</v>
      </c>
      <c r="R11" t="s">
        <v>29</v>
      </c>
      <c r="S11">
        <f t="shared" si="0"/>
        <v>0</v>
      </c>
    </row>
    <row r="12" spans="1:19" x14ac:dyDescent="0.25">
      <c r="A12" t="s">
        <v>37</v>
      </c>
      <c r="B12">
        <v>214003</v>
      </c>
      <c r="C12" t="s">
        <v>20</v>
      </c>
      <c r="D12" t="s">
        <v>38</v>
      </c>
      <c r="E12" t="s">
        <v>45</v>
      </c>
      <c r="F12">
        <v>1</v>
      </c>
      <c r="G12" s="89">
        <v>44210</v>
      </c>
      <c r="H12">
        <v>44215</v>
      </c>
      <c r="I12">
        <v>44215</v>
      </c>
      <c r="K12" t="s">
        <v>23</v>
      </c>
      <c r="L12" t="s">
        <v>24</v>
      </c>
      <c r="M12" t="s">
        <v>25</v>
      </c>
      <c r="O12" t="s">
        <v>26</v>
      </c>
      <c r="P12" t="s">
        <v>26</v>
      </c>
      <c r="Q12" t="s">
        <v>29</v>
      </c>
      <c r="R12" t="s">
        <v>29</v>
      </c>
      <c r="S12">
        <f t="shared" si="0"/>
        <v>0</v>
      </c>
    </row>
    <row r="13" spans="1:19" x14ac:dyDescent="0.25">
      <c r="A13" t="s">
        <v>37</v>
      </c>
      <c r="B13">
        <v>214003</v>
      </c>
      <c r="C13" t="s">
        <v>20</v>
      </c>
      <c r="D13" t="s">
        <v>38</v>
      </c>
      <c r="E13" t="s">
        <v>33</v>
      </c>
      <c r="F13">
        <v>1</v>
      </c>
      <c r="G13" s="89">
        <v>44210</v>
      </c>
      <c r="H13">
        <v>44215</v>
      </c>
      <c r="I13">
        <v>44215</v>
      </c>
      <c r="K13" t="s">
        <v>23</v>
      </c>
      <c r="L13" t="s">
        <v>24</v>
      </c>
      <c r="M13" t="s">
        <v>25</v>
      </c>
      <c r="O13" t="s">
        <v>26</v>
      </c>
      <c r="P13" t="s">
        <v>26</v>
      </c>
      <c r="Q13" t="s">
        <v>29</v>
      </c>
      <c r="R13" t="s">
        <v>29</v>
      </c>
      <c r="S13">
        <f t="shared" si="0"/>
        <v>0</v>
      </c>
    </row>
    <row r="14" spans="1:19" x14ac:dyDescent="0.25">
      <c r="A14" t="s">
        <v>37</v>
      </c>
      <c r="B14">
        <v>214003</v>
      </c>
      <c r="C14" t="s">
        <v>20</v>
      </c>
      <c r="D14" t="s">
        <v>38</v>
      </c>
      <c r="E14" t="s">
        <v>46</v>
      </c>
      <c r="F14">
        <v>1</v>
      </c>
      <c r="G14" s="89">
        <v>44210</v>
      </c>
      <c r="H14">
        <v>44215</v>
      </c>
      <c r="I14">
        <v>44215</v>
      </c>
      <c r="K14" t="s">
        <v>23</v>
      </c>
      <c r="L14" t="s">
        <v>24</v>
      </c>
      <c r="M14" t="s">
        <v>25</v>
      </c>
      <c r="O14" t="s">
        <v>26</v>
      </c>
      <c r="P14" t="s">
        <v>26</v>
      </c>
      <c r="Q14" t="s">
        <v>29</v>
      </c>
      <c r="R14" t="s">
        <v>29</v>
      </c>
      <c r="S14">
        <f t="shared" si="0"/>
        <v>0</v>
      </c>
    </row>
    <row r="15" spans="1:19" x14ac:dyDescent="0.25">
      <c r="A15" t="s">
        <v>47</v>
      </c>
      <c r="B15">
        <v>213500</v>
      </c>
      <c r="C15" t="s">
        <v>20</v>
      </c>
      <c r="D15" t="s">
        <v>48</v>
      </c>
      <c r="E15" t="s">
        <v>49</v>
      </c>
      <c r="F15">
        <v>1</v>
      </c>
      <c r="G15" s="89">
        <v>44207</v>
      </c>
      <c r="H15">
        <v>44211</v>
      </c>
      <c r="I15">
        <v>44222</v>
      </c>
      <c r="K15" t="s">
        <v>23</v>
      </c>
      <c r="L15" t="s">
        <v>24</v>
      </c>
      <c r="M15" t="s">
        <v>25</v>
      </c>
      <c r="N15">
        <v>3</v>
      </c>
      <c r="O15" t="s">
        <v>26</v>
      </c>
      <c r="P15" t="s">
        <v>26</v>
      </c>
      <c r="Q15" t="s">
        <v>28</v>
      </c>
      <c r="R15" t="s">
        <v>28</v>
      </c>
      <c r="S15">
        <f t="shared" si="0"/>
        <v>11</v>
      </c>
    </row>
    <row r="16" spans="1:19" x14ac:dyDescent="0.25">
      <c r="A16" t="s">
        <v>47</v>
      </c>
      <c r="B16">
        <v>213500</v>
      </c>
      <c r="C16" t="s">
        <v>20</v>
      </c>
      <c r="D16" t="s">
        <v>48</v>
      </c>
      <c r="E16" t="s">
        <v>33</v>
      </c>
      <c r="F16">
        <v>1</v>
      </c>
      <c r="G16" s="89">
        <v>44207</v>
      </c>
      <c r="H16">
        <v>44211</v>
      </c>
      <c r="I16">
        <v>44222</v>
      </c>
      <c r="K16" t="s">
        <v>23</v>
      </c>
      <c r="L16" t="s">
        <v>24</v>
      </c>
      <c r="M16" t="s">
        <v>25</v>
      </c>
      <c r="N16">
        <v>3</v>
      </c>
      <c r="O16" t="s">
        <v>26</v>
      </c>
      <c r="P16" t="s">
        <v>26</v>
      </c>
      <c r="Q16" t="s">
        <v>50</v>
      </c>
      <c r="R16" t="s">
        <v>50</v>
      </c>
      <c r="S16">
        <f t="shared" si="0"/>
        <v>11</v>
      </c>
    </row>
    <row r="17" spans="1:19" x14ac:dyDescent="0.25">
      <c r="A17" t="s">
        <v>47</v>
      </c>
      <c r="B17">
        <v>213500</v>
      </c>
      <c r="C17" t="s">
        <v>20</v>
      </c>
      <c r="D17" t="s">
        <v>48</v>
      </c>
      <c r="E17" t="s">
        <v>46</v>
      </c>
      <c r="F17">
        <v>1</v>
      </c>
      <c r="G17" s="89">
        <v>44207</v>
      </c>
      <c r="H17">
        <v>44211</v>
      </c>
      <c r="I17">
        <v>44222</v>
      </c>
      <c r="K17" t="s">
        <v>23</v>
      </c>
      <c r="L17" t="s">
        <v>24</v>
      </c>
      <c r="M17" t="s">
        <v>25</v>
      </c>
      <c r="N17">
        <v>3</v>
      </c>
      <c r="O17" t="s">
        <v>26</v>
      </c>
      <c r="P17" t="s">
        <v>26</v>
      </c>
      <c r="Q17" t="s">
        <v>51</v>
      </c>
      <c r="R17" t="s">
        <v>51</v>
      </c>
      <c r="S17">
        <f t="shared" si="0"/>
        <v>11</v>
      </c>
    </row>
    <row r="18" spans="1:19" x14ac:dyDescent="0.25">
      <c r="A18" t="s">
        <v>47</v>
      </c>
      <c r="B18">
        <v>213500</v>
      </c>
      <c r="C18" t="s">
        <v>20</v>
      </c>
      <c r="D18" t="s">
        <v>48</v>
      </c>
      <c r="E18" t="s">
        <v>36</v>
      </c>
      <c r="F18">
        <v>1</v>
      </c>
      <c r="G18" s="89">
        <v>44207</v>
      </c>
      <c r="H18">
        <v>44211</v>
      </c>
      <c r="I18">
        <v>44222</v>
      </c>
      <c r="K18" t="s">
        <v>23</v>
      </c>
      <c r="L18" t="s">
        <v>24</v>
      </c>
      <c r="M18" t="s">
        <v>25</v>
      </c>
      <c r="N18">
        <v>3</v>
      </c>
      <c r="O18" t="s">
        <v>26</v>
      </c>
      <c r="P18" t="s">
        <v>26</v>
      </c>
      <c r="Q18" t="s">
        <v>52</v>
      </c>
      <c r="R18" t="s">
        <v>52</v>
      </c>
      <c r="S18">
        <f t="shared" si="0"/>
        <v>11</v>
      </c>
    </row>
    <row r="19" spans="1:19" x14ac:dyDescent="0.25">
      <c r="A19" t="s">
        <v>40</v>
      </c>
      <c r="B19">
        <v>212637</v>
      </c>
      <c r="C19" t="s">
        <v>20</v>
      </c>
      <c r="D19" t="s">
        <v>53</v>
      </c>
      <c r="E19" t="s">
        <v>35</v>
      </c>
      <c r="F19">
        <v>2</v>
      </c>
      <c r="G19" s="89">
        <v>44202</v>
      </c>
      <c r="H19">
        <v>44203</v>
      </c>
      <c r="I19">
        <v>44203</v>
      </c>
      <c r="K19" t="s">
        <v>23</v>
      </c>
      <c r="L19" t="s">
        <v>34</v>
      </c>
      <c r="M19" t="s">
        <v>25</v>
      </c>
      <c r="N19">
        <v>1</v>
      </c>
      <c r="O19" t="s">
        <v>26</v>
      </c>
      <c r="P19" t="s">
        <v>27</v>
      </c>
      <c r="Q19" t="s">
        <v>29</v>
      </c>
      <c r="R19" t="s">
        <v>54</v>
      </c>
      <c r="S19">
        <f t="shared" si="0"/>
        <v>0</v>
      </c>
    </row>
    <row r="20" spans="1:19" x14ac:dyDescent="0.25">
      <c r="A20" t="s">
        <v>55</v>
      </c>
      <c r="B20">
        <v>179193</v>
      </c>
      <c r="C20" t="s">
        <v>56</v>
      </c>
      <c r="D20" t="s">
        <v>57</v>
      </c>
      <c r="E20" t="s">
        <v>35</v>
      </c>
      <c r="F20">
        <v>2</v>
      </c>
      <c r="G20" s="89">
        <v>44039</v>
      </c>
      <c r="I20">
        <v>44046</v>
      </c>
      <c r="K20" t="s">
        <v>23</v>
      </c>
      <c r="L20" t="s">
        <v>58</v>
      </c>
      <c r="O20" t="s">
        <v>26</v>
      </c>
      <c r="P20" t="s">
        <v>27</v>
      </c>
      <c r="Q20" t="s">
        <v>29</v>
      </c>
      <c r="R20" t="s">
        <v>28</v>
      </c>
      <c r="S20">
        <f t="shared" si="0"/>
        <v>44046</v>
      </c>
    </row>
    <row r="21" spans="1:19" x14ac:dyDescent="0.25">
      <c r="A21" t="s">
        <v>59</v>
      </c>
      <c r="B21">
        <v>190879</v>
      </c>
      <c r="C21" t="s">
        <v>56</v>
      </c>
      <c r="D21" t="s">
        <v>60</v>
      </c>
      <c r="E21" t="s">
        <v>61</v>
      </c>
      <c r="F21">
        <v>1</v>
      </c>
      <c r="G21" s="89">
        <v>44096</v>
      </c>
      <c r="I21">
        <v>44112</v>
      </c>
      <c r="K21" t="s">
        <v>23</v>
      </c>
      <c r="L21" t="s">
        <v>42</v>
      </c>
      <c r="M21" t="s">
        <v>25</v>
      </c>
      <c r="O21" t="s">
        <v>27</v>
      </c>
      <c r="P21" t="s">
        <v>27</v>
      </c>
      <c r="Q21" t="s">
        <v>29</v>
      </c>
      <c r="R21" t="s">
        <v>29</v>
      </c>
      <c r="S21">
        <f t="shared" si="0"/>
        <v>44112</v>
      </c>
    </row>
    <row r="22" spans="1:19" x14ac:dyDescent="0.25">
      <c r="A22" t="s">
        <v>59</v>
      </c>
      <c r="B22">
        <v>190879</v>
      </c>
      <c r="C22" t="s">
        <v>56</v>
      </c>
      <c r="D22" t="s">
        <v>60</v>
      </c>
      <c r="E22" t="s">
        <v>62</v>
      </c>
      <c r="F22">
        <v>1</v>
      </c>
      <c r="G22" s="89">
        <v>44096</v>
      </c>
      <c r="I22">
        <v>44112</v>
      </c>
      <c r="K22" t="s">
        <v>23</v>
      </c>
      <c r="L22" t="s">
        <v>34</v>
      </c>
      <c r="M22" t="s">
        <v>25</v>
      </c>
      <c r="O22" t="s">
        <v>27</v>
      </c>
      <c r="P22" t="s">
        <v>27</v>
      </c>
      <c r="Q22" t="s">
        <v>29</v>
      </c>
      <c r="R22" t="s">
        <v>29</v>
      </c>
      <c r="S22">
        <f t="shared" si="0"/>
        <v>44112</v>
      </c>
    </row>
    <row r="23" spans="1:19" x14ac:dyDescent="0.25">
      <c r="A23" t="s">
        <v>59</v>
      </c>
      <c r="B23">
        <v>190879</v>
      </c>
      <c r="C23" t="s">
        <v>56</v>
      </c>
      <c r="D23" t="s">
        <v>60</v>
      </c>
      <c r="E23" t="s">
        <v>63</v>
      </c>
      <c r="F23">
        <v>3</v>
      </c>
      <c r="G23" s="89">
        <v>44096</v>
      </c>
      <c r="I23">
        <v>44112</v>
      </c>
      <c r="K23" t="s">
        <v>23</v>
      </c>
      <c r="L23" t="s">
        <v>42</v>
      </c>
      <c r="M23" t="s">
        <v>25</v>
      </c>
      <c r="O23" t="s">
        <v>27</v>
      </c>
      <c r="P23" t="s">
        <v>27</v>
      </c>
      <c r="Q23" t="s">
        <v>29</v>
      </c>
      <c r="R23" t="s">
        <v>29</v>
      </c>
      <c r="S23">
        <f t="shared" si="0"/>
        <v>44112</v>
      </c>
    </row>
    <row r="24" spans="1:19" x14ac:dyDescent="0.25">
      <c r="A24" t="s">
        <v>59</v>
      </c>
      <c r="B24">
        <v>190879</v>
      </c>
      <c r="C24" t="s">
        <v>64</v>
      </c>
      <c r="D24" t="s">
        <v>60</v>
      </c>
      <c r="E24" t="s">
        <v>65</v>
      </c>
      <c r="F24">
        <v>1</v>
      </c>
      <c r="G24" s="89">
        <v>44096</v>
      </c>
      <c r="I24">
        <v>44221</v>
      </c>
      <c r="K24" t="s">
        <v>23</v>
      </c>
      <c r="L24" t="s">
        <v>58</v>
      </c>
      <c r="M24" t="s">
        <v>25</v>
      </c>
      <c r="O24" t="s">
        <v>27</v>
      </c>
      <c r="P24" t="s">
        <v>27</v>
      </c>
      <c r="Q24" t="s">
        <v>29</v>
      </c>
      <c r="R24" t="s">
        <v>29</v>
      </c>
      <c r="S24">
        <f t="shared" si="0"/>
        <v>44221</v>
      </c>
    </row>
    <row r="25" spans="1:19" x14ac:dyDescent="0.25">
      <c r="A25" t="s">
        <v>59</v>
      </c>
      <c r="B25">
        <v>214128</v>
      </c>
      <c r="C25" t="s">
        <v>64</v>
      </c>
      <c r="D25" t="s">
        <v>66</v>
      </c>
      <c r="E25" t="s">
        <v>67</v>
      </c>
      <c r="F25">
        <v>1</v>
      </c>
      <c r="G25" s="89">
        <v>44209</v>
      </c>
      <c r="I25">
        <v>44216</v>
      </c>
      <c r="K25" t="s">
        <v>23</v>
      </c>
      <c r="L25" t="s">
        <v>58</v>
      </c>
      <c r="M25" t="s">
        <v>25</v>
      </c>
      <c r="O25" t="s">
        <v>26</v>
      </c>
      <c r="P25" t="s">
        <v>26</v>
      </c>
      <c r="Q25" t="s">
        <v>54</v>
      </c>
      <c r="R25" t="s">
        <v>54</v>
      </c>
      <c r="S25">
        <f t="shared" si="0"/>
        <v>44216</v>
      </c>
    </row>
    <row r="26" spans="1:19" x14ac:dyDescent="0.25">
      <c r="A26" t="s">
        <v>59</v>
      </c>
      <c r="B26">
        <v>214128</v>
      </c>
      <c r="C26" t="s">
        <v>64</v>
      </c>
      <c r="D26" t="s">
        <v>66</v>
      </c>
      <c r="E26" t="s">
        <v>62</v>
      </c>
      <c r="F26">
        <v>1</v>
      </c>
      <c r="G26" s="89">
        <v>44209</v>
      </c>
      <c r="I26">
        <v>44216</v>
      </c>
      <c r="K26" t="s">
        <v>23</v>
      </c>
      <c r="L26" t="s">
        <v>58</v>
      </c>
      <c r="M26" t="s">
        <v>25</v>
      </c>
      <c r="O26" t="s">
        <v>26</v>
      </c>
      <c r="P26" t="s">
        <v>26</v>
      </c>
      <c r="Q26" t="s">
        <v>54</v>
      </c>
      <c r="R26" t="s">
        <v>54</v>
      </c>
      <c r="S26">
        <f t="shared" si="0"/>
        <v>44216</v>
      </c>
    </row>
    <row r="27" spans="1:19" x14ac:dyDescent="0.25">
      <c r="A27" t="s">
        <v>68</v>
      </c>
      <c r="B27">
        <v>216194</v>
      </c>
      <c r="C27" t="s">
        <v>64</v>
      </c>
      <c r="D27" t="s">
        <v>69</v>
      </c>
      <c r="E27" t="s">
        <v>49</v>
      </c>
      <c r="F27">
        <v>2</v>
      </c>
      <c r="G27" s="89">
        <v>44218</v>
      </c>
      <c r="H27">
        <v>44218</v>
      </c>
      <c r="I27">
        <v>44218</v>
      </c>
      <c r="K27" t="s">
        <v>23</v>
      </c>
      <c r="L27" t="s">
        <v>58</v>
      </c>
      <c r="M27" t="s">
        <v>25</v>
      </c>
      <c r="O27" t="s">
        <v>26</v>
      </c>
      <c r="P27" t="s">
        <v>27</v>
      </c>
      <c r="Q27" t="s">
        <v>28</v>
      </c>
      <c r="R27" t="s">
        <v>29</v>
      </c>
      <c r="S27">
        <f t="shared" si="0"/>
        <v>0</v>
      </c>
    </row>
    <row r="28" spans="1:19" x14ac:dyDescent="0.25">
      <c r="A28" t="s">
        <v>68</v>
      </c>
      <c r="B28">
        <v>216194</v>
      </c>
      <c r="C28" t="s">
        <v>64</v>
      </c>
      <c r="D28" t="s">
        <v>69</v>
      </c>
      <c r="E28" t="s">
        <v>35</v>
      </c>
      <c r="F28">
        <v>2</v>
      </c>
      <c r="G28" s="89">
        <v>44218</v>
      </c>
      <c r="H28">
        <v>44218</v>
      </c>
      <c r="I28">
        <v>44218</v>
      </c>
      <c r="K28" t="s">
        <v>23</v>
      </c>
      <c r="L28" t="s">
        <v>58</v>
      </c>
      <c r="M28" t="s">
        <v>25</v>
      </c>
      <c r="O28" t="s">
        <v>26</v>
      </c>
      <c r="P28" t="s">
        <v>27</v>
      </c>
      <c r="Q28" t="s">
        <v>28</v>
      </c>
      <c r="R28" t="s">
        <v>29</v>
      </c>
      <c r="S28">
        <f t="shared" si="0"/>
        <v>0</v>
      </c>
    </row>
    <row r="29" spans="1:19" x14ac:dyDescent="0.25">
      <c r="A29" t="s">
        <v>68</v>
      </c>
      <c r="B29">
        <v>216194</v>
      </c>
      <c r="C29" t="s">
        <v>64</v>
      </c>
      <c r="D29" t="s">
        <v>69</v>
      </c>
      <c r="E29" t="s">
        <v>36</v>
      </c>
      <c r="F29">
        <v>2</v>
      </c>
      <c r="G29" s="89">
        <v>44218</v>
      </c>
      <c r="H29">
        <v>44218</v>
      </c>
      <c r="I29">
        <v>44218</v>
      </c>
      <c r="K29" t="s">
        <v>23</v>
      </c>
      <c r="L29" t="s">
        <v>58</v>
      </c>
      <c r="M29" t="s">
        <v>25</v>
      </c>
      <c r="O29" t="s">
        <v>26</v>
      </c>
      <c r="P29" t="s">
        <v>27</v>
      </c>
      <c r="Q29" t="s">
        <v>28</v>
      </c>
      <c r="R29" t="s">
        <v>29</v>
      </c>
      <c r="S29">
        <f t="shared" si="0"/>
        <v>0</v>
      </c>
    </row>
    <row r="30" spans="1:19" x14ac:dyDescent="0.25">
      <c r="A30" t="s">
        <v>30</v>
      </c>
      <c r="B30">
        <v>212059</v>
      </c>
      <c r="C30" t="s">
        <v>20</v>
      </c>
      <c r="D30" t="s">
        <v>70</v>
      </c>
      <c r="E30" t="s">
        <v>44</v>
      </c>
      <c r="F30">
        <v>1</v>
      </c>
      <c r="G30" s="89">
        <v>44210</v>
      </c>
      <c r="H30">
        <v>44214</v>
      </c>
      <c r="I30">
        <v>44211</v>
      </c>
      <c r="K30" t="s">
        <v>23</v>
      </c>
      <c r="L30" t="s">
        <v>34</v>
      </c>
      <c r="M30" t="s">
        <v>25</v>
      </c>
      <c r="O30" t="s">
        <v>26</v>
      </c>
      <c r="P30" t="s">
        <v>26</v>
      </c>
      <c r="Q30" t="s">
        <v>54</v>
      </c>
      <c r="R30" t="s">
        <v>54</v>
      </c>
      <c r="S30">
        <f t="shared" si="0"/>
        <v>-3</v>
      </c>
    </row>
    <row r="31" spans="1:19" x14ac:dyDescent="0.25">
      <c r="A31" t="s">
        <v>71</v>
      </c>
      <c r="B31">
        <v>215322</v>
      </c>
      <c r="C31" t="s">
        <v>31</v>
      </c>
      <c r="D31" t="s">
        <v>72</v>
      </c>
      <c r="E31" t="s">
        <v>73</v>
      </c>
      <c r="F31">
        <v>1</v>
      </c>
      <c r="G31" s="89">
        <v>44215</v>
      </c>
      <c r="H31">
        <v>44221</v>
      </c>
      <c r="I31">
        <v>44221</v>
      </c>
      <c r="K31" t="s">
        <v>23</v>
      </c>
      <c r="L31" t="s">
        <v>58</v>
      </c>
      <c r="M31" t="s">
        <v>25</v>
      </c>
      <c r="N31">
        <v>0</v>
      </c>
      <c r="O31" t="s">
        <v>26</v>
      </c>
      <c r="P31" t="s">
        <v>27</v>
      </c>
      <c r="Q31" t="s">
        <v>54</v>
      </c>
      <c r="R31" t="s">
        <v>74</v>
      </c>
      <c r="S31">
        <f t="shared" si="0"/>
        <v>0</v>
      </c>
    </row>
    <row r="32" spans="1:19" x14ac:dyDescent="0.25">
      <c r="A32" t="s">
        <v>47</v>
      </c>
      <c r="B32">
        <v>215073</v>
      </c>
      <c r="C32" t="s">
        <v>64</v>
      </c>
      <c r="D32" t="s">
        <v>75</v>
      </c>
      <c r="E32" t="s">
        <v>67</v>
      </c>
      <c r="F32">
        <v>1</v>
      </c>
      <c r="G32" s="89">
        <v>44214</v>
      </c>
      <c r="H32">
        <v>44218</v>
      </c>
      <c r="K32" t="s">
        <v>23</v>
      </c>
      <c r="L32" t="s">
        <v>58</v>
      </c>
      <c r="M32" t="s">
        <v>25</v>
      </c>
      <c r="O32" t="s">
        <v>26</v>
      </c>
      <c r="P32" t="s">
        <v>27</v>
      </c>
      <c r="Q32" t="s">
        <v>29</v>
      </c>
      <c r="R32" t="s">
        <v>54</v>
      </c>
      <c r="S32">
        <f t="shared" si="0"/>
        <v>-44218</v>
      </c>
    </row>
    <row r="33" spans="1:19" x14ac:dyDescent="0.25">
      <c r="A33" t="s">
        <v>30</v>
      </c>
      <c r="B33">
        <v>212059</v>
      </c>
      <c r="C33" t="s">
        <v>20</v>
      </c>
      <c r="D33" t="s">
        <v>70</v>
      </c>
      <c r="E33" t="s">
        <v>35</v>
      </c>
      <c r="F33">
        <v>1</v>
      </c>
      <c r="G33" s="89">
        <v>44210</v>
      </c>
      <c r="H33">
        <v>44214</v>
      </c>
      <c r="I33">
        <v>44211</v>
      </c>
      <c r="K33" t="s">
        <v>23</v>
      </c>
      <c r="L33" t="s">
        <v>34</v>
      </c>
      <c r="M33" t="s">
        <v>25</v>
      </c>
      <c r="O33" t="s">
        <v>26</v>
      </c>
      <c r="P33" t="s">
        <v>26</v>
      </c>
      <c r="Q33" t="s">
        <v>54</v>
      </c>
      <c r="R33" t="s">
        <v>54</v>
      </c>
      <c r="S33">
        <f t="shared" si="0"/>
        <v>-3</v>
      </c>
    </row>
    <row r="34" spans="1:19" x14ac:dyDescent="0.25">
      <c r="A34" t="s">
        <v>30</v>
      </c>
      <c r="B34">
        <v>212059</v>
      </c>
      <c r="C34" t="s">
        <v>20</v>
      </c>
      <c r="D34" t="s">
        <v>70</v>
      </c>
      <c r="E34" t="s">
        <v>33</v>
      </c>
      <c r="F34">
        <v>1</v>
      </c>
      <c r="G34" s="89">
        <v>44210</v>
      </c>
      <c r="H34">
        <v>44214</v>
      </c>
      <c r="I34">
        <v>44211</v>
      </c>
      <c r="K34" t="s">
        <v>23</v>
      </c>
      <c r="L34" t="s">
        <v>34</v>
      </c>
      <c r="M34" t="s">
        <v>25</v>
      </c>
      <c r="O34" t="s">
        <v>26</v>
      </c>
      <c r="P34" t="s">
        <v>26</v>
      </c>
      <c r="Q34" t="s">
        <v>54</v>
      </c>
      <c r="R34" t="s">
        <v>54</v>
      </c>
      <c r="S34">
        <f t="shared" si="0"/>
        <v>-3</v>
      </c>
    </row>
    <row r="35" spans="1:19" x14ac:dyDescent="0.25">
      <c r="A35" t="s">
        <v>30</v>
      </c>
      <c r="B35">
        <v>212059</v>
      </c>
      <c r="C35" t="s">
        <v>20</v>
      </c>
      <c r="D35" t="s">
        <v>70</v>
      </c>
      <c r="E35" t="s">
        <v>76</v>
      </c>
      <c r="F35">
        <v>1</v>
      </c>
      <c r="G35" s="89">
        <v>44210</v>
      </c>
      <c r="H35">
        <v>44214</v>
      </c>
      <c r="I35">
        <v>44211</v>
      </c>
      <c r="K35" t="s">
        <v>23</v>
      </c>
      <c r="L35" t="s">
        <v>34</v>
      </c>
      <c r="M35" t="s">
        <v>25</v>
      </c>
      <c r="O35" t="s">
        <v>26</v>
      </c>
      <c r="P35" t="s">
        <v>26</v>
      </c>
      <c r="Q35" t="s">
        <v>54</v>
      </c>
      <c r="R35" t="s">
        <v>54</v>
      </c>
      <c r="S35">
        <f t="shared" ref="S35:S77" si="1">I35-H35</f>
        <v>-3</v>
      </c>
    </row>
    <row r="36" spans="1:19" x14ac:dyDescent="0.25">
      <c r="A36" t="s">
        <v>30</v>
      </c>
      <c r="B36">
        <v>212059</v>
      </c>
      <c r="C36" t="s">
        <v>20</v>
      </c>
      <c r="D36" t="s">
        <v>70</v>
      </c>
      <c r="E36" t="s">
        <v>49</v>
      </c>
      <c r="F36">
        <v>1</v>
      </c>
      <c r="G36" s="89">
        <v>44210</v>
      </c>
      <c r="H36">
        <v>44214</v>
      </c>
      <c r="I36">
        <v>44211</v>
      </c>
      <c r="K36" t="s">
        <v>23</v>
      </c>
      <c r="L36" t="s">
        <v>34</v>
      </c>
      <c r="M36" t="s">
        <v>25</v>
      </c>
      <c r="O36" t="s">
        <v>26</v>
      </c>
      <c r="P36" t="s">
        <v>26</v>
      </c>
      <c r="Q36" t="s">
        <v>54</v>
      </c>
      <c r="R36" t="s">
        <v>54</v>
      </c>
      <c r="S36">
        <f t="shared" si="1"/>
        <v>-3</v>
      </c>
    </row>
    <row r="37" spans="1:19" x14ac:dyDescent="0.25">
      <c r="A37" t="s">
        <v>30</v>
      </c>
      <c r="B37">
        <v>212059</v>
      </c>
      <c r="C37" t="s">
        <v>20</v>
      </c>
      <c r="D37" t="s">
        <v>70</v>
      </c>
      <c r="E37" t="s">
        <v>36</v>
      </c>
      <c r="F37">
        <v>5</v>
      </c>
      <c r="G37" s="89">
        <v>44210</v>
      </c>
      <c r="H37">
        <v>44214</v>
      </c>
      <c r="I37">
        <v>44211</v>
      </c>
      <c r="K37" t="s">
        <v>23</v>
      </c>
      <c r="L37" t="s">
        <v>34</v>
      </c>
      <c r="M37" t="s">
        <v>25</v>
      </c>
      <c r="O37" t="s">
        <v>26</v>
      </c>
      <c r="P37" t="s">
        <v>26</v>
      </c>
      <c r="Q37" t="s">
        <v>54</v>
      </c>
      <c r="R37" t="s">
        <v>54</v>
      </c>
      <c r="S37">
        <f t="shared" si="1"/>
        <v>-3</v>
      </c>
    </row>
    <row r="38" spans="1:19" x14ac:dyDescent="0.25">
      <c r="A38" t="s">
        <v>77</v>
      </c>
      <c r="B38">
        <v>215220</v>
      </c>
      <c r="C38" t="s">
        <v>20</v>
      </c>
      <c r="D38" t="s">
        <v>78</v>
      </c>
      <c r="E38" t="s">
        <v>36</v>
      </c>
      <c r="F38">
        <v>1</v>
      </c>
      <c r="G38" s="89">
        <v>44214</v>
      </c>
      <c r="H38">
        <v>44221</v>
      </c>
      <c r="I38">
        <v>44224</v>
      </c>
      <c r="K38" t="s">
        <v>23</v>
      </c>
      <c r="L38" t="s">
        <v>24</v>
      </c>
      <c r="M38" t="s">
        <v>25</v>
      </c>
      <c r="N38">
        <v>1</v>
      </c>
      <c r="O38" t="s">
        <v>26</v>
      </c>
      <c r="P38" t="s">
        <v>26</v>
      </c>
      <c r="Q38" t="s">
        <v>29</v>
      </c>
      <c r="R38" t="s">
        <v>54</v>
      </c>
      <c r="S38">
        <f t="shared" si="1"/>
        <v>3</v>
      </c>
    </row>
    <row r="39" spans="1:19" x14ac:dyDescent="0.25">
      <c r="A39" t="s">
        <v>40</v>
      </c>
      <c r="B39">
        <v>189842</v>
      </c>
      <c r="C39" t="s">
        <v>31</v>
      </c>
      <c r="D39" t="s">
        <v>79</v>
      </c>
      <c r="E39" t="s">
        <v>35</v>
      </c>
      <c r="F39">
        <v>7</v>
      </c>
      <c r="G39" s="89">
        <v>44221</v>
      </c>
      <c r="H39">
        <v>44221</v>
      </c>
      <c r="I39">
        <v>44221</v>
      </c>
      <c r="K39" t="s">
        <v>23</v>
      </c>
      <c r="L39" t="s">
        <v>34</v>
      </c>
      <c r="M39" t="s">
        <v>25</v>
      </c>
      <c r="N39">
        <v>2</v>
      </c>
      <c r="O39" t="s">
        <v>26</v>
      </c>
      <c r="P39" t="s">
        <v>27</v>
      </c>
      <c r="Q39" t="s">
        <v>29</v>
      </c>
      <c r="R39" t="s">
        <v>54</v>
      </c>
      <c r="S39">
        <f t="shared" si="1"/>
        <v>0</v>
      </c>
    </row>
    <row r="40" spans="1:19" x14ac:dyDescent="0.25">
      <c r="A40" t="s">
        <v>40</v>
      </c>
      <c r="B40">
        <v>189842</v>
      </c>
      <c r="C40" t="s">
        <v>31</v>
      </c>
      <c r="D40" t="s">
        <v>79</v>
      </c>
      <c r="E40" t="s">
        <v>33</v>
      </c>
      <c r="F40">
        <v>1</v>
      </c>
      <c r="G40" s="89">
        <v>44221</v>
      </c>
      <c r="H40">
        <v>44221</v>
      </c>
      <c r="I40">
        <v>44221</v>
      </c>
      <c r="K40" t="s">
        <v>23</v>
      </c>
      <c r="L40" t="s">
        <v>34</v>
      </c>
      <c r="M40" t="s">
        <v>25</v>
      </c>
      <c r="N40">
        <v>2</v>
      </c>
      <c r="O40" t="s">
        <v>26</v>
      </c>
      <c r="P40" t="s">
        <v>27</v>
      </c>
      <c r="Q40" t="s">
        <v>29</v>
      </c>
      <c r="R40" t="s">
        <v>54</v>
      </c>
      <c r="S40">
        <f t="shared" si="1"/>
        <v>0</v>
      </c>
    </row>
    <row r="41" spans="1:19" x14ac:dyDescent="0.25">
      <c r="A41" t="s">
        <v>40</v>
      </c>
      <c r="B41">
        <v>189842</v>
      </c>
      <c r="C41" t="s">
        <v>31</v>
      </c>
      <c r="D41" t="s">
        <v>79</v>
      </c>
      <c r="E41" t="s">
        <v>67</v>
      </c>
      <c r="F41">
        <v>5</v>
      </c>
      <c r="G41" s="89">
        <v>44221</v>
      </c>
      <c r="H41">
        <v>44221</v>
      </c>
      <c r="I41">
        <v>44221</v>
      </c>
      <c r="K41" t="s">
        <v>23</v>
      </c>
      <c r="L41" t="s">
        <v>34</v>
      </c>
      <c r="M41" t="s">
        <v>25</v>
      </c>
      <c r="N41">
        <v>2</v>
      </c>
      <c r="O41" t="s">
        <v>26</v>
      </c>
      <c r="P41" t="s">
        <v>27</v>
      </c>
      <c r="Q41" t="s">
        <v>29</v>
      </c>
      <c r="R41" t="s">
        <v>54</v>
      </c>
      <c r="S41">
        <f t="shared" si="1"/>
        <v>0</v>
      </c>
    </row>
    <row r="42" spans="1:19" x14ac:dyDescent="0.25">
      <c r="A42" t="s">
        <v>40</v>
      </c>
      <c r="B42">
        <v>189842</v>
      </c>
      <c r="C42" t="s">
        <v>56</v>
      </c>
      <c r="D42" t="s">
        <v>79</v>
      </c>
      <c r="E42" t="s">
        <v>35</v>
      </c>
      <c r="F42">
        <v>24</v>
      </c>
      <c r="G42" s="89">
        <v>44090</v>
      </c>
      <c r="H42">
        <v>44211</v>
      </c>
      <c r="I42">
        <v>44211</v>
      </c>
      <c r="K42" t="s">
        <v>23</v>
      </c>
      <c r="L42" t="s">
        <v>34</v>
      </c>
      <c r="M42" t="s">
        <v>25</v>
      </c>
      <c r="S42">
        <f t="shared" si="1"/>
        <v>0</v>
      </c>
    </row>
    <row r="43" spans="1:19" x14ac:dyDescent="0.25">
      <c r="A43" t="s">
        <v>40</v>
      </c>
      <c r="B43">
        <v>189842</v>
      </c>
      <c r="C43" t="s">
        <v>56</v>
      </c>
      <c r="D43" t="s">
        <v>79</v>
      </c>
      <c r="E43" t="s">
        <v>80</v>
      </c>
      <c r="F43">
        <v>11</v>
      </c>
      <c r="G43" s="89">
        <v>44090</v>
      </c>
      <c r="H43">
        <v>44211</v>
      </c>
      <c r="I43">
        <v>44211</v>
      </c>
      <c r="K43" t="s">
        <v>23</v>
      </c>
      <c r="L43" t="s">
        <v>34</v>
      </c>
      <c r="M43" t="s">
        <v>80</v>
      </c>
      <c r="S43">
        <f t="shared" si="1"/>
        <v>0</v>
      </c>
    </row>
    <row r="44" spans="1:19" x14ac:dyDescent="0.25">
      <c r="A44" t="s">
        <v>40</v>
      </c>
      <c r="B44">
        <v>189842</v>
      </c>
      <c r="C44" t="s">
        <v>56</v>
      </c>
      <c r="D44" t="s">
        <v>79</v>
      </c>
      <c r="E44" t="s">
        <v>81</v>
      </c>
      <c r="F44">
        <v>31</v>
      </c>
      <c r="G44" s="89">
        <v>44090</v>
      </c>
      <c r="H44">
        <v>44211</v>
      </c>
      <c r="I44">
        <v>44211</v>
      </c>
      <c r="K44" t="s">
        <v>23</v>
      </c>
      <c r="L44" t="s">
        <v>34</v>
      </c>
      <c r="M44" t="s">
        <v>80</v>
      </c>
      <c r="S44">
        <f t="shared" si="1"/>
        <v>0</v>
      </c>
    </row>
    <row r="45" spans="1:19" x14ac:dyDescent="0.25">
      <c r="A45" t="s">
        <v>40</v>
      </c>
      <c r="B45">
        <v>189842</v>
      </c>
      <c r="C45" t="s">
        <v>56</v>
      </c>
      <c r="D45" t="s">
        <v>79</v>
      </c>
      <c r="E45" t="s">
        <v>82</v>
      </c>
      <c r="F45">
        <v>20</v>
      </c>
      <c r="G45" s="89">
        <v>44090</v>
      </c>
      <c r="H45">
        <v>44211</v>
      </c>
      <c r="I45">
        <v>44211</v>
      </c>
      <c r="K45" t="s">
        <v>23</v>
      </c>
      <c r="L45" t="s">
        <v>34</v>
      </c>
      <c r="M45" t="s">
        <v>25</v>
      </c>
      <c r="S45">
        <f t="shared" si="1"/>
        <v>0</v>
      </c>
    </row>
    <row r="46" spans="1:19" x14ac:dyDescent="0.25">
      <c r="A46" t="s">
        <v>40</v>
      </c>
      <c r="B46">
        <v>189842</v>
      </c>
      <c r="C46" t="s">
        <v>56</v>
      </c>
      <c r="D46" t="s">
        <v>79</v>
      </c>
      <c r="E46" t="s">
        <v>83</v>
      </c>
      <c r="F46">
        <v>1</v>
      </c>
      <c r="G46" s="89">
        <v>44090</v>
      </c>
      <c r="H46">
        <v>44211</v>
      </c>
      <c r="I46">
        <v>44211</v>
      </c>
      <c r="K46" t="s">
        <v>23</v>
      </c>
      <c r="L46" t="s">
        <v>42</v>
      </c>
      <c r="M46" t="s">
        <v>25</v>
      </c>
      <c r="S46">
        <f t="shared" si="1"/>
        <v>0</v>
      </c>
    </row>
    <row r="47" spans="1:19" x14ac:dyDescent="0.25">
      <c r="A47" t="s">
        <v>40</v>
      </c>
      <c r="B47">
        <v>189842</v>
      </c>
      <c r="C47" t="s">
        <v>56</v>
      </c>
      <c r="D47" t="s">
        <v>79</v>
      </c>
      <c r="E47" t="s">
        <v>67</v>
      </c>
      <c r="F47">
        <v>1</v>
      </c>
      <c r="G47" s="89">
        <v>44090</v>
      </c>
      <c r="H47">
        <v>44211</v>
      </c>
      <c r="I47">
        <v>44211</v>
      </c>
      <c r="K47" t="s">
        <v>23</v>
      </c>
      <c r="L47" t="s">
        <v>42</v>
      </c>
      <c r="M47" t="s">
        <v>25</v>
      </c>
      <c r="S47">
        <f t="shared" si="1"/>
        <v>0</v>
      </c>
    </row>
    <row r="48" spans="1:19" x14ac:dyDescent="0.25">
      <c r="A48" t="s">
        <v>77</v>
      </c>
      <c r="B48">
        <v>215220</v>
      </c>
      <c r="C48" t="s">
        <v>20</v>
      </c>
      <c r="D48" t="s">
        <v>78</v>
      </c>
      <c r="E48" t="s">
        <v>49</v>
      </c>
      <c r="F48">
        <v>1</v>
      </c>
      <c r="G48" s="89">
        <v>44214</v>
      </c>
      <c r="H48">
        <v>44221</v>
      </c>
      <c r="I48">
        <v>44224</v>
      </c>
      <c r="K48" t="s">
        <v>23</v>
      </c>
      <c r="L48" t="s">
        <v>24</v>
      </c>
      <c r="M48" t="s">
        <v>25</v>
      </c>
      <c r="N48">
        <v>1</v>
      </c>
      <c r="O48" t="s">
        <v>26</v>
      </c>
      <c r="P48" t="s">
        <v>26</v>
      </c>
      <c r="Q48" t="s">
        <v>29</v>
      </c>
      <c r="R48" t="s">
        <v>54</v>
      </c>
      <c r="S48">
        <f t="shared" si="1"/>
        <v>3</v>
      </c>
    </row>
    <row r="49" spans="1:19" x14ac:dyDescent="0.25">
      <c r="A49" t="s">
        <v>77</v>
      </c>
      <c r="B49">
        <v>215220</v>
      </c>
      <c r="C49" t="s">
        <v>20</v>
      </c>
      <c r="D49" t="s">
        <v>78</v>
      </c>
      <c r="E49" t="s">
        <v>33</v>
      </c>
      <c r="F49">
        <v>1</v>
      </c>
      <c r="G49" s="89">
        <v>44214</v>
      </c>
      <c r="H49">
        <v>44221</v>
      </c>
      <c r="I49">
        <v>44224</v>
      </c>
      <c r="K49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29</v>
      </c>
      <c r="R49" t="s">
        <v>54</v>
      </c>
      <c r="S49">
        <f t="shared" si="1"/>
        <v>3</v>
      </c>
    </row>
    <row r="50" spans="1:19" x14ac:dyDescent="0.25">
      <c r="A50" t="s">
        <v>77</v>
      </c>
      <c r="B50">
        <v>215220</v>
      </c>
      <c r="C50" t="s">
        <v>20</v>
      </c>
      <c r="D50" t="s">
        <v>78</v>
      </c>
      <c r="E50" t="s">
        <v>46</v>
      </c>
      <c r="F50">
        <v>1</v>
      </c>
      <c r="G50" s="89">
        <v>44214</v>
      </c>
      <c r="H50">
        <v>44221</v>
      </c>
      <c r="I50">
        <v>44224</v>
      </c>
      <c r="K50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29</v>
      </c>
      <c r="R50" t="s">
        <v>54</v>
      </c>
      <c r="S50">
        <f t="shared" si="1"/>
        <v>3</v>
      </c>
    </row>
    <row r="51" spans="1:19" x14ac:dyDescent="0.25">
      <c r="A51" t="s">
        <v>68</v>
      </c>
      <c r="B51">
        <v>217161</v>
      </c>
      <c r="C51" t="s">
        <v>31</v>
      </c>
      <c r="D51" t="s">
        <v>84</v>
      </c>
      <c r="E51" t="s">
        <v>44</v>
      </c>
      <c r="F51">
        <v>2</v>
      </c>
      <c r="G51" s="89">
        <v>44223</v>
      </c>
      <c r="H51">
        <v>44224</v>
      </c>
      <c r="I51">
        <v>44224</v>
      </c>
      <c r="K51" t="s">
        <v>23</v>
      </c>
      <c r="L51" t="s">
        <v>34</v>
      </c>
      <c r="M51" t="s">
        <v>25</v>
      </c>
      <c r="O51" t="s">
        <v>26</v>
      </c>
      <c r="P51" t="s">
        <v>27</v>
      </c>
      <c r="Q51" t="s">
        <v>29</v>
      </c>
      <c r="R51" t="s">
        <v>28</v>
      </c>
      <c r="S51">
        <f t="shared" si="1"/>
        <v>0</v>
      </c>
    </row>
    <row r="52" spans="1:19" x14ac:dyDescent="0.25">
      <c r="A52" t="s">
        <v>55</v>
      </c>
      <c r="B52">
        <v>179192</v>
      </c>
      <c r="C52" t="s">
        <v>56</v>
      </c>
      <c r="D52" t="s">
        <v>85</v>
      </c>
      <c r="E52" t="s">
        <v>67</v>
      </c>
      <c r="F52">
        <v>3</v>
      </c>
      <c r="G52" s="89">
        <v>44039</v>
      </c>
      <c r="I52">
        <v>44211</v>
      </c>
      <c r="K52" t="s">
        <v>23</v>
      </c>
      <c r="L52" t="s">
        <v>42</v>
      </c>
      <c r="M52" t="s">
        <v>25</v>
      </c>
      <c r="O52" t="s">
        <v>27</v>
      </c>
      <c r="P52" t="s">
        <v>26</v>
      </c>
      <c r="Q52" t="s">
        <v>29</v>
      </c>
      <c r="R52" t="s">
        <v>54</v>
      </c>
      <c r="S52">
        <f t="shared" si="1"/>
        <v>44211</v>
      </c>
    </row>
    <row r="53" spans="1:19" x14ac:dyDescent="0.25">
      <c r="A53" t="s">
        <v>55</v>
      </c>
      <c r="B53">
        <v>179192</v>
      </c>
      <c r="C53" t="s">
        <v>56</v>
      </c>
      <c r="D53" t="s">
        <v>85</v>
      </c>
      <c r="E53" t="s">
        <v>35</v>
      </c>
      <c r="F53">
        <v>4</v>
      </c>
      <c r="G53" s="89">
        <v>44039</v>
      </c>
      <c r="I53">
        <v>44211</v>
      </c>
      <c r="J53" t="s">
        <v>86</v>
      </c>
      <c r="K53" t="s">
        <v>23</v>
      </c>
      <c r="L53" t="s">
        <v>34</v>
      </c>
      <c r="M53" t="s">
        <v>25</v>
      </c>
      <c r="O53" t="s">
        <v>26</v>
      </c>
      <c r="P53" t="s">
        <v>26</v>
      </c>
      <c r="Q53" t="s">
        <v>29</v>
      </c>
      <c r="R53" t="s">
        <v>54</v>
      </c>
      <c r="S53">
        <f t="shared" si="1"/>
        <v>44211</v>
      </c>
    </row>
    <row r="54" spans="1:19" x14ac:dyDescent="0.25">
      <c r="A54" t="s">
        <v>55</v>
      </c>
      <c r="B54">
        <v>179192</v>
      </c>
      <c r="C54" t="s">
        <v>56</v>
      </c>
      <c r="D54" t="s">
        <v>85</v>
      </c>
      <c r="E54" t="s">
        <v>35</v>
      </c>
      <c r="F54">
        <v>5</v>
      </c>
      <c r="G54" s="89">
        <v>44039</v>
      </c>
      <c r="I54">
        <v>44211</v>
      </c>
      <c r="J54" t="s">
        <v>87</v>
      </c>
      <c r="K54" t="s">
        <v>23</v>
      </c>
      <c r="L54" t="s">
        <v>42</v>
      </c>
      <c r="M54" t="s">
        <v>25</v>
      </c>
      <c r="O54" t="s">
        <v>27</v>
      </c>
      <c r="P54" t="s">
        <v>26</v>
      </c>
      <c r="Q54" t="s">
        <v>29</v>
      </c>
      <c r="R54" t="s">
        <v>54</v>
      </c>
      <c r="S54">
        <f t="shared" si="1"/>
        <v>44211</v>
      </c>
    </row>
    <row r="55" spans="1:19" x14ac:dyDescent="0.25">
      <c r="A55" t="s">
        <v>55</v>
      </c>
      <c r="B55">
        <v>179192</v>
      </c>
      <c r="C55" t="s">
        <v>56</v>
      </c>
      <c r="D55" t="s">
        <v>85</v>
      </c>
      <c r="E55" t="s">
        <v>81</v>
      </c>
      <c r="F55">
        <v>5</v>
      </c>
      <c r="G55" s="89">
        <v>44039</v>
      </c>
      <c r="I55">
        <v>44211</v>
      </c>
      <c r="J55" t="s">
        <v>88</v>
      </c>
      <c r="K55" t="s">
        <v>23</v>
      </c>
      <c r="L55" t="s">
        <v>42</v>
      </c>
      <c r="M55" t="s">
        <v>25</v>
      </c>
      <c r="O55" t="s">
        <v>27</v>
      </c>
      <c r="P55" t="s">
        <v>26</v>
      </c>
      <c r="Q55" t="s">
        <v>29</v>
      </c>
      <c r="R55" t="s">
        <v>54</v>
      </c>
      <c r="S55">
        <f t="shared" si="1"/>
        <v>44211</v>
      </c>
    </row>
    <row r="56" spans="1:19" x14ac:dyDescent="0.25">
      <c r="A56" t="s">
        <v>55</v>
      </c>
      <c r="B56">
        <v>179192</v>
      </c>
      <c r="C56" t="s">
        <v>56</v>
      </c>
      <c r="D56" t="s">
        <v>85</v>
      </c>
      <c r="E56" t="s">
        <v>62</v>
      </c>
      <c r="F56">
        <v>2</v>
      </c>
      <c r="G56" s="89">
        <v>44039</v>
      </c>
      <c r="I56">
        <v>44211</v>
      </c>
      <c r="K56" t="s">
        <v>23</v>
      </c>
      <c r="L56" t="s">
        <v>34</v>
      </c>
      <c r="M56" t="s">
        <v>25</v>
      </c>
      <c r="O56" t="s">
        <v>26</v>
      </c>
      <c r="P56" t="s">
        <v>26</v>
      </c>
      <c r="Q56" t="s">
        <v>29</v>
      </c>
      <c r="R56" t="s">
        <v>54</v>
      </c>
      <c r="S56">
        <f t="shared" si="1"/>
        <v>44211</v>
      </c>
    </row>
    <row r="57" spans="1:19" x14ac:dyDescent="0.25">
      <c r="A57" t="s">
        <v>55</v>
      </c>
      <c r="B57">
        <v>179192</v>
      </c>
      <c r="C57" t="s">
        <v>56</v>
      </c>
      <c r="D57" t="s">
        <v>85</v>
      </c>
      <c r="E57" t="s">
        <v>89</v>
      </c>
      <c r="F57">
        <v>1</v>
      </c>
      <c r="G57" s="89">
        <v>44039</v>
      </c>
      <c r="I57">
        <v>44211</v>
      </c>
      <c r="K57" t="s">
        <v>23</v>
      </c>
      <c r="L57" t="s">
        <v>42</v>
      </c>
      <c r="M57" t="s">
        <v>25</v>
      </c>
      <c r="O57" t="s">
        <v>27</v>
      </c>
      <c r="P57" t="s">
        <v>26</v>
      </c>
      <c r="Q57" t="s">
        <v>29</v>
      </c>
      <c r="R57" t="s">
        <v>54</v>
      </c>
      <c r="S57">
        <f t="shared" si="1"/>
        <v>44211</v>
      </c>
    </row>
    <row r="58" spans="1:19" x14ac:dyDescent="0.25">
      <c r="A58" t="s">
        <v>55</v>
      </c>
      <c r="B58">
        <v>179192</v>
      </c>
      <c r="C58" t="s">
        <v>56</v>
      </c>
      <c r="D58" t="s">
        <v>85</v>
      </c>
      <c r="E58" t="s">
        <v>63</v>
      </c>
      <c r="F58">
        <v>2</v>
      </c>
      <c r="G58" s="89">
        <v>44039</v>
      </c>
      <c r="I58">
        <v>44211</v>
      </c>
      <c r="K58" t="s">
        <v>23</v>
      </c>
      <c r="L58" t="s">
        <v>42</v>
      </c>
      <c r="M58" t="s">
        <v>25</v>
      </c>
      <c r="O58" t="s">
        <v>27</v>
      </c>
      <c r="P58" t="s">
        <v>26</v>
      </c>
      <c r="Q58" t="s">
        <v>29</v>
      </c>
      <c r="R58" t="s">
        <v>54</v>
      </c>
      <c r="S58">
        <f t="shared" si="1"/>
        <v>44211</v>
      </c>
    </row>
    <row r="59" spans="1:19" x14ac:dyDescent="0.25">
      <c r="A59" t="s">
        <v>55</v>
      </c>
      <c r="B59">
        <v>179192</v>
      </c>
      <c r="C59" t="s">
        <v>56</v>
      </c>
      <c r="D59" t="s">
        <v>85</v>
      </c>
      <c r="E59" t="s">
        <v>81</v>
      </c>
      <c r="F59">
        <v>3</v>
      </c>
      <c r="G59" s="89">
        <v>44039</v>
      </c>
      <c r="I59">
        <v>44211</v>
      </c>
      <c r="K59" t="s">
        <v>23</v>
      </c>
      <c r="L59" t="s">
        <v>42</v>
      </c>
      <c r="M59" t="s">
        <v>25</v>
      </c>
      <c r="O59" t="s">
        <v>27</v>
      </c>
      <c r="P59" t="s">
        <v>26</v>
      </c>
      <c r="Q59" t="s">
        <v>29</v>
      </c>
      <c r="R59" t="s">
        <v>54</v>
      </c>
      <c r="S59">
        <f t="shared" si="1"/>
        <v>44211</v>
      </c>
    </row>
    <row r="60" spans="1:19" x14ac:dyDescent="0.25">
      <c r="A60" t="s">
        <v>55</v>
      </c>
      <c r="B60">
        <v>179192</v>
      </c>
      <c r="C60" t="s">
        <v>56</v>
      </c>
      <c r="D60" t="s">
        <v>85</v>
      </c>
      <c r="E60" t="s">
        <v>80</v>
      </c>
      <c r="F60">
        <v>1</v>
      </c>
      <c r="G60" s="89">
        <v>44039</v>
      </c>
      <c r="I60">
        <v>44211</v>
      </c>
      <c r="K60" t="s">
        <v>23</v>
      </c>
      <c r="L60" t="s">
        <v>42</v>
      </c>
      <c r="M60" t="s">
        <v>25</v>
      </c>
      <c r="O60" t="s">
        <v>27</v>
      </c>
      <c r="P60" t="s">
        <v>26</v>
      </c>
      <c r="Q60" t="s">
        <v>29</v>
      </c>
      <c r="R60" t="s">
        <v>54</v>
      </c>
      <c r="S60">
        <f t="shared" si="1"/>
        <v>44211</v>
      </c>
    </row>
    <row r="61" spans="1:19" x14ac:dyDescent="0.25">
      <c r="A61" t="s">
        <v>55</v>
      </c>
      <c r="B61">
        <v>179192</v>
      </c>
      <c r="C61" t="s">
        <v>56</v>
      </c>
      <c r="D61" t="s">
        <v>85</v>
      </c>
      <c r="E61" t="s">
        <v>49</v>
      </c>
      <c r="F61">
        <v>6</v>
      </c>
      <c r="G61" s="89">
        <v>44039</v>
      </c>
      <c r="I61">
        <v>44211</v>
      </c>
      <c r="K61" t="s">
        <v>23</v>
      </c>
      <c r="L61" t="s">
        <v>34</v>
      </c>
      <c r="M61" t="s">
        <v>25</v>
      </c>
      <c r="O61" t="s">
        <v>26</v>
      </c>
      <c r="P61" t="s">
        <v>26</v>
      </c>
      <c r="Q61" t="s">
        <v>29</v>
      </c>
      <c r="R61" t="s">
        <v>54</v>
      </c>
      <c r="S61">
        <f t="shared" si="1"/>
        <v>44211</v>
      </c>
    </row>
    <row r="62" spans="1:19" x14ac:dyDescent="0.25">
      <c r="A62" t="s">
        <v>55</v>
      </c>
      <c r="B62">
        <v>179192</v>
      </c>
      <c r="C62" t="s">
        <v>56</v>
      </c>
      <c r="D62" t="s">
        <v>85</v>
      </c>
      <c r="E62" t="s">
        <v>90</v>
      </c>
      <c r="F62">
        <v>4</v>
      </c>
      <c r="G62" s="89">
        <v>44039</v>
      </c>
      <c r="I62">
        <v>44211</v>
      </c>
      <c r="K62" t="s">
        <v>23</v>
      </c>
      <c r="L62" t="s">
        <v>34</v>
      </c>
      <c r="M62" t="s">
        <v>25</v>
      </c>
      <c r="O62" t="s">
        <v>26</v>
      </c>
      <c r="P62" t="s">
        <v>26</v>
      </c>
      <c r="Q62" t="s">
        <v>29</v>
      </c>
      <c r="R62" t="s">
        <v>54</v>
      </c>
      <c r="S62">
        <f t="shared" si="1"/>
        <v>44211</v>
      </c>
    </row>
    <row r="63" spans="1:19" x14ac:dyDescent="0.25">
      <c r="A63" t="s">
        <v>55</v>
      </c>
      <c r="B63">
        <v>179192</v>
      </c>
      <c r="C63" t="s">
        <v>56</v>
      </c>
      <c r="D63" t="s">
        <v>85</v>
      </c>
      <c r="E63" t="s">
        <v>33</v>
      </c>
      <c r="F63">
        <v>3</v>
      </c>
      <c r="G63" s="89">
        <v>44039</v>
      </c>
      <c r="I63">
        <v>44211</v>
      </c>
      <c r="K63" t="s">
        <v>23</v>
      </c>
      <c r="L63" t="s">
        <v>34</v>
      </c>
      <c r="M63" t="s">
        <v>25</v>
      </c>
      <c r="O63" t="s">
        <v>26</v>
      </c>
      <c r="P63" t="s">
        <v>26</v>
      </c>
      <c r="Q63" t="s">
        <v>29</v>
      </c>
      <c r="R63" t="s">
        <v>54</v>
      </c>
      <c r="S63">
        <f t="shared" si="1"/>
        <v>44211</v>
      </c>
    </row>
    <row r="64" spans="1:19" x14ac:dyDescent="0.25">
      <c r="A64" t="s">
        <v>55</v>
      </c>
      <c r="B64">
        <v>179192</v>
      </c>
      <c r="C64" t="s">
        <v>56</v>
      </c>
      <c r="D64" t="s">
        <v>85</v>
      </c>
      <c r="E64" t="s">
        <v>36</v>
      </c>
      <c r="F64">
        <v>14</v>
      </c>
      <c r="G64" s="89">
        <v>44039</v>
      </c>
      <c r="I64">
        <v>44211</v>
      </c>
      <c r="J64" t="s">
        <v>91</v>
      </c>
      <c r="K64" t="s">
        <v>23</v>
      </c>
      <c r="L64" t="s">
        <v>42</v>
      </c>
      <c r="M64" t="s">
        <v>25</v>
      </c>
      <c r="O64" t="s">
        <v>27</v>
      </c>
      <c r="P64" t="s">
        <v>26</v>
      </c>
      <c r="Q64" t="s">
        <v>29</v>
      </c>
      <c r="R64" t="s">
        <v>54</v>
      </c>
      <c r="S64">
        <f t="shared" si="1"/>
        <v>44211</v>
      </c>
    </row>
    <row r="65" spans="1:19" x14ac:dyDescent="0.25">
      <c r="A65" t="s">
        <v>55</v>
      </c>
      <c r="B65">
        <v>179192</v>
      </c>
      <c r="C65" t="s">
        <v>56</v>
      </c>
      <c r="D65" t="s">
        <v>85</v>
      </c>
      <c r="E65" t="s">
        <v>36</v>
      </c>
      <c r="F65">
        <v>2</v>
      </c>
      <c r="G65" s="89">
        <v>44039</v>
      </c>
      <c r="I65">
        <v>44211</v>
      </c>
      <c r="J65" t="s">
        <v>92</v>
      </c>
      <c r="K65" t="s">
        <v>23</v>
      </c>
      <c r="L65" t="s">
        <v>42</v>
      </c>
      <c r="M65" t="s">
        <v>25</v>
      </c>
      <c r="O65" t="s">
        <v>27</v>
      </c>
      <c r="P65" t="s">
        <v>26</v>
      </c>
      <c r="Q65" t="s">
        <v>29</v>
      </c>
      <c r="R65" t="s">
        <v>54</v>
      </c>
      <c r="S65">
        <f t="shared" si="1"/>
        <v>44211</v>
      </c>
    </row>
    <row r="66" spans="1:19" x14ac:dyDescent="0.25">
      <c r="A66" t="s">
        <v>55</v>
      </c>
      <c r="B66">
        <v>179192</v>
      </c>
      <c r="C66" t="s">
        <v>56</v>
      </c>
      <c r="D66" t="s">
        <v>85</v>
      </c>
      <c r="E66" t="s">
        <v>93</v>
      </c>
      <c r="F66">
        <v>5</v>
      </c>
      <c r="G66" s="89">
        <v>44039</v>
      </c>
      <c r="I66">
        <v>44211</v>
      </c>
      <c r="K66" t="s">
        <v>23</v>
      </c>
      <c r="L66" t="s">
        <v>34</v>
      </c>
      <c r="M66" t="s">
        <v>25</v>
      </c>
      <c r="O66" t="s">
        <v>26</v>
      </c>
      <c r="P66" t="s">
        <v>26</v>
      </c>
      <c r="Q66" t="s">
        <v>29</v>
      </c>
      <c r="R66" t="s">
        <v>54</v>
      </c>
      <c r="S66">
        <f t="shared" si="1"/>
        <v>44211</v>
      </c>
    </row>
    <row r="67" spans="1:19" x14ac:dyDescent="0.25">
      <c r="A67" t="s">
        <v>55</v>
      </c>
      <c r="B67">
        <v>179192</v>
      </c>
      <c r="C67" t="s">
        <v>56</v>
      </c>
      <c r="D67" t="s">
        <v>85</v>
      </c>
      <c r="E67" t="s">
        <v>43</v>
      </c>
      <c r="F67">
        <v>2</v>
      </c>
      <c r="G67" s="89">
        <v>44039</v>
      </c>
      <c r="I67">
        <v>44211</v>
      </c>
      <c r="K67" t="s">
        <v>23</v>
      </c>
      <c r="L67" t="s">
        <v>34</v>
      </c>
      <c r="M67" t="s">
        <v>25</v>
      </c>
      <c r="O67" t="s">
        <v>26</v>
      </c>
      <c r="P67" t="s">
        <v>26</v>
      </c>
      <c r="Q67" t="s">
        <v>29</v>
      </c>
      <c r="R67" t="s">
        <v>54</v>
      </c>
      <c r="S67">
        <f t="shared" si="1"/>
        <v>44211</v>
      </c>
    </row>
    <row r="68" spans="1:19" x14ac:dyDescent="0.25">
      <c r="A68" t="s">
        <v>55</v>
      </c>
      <c r="C68" t="s">
        <v>56</v>
      </c>
      <c r="D68" t="s">
        <v>85</v>
      </c>
      <c r="E68" t="s">
        <v>94</v>
      </c>
      <c r="F68">
        <v>1</v>
      </c>
      <c r="G68" s="89">
        <v>44039</v>
      </c>
      <c r="I68">
        <v>44211</v>
      </c>
      <c r="K68" t="s">
        <v>23</v>
      </c>
      <c r="L68" t="s">
        <v>34</v>
      </c>
      <c r="M68" t="s">
        <v>25</v>
      </c>
      <c r="O68" t="s">
        <v>26</v>
      </c>
      <c r="P68" t="s">
        <v>26</v>
      </c>
      <c r="Q68" t="s">
        <v>29</v>
      </c>
      <c r="R68" t="s">
        <v>54</v>
      </c>
      <c r="S68">
        <f t="shared" si="1"/>
        <v>44211</v>
      </c>
    </row>
    <row r="69" spans="1:19" x14ac:dyDescent="0.25">
      <c r="A69" t="s">
        <v>55</v>
      </c>
      <c r="B69">
        <v>179192</v>
      </c>
      <c r="C69" t="s">
        <v>56</v>
      </c>
      <c r="D69" t="s">
        <v>85</v>
      </c>
      <c r="E69" t="s">
        <v>83</v>
      </c>
      <c r="F69">
        <v>6</v>
      </c>
      <c r="G69" s="89">
        <v>44039</v>
      </c>
      <c r="I69">
        <v>44211</v>
      </c>
      <c r="K69" t="s">
        <v>23</v>
      </c>
      <c r="L69" t="s">
        <v>42</v>
      </c>
      <c r="M69" t="s">
        <v>25</v>
      </c>
      <c r="O69" t="s">
        <v>27</v>
      </c>
      <c r="P69" t="s">
        <v>26</v>
      </c>
      <c r="Q69" t="s">
        <v>29</v>
      </c>
      <c r="R69" t="s">
        <v>54</v>
      </c>
      <c r="S69">
        <f t="shared" si="1"/>
        <v>44211</v>
      </c>
    </row>
    <row r="70" spans="1:19" x14ac:dyDescent="0.25">
      <c r="A70" t="s">
        <v>95</v>
      </c>
      <c r="B70" t="s">
        <v>96</v>
      </c>
      <c r="C70" t="s">
        <v>31</v>
      </c>
      <c r="D70" t="s">
        <v>97</v>
      </c>
      <c r="E70" t="s">
        <v>35</v>
      </c>
      <c r="F70">
        <v>1</v>
      </c>
      <c r="G70" s="89">
        <v>44224</v>
      </c>
      <c r="H70">
        <v>44224</v>
      </c>
      <c r="I70">
        <v>44224</v>
      </c>
      <c r="K70" t="s">
        <v>23</v>
      </c>
      <c r="L70" t="s">
        <v>42</v>
      </c>
      <c r="M70" t="s">
        <v>25</v>
      </c>
      <c r="N70">
        <v>3</v>
      </c>
      <c r="O70" t="s">
        <v>27</v>
      </c>
      <c r="P70" t="s">
        <v>27</v>
      </c>
      <c r="Q70" t="s">
        <v>29</v>
      </c>
      <c r="R70" t="s">
        <v>29</v>
      </c>
      <c r="S70">
        <f t="shared" si="1"/>
        <v>0</v>
      </c>
    </row>
    <row r="71" spans="1:19" x14ac:dyDescent="0.25">
      <c r="A71" t="s">
        <v>40</v>
      </c>
      <c r="B71" t="s">
        <v>96</v>
      </c>
      <c r="C71" t="s">
        <v>31</v>
      </c>
      <c r="D71" t="s">
        <v>98</v>
      </c>
      <c r="E71" t="s">
        <v>67</v>
      </c>
      <c r="F71">
        <v>4</v>
      </c>
      <c r="G71" s="89">
        <v>44222</v>
      </c>
      <c r="H71">
        <v>44222</v>
      </c>
      <c r="I71">
        <v>44222</v>
      </c>
      <c r="K71" t="s">
        <v>23</v>
      </c>
      <c r="L71" t="s">
        <v>24</v>
      </c>
      <c r="M71" t="s">
        <v>25</v>
      </c>
      <c r="N71">
        <v>2</v>
      </c>
      <c r="O71" t="s">
        <v>26</v>
      </c>
      <c r="P71" t="s">
        <v>27</v>
      </c>
      <c r="Q71" t="s">
        <v>29</v>
      </c>
      <c r="R71" t="s">
        <v>29</v>
      </c>
      <c r="S71">
        <f t="shared" si="1"/>
        <v>0</v>
      </c>
    </row>
    <row r="72" spans="1:19" x14ac:dyDescent="0.25">
      <c r="A72" t="s">
        <v>55</v>
      </c>
      <c r="C72" t="s">
        <v>56</v>
      </c>
      <c r="D72" t="s">
        <v>99</v>
      </c>
      <c r="E72" t="s">
        <v>35</v>
      </c>
      <c r="F72">
        <v>34</v>
      </c>
      <c r="G72" s="89">
        <v>44188</v>
      </c>
      <c r="H72">
        <v>44194</v>
      </c>
      <c r="I72">
        <v>44194</v>
      </c>
      <c r="K72" t="s">
        <v>23</v>
      </c>
      <c r="L72" t="s">
        <v>42</v>
      </c>
      <c r="M72" t="s">
        <v>25</v>
      </c>
      <c r="O72" t="s">
        <v>27</v>
      </c>
      <c r="Q72" t="s">
        <v>54</v>
      </c>
      <c r="R72" t="s">
        <v>29</v>
      </c>
      <c r="S72">
        <f t="shared" si="1"/>
        <v>0</v>
      </c>
    </row>
    <row r="73" spans="1:19" x14ac:dyDescent="0.25">
      <c r="A73" t="s">
        <v>19</v>
      </c>
      <c r="B73">
        <v>208701</v>
      </c>
      <c r="C73" t="s">
        <v>56</v>
      </c>
      <c r="D73" t="s">
        <v>100</v>
      </c>
      <c r="E73" t="s">
        <v>33</v>
      </c>
      <c r="F73">
        <v>10</v>
      </c>
      <c r="G73" s="89">
        <v>44180</v>
      </c>
      <c r="H73">
        <v>44194</v>
      </c>
      <c r="I73">
        <v>44183</v>
      </c>
      <c r="K73" t="s">
        <v>23</v>
      </c>
      <c r="L73" t="s">
        <v>24</v>
      </c>
      <c r="M73" t="s">
        <v>25</v>
      </c>
      <c r="N73">
        <v>3</v>
      </c>
      <c r="O73" t="s">
        <v>26</v>
      </c>
      <c r="Q73" t="s">
        <v>29</v>
      </c>
      <c r="R73" t="s">
        <v>74</v>
      </c>
      <c r="S73">
        <f t="shared" si="1"/>
        <v>-11</v>
      </c>
    </row>
    <row r="74" spans="1:19" x14ac:dyDescent="0.25">
      <c r="A74" t="s">
        <v>55</v>
      </c>
      <c r="B74">
        <v>179192</v>
      </c>
      <c r="C74" t="s">
        <v>56</v>
      </c>
      <c r="D74" t="s">
        <v>99</v>
      </c>
      <c r="E74" t="s">
        <v>35</v>
      </c>
      <c r="F74">
        <v>3</v>
      </c>
      <c r="G74" s="89">
        <v>44180.510289351849</v>
      </c>
      <c r="H74">
        <v>44174</v>
      </c>
      <c r="I74">
        <v>44174</v>
      </c>
      <c r="K74" t="s">
        <v>23</v>
      </c>
      <c r="L74" t="s">
        <v>42</v>
      </c>
      <c r="M74" t="s">
        <v>25</v>
      </c>
      <c r="O74" t="s">
        <v>27</v>
      </c>
      <c r="Q74" t="s">
        <v>54</v>
      </c>
      <c r="R74" t="s">
        <v>29</v>
      </c>
      <c r="S74">
        <f t="shared" si="1"/>
        <v>0</v>
      </c>
    </row>
    <row r="75" spans="1:19" x14ac:dyDescent="0.25">
      <c r="A75" t="s">
        <v>55</v>
      </c>
      <c r="B75">
        <v>179192</v>
      </c>
      <c r="C75" t="s">
        <v>56</v>
      </c>
      <c r="D75" t="s">
        <v>99</v>
      </c>
      <c r="E75" t="s">
        <v>33</v>
      </c>
      <c r="F75">
        <v>12</v>
      </c>
      <c r="G75" s="89">
        <v>44173</v>
      </c>
      <c r="H75">
        <v>44174</v>
      </c>
      <c r="I75">
        <v>44174</v>
      </c>
      <c r="K75" t="s">
        <v>23</v>
      </c>
      <c r="L75" t="s">
        <v>42</v>
      </c>
      <c r="M75" t="s">
        <v>25</v>
      </c>
      <c r="N75">
        <v>4</v>
      </c>
      <c r="O75" t="s">
        <v>27</v>
      </c>
      <c r="Q75" t="s">
        <v>29</v>
      </c>
      <c r="R75" t="s">
        <v>29</v>
      </c>
      <c r="S75">
        <f t="shared" si="1"/>
        <v>0</v>
      </c>
    </row>
    <row r="76" spans="1:19" x14ac:dyDescent="0.25">
      <c r="A76" t="s">
        <v>55</v>
      </c>
      <c r="B76">
        <v>179192</v>
      </c>
      <c r="C76" t="s">
        <v>56</v>
      </c>
      <c r="D76" t="s">
        <v>99</v>
      </c>
      <c r="E76" t="s">
        <v>63</v>
      </c>
      <c r="F76">
        <v>3</v>
      </c>
      <c r="G76" s="89">
        <v>44134</v>
      </c>
      <c r="H76">
        <v>44134</v>
      </c>
      <c r="I76">
        <v>44134</v>
      </c>
      <c r="K76" t="s">
        <v>23</v>
      </c>
      <c r="L76" t="s">
        <v>42</v>
      </c>
      <c r="M76" t="s">
        <v>25</v>
      </c>
      <c r="N76">
        <v>2</v>
      </c>
      <c r="O76" t="s">
        <v>27</v>
      </c>
      <c r="Q76" t="s">
        <v>29</v>
      </c>
      <c r="R76" t="s">
        <v>29</v>
      </c>
      <c r="S76">
        <f t="shared" si="1"/>
        <v>0</v>
      </c>
    </row>
    <row r="77" spans="1:19" x14ac:dyDescent="0.25">
      <c r="A77" t="s">
        <v>40</v>
      </c>
      <c r="B77">
        <v>198253</v>
      </c>
      <c r="C77" t="s">
        <v>20</v>
      </c>
      <c r="D77" t="s">
        <v>101</v>
      </c>
      <c r="E77" t="s">
        <v>22</v>
      </c>
      <c r="F77">
        <v>2</v>
      </c>
      <c r="G77" s="89">
        <v>44140.671620370369</v>
      </c>
      <c r="H77">
        <v>44140</v>
      </c>
      <c r="I77">
        <v>44159</v>
      </c>
      <c r="K77" t="s">
        <v>23</v>
      </c>
      <c r="L77" t="s">
        <v>24</v>
      </c>
      <c r="M77" t="s">
        <v>25</v>
      </c>
      <c r="N77">
        <v>1</v>
      </c>
      <c r="O77" t="s">
        <v>26</v>
      </c>
      <c r="P77" t="s">
        <v>26</v>
      </c>
      <c r="Q77" t="s">
        <v>29</v>
      </c>
      <c r="R77" t="s">
        <v>29</v>
      </c>
      <c r="S77">
        <f t="shared" si="1"/>
        <v>19</v>
      </c>
    </row>
    <row r="78" spans="1:19" x14ac:dyDescent="0.25">
      <c r="A78" t="s">
        <v>68</v>
      </c>
      <c r="B78">
        <v>216194</v>
      </c>
      <c r="C78" t="s">
        <v>20</v>
      </c>
      <c r="D78" t="s">
        <v>69</v>
      </c>
      <c r="E78" t="s">
        <v>33</v>
      </c>
      <c r="F78">
        <v>1</v>
      </c>
      <c r="G78" s="89">
        <v>44218</v>
      </c>
      <c r="H78">
        <v>44221</v>
      </c>
      <c r="I78">
        <v>44221</v>
      </c>
      <c r="K78" t="s">
        <v>23</v>
      </c>
      <c r="L78" t="s">
        <v>58</v>
      </c>
      <c r="M78" t="s">
        <v>25</v>
      </c>
      <c r="N78">
        <v>2</v>
      </c>
      <c r="O78" t="s">
        <v>26</v>
      </c>
      <c r="P78" t="s">
        <v>27</v>
      </c>
      <c r="Q78" t="s">
        <v>28</v>
      </c>
      <c r="R78" t="s">
        <v>29</v>
      </c>
    </row>
    <row r="79" spans="1:19" x14ac:dyDescent="0.25">
      <c r="A79" t="s">
        <v>68</v>
      </c>
      <c r="B79">
        <v>216194</v>
      </c>
      <c r="C79" t="s">
        <v>20</v>
      </c>
      <c r="D79" t="s">
        <v>69</v>
      </c>
      <c r="E79" t="s">
        <v>33</v>
      </c>
      <c r="F79">
        <v>1</v>
      </c>
      <c r="G79" s="89">
        <v>44218</v>
      </c>
      <c r="H79">
        <v>44221</v>
      </c>
      <c r="I79">
        <v>44221</v>
      </c>
      <c r="K79" t="s">
        <v>23</v>
      </c>
      <c r="N79">
        <v>2</v>
      </c>
      <c r="O79" t="s">
        <v>26</v>
      </c>
      <c r="P79" t="s">
        <v>27</v>
      </c>
      <c r="Q79" t="s">
        <v>28</v>
      </c>
      <c r="R79" t="s">
        <v>29</v>
      </c>
    </row>
    <row r="80" spans="1:19" x14ac:dyDescent="0.25">
      <c r="A80" t="s">
        <v>68</v>
      </c>
      <c r="B80">
        <v>216194</v>
      </c>
      <c r="C80" t="s">
        <v>20</v>
      </c>
      <c r="D80" t="s">
        <v>69</v>
      </c>
      <c r="E80" t="s">
        <v>93</v>
      </c>
      <c r="F80">
        <v>1</v>
      </c>
      <c r="G80" s="89">
        <v>44218</v>
      </c>
      <c r="H80">
        <v>44221</v>
      </c>
      <c r="I80">
        <v>44221</v>
      </c>
      <c r="K80" t="s">
        <v>23</v>
      </c>
    </row>
    <row r="81" spans="1:18" x14ac:dyDescent="0.25">
      <c r="A81" t="s">
        <v>37</v>
      </c>
      <c r="B81">
        <v>214006</v>
      </c>
      <c r="C81" t="s">
        <v>31</v>
      </c>
      <c r="D81" t="s">
        <v>102</v>
      </c>
      <c r="E81" t="s">
        <v>35</v>
      </c>
      <c r="F81">
        <v>1</v>
      </c>
      <c r="G81" s="89">
        <v>44208</v>
      </c>
      <c r="H81">
        <v>44232</v>
      </c>
      <c r="I81">
        <v>44236</v>
      </c>
      <c r="K81" t="s">
        <v>23</v>
      </c>
      <c r="L81" t="s">
        <v>42</v>
      </c>
      <c r="M81" t="s">
        <v>25</v>
      </c>
      <c r="O81" t="s">
        <v>27</v>
      </c>
      <c r="P81" t="s">
        <v>27</v>
      </c>
      <c r="Q81" t="s">
        <v>29</v>
      </c>
    </row>
    <row r="82" spans="1:18" x14ac:dyDescent="0.25">
      <c r="A82" t="s">
        <v>37</v>
      </c>
      <c r="B82">
        <v>214006</v>
      </c>
      <c r="C82" t="s">
        <v>31</v>
      </c>
      <c r="D82" t="s">
        <v>102</v>
      </c>
      <c r="E82" t="s">
        <v>49</v>
      </c>
      <c r="F82">
        <v>1</v>
      </c>
      <c r="G82" s="89">
        <v>44208</v>
      </c>
      <c r="H82">
        <v>44232</v>
      </c>
      <c r="I82">
        <v>44236</v>
      </c>
      <c r="K82" t="s">
        <v>23</v>
      </c>
      <c r="L82" t="s">
        <v>42</v>
      </c>
      <c r="M82" t="s">
        <v>25</v>
      </c>
      <c r="O82" t="s">
        <v>27</v>
      </c>
      <c r="P82" t="s">
        <v>27</v>
      </c>
      <c r="Q82" t="s">
        <v>29</v>
      </c>
    </row>
    <row r="83" spans="1:18" x14ac:dyDescent="0.25">
      <c r="A83" t="s">
        <v>37</v>
      </c>
      <c r="B83">
        <v>214006</v>
      </c>
      <c r="C83" t="s">
        <v>31</v>
      </c>
      <c r="D83" t="s">
        <v>102</v>
      </c>
      <c r="E83" t="s">
        <v>33</v>
      </c>
      <c r="F83">
        <v>1</v>
      </c>
      <c r="G83" s="89">
        <v>44208</v>
      </c>
      <c r="H83">
        <v>44232</v>
      </c>
      <c r="I83">
        <v>44236</v>
      </c>
      <c r="K83" t="s">
        <v>23</v>
      </c>
      <c r="L83" t="s">
        <v>42</v>
      </c>
      <c r="M83" t="s">
        <v>25</v>
      </c>
      <c r="O83" t="s">
        <v>27</v>
      </c>
      <c r="P83" t="s">
        <v>27</v>
      </c>
      <c r="Q83" t="s">
        <v>29</v>
      </c>
    </row>
    <row r="84" spans="1:18" x14ac:dyDescent="0.25">
      <c r="A84" t="s">
        <v>37</v>
      </c>
      <c r="B84">
        <v>214001</v>
      </c>
      <c r="C84" t="s">
        <v>31</v>
      </c>
      <c r="D84" t="s">
        <v>103</v>
      </c>
      <c r="E84" t="s">
        <v>35</v>
      </c>
      <c r="F84">
        <v>1</v>
      </c>
      <c r="G84" s="89">
        <v>44208</v>
      </c>
      <c r="H84">
        <v>44228</v>
      </c>
      <c r="I84">
        <v>44229</v>
      </c>
      <c r="K84" t="s">
        <v>23</v>
      </c>
      <c r="L84" t="s">
        <v>42</v>
      </c>
      <c r="M84" t="s">
        <v>25</v>
      </c>
      <c r="O84" t="s">
        <v>27</v>
      </c>
      <c r="P84" t="s">
        <v>27</v>
      </c>
      <c r="Q84" t="s">
        <v>29</v>
      </c>
    </row>
    <row r="85" spans="1:18" x14ac:dyDescent="0.25">
      <c r="A85" t="s">
        <v>37</v>
      </c>
      <c r="B85">
        <v>214001</v>
      </c>
      <c r="C85" t="s">
        <v>31</v>
      </c>
      <c r="D85" t="s">
        <v>103</v>
      </c>
      <c r="E85" t="s">
        <v>49</v>
      </c>
      <c r="F85">
        <v>1</v>
      </c>
      <c r="G85" s="89">
        <v>44208</v>
      </c>
      <c r="H85">
        <v>44228</v>
      </c>
      <c r="I85">
        <v>44229</v>
      </c>
      <c r="K85" t="s">
        <v>23</v>
      </c>
      <c r="L85" t="s">
        <v>42</v>
      </c>
      <c r="M85" t="s">
        <v>25</v>
      </c>
      <c r="O85" t="s">
        <v>27</v>
      </c>
      <c r="P85" t="s">
        <v>27</v>
      </c>
      <c r="Q85" t="s">
        <v>29</v>
      </c>
    </row>
    <row r="86" spans="1:18" x14ac:dyDescent="0.25">
      <c r="A86" t="s">
        <v>37</v>
      </c>
      <c r="B86">
        <v>214001</v>
      </c>
      <c r="C86" t="s">
        <v>31</v>
      </c>
      <c r="D86" t="s">
        <v>103</v>
      </c>
      <c r="E86" t="s">
        <v>33</v>
      </c>
      <c r="F86">
        <v>1</v>
      </c>
      <c r="G86" s="89">
        <v>44208</v>
      </c>
      <c r="H86">
        <v>44228</v>
      </c>
      <c r="I86">
        <v>44229</v>
      </c>
      <c r="K86" t="s">
        <v>23</v>
      </c>
      <c r="L86" t="s">
        <v>42</v>
      </c>
      <c r="M86" t="s">
        <v>25</v>
      </c>
      <c r="O86" t="s">
        <v>27</v>
      </c>
      <c r="P86" t="s">
        <v>27</v>
      </c>
      <c r="Q86" t="s">
        <v>29</v>
      </c>
    </row>
    <row r="87" spans="1:18" x14ac:dyDescent="0.25">
      <c r="A87" t="s">
        <v>37</v>
      </c>
      <c r="B87">
        <v>214001</v>
      </c>
      <c r="C87" t="s">
        <v>31</v>
      </c>
      <c r="D87" t="s">
        <v>103</v>
      </c>
      <c r="E87" t="s">
        <v>44</v>
      </c>
      <c r="F87">
        <v>1</v>
      </c>
      <c r="G87" s="89">
        <v>44208</v>
      </c>
      <c r="H87">
        <v>44228</v>
      </c>
      <c r="I87">
        <v>44229</v>
      </c>
      <c r="K87" t="s">
        <v>23</v>
      </c>
      <c r="L87" t="s">
        <v>42</v>
      </c>
      <c r="M87" t="s">
        <v>25</v>
      </c>
      <c r="O87" t="s">
        <v>27</v>
      </c>
      <c r="P87" t="s">
        <v>27</v>
      </c>
      <c r="Q87" t="s">
        <v>29</v>
      </c>
    </row>
    <row r="88" spans="1:18" x14ac:dyDescent="0.25">
      <c r="A88" t="s">
        <v>37</v>
      </c>
      <c r="B88">
        <v>214001</v>
      </c>
      <c r="C88" t="s">
        <v>31</v>
      </c>
      <c r="D88" t="s">
        <v>103</v>
      </c>
      <c r="E88" t="s">
        <v>36</v>
      </c>
      <c r="F88">
        <v>3</v>
      </c>
      <c r="G88" s="89">
        <v>44208</v>
      </c>
      <c r="H88">
        <v>44228</v>
      </c>
      <c r="I88">
        <v>44229</v>
      </c>
      <c r="K88" t="s">
        <v>23</v>
      </c>
      <c r="L88" t="s">
        <v>42</v>
      </c>
      <c r="M88" t="s">
        <v>25</v>
      </c>
      <c r="O88" t="s">
        <v>27</v>
      </c>
      <c r="P88" t="s">
        <v>27</v>
      </c>
      <c r="Q88" t="s">
        <v>29</v>
      </c>
    </row>
    <row r="89" spans="1:18" x14ac:dyDescent="0.25">
      <c r="A89" t="s">
        <v>37</v>
      </c>
      <c r="B89">
        <v>214001</v>
      </c>
      <c r="C89" t="s">
        <v>31</v>
      </c>
      <c r="D89" t="s">
        <v>103</v>
      </c>
      <c r="E89" t="s">
        <v>67</v>
      </c>
      <c r="F89">
        <v>1</v>
      </c>
      <c r="G89" s="89">
        <v>44208</v>
      </c>
      <c r="H89">
        <v>44228</v>
      </c>
      <c r="I89">
        <v>44229</v>
      </c>
      <c r="K89" t="s">
        <v>23</v>
      </c>
      <c r="L89" t="s">
        <v>42</v>
      </c>
      <c r="M89" t="s">
        <v>25</v>
      </c>
      <c r="O89" t="s">
        <v>27</v>
      </c>
      <c r="P89" t="s">
        <v>27</v>
      </c>
      <c r="Q89" t="s">
        <v>29</v>
      </c>
    </row>
    <row r="90" spans="1:18" x14ac:dyDescent="0.25">
      <c r="A90" t="s">
        <v>68</v>
      </c>
      <c r="B90">
        <v>216500</v>
      </c>
      <c r="C90" t="s">
        <v>20</v>
      </c>
      <c r="D90" t="s">
        <v>104</v>
      </c>
      <c r="E90" t="s">
        <v>22</v>
      </c>
      <c r="F90">
        <v>1</v>
      </c>
      <c r="G90" s="89">
        <v>44223</v>
      </c>
      <c r="H90">
        <v>44224</v>
      </c>
      <c r="I90">
        <v>44229</v>
      </c>
      <c r="K90" t="s">
        <v>23</v>
      </c>
      <c r="L90" t="s">
        <v>34</v>
      </c>
      <c r="M90" t="s">
        <v>25</v>
      </c>
      <c r="O90" t="s">
        <v>26</v>
      </c>
      <c r="P90" t="s">
        <v>27</v>
      </c>
      <c r="Q90" t="s">
        <v>29</v>
      </c>
      <c r="R90" t="s">
        <v>54</v>
      </c>
    </row>
    <row r="91" spans="1:18" x14ac:dyDescent="0.25">
      <c r="A91" t="s">
        <v>68</v>
      </c>
      <c r="B91">
        <v>216500</v>
      </c>
      <c r="C91" t="s">
        <v>20</v>
      </c>
      <c r="D91" t="s">
        <v>104</v>
      </c>
      <c r="E91" t="s">
        <v>63</v>
      </c>
      <c r="F91">
        <v>1</v>
      </c>
      <c r="G91" s="89">
        <v>44223</v>
      </c>
      <c r="H91">
        <v>44224</v>
      </c>
      <c r="I91">
        <v>44229</v>
      </c>
      <c r="K91" t="s">
        <v>23</v>
      </c>
      <c r="L91" t="s">
        <v>34</v>
      </c>
      <c r="M91" t="s">
        <v>25</v>
      </c>
      <c r="O91" t="s">
        <v>26</v>
      </c>
      <c r="P91" t="s">
        <v>27</v>
      </c>
      <c r="Q91" t="s">
        <v>29</v>
      </c>
      <c r="R91" t="s">
        <v>54</v>
      </c>
    </row>
    <row r="92" spans="1:18" x14ac:dyDescent="0.25">
      <c r="A92" t="s">
        <v>40</v>
      </c>
      <c r="B92" t="s">
        <v>96</v>
      </c>
      <c r="C92" t="s">
        <v>31</v>
      </c>
      <c r="D92" t="s">
        <v>105</v>
      </c>
      <c r="E92" t="s">
        <v>106</v>
      </c>
      <c r="F92">
        <v>1</v>
      </c>
      <c r="G92" s="89">
        <v>44218</v>
      </c>
      <c r="H92">
        <v>44225</v>
      </c>
      <c r="I92">
        <v>44225</v>
      </c>
      <c r="K92" t="s">
        <v>23</v>
      </c>
      <c r="L92" t="s">
        <v>24</v>
      </c>
      <c r="M92" t="s">
        <v>107</v>
      </c>
      <c r="O92" t="s">
        <v>26</v>
      </c>
      <c r="P92" t="s">
        <v>27</v>
      </c>
      <c r="Q92" t="s">
        <v>54</v>
      </c>
      <c r="R92" t="s">
        <v>54</v>
      </c>
    </row>
    <row r="93" spans="1:18" x14ac:dyDescent="0.25">
      <c r="A93" t="s">
        <v>40</v>
      </c>
      <c r="B93" t="s">
        <v>96</v>
      </c>
      <c r="C93" t="s">
        <v>31</v>
      </c>
      <c r="D93" t="s">
        <v>105</v>
      </c>
      <c r="E93" t="s">
        <v>35</v>
      </c>
      <c r="F93">
        <v>2</v>
      </c>
      <c r="G93" s="89">
        <v>44218</v>
      </c>
      <c r="H93">
        <v>44225</v>
      </c>
      <c r="I93">
        <v>44225</v>
      </c>
      <c r="J93" t="s">
        <v>108</v>
      </c>
      <c r="K93" t="s">
        <v>23</v>
      </c>
      <c r="L93" t="s">
        <v>24</v>
      </c>
      <c r="M93" t="s">
        <v>25</v>
      </c>
      <c r="O93" t="s">
        <v>27</v>
      </c>
      <c r="P93" t="s">
        <v>27</v>
      </c>
      <c r="Q93" t="s">
        <v>54</v>
      </c>
      <c r="R93" t="s">
        <v>54</v>
      </c>
    </row>
    <row r="94" spans="1:18" x14ac:dyDescent="0.25">
      <c r="A94" t="s">
        <v>40</v>
      </c>
      <c r="B94" t="s">
        <v>96</v>
      </c>
      <c r="C94" t="s">
        <v>31</v>
      </c>
      <c r="D94" t="s">
        <v>105</v>
      </c>
      <c r="E94" t="s">
        <v>109</v>
      </c>
      <c r="F94">
        <v>1</v>
      </c>
      <c r="G94" s="89">
        <v>44218</v>
      </c>
      <c r="H94">
        <v>44225</v>
      </c>
      <c r="I94">
        <v>44225</v>
      </c>
      <c r="J94" t="s">
        <v>110</v>
      </c>
      <c r="K94" t="s">
        <v>23</v>
      </c>
      <c r="L94" t="s">
        <v>24</v>
      </c>
      <c r="M94" t="s">
        <v>25</v>
      </c>
      <c r="O94" t="s">
        <v>27</v>
      </c>
      <c r="P94" t="s">
        <v>27</v>
      </c>
      <c r="Q94" t="s">
        <v>54</v>
      </c>
      <c r="R94" t="s">
        <v>54</v>
      </c>
    </row>
    <row r="95" spans="1:18" x14ac:dyDescent="0.25">
      <c r="A95" t="s">
        <v>40</v>
      </c>
      <c r="B95" t="s">
        <v>96</v>
      </c>
      <c r="C95" t="s">
        <v>31</v>
      </c>
      <c r="D95" t="s">
        <v>105</v>
      </c>
      <c r="E95" t="s">
        <v>33</v>
      </c>
      <c r="F95">
        <v>1</v>
      </c>
      <c r="G95" s="89">
        <v>44218</v>
      </c>
      <c r="H95">
        <v>44225</v>
      </c>
      <c r="I95">
        <v>44225</v>
      </c>
      <c r="J95" t="s">
        <v>110</v>
      </c>
      <c r="K95" t="s">
        <v>23</v>
      </c>
      <c r="L95" t="s">
        <v>24</v>
      </c>
      <c r="M95" t="s">
        <v>25</v>
      </c>
      <c r="O95" t="s">
        <v>27</v>
      </c>
      <c r="P95" t="s">
        <v>27</v>
      </c>
      <c r="Q95" t="s">
        <v>54</v>
      </c>
      <c r="R95" t="s">
        <v>54</v>
      </c>
    </row>
    <row r="96" spans="1:18" x14ac:dyDescent="0.25">
      <c r="A96" t="s">
        <v>40</v>
      </c>
      <c r="B96" t="s">
        <v>96</v>
      </c>
      <c r="C96" t="s">
        <v>31</v>
      </c>
      <c r="D96" t="s">
        <v>105</v>
      </c>
      <c r="E96" t="s">
        <v>49</v>
      </c>
      <c r="F96">
        <v>1</v>
      </c>
      <c r="G96" s="89">
        <v>44218</v>
      </c>
      <c r="H96">
        <v>44225</v>
      </c>
      <c r="I96">
        <v>44225</v>
      </c>
      <c r="J96" t="s">
        <v>111</v>
      </c>
      <c r="K96" t="s">
        <v>23</v>
      </c>
      <c r="L96" t="s">
        <v>24</v>
      </c>
      <c r="M96" t="s">
        <v>25</v>
      </c>
      <c r="O96" t="s">
        <v>27</v>
      </c>
      <c r="P96" t="s">
        <v>27</v>
      </c>
      <c r="Q96" t="s">
        <v>54</v>
      </c>
      <c r="R96" t="s">
        <v>54</v>
      </c>
    </row>
    <row r="97" spans="1:18" x14ac:dyDescent="0.25">
      <c r="A97" t="s">
        <v>71</v>
      </c>
      <c r="B97">
        <v>216974</v>
      </c>
      <c r="C97" t="s">
        <v>20</v>
      </c>
      <c r="D97" t="s">
        <v>112</v>
      </c>
      <c r="E97" t="s">
        <v>45</v>
      </c>
      <c r="F97">
        <v>1</v>
      </c>
      <c r="G97" s="89">
        <v>44222</v>
      </c>
      <c r="H97">
        <v>44229</v>
      </c>
      <c r="I97">
        <v>44229</v>
      </c>
      <c r="K97" t="s">
        <v>23</v>
      </c>
      <c r="L97" t="s">
        <v>58</v>
      </c>
      <c r="M97" t="s">
        <v>25</v>
      </c>
      <c r="O97" t="s">
        <v>26</v>
      </c>
      <c r="P97" t="s">
        <v>27</v>
      </c>
      <c r="Q97" t="s">
        <v>29</v>
      </c>
      <c r="R97" t="s">
        <v>28</v>
      </c>
    </row>
    <row r="98" spans="1:18" x14ac:dyDescent="0.25">
      <c r="A98" t="s">
        <v>113</v>
      </c>
      <c r="B98">
        <v>217140</v>
      </c>
      <c r="C98" t="s">
        <v>20</v>
      </c>
      <c r="D98" t="s">
        <v>114</v>
      </c>
      <c r="E98" t="s">
        <v>44</v>
      </c>
      <c r="F98">
        <v>1</v>
      </c>
      <c r="G98" s="89">
        <v>44223</v>
      </c>
      <c r="H98">
        <v>44229</v>
      </c>
      <c r="I98">
        <v>44229</v>
      </c>
      <c r="K98" t="s">
        <v>23</v>
      </c>
      <c r="L98" t="s">
        <v>58</v>
      </c>
      <c r="M98" t="s">
        <v>25</v>
      </c>
      <c r="O98" t="s">
        <v>26</v>
      </c>
      <c r="P98" t="s">
        <v>27</v>
      </c>
      <c r="Q98" t="s">
        <v>28</v>
      </c>
    </row>
    <row r="99" spans="1:18" x14ac:dyDescent="0.25">
      <c r="A99" t="s">
        <v>113</v>
      </c>
      <c r="B99">
        <v>217140</v>
      </c>
      <c r="C99" t="s">
        <v>20</v>
      </c>
      <c r="D99" t="s">
        <v>114</v>
      </c>
      <c r="E99" t="s">
        <v>35</v>
      </c>
      <c r="F99">
        <v>1</v>
      </c>
      <c r="G99" s="89">
        <v>44223</v>
      </c>
      <c r="H99">
        <v>44229</v>
      </c>
      <c r="I99">
        <v>44229</v>
      </c>
      <c r="K99" t="s">
        <v>23</v>
      </c>
      <c r="L99" t="s">
        <v>58</v>
      </c>
      <c r="M99" t="s">
        <v>25</v>
      </c>
      <c r="O99" t="s">
        <v>26</v>
      </c>
      <c r="P99" t="s">
        <v>27</v>
      </c>
      <c r="Q99" t="s">
        <v>28</v>
      </c>
    </row>
    <row r="100" spans="1:18" x14ac:dyDescent="0.25">
      <c r="A100" t="s">
        <v>113</v>
      </c>
      <c r="B100">
        <v>217140</v>
      </c>
      <c r="C100" t="s">
        <v>20</v>
      </c>
      <c r="D100" t="s">
        <v>114</v>
      </c>
      <c r="E100" t="s">
        <v>45</v>
      </c>
      <c r="F100">
        <v>1</v>
      </c>
      <c r="G100" s="89">
        <v>44223</v>
      </c>
      <c r="H100">
        <v>44229</v>
      </c>
      <c r="I100">
        <v>44229</v>
      </c>
      <c r="K100" t="s">
        <v>23</v>
      </c>
      <c r="L100" t="s">
        <v>58</v>
      </c>
      <c r="M100" t="s">
        <v>25</v>
      </c>
      <c r="O100" t="s">
        <v>26</v>
      </c>
      <c r="P100" t="s">
        <v>27</v>
      </c>
      <c r="Q100" t="s">
        <v>28</v>
      </c>
    </row>
    <row r="101" spans="1:18" x14ac:dyDescent="0.25">
      <c r="A101" t="s">
        <v>113</v>
      </c>
      <c r="B101">
        <v>217140</v>
      </c>
      <c r="C101" t="s">
        <v>20</v>
      </c>
      <c r="D101" t="s">
        <v>114</v>
      </c>
      <c r="E101" t="s">
        <v>33</v>
      </c>
      <c r="F101">
        <v>1</v>
      </c>
      <c r="G101" s="89">
        <v>44223</v>
      </c>
      <c r="H101">
        <v>44229</v>
      </c>
      <c r="I101">
        <v>44229</v>
      </c>
      <c r="K101" t="s">
        <v>23</v>
      </c>
      <c r="L101" t="s">
        <v>58</v>
      </c>
      <c r="M101" t="s">
        <v>25</v>
      </c>
      <c r="O101" t="s">
        <v>26</v>
      </c>
      <c r="P101" t="s">
        <v>27</v>
      </c>
      <c r="Q101" t="s">
        <v>28</v>
      </c>
    </row>
    <row r="102" spans="1:18" x14ac:dyDescent="0.25">
      <c r="A102" t="s">
        <v>113</v>
      </c>
      <c r="B102">
        <v>217140</v>
      </c>
      <c r="C102" t="s">
        <v>20</v>
      </c>
      <c r="D102" t="s">
        <v>114</v>
      </c>
      <c r="E102" t="s">
        <v>94</v>
      </c>
      <c r="F102">
        <v>1</v>
      </c>
      <c r="G102" s="89">
        <v>44223</v>
      </c>
      <c r="H102">
        <v>44229</v>
      </c>
      <c r="I102">
        <v>44229</v>
      </c>
      <c r="K102" t="s">
        <v>23</v>
      </c>
      <c r="L102" t="s">
        <v>58</v>
      </c>
      <c r="M102" t="s">
        <v>25</v>
      </c>
      <c r="O102" t="s">
        <v>26</v>
      </c>
      <c r="P102" t="s">
        <v>27</v>
      </c>
      <c r="Q102" t="s">
        <v>28</v>
      </c>
    </row>
    <row r="103" spans="1:18" x14ac:dyDescent="0.25">
      <c r="A103" t="s">
        <v>113</v>
      </c>
      <c r="B103">
        <v>217140</v>
      </c>
      <c r="C103" t="s">
        <v>20</v>
      </c>
      <c r="D103" t="s">
        <v>114</v>
      </c>
      <c r="E103" t="s">
        <v>109</v>
      </c>
      <c r="F103">
        <v>1</v>
      </c>
      <c r="G103" s="89">
        <v>44223</v>
      </c>
      <c r="H103">
        <v>44229</v>
      </c>
      <c r="I103">
        <v>44229</v>
      </c>
      <c r="K103" t="s">
        <v>23</v>
      </c>
      <c r="L103" t="s">
        <v>58</v>
      </c>
      <c r="M103" t="s">
        <v>25</v>
      </c>
      <c r="O103" t="s">
        <v>26</v>
      </c>
      <c r="P103" t="s">
        <v>27</v>
      </c>
      <c r="Q103" t="s">
        <v>28</v>
      </c>
    </row>
    <row r="104" spans="1:18" x14ac:dyDescent="0.25">
      <c r="A104" t="s">
        <v>113</v>
      </c>
      <c r="B104">
        <v>217140</v>
      </c>
      <c r="C104" t="s">
        <v>20</v>
      </c>
      <c r="D104" t="s">
        <v>114</v>
      </c>
      <c r="E104" t="s">
        <v>93</v>
      </c>
      <c r="F104">
        <v>1</v>
      </c>
      <c r="G104" s="89">
        <v>44223</v>
      </c>
      <c r="H104">
        <v>44229</v>
      </c>
      <c r="I104">
        <v>44229</v>
      </c>
      <c r="K104" t="s">
        <v>23</v>
      </c>
      <c r="L104" t="s">
        <v>58</v>
      </c>
      <c r="M104" t="s">
        <v>25</v>
      </c>
      <c r="O104" t="s">
        <v>26</v>
      </c>
      <c r="P104" t="s">
        <v>27</v>
      </c>
      <c r="Q104" t="s">
        <v>28</v>
      </c>
    </row>
    <row r="105" spans="1:18" x14ac:dyDescent="0.25">
      <c r="A105" t="s">
        <v>40</v>
      </c>
      <c r="B105">
        <v>218126</v>
      </c>
      <c r="C105" t="s">
        <v>31</v>
      </c>
      <c r="D105" t="s">
        <v>115</v>
      </c>
      <c r="E105" t="s">
        <v>35</v>
      </c>
      <c r="F105">
        <v>2</v>
      </c>
      <c r="G105" s="89">
        <v>44228</v>
      </c>
      <c r="H105">
        <v>44230</v>
      </c>
      <c r="I105">
        <v>44230</v>
      </c>
      <c r="K105" t="s">
        <v>23</v>
      </c>
      <c r="L105" t="s">
        <v>42</v>
      </c>
      <c r="M105" t="s">
        <v>25</v>
      </c>
    </row>
    <row r="106" spans="1:18" x14ac:dyDescent="0.25">
      <c r="A106" t="s">
        <v>19</v>
      </c>
      <c r="B106">
        <v>217549</v>
      </c>
      <c r="C106" t="s">
        <v>31</v>
      </c>
      <c r="D106" t="s">
        <v>116</v>
      </c>
      <c r="E106" t="s">
        <v>117</v>
      </c>
      <c r="F106">
        <v>1</v>
      </c>
      <c r="G106" s="89">
        <v>44255</v>
      </c>
      <c r="H106">
        <v>44231</v>
      </c>
      <c r="I106">
        <v>44232</v>
      </c>
      <c r="K106" t="s">
        <v>23</v>
      </c>
      <c r="L106" t="s">
        <v>24</v>
      </c>
      <c r="M106" t="s">
        <v>25</v>
      </c>
      <c r="O106" t="s">
        <v>26</v>
      </c>
    </row>
    <row r="107" spans="1:18" x14ac:dyDescent="0.25">
      <c r="A107" t="s">
        <v>55</v>
      </c>
      <c r="B107">
        <v>218206</v>
      </c>
      <c r="C107" t="s">
        <v>20</v>
      </c>
      <c r="D107" t="s">
        <v>118</v>
      </c>
      <c r="E107" t="s">
        <v>43</v>
      </c>
      <c r="F107">
        <v>4</v>
      </c>
      <c r="G107" s="89">
        <v>44229</v>
      </c>
      <c r="H107">
        <v>44230</v>
      </c>
      <c r="I107">
        <v>44230</v>
      </c>
      <c r="K107" t="s">
        <v>23</v>
      </c>
      <c r="L107" t="s">
        <v>34</v>
      </c>
      <c r="M107" t="s">
        <v>25</v>
      </c>
      <c r="O107" t="s">
        <v>26</v>
      </c>
      <c r="Q107" t="s">
        <v>29</v>
      </c>
      <c r="R107" t="s">
        <v>28</v>
      </c>
    </row>
    <row r="108" spans="1:18" x14ac:dyDescent="0.25">
      <c r="A108" t="s">
        <v>55</v>
      </c>
      <c r="B108">
        <v>218206</v>
      </c>
      <c r="C108" t="s">
        <v>20</v>
      </c>
      <c r="D108" t="s">
        <v>118</v>
      </c>
      <c r="E108" t="s">
        <v>45</v>
      </c>
      <c r="F108">
        <v>2</v>
      </c>
      <c r="G108" s="89">
        <v>44229</v>
      </c>
      <c r="H108">
        <v>44230</v>
      </c>
      <c r="I108">
        <v>44230</v>
      </c>
      <c r="K108" t="s">
        <v>23</v>
      </c>
      <c r="L108" t="s">
        <v>34</v>
      </c>
      <c r="M108" t="s">
        <v>25</v>
      </c>
      <c r="O108" t="s">
        <v>26</v>
      </c>
      <c r="Q108" t="s">
        <v>119</v>
      </c>
      <c r="R108" t="s">
        <v>50</v>
      </c>
    </row>
    <row r="109" spans="1:18" x14ac:dyDescent="0.25">
      <c r="A109" t="s">
        <v>55</v>
      </c>
      <c r="B109">
        <v>218206</v>
      </c>
      <c r="C109" t="s">
        <v>20</v>
      </c>
      <c r="D109" t="s">
        <v>118</v>
      </c>
      <c r="E109" t="s">
        <v>35</v>
      </c>
      <c r="F109">
        <v>2</v>
      </c>
      <c r="G109" s="89">
        <v>44229</v>
      </c>
      <c r="H109">
        <v>44230</v>
      </c>
      <c r="I109">
        <v>44230</v>
      </c>
      <c r="K109" t="s">
        <v>23</v>
      </c>
      <c r="L109" t="s">
        <v>34</v>
      </c>
      <c r="M109" t="s">
        <v>25</v>
      </c>
      <c r="O109" t="s">
        <v>26</v>
      </c>
      <c r="Q109" t="s">
        <v>120</v>
      </c>
      <c r="R109" t="s">
        <v>51</v>
      </c>
    </row>
    <row r="110" spans="1:18" x14ac:dyDescent="0.25">
      <c r="A110" t="s">
        <v>55</v>
      </c>
      <c r="B110">
        <v>218206</v>
      </c>
      <c r="C110" t="s">
        <v>20</v>
      </c>
      <c r="D110" t="s">
        <v>118</v>
      </c>
      <c r="E110" t="s">
        <v>49</v>
      </c>
      <c r="F110">
        <v>4</v>
      </c>
      <c r="G110" s="89">
        <v>44229</v>
      </c>
      <c r="H110">
        <v>44230</v>
      </c>
      <c r="I110">
        <v>44230</v>
      </c>
      <c r="K110" t="s">
        <v>23</v>
      </c>
      <c r="L110" t="s">
        <v>34</v>
      </c>
      <c r="M110" t="s">
        <v>25</v>
      </c>
      <c r="O110" t="s">
        <v>26</v>
      </c>
      <c r="Q110" t="s">
        <v>121</v>
      </c>
      <c r="R110" t="s">
        <v>52</v>
      </c>
    </row>
    <row r="111" spans="1:18" x14ac:dyDescent="0.25">
      <c r="A111" t="s">
        <v>40</v>
      </c>
      <c r="B111">
        <v>218502</v>
      </c>
      <c r="C111" t="s">
        <v>20</v>
      </c>
      <c r="D111" t="s">
        <v>122</v>
      </c>
      <c r="E111" t="s">
        <v>35</v>
      </c>
      <c r="F111">
        <v>1</v>
      </c>
      <c r="G111" s="89">
        <v>44229</v>
      </c>
      <c r="H111">
        <v>44230</v>
      </c>
      <c r="I111">
        <v>44230</v>
      </c>
      <c r="K111" t="s">
        <v>23</v>
      </c>
      <c r="L111" t="s">
        <v>24</v>
      </c>
      <c r="M111" t="s">
        <v>25</v>
      </c>
      <c r="O111" t="s">
        <v>26</v>
      </c>
      <c r="P111" t="s">
        <v>27</v>
      </c>
      <c r="Q111" t="s">
        <v>54</v>
      </c>
      <c r="R111" t="s">
        <v>29</v>
      </c>
    </row>
    <row r="112" spans="1:18" x14ac:dyDescent="0.25">
      <c r="A112" t="s">
        <v>40</v>
      </c>
      <c r="B112">
        <v>218502</v>
      </c>
      <c r="C112" t="s">
        <v>20</v>
      </c>
      <c r="D112" t="s">
        <v>122</v>
      </c>
      <c r="E112" t="s">
        <v>33</v>
      </c>
      <c r="F112">
        <v>1</v>
      </c>
      <c r="G112" s="89">
        <v>44229</v>
      </c>
      <c r="H112">
        <v>44230</v>
      </c>
      <c r="I112">
        <v>44230</v>
      </c>
      <c r="K112" t="s">
        <v>23</v>
      </c>
      <c r="L112" t="s">
        <v>24</v>
      </c>
      <c r="M112" t="s">
        <v>25</v>
      </c>
      <c r="O112" t="s">
        <v>26</v>
      </c>
      <c r="P112" t="s">
        <v>27</v>
      </c>
      <c r="Q112" t="s">
        <v>54</v>
      </c>
      <c r="R112" t="s">
        <v>29</v>
      </c>
    </row>
    <row r="113" spans="1:18" x14ac:dyDescent="0.25">
      <c r="A113" t="s">
        <v>19</v>
      </c>
      <c r="B113">
        <v>217553</v>
      </c>
      <c r="C113" t="s">
        <v>64</v>
      </c>
      <c r="D113" t="s">
        <v>123</v>
      </c>
      <c r="E113" t="s">
        <v>67</v>
      </c>
      <c r="F113">
        <v>1</v>
      </c>
      <c r="G113" s="89">
        <v>44255</v>
      </c>
      <c r="H113">
        <v>44230</v>
      </c>
      <c r="K113" t="s">
        <v>23</v>
      </c>
      <c r="L113" t="s">
        <v>58</v>
      </c>
      <c r="M113" t="s">
        <v>25</v>
      </c>
      <c r="O113" t="s">
        <v>26</v>
      </c>
    </row>
    <row r="114" spans="1:18" x14ac:dyDescent="0.25">
      <c r="A114" t="s">
        <v>95</v>
      </c>
      <c r="B114">
        <v>213012</v>
      </c>
      <c r="C114" t="s">
        <v>20</v>
      </c>
      <c r="D114" t="s">
        <v>124</v>
      </c>
      <c r="E114" t="s">
        <v>45</v>
      </c>
      <c r="F114">
        <v>1</v>
      </c>
      <c r="G114" s="89">
        <v>44203</v>
      </c>
      <c r="H114">
        <v>44204</v>
      </c>
      <c r="K114" t="s">
        <v>23</v>
      </c>
      <c r="L114" t="s">
        <v>58</v>
      </c>
      <c r="M114" t="s">
        <v>25</v>
      </c>
      <c r="O114" t="s">
        <v>26</v>
      </c>
      <c r="P114" t="s">
        <v>27</v>
      </c>
      <c r="Q114" t="s">
        <v>28</v>
      </c>
      <c r="R114" t="s">
        <v>28</v>
      </c>
    </row>
    <row r="115" spans="1:18" x14ac:dyDescent="0.25">
      <c r="A115" t="s">
        <v>95</v>
      </c>
      <c r="B115">
        <v>213012</v>
      </c>
      <c r="C115" t="s">
        <v>20</v>
      </c>
      <c r="D115" t="s">
        <v>124</v>
      </c>
      <c r="E115" t="s">
        <v>39</v>
      </c>
      <c r="F115">
        <v>1</v>
      </c>
      <c r="G115" s="89">
        <v>44203</v>
      </c>
      <c r="H115">
        <v>44204</v>
      </c>
      <c r="K115" t="s">
        <v>23</v>
      </c>
      <c r="L115" t="s">
        <v>58</v>
      </c>
      <c r="M115" t="s">
        <v>25</v>
      </c>
      <c r="O115" t="s">
        <v>26</v>
      </c>
      <c r="P115" t="s">
        <v>27</v>
      </c>
      <c r="Q115" t="s">
        <v>28</v>
      </c>
      <c r="R115" t="s">
        <v>28</v>
      </c>
    </row>
    <row r="116" spans="1:18" x14ac:dyDescent="0.25">
      <c r="A116" t="s">
        <v>19</v>
      </c>
      <c r="B116">
        <v>213356</v>
      </c>
      <c r="C116" t="s">
        <v>56</v>
      </c>
      <c r="D116" t="s">
        <v>125</v>
      </c>
      <c r="E116" t="s">
        <v>73</v>
      </c>
      <c r="F116">
        <v>1</v>
      </c>
      <c r="G116" s="89">
        <v>44204</v>
      </c>
      <c r="H116">
        <v>44204</v>
      </c>
      <c r="K116" t="s">
        <v>23</v>
      </c>
      <c r="L116" t="s">
        <v>58</v>
      </c>
      <c r="M116" t="s">
        <v>25</v>
      </c>
      <c r="O116" t="s">
        <v>26</v>
      </c>
      <c r="P116" t="s">
        <v>27</v>
      </c>
      <c r="Q116" t="s">
        <v>29</v>
      </c>
      <c r="R116" t="s">
        <v>29</v>
      </c>
    </row>
    <row r="117" spans="1:18" x14ac:dyDescent="0.25">
      <c r="A117" t="s">
        <v>40</v>
      </c>
      <c r="B117">
        <v>173565</v>
      </c>
      <c r="C117" t="s">
        <v>56</v>
      </c>
      <c r="D117" t="s">
        <v>126</v>
      </c>
      <c r="E117" t="s">
        <v>83</v>
      </c>
      <c r="F117">
        <v>1</v>
      </c>
      <c r="G117" s="89">
        <v>44008</v>
      </c>
      <c r="H117">
        <v>44069</v>
      </c>
      <c r="J117" t="s">
        <v>127</v>
      </c>
      <c r="K117" t="s">
        <v>23</v>
      </c>
      <c r="L117" t="s">
        <v>42</v>
      </c>
      <c r="M117" t="s">
        <v>25</v>
      </c>
      <c r="N117">
        <v>1</v>
      </c>
      <c r="O117" t="s">
        <v>27</v>
      </c>
      <c r="P117" t="s">
        <v>27</v>
      </c>
      <c r="Q117" t="s">
        <v>29</v>
      </c>
      <c r="R117" t="s">
        <v>29</v>
      </c>
    </row>
    <row r="118" spans="1:18" x14ac:dyDescent="0.25">
      <c r="A118" t="s">
        <v>40</v>
      </c>
      <c r="B118">
        <v>173565</v>
      </c>
      <c r="C118" t="s">
        <v>56</v>
      </c>
      <c r="D118" t="s">
        <v>126</v>
      </c>
      <c r="E118" t="s">
        <v>83</v>
      </c>
      <c r="F118">
        <v>1</v>
      </c>
      <c r="G118" s="89">
        <v>44008</v>
      </c>
      <c r="H118">
        <v>44069</v>
      </c>
      <c r="J118" t="s">
        <v>128</v>
      </c>
      <c r="K118" t="s">
        <v>23</v>
      </c>
      <c r="L118" t="s">
        <v>42</v>
      </c>
      <c r="M118" t="s">
        <v>25</v>
      </c>
      <c r="N118">
        <v>1</v>
      </c>
      <c r="O118" t="s">
        <v>27</v>
      </c>
      <c r="P118" t="s">
        <v>27</v>
      </c>
      <c r="Q118" t="s">
        <v>29</v>
      </c>
      <c r="R118" t="s">
        <v>29</v>
      </c>
    </row>
    <row r="119" spans="1:18" x14ac:dyDescent="0.25">
      <c r="A119" t="s">
        <v>40</v>
      </c>
      <c r="B119">
        <v>173565</v>
      </c>
      <c r="C119" t="s">
        <v>56</v>
      </c>
      <c r="D119" t="s">
        <v>126</v>
      </c>
      <c r="E119" t="s">
        <v>67</v>
      </c>
      <c r="F119">
        <v>1</v>
      </c>
      <c r="G119" s="89">
        <v>44008</v>
      </c>
      <c r="H119">
        <v>44069</v>
      </c>
      <c r="K119" t="s">
        <v>23</v>
      </c>
      <c r="L119" t="s">
        <v>42</v>
      </c>
      <c r="M119" t="s">
        <v>25</v>
      </c>
      <c r="N119">
        <v>1</v>
      </c>
      <c r="O119" t="s">
        <v>27</v>
      </c>
      <c r="P119" t="s">
        <v>27</v>
      </c>
      <c r="Q119" t="s">
        <v>29</v>
      </c>
      <c r="R119" t="s">
        <v>29</v>
      </c>
    </row>
    <row r="120" spans="1:18" x14ac:dyDescent="0.25">
      <c r="A120" t="s">
        <v>129</v>
      </c>
      <c r="B120">
        <v>218925</v>
      </c>
      <c r="C120" t="s">
        <v>20</v>
      </c>
      <c r="D120" t="s">
        <v>130</v>
      </c>
      <c r="E120" t="s">
        <v>44</v>
      </c>
      <c r="F120">
        <v>1</v>
      </c>
      <c r="G120" s="89">
        <v>44230</v>
      </c>
      <c r="H120">
        <v>44236</v>
      </c>
      <c r="I120">
        <v>44236</v>
      </c>
      <c r="K120" t="s">
        <v>23</v>
      </c>
      <c r="L120" t="s">
        <v>34</v>
      </c>
      <c r="M120" t="s">
        <v>25</v>
      </c>
      <c r="N120">
        <v>1</v>
      </c>
      <c r="O120" t="s">
        <v>26</v>
      </c>
      <c r="P120" t="s">
        <v>27</v>
      </c>
      <c r="Q120" t="s">
        <v>29</v>
      </c>
      <c r="R120" t="s">
        <v>54</v>
      </c>
    </row>
    <row r="121" spans="1:18" x14ac:dyDescent="0.25">
      <c r="A121" t="s">
        <v>71</v>
      </c>
      <c r="B121">
        <v>218864</v>
      </c>
      <c r="C121" t="s">
        <v>64</v>
      </c>
      <c r="D121" t="s">
        <v>131</v>
      </c>
      <c r="E121" t="s">
        <v>131</v>
      </c>
      <c r="F121">
        <v>1</v>
      </c>
      <c r="G121" s="89">
        <v>44230</v>
      </c>
      <c r="H121">
        <v>44232</v>
      </c>
      <c r="K121" t="s">
        <v>23</v>
      </c>
      <c r="L121" t="s">
        <v>58</v>
      </c>
      <c r="M121" t="s">
        <v>25</v>
      </c>
      <c r="O121" t="s">
        <v>26</v>
      </c>
      <c r="P121" t="s">
        <v>27</v>
      </c>
      <c r="Q121" t="s">
        <v>54</v>
      </c>
      <c r="R121" t="s">
        <v>54</v>
      </c>
    </row>
    <row r="122" spans="1:18" x14ac:dyDescent="0.25">
      <c r="A122" t="s">
        <v>30</v>
      </c>
      <c r="B122">
        <v>219822</v>
      </c>
      <c r="C122" t="s">
        <v>20</v>
      </c>
      <c r="D122" t="s">
        <v>132</v>
      </c>
      <c r="E122" t="s">
        <v>62</v>
      </c>
      <c r="F122">
        <v>1</v>
      </c>
      <c r="G122" s="89">
        <v>44235</v>
      </c>
      <c r="H122">
        <v>44235</v>
      </c>
      <c r="I122">
        <v>44235</v>
      </c>
      <c r="K122" t="s">
        <v>23</v>
      </c>
      <c r="L122" t="s">
        <v>24</v>
      </c>
      <c r="M122" t="s">
        <v>25</v>
      </c>
      <c r="O122" t="s">
        <v>26</v>
      </c>
      <c r="Q122" t="s">
        <v>54</v>
      </c>
      <c r="R122" t="s">
        <v>54</v>
      </c>
    </row>
    <row r="123" spans="1:18" x14ac:dyDescent="0.25">
      <c r="A123" t="s">
        <v>129</v>
      </c>
      <c r="B123">
        <v>218925</v>
      </c>
      <c r="C123" t="s">
        <v>20</v>
      </c>
      <c r="D123" t="s">
        <v>130</v>
      </c>
      <c r="E123" t="s">
        <v>33</v>
      </c>
      <c r="F123">
        <v>1</v>
      </c>
      <c r="G123" s="89">
        <v>44230</v>
      </c>
      <c r="H123">
        <v>44236</v>
      </c>
      <c r="I123">
        <v>44236</v>
      </c>
      <c r="K123" t="s">
        <v>23</v>
      </c>
      <c r="L123" t="s">
        <v>34</v>
      </c>
      <c r="M123" t="s">
        <v>25</v>
      </c>
      <c r="N123">
        <v>1</v>
      </c>
      <c r="O123" t="s">
        <v>26</v>
      </c>
      <c r="P123" t="s">
        <v>27</v>
      </c>
      <c r="Q123" t="s">
        <v>29</v>
      </c>
      <c r="R123" t="s">
        <v>54</v>
      </c>
    </row>
    <row r="124" spans="1:18" x14ac:dyDescent="0.25">
      <c r="A124" t="s">
        <v>133</v>
      </c>
      <c r="B124">
        <v>218963</v>
      </c>
      <c r="C124" t="s">
        <v>20</v>
      </c>
      <c r="D124" t="s">
        <v>134</v>
      </c>
      <c r="E124" t="s">
        <v>62</v>
      </c>
      <c r="F124">
        <v>1</v>
      </c>
      <c r="G124" s="89">
        <v>44230</v>
      </c>
      <c r="H124">
        <v>44236</v>
      </c>
      <c r="I124">
        <v>44236</v>
      </c>
      <c r="K124" t="s">
        <v>23</v>
      </c>
      <c r="L124" t="s">
        <v>24</v>
      </c>
      <c r="M124" t="s">
        <v>25</v>
      </c>
      <c r="O124" t="s">
        <v>26</v>
      </c>
      <c r="Q124" t="s">
        <v>29</v>
      </c>
      <c r="R124" t="s">
        <v>28</v>
      </c>
    </row>
    <row r="125" spans="1:18" x14ac:dyDescent="0.25">
      <c r="A125" t="s">
        <v>71</v>
      </c>
      <c r="B125">
        <v>219755</v>
      </c>
      <c r="C125" t="s">
        <v>31</v>
      </c>
      <c r="D125" t="s">
        <v>135</v>
      </c>
      <c r="E125" t="s">
        <v>49</v>
      </c>
      <c r="F125">
        <v>1</v>
      </c>
      <c r="G125" s="89">
        <v>44232</v>
      </c>
      <c r="H125">
        <v>44237</v>
      </c>
      <c r="I125">
        <v>44248</v>
      </c>
      <c r="K125" t="s">
        <v>23</v>
      </c>
      <c r="L125" t="s">
        <v>42</v>
      </c>
      <c r="M125" t="s">
        <v>25</v>
      </c>
      <c r="O125" t="s">
        <v>27</v>
      </c>
      <c r="P125" t="s">
        <v>27</v>
      </c>
      <c r="Q125" t="s">
        <v>74</v>
      </c>
    </row>
    <row r="126" spans="1:18" x14ac:dyDescent="0.25">
      <c r="A126" t="s">
        <v>71</v>
      </c>
      <c r="B126">
        <v>219755</v>
      </c>
      <c r="C126" t="s">
        <v>31</v>
      </c>
      <c r="D126" t="s">
        <v>135</v>
      </c>
      <c r="E126" t="s">
        <v>35</v>
      </c>
      <c r="F126">
        <v>1</v>
      </c>
      <c r="G126" s="89">
        <v>44232</v>
      </c>
      <c r="H126">
        <v>44237</v>
      </c>
      <c r="I126">
        <v>44248</v>
      </c>
      <c r="K126" t="s">
        <v>23</v>
      </c>
      <c r="L126" t="s">
        <v>42</v>
      </c>
      <c r="M126" t="s">
        <v>25</v>
      </c>
      <c r="O126" t="s">
        <v>27</v>
      </c>
      <c r="P126" t="s">
        <v>27</v>
      </c>
      <c r="Q126" t="s">
        <v>74</v>
      </c>
    </row>
    <row r="127" spans="1:18" x14ac:dyDescent="0.25">
      <c r="A127" t="s">
        <v>37</v>
      </c>
      <c r="B127">
        <v>219991</v>
      </c>
      <c r="C127" t="s">
        <v>20</v>
      </c>
      <c r="D127" t="s">
        <v>136</v>
      </c>
      <c r="E127" t="s">
        <v>44</v>
      </c>
      <c r="F127">
        <v>13</v>
      </c>
      <c r="G127" s="89">
        <v>44235</v>
      </c>
      <c r="H127">
        <v>44244</v>
      </c>
      <c r="I127">
        <v>44238</v>
      </c>
      <c r="K127" t="s">
        <v>23</v>
      </c>
      <c r="L127" t="s">
        <v>24</v>
      </c>
      <c r="M127" t="s">
        <v>25</v>
      </c>
      <c r="O127" t="s">
        <v>26</v>
      </c>
      <c r="P127" t="s">
        <v>27</v>
      </c>
      <c r="Q127" t="s">
        <v>54</v>
      </c>
      <c r="R127" t="s">
        <v>54</v>
      </c>
    </row>
    <row r="128" spans="1:18" x14ac:dyDescent="0.25">
      <c r="A128" t="s">
        <v>37</v>
      </c>
      <c r="B128">
        <v>219991</v>
      </c>
      <c r="C128" t="s">
        <v>20</v>
      </c>
      <c r="D128" t="s">
        <v>136</v>
      </c>
      <c r="E128" t="s">
        <v>39</v>
      </c>
      <c r="F128">
        <v>13</v>
      </c>
      <c r="G128" s="89">
        <v>44235</v>
      </c>
      <c r="H128">
        <v>44244</v>
      </c>
      <c r="I128">
        <v>44238</v>
      </c>
      <c r="K128" t="s">
        <v>23</v>
      </c>
      <c r="L128" t="s">
        <v>24</v>
      </c>
      <c r="M128" t="s">
        <v>25</v>
      </c>
      <c r="O128" t="s">
        <v>26</v>
      </c>
      <c r="P128" t="s">
        <v>27</v>
      </c>
      <c r="Q128" t="s">
        <v>54</v>
      </c>
      <c r="R128" t="s">
        <v>54</v>
      </c>
    </row>
    <row r="129" spans="1:18" x14ac:dyDescent="0.25">
      <c r="A129" t="s">
        <v>37</v>
      </c>
      <c r="B129">
        <v>219991</v>
      </c>
      <c r="C129" t="s">
        <v>20</v>
      </c>
      <c r="D129" t="s">
        <v>136</v>
      </c>
      <c r="E129" t="s">
        <v>33</v>
      </c>
      <c r="F129">
        <v>13</v>
      </c>
      <c r="G129" s="89">
        <v>44235</v>
      </c>
      <c r="H129">
        <v>44244</v>
      </c>
      <c r="I129">
        <v>44238</v>
      </c>
      <c r="K129" t="s">
        <v>23</v>
      </c>
      <c r="L129" t="s">
        <v>24</v>
      </c>
      <c r="M129" t="s">
        <v>25</v>
      </c>
      <c r="O129" t="s">
        <v>26</v>
      </c>
      <c r="P129" t="s">
        <v>27</v>
      </c>
      <c r="Q129" t="s">
        <v>54</v>
      </c>
      <c r="R129" t="s">
        <v>54</v>
      </c>
    </row>
    <row r="130" spans="1:18" x14ac:dyDescent="0.25">
      <c r="A130" t="s">
        <v>37</v>
      </c>
      <c r="B130">
        <v>219991</v>
      </c>
      <c r="C130" t="s">
        <v>20</v>
      </c>
      <c r="D130" t="s">
        <v>136</v>
      </c>
      <c r="E130" t="s">
        <v>49</v>
      </c>
      <c r="F130">
        <v>1</v>
      </c>
      <c r="G130" s="89">
        <v>44235</v>
      </c>
      <c r="H130">
        <v>44244</v>
      </c>
      <c r="I130">
        <v>44238</v>
      </c>
      <c r="K130" t="s">
        <v>23</v>
      </c>
      <c r="L130" t="s">
        <v>24</v>
      </c>
      <c r="M130" t="s">
        <v>25</v>
      </c>
      <c r="O130" t="s">
        <v>26</v>
      </c>
      <c r="P130" t="s">
        <v>27</v>
      </c>
      <c r="Q130" t="s">
        <v>54</v>
      </c>
      <c r="R130" t="s">
        <v>54</v>
      </c>
    </row>
    <row r="131" spans="1:18" x14ac:dyDescent="0.25">
      <c r="A131" t="s">
        <v>37</v>
      </c>
      <c r="B131">
        <v>219991</v>
      </c>
      <c r="C131" t="s">
        <v>20</v>
      </c>
      <c r="D131" t="s">
        <v>136</v>
      </c>
      <c r="E131" t="s">
        <v>93</v>
      </c>
      <c r="F131">
        <v>1</v>
      </c>
      <c r="G131" s="89">
        <v>44235</v>
      </c>
      <c r="H131">
        <v>44244</v>
      </c>
      <c r="I131">
        <v>44238</v>
      </c>
      <c r="K131" t="s">
        <v>23</v>
      </c>
      <c r="L131" t="s">
        <v>24</v>
      </c>
      <c r="M131" t="s">
        <v>25</v>
      </c>
      <c r="O131" t="s">
        <v>26</v>
      </c>
      <c r="P131" t="s">
        <v>27</v>
      </c>
      <c r="Q131" t="s">
        <v>54</v>
      </c>
      <c r="R131" t="s">
        <v>54</v>
      </c>
    </row>
    <row r="132" spans="1:18" x14ac:dyDescent="0.25">
      <c r="A132" t="s">
        <v>37</v>
      </c>
      <c r="B132">
        <v>213148</v>
      </c>
      <c r="C132" t="s">
        <v>20</v>
      </c>
      <c r="D132" t="s">
        <v>137</v>
      </c>
      <c r="E132" t="s">
        <v>35</v>
      </c>
      <c r="F132">
        <v>2</v>
      </c>
      <c r="G132" s="89">
        <v>44203</v>
      </c>
      <c r="H132">
        <v>44221</v>
      </c>
      <c r="I132">
        <v>44236</v>
      </c>
      <c r="K132" t="s">
        <v>23</v>
      </c>
      <c r="L132" t="s">
        <v>42</v>
      </c>
      <c r="M132" t="s">
        <v>25</v>
      </c>
      <c r="O132" t="s">
        <v>27</v>
      </c>
      <c r="P132" t="s">
        <v>27</v>
      </c>
      <c r="Q132" t="s">
        <v>29</v>
      </c>
      <c r="R132" t="s">
        <v>54</v>
      </c>
    </row>
    <row r="133" spans="1:18" x14ac:dyDescent="0.25">
      <c r="A133" t="s">
        <v>37</v>
      </c>
      <c r="B133">
        <v>213148</v>
      </c>
      <c r="C133" t="s">
        <v>20</v>
      </c>
      <c r="D133" t="s">
        <v>137</v>
      </c>
      <c r="E133" t="s">
        <v>44</v>
      </c>
      <c r="F133">
        <v>2</v>
      </c>
      <c r="G133" s="89">
        <v>44203</v>
      </c>
      <c r="H133">
        <v>44221</v>
      </c>
      <c r="I133">
        <v>44236</v>
      </c>
      <c r="K133" t="s">
        <v>23</v>
      </c>
      <c r="L133" t="s">
        <v>42</v>
      </c>
      <c r="M133" t="s">
        <v>25</v>
      </c>
      <c r="O133" t="s">
        <v>27</v>
      </c>
      <c r="P133" t="s">
        <v>27</v>
      </c>
      <c r="Q133" t="s">
        <v>29</v>
      </c>
      <c r="R133" t="s">
        <v>54</v>
      </c>
    </row>
    <row r="134" spans="1:18" x14ac:dyDescent="0.25">
      <c r="A134" t="s">
        <v>37</v>
      </c>
      <c r="B134">
        <v>213148</v>
      </c>
      <c r="C134" t="s">
        <v>20</v>
      </c>
      <c r="D134" t="s">
        <v>137</v>
      </c>
      <c r="E134" t="s">
        <v>49</v>
      </c>
      <c r="F134">
        <v>2</v>
      </c>
      <c r="G134" s="89">
        <v>44203</v>
      </c>
      <c r="H134">
        <v>44221</v>
      </c>
      <c r="I134">
        <v>44236</v>
      </c>
      <c r="K134" t="s">
        <v>23</v>
      </c>
      <c r="L134" t="s">
        <v>42</v>
      </c>
      <c r="M134" t="s">
        <v>25</v>
      </c>
      <c r="O134" t="s">
        <v>27</v>
      </c>
      <c r="P134" t="s">
        <v>27</v>
      </c>
      <c r="Q134" t="s">
        <v>29</v>
      </c>
      <c r="R134" t="s">
        <v>54</v>
      </c>
    </row>
    <row r="135" spans="1:18" x14ac:dyDescent="0.25">
      <c r="A135" t="s">
        <v>37</v>
      </c>
      <c r="B135">
        <v>213148</v>
      </c>
      <c r="C135" t="s">
        <v>20</v>
      </c>
      <c r="D135" t="s">
        <v>137</v>
      </c>
      <c r="E135" t="s">
        <v>49</v>
      </c>
      <c r="F135">
        <v>8</v>
      </c>
      <c r="G135" s="89">
        <v>44203</v>
      </c>
      <c r="H135">
        <v>44221</v>
      </c>
      <c r="I135">
        <v>44236</v>
      </c>
      <c r="K135" t="s">
        <v>23</v>
      </c>
      <c r="L135" t="s">
        <v>42</v>
      </c>
      <c r="M135" t="s">
        <v>25</v>
      </c>
      <c r="O135" t="s">
        <v>27</v>
      </c>
      <c r="P135" t="s">
        <v>27</v>
      </c>
      <c r="Q135" t="s">
        <v>29</v>
      </c>
      <c r="R135" t="s">
        <v>54</v>
      </c>
    </row>
    <row r="136" spans="1:18" x14ac:dyDescent="0.25">
      <c r="A136" t="s">
        <v>40</v>
      </c>
      <c r="B136">
        <v>220827</v>
      </c>
      <c r="C136" t="s">
        <v>31</v>
      </c>
      <c r="D136" t="s">
        <v>138</v>
      </c>
      <c r="E136" t="s">
        <v>35</v>
      </c>
      <c r="F136">
        <v>1</v>
      </c>
      <c r="G136" s="89">
        <v>44238</v>
      </c>
      <c r="H136">
        <v>44238</v>
      </c>
      <c r="I136">
        <v>44238</v>
      </c>
      <c r="K136" t="s">
        <v>23</v>
      </c>
      <c r="L136" t="s">
        <v>24</v>
      </c>
      <c r="M136" t="s">
        <v>25</v>
      </c>
      <c r="O136" t="s">
        <v>26</v>
      </c>
      <c r="P136" t="s">
        <v>27</v>
      </c>
      <c r="Q136" t="s">
        <v>29</v>
      </c>
    </row>
    <row r="137" spans="1:18" x14ac:dyDescent="0.25">
      <c r="A137" t="s">
        <v>30</v>
      </c>
      <c r="B137">
        <v>220694</v>
      </c>
      <c r="C137" t="s">
        <v>20</v>
      </c>
      <c r="D137" t="s">
        <v>139</v>
      </c>
      <c r="E137" t="s">
        <v>140</v>
      </c>
      <c r="F137">
        <v>2</v>
      </c>
      <c r="G137" s="89">
        <v>44237</v>
      </c>
      <c r="H137">
        <v>44238</v>
      </c>
      <c r="I137">
        <v>44239</v>
      </c>
      <c r="K137" t="s">
        <v>23</v>
      </c>
      <c r="L137" t="s">
        <v>34</v>
      </c>
      <c r="M137" t="s">
        <v>25</v>
      </c>
      <c r="O137" t="s">
        <v>26</v>
      </c>
      <c r="P137" t="s">
        <v>26</v>
      </c>
      <c r="Q137" t="s">
        <v>29</v>
      </c>
      <c r="R137" t="s">
        <v>54</v>
      </c>
    </row>
    <row r="138" spans="1:18" x14ac:dyDescent="0.25">
      <c r="A138" t="s">
        <v>30</v>
      </c>
      <c r="B138">
        <v>220694</v>
      </c>
      <c r="C138" t="s">
        <v>20</v>
      </c>
      <c r="D138" t="s">
        <v>139</v>
      </c>
      <c r="E138" t="s">
        <v>90</v>
      </c>
      <c r="F138">
        <v>6</v>
      </c>
      <c r="G138" s="89">
        <v>44237</v>
      </c>
      <c r="H138">
        <v>44238</v>
      </c>
      <c r="I138">
        <v>44239</v>
      </c>
      <c r="K138" t="s">
        <v>23</v>
      </c>
      <c r="L138" t="s">
        <v>34</v>
      </c>
      <c r="M138" t="s">
        <v>25</v>
      </c>
      <c r="O138" t="s">
        <v>26</v>
      </c>
      <c r="P138" t="s">
        <v>26</v>
      </c>
      <c r="Q138" t="s">
        <v>29</v>
      </c>
      <c r="R138" t="s">
        <v>54</v>
      </c>
    </row>
    <row r="139" spans="1:18" x14ac:dyDescent="0.25">
      <c r="A139" t="s">
        <v>30</v>
      </c>
      <c r="B139">
        <v>220594</v>
      </c>
      <c r="C139" t="s">
        <v>20</v>
      </c>
      <c r="D139" t="s">
        <v>141</v>
      </c>
      <c r="E139" t="s">
        <v>142</v>
      </c>
      <c r="F139">
        <v>1</v>
      </c>
      <c r="G139" s="89">
        <v>44237</v>
      </c>
      <c r="H139">
        <v>44238</v>
      </c>
      <c r="I139">
        <v>44238</v>
      </c>
      <c r="K139" t="s">
        <v>23</v>
      </c>
      <c r="L139" t="s">
        <v>58</v>
      </c>
      <c r="M139" t="s">
        <v>25</v>
      </c>
      <c r="O139" t="s">
        <v>26</v>
      </c>
      <c r="Q139" t="s">
        <v>29</v>
      </c>
    </row>
    <row r="140" spans="1:18" x14ac:dyDescent="0.25">
      <c r="A140" t="s">
        <v>30</v>
      </c>
      <c r="B140">
        <v>221313</v>
      </c>
      <c r="C140" t="s">
        <v>20</v>
      </c>
      <c r="D140" t="s">
        <v>143</v>
      </c>
      <c r="E140" t="s">
        <v>62</v>
      </c>
      <c r="F140">
        <v>1</v>
      </c>
      <c r="G140" s="89">
        <v>44239</v>
      </c>
      <c r="H140">
        <v>44245</v>
      </c>
      <c r="I140">
        <v>44249</v>
      </c>
      <c r="K140" t="s">
        <v>23</v>
      </c>
      <c r="L140" t="s">
        <v>34</v>
      </c>
      <c r="M140" t="s">
        <v>25</v>
      </c>
      <c r="N140">
        <v>1</v>
      </c>
      <c r="O140" t="s">
        <v>26</v>
      </c>
      <c r="P140" t="s">
        <v>26</v>
      </c>
      <c r="Q140" t="s">
        <v>29</v>
      </c>
      <c r="R140" t="s">
        <v>54</v>
      </c>
    </row>
    <row r="141" spans="1:18" x14ac:dyDescent="0.25">
      <c r="A141" t="s">
        <v>68</v>
      </c>
      <c r="B141">
        <v>218839</v>
      </c>
      <c r="C141" t="s">
        <v>64</v>
      </c>
      <c r="D141" t="s">
        <v>144</v>
      </c>
      <c r="E141" t="s">
        <v>73</v>
      </c>
      <c r="F141">
        <v>1</v>
      </c>
      <c r="G141" s="89">
        <v>44230</v>
      </c>
      <c r="H141">
        <v>44235</v>
      </c>
      <c r="K141" t="s">
        <v>23</v>
      </c>
      <c r="L141" t="s">
        <v>58</v>
      </c>
      <c r="M141" t="s">
        <v>25</v>
      </c>
      <c r="O141" t="s">
        <v>26</v>
      </c>
      <c r="Q141" t="s">
        <v>29</v>
      </c>
      <c r="R141" t="s">
        <v>54</v>
      </c>
    </row>
    <row r="142" spans="1:18" x14ac:dyDescent="0.25">
      <c r="A142" t="s">
        <v>40</v>
      </c>
      <c r="B142">
        <v>221808</v>
      </c>
      <c r="C142" t="s">
        <v>31</v>
      </c>
      <c r="D142" t="s">
        <v>138</v>
      </c>
      <c r="E142" t="s">
        <v>35</v>
      </c>
      <c r="F142">
        <v>1</v>
      </c>
      <c r="G142" s="89">
        <v>44245</v>
      </c>
      <c r="H142">
        <v>44245</v>
      </c>
      <c r="I142">
        <v>44245</v>
      </c>
      <c r="K142" t="s">
        <v>23</v>
      </c>
      <c r="L142" t="s">
        <v>24</v>
      </c>
      <c r="M142" t="s">
        <v>25</v>
      </c>
      <c r="O142" t="s">
        <v>26</v>
      </c>
      <c r="Q142" t="s">
        <v>29</v>
      </c>
    </row>
    <row r="143" spans="1:18" x14ac:dyDescent="0.25">
      <c r="A143" t="s">
        <v>145</v>
      </c>
      <c r="B143" t="s">
        <v>96</v>
      </c>
      <c r="C143" t="s">
        <v>31</v>
      </c>
      <c r="D143" t="s">
        <v>146</v>
      </c>
      <c r="E143" t="s">
        <v>147</v>
      </c>
      <c r="F143">
        <v>2</v>
      </c>
      <c r="G143" s="89">
        <v>44236</v>
      </c>
      <c r="H143">
        <v>44236</v>
      </c>
      <c r="I143">
        <v>44236</v>
      </c>
      <c r="K143" t="s">
        <v>23</v>
      </c>
      <c r="L143" t="s">
        <v>42</v>
      </c>
      <c r="M143" t="s">
        <v>25</v>
      </c>
      <c r="N143">
        <v>2</v>
      </c>
      <c r="O143" t="s">
        <v>27</v>
      </c>
      <c r="P143" t="s">
        <v>27</v>
      </c>
      <c r="Q143" t="s">
        <v>28</v>
      </c>
      <c r="R143" t="s">
        <v>28</v>
      </c>
    </row>
    <row r="144" spans="1:18" x14ac:dyDescent="0.25">
      <c r="A144" t="s">
        <v>40</v>
      </c>
      <c r="B144" t="s">
        <v>96</v>
      </c>
      <c r="C144" t="s">
        <v>31</v>
      </c>
      <c r="D144" t="s">
        <v>148</v>
      </c>
      <c r="E144" t="s">
        <v>67</v>
      </c>
      <c r="F144">
        <v>1</v>
      </c>
      <c r="G144" s="89">
        <v>44229</v>
      </c>
      <c r="H144">
        <v>44229</v>
      </c>
      <c r="I144">
        <v>44229</v>
      </c>
      <c r="K144" t="s">
        <v>23</v>
      </c>
      <c r="L144" t="s">
        <v>24</v>
      </c>
      <c r="M144" t="s">
        <v>25</v>
      </c>
      <c r="O144" t="s">
        <v>26</v>
      </c>
      <c r="P144" t="s">
        <v>27</v>
      </c>
      <c r="Q144" t="s">
        <v>54</v>
      </c>
      <c r="R144" t="s">
        <v>54</v>
      </c>
    </row>
    <row r="145" spans="1:18" x14ac:dyDescent="0.25">
      <c r="A145" t="s">
        <v>40</v>
      </c>
      <c r="B145">
        <v>209685</v>
      </c>
      <c r="C145" t="s">
        <v>20</v>
      </c>
      <c r="D145" t="s">
        <v>149</v>
      </c>
      <c r="E145" t="s">
        <v>35</v>
      </c>
      <c r="F145">
        <v>1</v>
      </c>
      <c r="G145" s="89">
        <v>44551</v>
      </c>
      <c r="H145">
        <v>44553</v>
      </c>
      <c r="I145">
        <v>44198</v>
      </c>
      <c r="K145" t="s">
        <v>23</v>
      </c>
      <c r="L145" t="s">
        <v>42</v>
      </c>
      <c r="M145" t="s">
        <v>25</v>
      </c>
      <c r="O145" t="s">
        <v>27</v>
      </c>
    </row>
    <row r="146" spans="1:18" x14ac:dyDescent="0.25">
      <c r="A146" t="s">
        <v>68</v>
      </c>
      <c r="B146">
        <v>222213</v>
      </c>
      <c r="C146" t="s">
        <v>20</v>
      </c>
      <c r="D146" t="s">
        <v>150</v>
      </c>
      <c r="E146" t="s">
        <v>35</v>
      </c>
      <c r="F146">
        <v>2</v>
      </c>
      <c r="G146" s="89">
        <v>44246</v>
      </c>
      <c r="H146">
        <v>44250</v>
      </c>
      <c r="I146">
        <v>44250</v>
      </c>
      <c r="K146" t="s">
        <v>23</v>
      </c>
      <c r="L146" t="s">
        <v>34</v>
      </c>
      <c r="M146" t="s">
        <v>25</v>
      </c>
      <c r="O146" t="s">
        <v>26</v>
      </c>
      <c r="P146" t="s">
        <v>27</v>
      </c>
      <c r="Q146" t="s">
        <v>29</v>
      </c>
      <c r="R146" t="s">
        <v>29</v>
      </c>
    </row>
    <row r="147" spans="1:18" x14ac:dyDescent="0.25">
      <c r="A147" t="s">
        <v>68</v>
      </c>
      <c r="B147">
        <v>222213</v>
      </c>
      <c r="C147" t="s">
        <v>20</v>
      </c>
      <c r="D147" t="s">
        <v>150</v>
      </c>
      <c r="E147" t="s">
        <v>33</v>
      </c>
      <c r="F147">
        <v>2</v>
      </c>
      <c r="G147" s="89">
        <v>44246</v>
      </c>
      <c r="H147">
        <v>44250</v>
      </c>
      <c r="I147">
        <v>44250</v>
      </c>
      <c r="K147" t="s">
        <v>23</v>
      </c>
      <c r="L147" t="s">
        <v>34</v>
      </c>
      <c r="M147" t="s">
        <v>25</v>
      </c>
      <c r="O147" t="s">
        <v>26</v>
      </c>
      <c r="P147" t="s">
        <v>27</v>
      </c>
      <c r="Q147" t="s">
        <v>29</v>
      </c>
      <c r="R147" t="s">
        <v>29</v>
      </c>
    </row>
    <row r="148" spans="1:18" x14ac:dyDescent="0.25">
      <c r="A148" t="s">
        <v>55</v>
      </c>
      <c r="B148">
        <v>222473</v>
      </c>
      <c r="C148" t="s">
        <v>64</v>
      </c>
      <c r="D148" t="s">
        <v>151</v>
      </c>
      <c r="E148" t="s">
        <v>152</v>
      </c>
      <c r="F148">
        <v>7</v>
      </c>
      <c r="G148" s="89">
        <v>44249</v>
      </c>
      <c r="H148">
        <v>44249</v>
      </c>
      <c r="K148" t="s">
        <v>23</v>
      </c>
      <c r="L148" t="s">
        <v>58</v>
      </c>
      <c r="M148" t="s">
        <v>25</v>
      </c>
      <c r="O148" t="s">
        <v>27</v>
      </c>
      <c r="Q148" t="s">
        <v>29</v>
      </c>
      <c r="R148" t="s">
        <v>29</v>
      </c>
    </row>
    <row r="149" spans="1:18" x14ac:dyDescent="0.25">
      <c r="A149" t="s">
        <v>40</v>
      </c>
      <c r="B149">
        <v>223252</v>
      </c>
      <c r="C149" t="s">
        <v>31</v>
      </c>
      <c r="D149" t="s">
        <v>153</v>
      </c>
      <c r="E149" t="s">
        <v>35</v>
      </c>
      <c r="F149">
        <v>1</v>
      </c>
      <c r="G149" s="89">
        <v>44251</v>
      </c>
      <c r="H149">
        <v>44251</v>
      </c>
      <c r="I149">
        <v>44251</v>
      </c>
      <c r="K149" t="s">
        <v>23</v>
      </c>
      <c r="L149" t="s">
        <v>24</v>
      </c>
      <c r="M149" t="s">
        <v>25</v>
      </c>
      <c r="N149">
        <v>3</v>
      </c>
      <c r="O149" t="s">
        <v>26</v>
      </c>
      <c r="Q149" t="s">
        <v>29</v>
      </c>
    </row>
    <row r="150" spans="1:18" x14ac:dyDescent="0.25">
      <c r="A150" t="s">
        <v>47</v>
      </c>
      <c r="B150">
        <v>222723</v>
      </c>
      <c r="C150" t="s">
        <v>31</v>
      </c>
      <c r="D150" t="s">
        <v>154</v>
      </c>
      <c r="E150" t="s">
        <v>73</v>
      </c>
      <c r="F150">
        <v>1</v>
      </c>
      <c r="G150" s="89">
        <v>44250</v>
      </c>
      <c r="H150">
        <v>44253</v>
      </c>
      <c r="I150">
        <v>44250</v>
      </c>
      <c r="K150" t="s">
        <v>23</v>
      </c>
      <c r="L150" t="s">
        <v>58</v>
      </c>
      <c r="M150" t="s">
        <v>25</v>
      </c>
      <c r="O150" t="s">
        <v>26</v>
      </c>
      <c r="Q150" t="s">
        <v>28</v>
      </c>
    </row>
    <row r="151" spans="1:18" x14ac:dyDescent="0.25">
      <c r="A151" t="s">
        <v>30</v>
      </c>
      <c r="B151">
        <v>22281</v>
      </c>
      <c r="C151" t="s">
        <v>64</v>
      </c>
      <c r="D151" t="s">
        <v>155</v>
      </c>
      <c r="E151" t="s">
        <v>156</v>
      </c>
      <c r="F151">
        <v>1</v>
      </c>
      <c r="G151" s="89">
        <v>44246</v>
      </c>
      <c r="H151">
        <v>44251</v>
      </c>
      <c r="K151" t="s">
        <v>23</v>
      </c>
      <c r="L151" t="s">
        <v>58</v>
      </c>
      <c r="M151" t="s">
        <v>25</v>
      </c>
      <c r="O151" t="s">
        <v>26</v>
      </c>
      <c r="Q151" t="s">
        <v>54</v>
      </c>
      <c r="R151" t="s">
        <v>54</v>
      </c>
    </row>
    <row r="152" spans="1:18" x14ac:dyDescent="0.25">
      <c r="A152" t="s">
        <v>129</v>
      </c>
      <c r="B152">
        <v>222424</v>
      </c>
      <c r="C152" t="s">
        <v>64</v>
      </c>
      <c r="D152" t="s">
        <v>157</v>
      </c>
      <c r="E152" t="s">
        <v>80</v>
      </c>
      <c r="F152">
        <v>0</v>
      </c>
      <c r="G152" s="89">
        <v>44249</v>
      </c>
      <c r="H152">
        <v>44253</v>
      </c>
      <c r="K152" t="s">
        <v>23</v>
      </c>
      <c r="L152" t="s">
        <v>42</v>
      </c>
      <c r="M152" t="s">
        <v>80</v>
      </c>
      <c r="O152" t="s">
        <v>27</v>
      </c>
      <c r="Q152" t="s">
        <v>28</v>
      </c>
    </row>
    <row r="153" spans="1:18" x14ac:dyDescent="0.25">
      <c r="A153" t="s">
        <v>40</v>
      </c>
      <c r="B153">
        <v>223640</v>
      </c>
      <c r="C153" t="s">
        <v>20</v>
      </c>
      <c r="D153" t="s">
        <v>158</v>
      </c>
      <c r="E153" t="s">
        <v>35</v>
      </c>
      <c r="F153">
        <v>1</v>
      </c>
      <c r="G153" s="89">
        <v>44252</v>
      </c>
      <c r="H153">
        <v>44253</v>
      </c>
      <c r="I153">
        <v>44253</v>
      </c>
      <c r="K153" t="s">
        <v>23</v>
      </c>
      <c r="L153" t="s">
        <v>24</v>
      </c>
      <c r="M153" t="s">
        <v>25</v>
      </c>
      <c r="O153" t="s">
        <v>26</v>
      </c>
      <c r="Q153" t="s">
        <v>54</v>
      </c>
      <c r="R153" t="s">
        <v>54</v>
      </c>
    </row>
    <row r="154" spans="1:18" x14ac:dyDescent="0.25">
      <c r="A154" t="s">
        <v>40</v>
      </c>
      <c r="B154">
        <v>223640</v>
      </c>
      <c r="C154" t="s">
        <v>20</v>
      </c>
      <c r="D154" t="s">
        <v>158</v>
      </c>
      <c r="E154" t="s">
        <v>33</v>
      </c>
      <c r="F154">
        <v>1</v>
      </c>
      <c r="G154" s="89">
        <v>44252</v>
      </c>
      <c r="H154">
        <v>44253</v>
      </c>
      <c r="I154">
        <v>44253</v>
      </c>
      <c r="K154" t="s">
        <v>23</v>
      </c>
      <c r="L154" t="s">
        <v>24</v>
      </c>
      <c r="M154" t="s">
        <v>25</v>
      </c>
      <c r="O154" t="s">
        <v>26</v>
      </c>
      <c r="Q154" t="s">
        <v>54</v>
      </c>
      <c r="R154" t="s">
        <v>54</v>
      </c>
    </row>
    <row r="155" spans="1:18" x14ac:dyDescent="0.25">
      <c r="A155" t="s">
        <v>40</v>
      </c>
      <c r="B155">
        <v>223735</v>
      </c>
      <c r="C155" t="s">
        <v>31</v>
      </c>
      <c r="D155" t="s">
        <v>159</v>
      </c>
      <c r="E155" t="s">
        <v>35</v>
      </c>
      <c r="F155">
        <v>1</v>
      </c>
      <c r="G155" s="89">
        <v>44252</v>
      </c>
      <c r="H155">
        <v>44256</v>
      </c>
      <c r="I155">
        <v>44256</v>
      </c>
      <c r="K155" t="s">
        <v>23</v>
      </c>
      <c r="L155" t="s">
        <v>24</v>
      </c>
      <c r="M155" t="s">
        <v>25</v>
      </c>
      <c r="O155" t="s">
        <v>26</v>
      </c>
      <c r="Q155" t="s">
        <v>54</v>
      </c>
    </row>
    <row r="156" spans="1:18" x14ac:dyDescent="0.25">
      <c r="A156" t="s">
        <v>37</v>
      </c>
      <c r="B156">
        <v>216047</v>
      </c>
      <c r="C156" t="s">
        <v>31</v>
      </c>
      <c r="D156" t="s">
        <v>160</v>
      </c>
      <c r="E156" t="s">
        <v>35</v>
      </c>
      <c r="F156">
        <v>1</v>
      </c>
      <c r="G156" s="89">
        <v>44266</v>
      </c>
      <c r="H156">
        <v>44272</v>
      </c>
      <c r="I156">
        <v>44271</v>
      </c>
      <c r="K156" t="s">
        <v>23</v>
      </c>
      <c r="L156" t="s">
        <v>34</v>
      </c>
      <c r="M156" t="s">
        <v>161</v>
      </c>
      <c r="O156" t="s">
        <v>27</v>
      </c>
      <c r="P156" t="s">
        <v>27</v>
      </c>
      <c r="Q156" t="s">
        <v>29</v>
      </c>
    </row>
    <row r="157" spans="1:18" x14ac:dyDescent="0.25">
      <c r="A157" t="s">
        <v>37</v>
      </c>
      <c r="B157">
        <v>216047</v>
      </c>
      <c r="C157" t="s">
        <v>31</v>
      </c>
      <c r="D157" t="s">
        <v>160</v>
      </c>
      <c r="E157" t="s">
        <v>35</v>
      </c>
      <c r="F157">
        <v>1</v>
      </c>
      <c r="G157" s="89">
        <v>44266</v>
      </c>
      <c r="H157">
        <v>44272</v>
      </c>
      <c r="I157">
        <v>44271</v>
      </c>
      <c r="K157" t="s">
        <v>23</v>
      </c>
      <c r="L157" t="s">
        <v>34</v>
      </c>
      <c r="M157" t="s">
        <v>161</v>
      </c>
      <c r="O157" t="s">
        <v>27</v>
      </c>
      <c r="P157" t="s">
        <v>27</v>
      </c>
      <c r="Q157" t="s">
        <v>29</v>
      </c>
    </row>
    <row r="158" spans="1:18" x14ac:dyDescent="0.25">
      <c r="A158" t="s">
        <v>37</v>
      </c>
      <c r="B158">
        <v>216047</v>
      </c>
      <c r="C158" t="s">
        <v>31</v>
      </c>
      <c r="D158" t="s">
        <v>160</v>
      </c>
      <c r="E158" t="s">
        <v>36</v>
      </c>
      <c r="F158">
        <v>3</v>
      </c>
      <c r="G158" s="89">
        <v>44266</v>
      </c>
      <c r="H158">
        <v>44272</v>
      </c>
      <c r="I158">
        <v>44271</v>
      </c>
      <c r="K158" t="s">
        <v>23</v>
      </c>
      <c r="L158" t="s">
        <v>34</v>
      </c>
      <c r="M158" t="s">
        <v>161</v>
      </c>
      <c r="O158" t="s">
        <v>27</v>
      </c>
      <c r="P158" t="s">
        <v>27</v>
      </c>
      <c r="Q158" t="s">
        <v>29</v>
      </c>
    </row>
    <row r="159" spans="1:18" x14ac:dyDescent="0.25">
      <c r="A159" t="s">
        <v>37</v>
      </c>
      <c r="B159">
        <v>216047</v>
      </c>
      <c r="C159" t="s">
        <v>31</v>
      </c>
      <c r="D159" t="s">
        <v>160</v>
      </c>
      <c r="E159" t="s">
        <v>49</v>
      </c>
      <c r="F159">
        <v>1</v>
      </c>
      <c r="G159" s="89">
        <v>44266</v>
      </c>
      <c r="H159">
        <v>44272</v>
      </c>
      <c r="I159">
        <v>44271</v>
      </c>
      <c r="K159" t="s">
        <v>23</v>
      </c>
      <c r="L159" t="s">
        <v>34</v>
      </c>
      <c r="M159" t="s">
        <v>161</v>
      </c>
      <c r="O159" t="s">
        <v>27</v>
      </c>
      <c r="P159" t="s">
        <v>27</v>
      </c>
      <c r="Q159" t="s">
        <v>29</v>
      </c>
    </row>
    <row r="160" spans="1:18" x14ac:dyDescent="0.25">
      <c r="A160" t="s">
        <v>37</v>
      </c>
      <c r="B160">
        <v>216047</v>
      </c>
      <c r="C160" t="s">
        <v>31</v>
      </c>
      <c r="D160" t="s">
        <v>160</v>
      </c>
      <c r="E160" t="s">
        <v>43</v>
      </c>
      <c r="F160">
        <v>1</v>
      </c>
      <c r="G160" s="89">
        <v>44266</v>
      </c>
      <c r="H160">
        <v>44272</v>
      </c>
      <c r="I160">
        <v>44271</v>
      </c>
      <c r="K160" t="s">
        <v>23</v>
      </c>
      <c r="L160" t="s">
        <v>34</v>
      </c>
      <c r="M160" t="s">
        <v>161</v>
      </c>
      <c r="O160" t="s">
        <v>27</v>
      </c>
      <c r="P160" t="s">
        <v>27</v>
      </c>
      <c r="Q160" t="s">
        <v>29</v>
      </c>
    </row>
    <row r="161" spans="1:18" x14ac:dyDescent="0.25">
      <c r="A161" t="s">
        <v>37</v>
      </c>
      <c r="B161">
        <v>216047</v>
      </c>
      <c r="C161" t="s">
        <v>31</v>
      </c>
      <c r="D161" t="s">
        <v>160</v>
      </c>
      <c r="E161" t="s">
        <v>33</v>
      </c>
      <c r="F161">
        <v>1</v>
      </c>
      <c r="G161" s="89">
        <v>44266</v>
      </c>
      <c r="H161">
        <v>44272</v>
      </c>
      <c r="I161">
        <v>44271</v>
      </c>
      <c r="K161" t="s">
        <v>23</v>
      </c>
      <c r="L161" t="s">
        <v>34</v>
      </c>
      <c r="M161" t="s">
        <v>161</v>
      </c>
      <c r="O161" t="s">
        <v>27</v>
      </c>
      <c r="P161" t="s">
        <v>27</v>
      </c>
      <c r="Q161" t="s">
        <v>29</v>
      </c>
    </row>
    <row r="162" spans="1:18" x14ac:dyDescent="0.25">
      <c r="A162" t="s">
        <v>37</v>
      </c>
      <c r="B162">
        <v>216047</v>
      </c>
      <c r="C162" t="s">
        <v>31</v>
      </c>
      <c r="D162" t="s">
        <v>160</v>
      </c>
      <c r="E162" t="s">
        <v>67</v>
      </c>
      <c r="F162">
        <v>1</v>
      </c>
      <c r="G162" s="89">
        <v>44217</v>
      </c>
      <c r="H162">
        <v>44246</v>
      </c>
      <c r="I162">
        <v>44246</v>
      </c>
      <c r="K162" t="s">
        <v>23</v>
      </c>
      <c r="L162" t="s">
        <v>42</v>
      </c>
      <c r="M162" t="s">
        <v>161</v>
      </c>
      <c r="O162" t="s">
        <v>27</v>
      </c>
      <c r="P162" t="s">
        <v>27</v>
      </c>
      <c r="Q162" t="s">
        <v>29</v>
      </c>
    </row>
    <row r="163" spans="1:18" x14ac:dyDescent="0.25">
      <c r="A163" t="s">
        <v>37</v>
      </c>
      <c r="B163">
        <v>216047</v>
      </c>
      <c r="C163" t="s">
        <v>31</v>
      </c>
      <c r="D163" t="s">
        <v>160</v>
      </c>
      <c r="E163" t="s">
        <v>73</v>
      </c>
      <c r="F163">
        <v>1</v>
      </c>
      <c r="G163" s="89">
        <v>44217</v>
      </c>
      <c r="H163">
        <v>44246</v>
      </c>
      <c r="I163">
        <v>44246</v>
      </c>
      <c r="K163" t="s">
        <v>23</v>
      </c>
      <c r="L163" t="s">
        <v>42</v>
      </c>
      <c r="M163" t="s">
        <v>161</v>
      </c>
      <c r="O163" t="s">
        <v>27</v>
      </c>
      <c r="P163" t="s">
        <v>27</v>
      </c>
      <c r="Q163" t="s">
        <v>29</v>
      </c>
    </row>
    <row r="164" spans="1:18" x14ac:dyDescent="0.25">
      <c r="A164" t="s">
        <v>30</v>
      </c>
      <c r="B164">
        <v>217017</v>
      </c>
      <c r="C164" t="s">
        <v>20</v>
      </c>
      <c r="D164" t="s">
        <v>162</v>
      </c>
      <c r="E164" t="s">
        <v>73</v>
      </c>
      <c r="F164">
        <v>1</v>
      </c>
      <c r="G164" s="89">
        <v>44224</v>
      </c>
      <c r="H164">
        <v>44229</v>
      </c>
      <c r="I164">
        <v>44258</v>
      </c>
      <c r="K164" t="s">
        <v>23</v>
      </c>
      <c r="L164" t="s">
        <v>58</v>
      </c>
      <c r="M164" t="s">
        <v>25</v>
      </c>
      <c r="O164" t="s">
        <v>26</v>
      </c>
      <c r="P164" t="s">
        <v>27</v>
      </c>
      <c r="Q164" t="s">
        <v>29</v>
      </c>
      <c r="R164" t="s">
        <v>29</v>
      </c>
    </row>
    <row r="165" spans="1:18" x14ac:dyDescent="0.25">
      <c r="A165" t="s">
        <v>47</v>
      </c>
      <c r="B165">
        <v>221895</v>
      </c>
      <c r="C165" t="s">
        <v>20</v>
      </c>
      <c r="D165" t="s">
        <v>163</v>
      </c>
      <c r="E165" t="s">
        <v>43</v>
      </c>
      <c r="F165">
        <v>1</v>
      </c>
      <c r="G165" s="89">
        <v>44245</v>
      </c>
      <c r="H165">
        <v>44246</v>
      </c>
      <c r="I165">
        <v>44245</v>
      </c>
      <c r="K165" t="s">
        <v>23</v>
      </c>
      <c r="L165" t="s">
        <v>34</v>
      </c>
      <c r="M165" t="s">
        <v>25</v>
      </c>
      <c r="O165" t="s">
        <v>26</v>
      </c>
      <c r="P165" t="s">
        <v>26</v>
      </c>
      <c r="Q165" t="s">
        <v>29</v>
      </c>
      <c r="R165" t="s">
        <v>29</v>
      </c>
    </row>
    <row r="166" spans="1:18" x14ac:dyDescent="0.25">
      <c r="A166" t="s">
        <v>37</v>
      </c>
      <c r="B166">
        <v>222168</v>
      </c>
      <c r="C166" t="s">
        <v>20</v>
      </c>
      <c r="D166" t="s">
        <v>164</v>
      </c>
      <c r="E166" t="s">
        <v>35</v>
      </c>
      <c r="F166">
        <v>2</v>
      </c>
      <c r="G166" s="89">
        <v>44246</v>
      </c>
      <c r="H166">
        <v>44253</v>
      </c>
      <c r="I166">
        <v>44253</v>
      </c>
      <c r="K166" t="s">
        <v>23</v>
      </c>
      <c r="L166" t="s">
        <v>34</v>
      </c>
      <c r="M166" t="s">
        <v>25</v>
      </c>
      <c r="O166" t="s">
        <v>27</v>
      </c>
      <c r="P166" t="s">
        <v>27</v>
      </c>
      <c r="Q166" t="s">
        <v>29</v>
      </c>
      <c r="R166" t="s">
        <v>54</v>
      </c>
    </row>
    <row r="167" spans="1:18" x14ac:dyDescent="0.25">
      <c r="A167" t="s">
        <v>37</v>
      </c>
      <c r="B167">
        <v>222168</v>
      </c>
      <c r="C167" t="s">
        <v>20</v>
      </c>
      <c r="D167" t="s">
        <v>164</v>
      </c>
      <c r="E167" t="s">
        <v>44</v>
      </c>
      <c r="F167">
        <v>2</v>
      </c>
      <c r="G167" s="89">
        <v>44246</v>
      </c>
      <c r="H167">
        <v>44253</v>
      </c>
      <c r="I167">
        <v>44253</v>
      </c>
      <c r="K167" t="s">
        <v>23</v>
      </c>
      <c r="L167" t="s">
        <v>34</v>
      </c>
      <c r="M167" t="s">
        <v>25</v>
      </c>
      <c r="O167" t="s">
        <v>27</v>
      </c>
      <c r="P167" t="s">
        <v>27</v>
      </c>
      <c r="Q167" t="s">
        <v>29</v>
      </c>
      <c r="R167" t="s">
        <v>54</v>
      </c>
    </row>
    <row r="168" spans="1:18" x14ac:dyDescent="0.25">
      <c r="A168" t="s">
        <v>37</v>
      </c>
      <c r="B168">
        <v>222168</v>
      </c>
      <c r="C168" t="s">
        <v>20</v>
      </c>
      <c r="D168" t="s">
        <v>164</v>
      </c>
      <c r="E168" t="s">
        <v>36</v>
      </c>
      <c r="F168">
        <v>4</v>
      </c>
      <c r="G168" s="89">
        <v>44246</v>
      </c>
      <c r="H168">
        <v>44253</v>
      </c>
      <c r="I168">
        <v>44253</v>
      </c>
      <c r="K168" t="s">
        <v>23</v>
      </c>
      <c r="L168" t="s">
        <v>34</v>
      </c>
      <c r="M168" t="s">
        <v>25</v>
      </c>
      <c r="O168" t="s">
        <v>27</v>
      </c>
      <c r="P168" t="s">
        <v>27</v>
      </c>
      <c r="Q168" t="s">
        <v>29</v>
      </c>
      <c r="R168" t="s">
        <v>54</v>
      </c>
    </row>
    <row r="169" spans="1:18" x14ac:dyDescent="0.25">
      <c r="A169" t="s">
        <v>37</v>
      </c>
      <c r="B169">
        <v>222168</v>
      </c>
      <c r="C169" t="s">
        <v>20</v>
      </c>
      <c r="D169" t="s">
        <v>164</v>
      </c>
      <c r="E169" t="s">
        <v>93</v>
      </c>
      <c r="F169">
        <v>2</v>
      </c>
      <c r="G169" s="89">
        <v>44246</v>
      </c>
      <c r="H169">
        <v>44253</v>
      </c>
      <c r="I169">
        <v>44253</v>
      </c>
      <c r="K169" t="s">
        <v>23</v>
      </c>
      <c r="L169" t="s">
        <v>34</v>
      </c>
      <c r="M169" t="s">
        <v>25</v>
      </c>
      <c r="O169" t="s">
        <v>27</v>
      </c>
      <c r="P169" t="s">
        <v>27</v>
      </c>
      <c r="Q169" t="s">
        <v>29</v>
      </c>
      <c r="R169" t="s">
        <v>54</v>
      </c>
    </row>
    <row r="170" spans="1:18" x14ac:dyDescent="0.25">
      <c r="A170" t="s">
        <v>37</v>
      </c>
      <c r="B170">
        <v>222168</v>
      </c>
      <c r="C170" t="s">
        <v>20</v>
      </c>
      <c r="D170" t="s">
        <v>164</v>
      </c>
      <c r="E170" t="s">
        <v>76</v>
      </c>
      <c r="F170">
        <v>1</v>
      </c>
      <c r="G170" s="89">
        <v>44246</v>
      </c>
      <c r="H170">
        <v>44256</v>
      </c>
      <c r="I170">
        <v>44256</v>
      </c>
      <c r="K170" t="s">
        <v>23</v>
      </c>
      <c r="L170" t="s">
        <v>34</v>
      </c>
      <c r="M170" t="s">
        <v>25</v>
      </c>
      <c r="O170" t="s">
        <v>27</v>
      </c>
      <c r="P170" t="s">
        <v>27</v>
      </c>
      <c r="Q170" t="s">
        <v>29</v>
      </c>
      <c r="R170" t="s">
        <v>54</v>
      </c>
    </row>
    <row r="171" spans="1:18" x14ac:dyDescent="0.25">
      <c r="A171" t="s">
        <v>145</v>
      </c>
      <c r="B171">
        <v>222495</v>
      </c>
      <c r="C171" t="s">
        <v>20</v>
      </c>
      <c r="D171" t="s">
        <v>165</v>
      </c>
      <c r="E171" t="s">
        <v>73</v>
      </c>
      <c r="F171">
        <v>2</v>
      </c>
      <c r="G171" s="89">
        <v>44249</v>
      </c>
      <c r="H171">
        <v>44257</v>
      </c>
      <c r="I171">
        <v>44250</v>
      </c>
      <c r="K171" t="s">
        <v>23</v>
      </c>
      <c r="L171" t="s">
        <v>58</v>
      </c>
      <c r="M171" t="s">
        <v>25</v>
      </c>
      <c r="O171" t="s">
        <v>26</v>
      </c>
      <c r="Q171" t="s">
        <v>29</v>
      </c>
      <c r="R171" t="s">
        <v>28</v>
      </c>
    </row>
    <row r="172" spans="1:18" x14ac:dyDescent="0.25">
      <c r="A172" t="s">
        <v>37</v>
      </c>
      <c r="B172">
        <v>221022</v>
      </c>
      <c r="C172" t="s">
        <v>31</v>
      </c>
      <c r="D172" t="s">
        <v>166</v>
      </c>
      <c r="E172" t="s">
        <v>36</v>
      </c>
      <c r="F172">
        <v>1</v>
      </c>
      <c r="G172" s="89">
        <v>44258</v>
      </c>
      <c r="H172">
        <v>44259</v>
      </c>
      <c r="I172">
        <v>44259</v>
      </c>
      <c r="K172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54</v>
      </c>
    </row>
    <row r="173" spans="1:18" x14ac:dyDescent="0.25">
      <c r="A173" t="s">
        <v>37</v>
      </c>
      <c r="B173">
        <v>221022</v>
      </c>
      <c r="C173" t="s">
        <v>31</v>
      </c>
      <c r="D173" t="s">
        <v>166</v>
      </c>
      <c r="E173" t="s">
        <v>49</v>
      </c>
      <c r="F173">
        <v>1</v>
      </c>
      <c r="G173" s="89">
        <v>44258</v>
      </c>
      <c r="H173">
        <v>44259</v>
      </c>
      <c r="I173">
        <v>44259</v>
      </c>
      <c r="K173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54</v>
      </c>
    </row>
    <row r="174" spans="1:18" x14ac:dyDescent="0.25">
      <c r="A174" t="s">
        <v>37</v>
      </c>
      <c r="B174">
        <v>221022</v>
      </c>
      <c r="C174" t="s">
        <v>31</v>
      </c>
      <c r="D174" t="s">
        <v>166</v>
      </c>
      <c r="E174" t="s">
        <v>33</v>
      </c>
      <c r="F174">
        <v>1</v>
      </c>
      <c r="G174" s="89">
        <v>44258</v>
      </c>
      <c r="H174">
        <v>44259</v>
      </c>
      <c r="I174">
        <v>44259</v>
      </c>
      <c r="K174" t="s">
        <v>23</v>
      </c>
      <c r="L174" t="s">
        <v>24</v>
      </c>
      <c r="M174" t="s">
        <v>25</v>
      </c>
      <c r="O174" t="s">
        <v>26</v>
      </c>
      <c r="P174" t="s">
        <v>26</v>
      </c>
      <c r="Q174" t="s">
        <v>54</v>
      </c>
    </row>
    <row r="175" spans="1:18" x14ac:dyDescent="0.25">
      <c r="A175" t="s">
        <v>37</v>
      </c>
      <c r="B175">
        <v>221022</v>
      </c>
      <c r="C175" t="s">
        <v>31</v>
      </c>
      <c r="D175" t="s">
        <v>166</v>
      </c>
      <c r="E175" t="s">
        <v>35</v>
      </c>
      <c r="F175">
        <v>1</v>
      </c>
      <c r="G175" s="89">
        <v>44258</v>
      </c>
      <c r="H175">
        <v>44259</v>
      </c>
      <c r="I175">
        <v>44259</v>
      </c>
      <c r="K175" t="s">
        <v>23</v>
      </c>
      <c r="L175" t="s">
        <v>24</v>
      </c>
      <c r="M175" t="s">
        <v>25</v>
      </c>
      <c r="O175" t="s">
        <v>26</v>
      </c>
      <c r="P175" t="s">
        <v>26</v>
      </c>
      <c r="Q175" t="s">
        <v>54</v>
      </c>
    </row>
    <row r="176" spans="1:18" x14ac:dyDescent="0.25">
      <c r="A176" t="s">
        <v>37</v>
      </c>
      <c r="B176">
        <v>221022</v>
      </c>
      <c r="C176" t="s">
        <v>31</v>
      </c>
      <c r="D176" t="s">
        <v>166</v>
      </c>
      <c r="E176" t="s">
        <v>167</v>
      </c>
      <c r="F176">
        <v>2</v>
      </c>
      <c r="G176" s="89">
        <v>44258</v>
      </c>
      <c r="H176">
        <v>44259</v>
      </c>
      <c r="I176">
        <v>44259</v>
      </c>
      <c r="K176" t="s">
        <v>23</v>
      </c>
      <c r="L176" t="s">
        <v>24</v>
      </c>
      <c r="M176" t="s">
        <v>25</v>
      </c>
      <c r="O176" t="s">
        <v>26</v>
      </c>
      <c r="P176" t="s">
        <v>26</v>
      </c>
      <c r="Q176" t="s">
        <v>54</v>
      </c>
    </row>
    <row r="177" spans="1:18" x14ac:dyDescent="0.25">
      <c r="A177" t="s">
        <v>37</v>
      </c>
      <c r="B177">
        <v>221022</v>
      </c>
      <c r="C177" t="s">
        <v>31</v>
      </c>
      <c r="D177" t="s">
        <v>166</v>
      </c>
      <c r="E177" t="s">
        <v>43</v>
      </c>
      <c r="F177">
        <v>1</v>
      </c>
      <c r="G177" s="89">
        <v>44258</v>
      </c>
      <c r="H177">
        <v>44259</v>
      </c>
      <c r="I177">
        <v>44259</v>
      </c>
      <c r="K177" t="s">
        <v>23</v>
      </c>
      <c r="L177" t="s">
        <v>24</v>
      </c>
      <c r="M177" t="s">
        <v>25</v>
      </c>
      <c r="O177" t="s">
        <v>26</v>
      </c>
      <c r="P177" t="s">
        <v>26</v>
      </c>
      <c r="Q177" t="s">
        <v>54</v>
      </c>
    </row>
    <row r="178" spans="1:18" x14ac:dyDescent="0.25">
      <c r="A178" t="s">
        <v>37</v>
      </c>
      <c r="B178">
        <v>221022</v>
      </c>
      <c r="C178" t="s">
        <v>31</v>
      </c>
      <c r="D178" t="s">
        <v>166</v>
      </c>
      <c r="E178" t="s">
        <v>62</v>
      </c>
      <c r="F178">
        <v>1</v>
      </c>
      <c r="G178" s="89">
        <v>44238</v>
      </c>
      <c r="H178">
        <v>44252</v>
      </c>
      <c r="I178">
        <v>44252</v>
      </c>
      <c r="K178" t="s">
        <v>23</v>
      </c>
      <c r="L178" t="s">
        <v>24</v>
      </c>
      <c r="M178" t="s">
        <v>25</v>
      </c>
      <c r="O178" t="s">
        <v>26</v>
      </c>
      <c r="P178" t="s">
        <v>26</v>
      </c>
      <c r="Q178" t="s">
        <v>54</v>
      </c>
    </row>
    <row r="179" spans="1:18" x14ac:dyDescent="0.25">
      <c r="A179" t="s">
        <v>19</v>
      </c>
      <c r="B179">
        <v>223415</v>
      </c>
      <c r="C179" t="s">
        <v>31</v>
      </c>
      <c r="D179" t="s">
        <v>168</v>
      </c>
      <c r="E179" t="s">
        <v>80</v>
      </c>
      <c r="F179">
        <v>1</v>
      </c>
      <c r="G179" s="89">
        <v>44252</v>
      </c>
      <c r="H179">
        <v>44256</v>
      </c>
      <c r="I179">
        <v>44256</v>
      </c>
      <c r="J179" t="s">
        <v>169</v>
      </c>
      <c r="K179" t="s">
        <v>23</v>
      </c>
      <c r="L179" t="s">
        <v>42</v>
      </c>
      <c r="M179" t="s">
        <v>25</v>
      </c>
      <c r="O179" t="s">
        <v>27</v>
      </c>
    </row>
    <row r="180" spans="1:18" x14ac:dyDescent="0.25">
      <c r="A180" t="s">
        <v>37</v>
      </c>
      <c r="B180">
        <v>224201</v>
      </c>
      <c r="C180" t="s">
        <v>20</v>
      </c>
      <c r="D180" t="s">
        <v>170</v>
      </c>
      <c r="E180" t="s">
        <v>44</v>
      </c>
      <c r="F180">
        <v>4</v>
      </c>
      <c r="G180" s="89">
        <v>44256</v>
      </c>
      <c r="H180">
        <v>44258</v>
      </c>
      <c r="I180">
        <v>44267</v>
      </c>
      <c r="K180" t="s">
        <v>23</v>
      </c>
      <c r="L180" t="s">
        <v>42</v>
      </c>
      <c r="M180" t="s">
        <v>25</v>
      </c>
      <c r="N180">
        <v>1</v>
      </c>
      <c r="O180" t="s">
        <v>27</v>
      </c>
      <c r="P180" t="s">
        <v>27</v>
      </c>
      <c r="Q180" t="s">
        <v>28</v>
      </c>
      <c r="R180" t="s">
        <v>54</v>
      </c>
    </row>
    <row r="181" spans="1:18" x14ac:dyDescent="0.25">
      <c r="A181" t="s">
        <v>129</v>
      </c>
      <c r="B181">
        <v>224161</v>
      </c>
      <c r="C181" t="s">
        <v>20</v>
      </c>
      <c r="D181" t="s">
        <v>171</v>
      </c>
      <c r="E181" t="s">
        <v>172</v>
      </c>
      <c r="F181">
        <v>2</v>
      </c>
      <c r="G181" s="89">
        <v>44256</v>
      </c>
      <c r="H181">
        <v>44257</v>
      </c>
      <c r="I181">
        <v>44258</v>
      </c>
      <c r="K181" t="s">
        <v>23</v>
      </c>
      <c r="L181" t="s">
        <v>34</v>
      </c>
      <c r="M181" t="s">
        <v>25</v>
      </c>
      <c r="O181" t="s">
        <v>26</v>
      </c>
      <c r="Q181" t="s">
        <v>29</v>
      </c>
      <c r="R181" t="s">
        <v>54</v>
      </c>
    </row>
    <row r="182" spans="1:18" x14ac:dyDescent="0.25">
      <c r="A182" t="s">
        <v>37</v>
      </c>
      <c r="B182">
        <v>224201</v>
      </c>
      <c r="C182" t="s">
        <v>20</v>
      </c>
      <c r="D182" t="s">
        <v>170</v>
      </c>
      <c r="E182" t="s">
        <v>49</v>
      </c>
      <c r="F182">
        <v>2</v>
      </c>
      <c r="G182" s="89">
        <v>44256</v>
      </c>
      <c r="H182">
        <v>44258</v>
      </c>
      <c r="I182">
        <v>44267</v>
      </c>
      <c r="K182" t="s">
        <v>23</v>
      </c>
      <c r="L182" t="s">
        <v>42</v>
      </c>
      <c r="M182" t="s">
        <v>25</v>
      </c>
      <c r="N182">
        <v>1</v>
      </c>
      <c r="O182" t="s">
        <v>27</v>
      </c>
      <c r="P182" t="s">
        <v>27</v>
      </c>
      <c r="Q182" t="s">
        <v>28</v>
      </c>
      <c r="R182" t="s">
        <v>54</v>
      </c>
    </row>
    <row r="183" spans="1:18" x14ac:dyDescent="0.25">
      <c r="A183" t="s">
        <v>37</v>
      </c>
      <c r="B183">
        <v>224201</v>
      </c>
      <c r="C183" t="s">
        <v>20</v>
      </c>
      <c r="D183" t="s">
        <v>170</v>
      </c>
      <c r="E183" t="s">
        <v>33</v>
      </c>
      <c r="F183">
        <v>2</v>
      </c>
      <c r="G183" s="89">
        <v>44256</v>
      </c>
      <c r="H183">
        <v>44258</v>
      </c>
      <c r="I183">
        <v>44267</v>
      </c>
      <c r="K183" t="s">
        <v>23</v>
      </c>
      <c r="L183" t="s">
        <v>42</v>
      </c>
      <c r="M183" t="s">
        <v>25</v>
      </c>
      <c r="N183">
        <v>1</v>
      </c>
      <c r="O183" t="s">
        <v>27</v>
      </c>
      <c r="P183" t="s">
        <v>27</v>
      </c>
      <c r="Q183" t="s">
        <v>28</v>
      </c>
      <c r="R183" t="s">
        <v>54</v>
      </c>
    </row>
    <row r="184" spans="1:18" x14ac:dyDescent="0.25">
      <c r="A184" t="s">
        <v>37</v>
      </c>
      <c r="B184">
        <v>224201</v>
      </c>
      <c r="C184" t="s">
        <v>20</v>
      </c>
      <c r="D184" t="s">
        <v>170</v>
      </c>
      <c r="E184" t="s">
        <v>36</v>
      </c>
      <c r="F184">
        <v>6</v>
      </c>
      <c r="G184" s="89">
        <v>44256</v>
      </c>
      <c r="H184">
        <v>44258</v>
      </c>
      <c r="I184">
        <v>44267</v>
      </c>
      <c r="K184" t="s">
        <v>23</v>
      </c>
      <c r="L184" t="s">
        <v>42</v>
      </c>
      <c r="M184" t="s">
        <v>25</v>
      </c>
      <c r="N184">
        <v>1</v>
      </c>
      <c r="O184" t="s">
        <v>27</v>
      </c>
      <c r="P184" t="s">
        <v>27</v>
      </c>
      <c r="Q184" t="s">
        <v>28</v>
      </c>
      <c r="R184" t="s">
        <v>54</v>
      </c>
    </row>
    <row r="185" spans="1:18" x14ac:dyDescent="0.25">
      <c r="A185" t="s">
        <v>37</v>
      </c>
      <c r="B185">
        <v>224201</v>
      </c>
      <c r="C185" t="s">
        <v>20</v>
      </c>
      <c r="D185" t="s">
        <v>170</v>
      </c>
      <c r="E185" t="s">
        <v>93</v>
      </c>
      <c r="F185">
        <v>2</v>
      </c>
      <c r="G185" s="89">
        <v>44256</v>
      </c>
      <c r="H185">
        <v>44258</v>
      </c>
      <c r="I185">
        <v>44267</v>
      </c>
      <c r="K185" t="s">
        <v>23</v>
      </c>
      <c r="L185" t="s">
        <v>42</v>
      </c>
      <c r="M185" t="s">
        <v>25</v>
      </c>
      <c r="N185">
        <v>1</v>
      </c>
      <c r="O185" t="s">
        <v>27</v>
      </c>
      <c r="P185" t="s">
        <v>27</v>
      </c>
      <c r="Q185" t="s">
        <v>28</v>
      </c>
      <c r="R185" t="s">
        <v>54</v>
      </c>
    </row>
    <row r="186" spans="1:18" x14ac:dyDescent="0.25">
      <c r="A186" t="s">
        <v>68</v>
      </c>
      <c r="B186">
        <v>223817</v>
      </c>
      <c r="C186" t="s">
        <v>20</v>
      </c>
      <c r="D186" t="s">
        <v>173</v>
      </c>
      <c r="E186" t="s">
        <v>152</v>
      </c>
      <c r="F186">
        <v>6</v>
      </c>
      <c r="G186" s="89">
        <v>44253</v>
      </c>
      <c r="H186">
        <v>44257</v>
      </c>
      <c r="I186">
        <v>44270</v>
      </c>
      <c r="K186" t="s">
        <v>23</v>
      </c>
      <c r="L186" t="s">
        <v>34</v>
      </c>
      <c r="M186" t="s">
        <v>25</v>
      </c>
      <c r="O186" t="s">
        <v>26</v>
      </c>
      <c r="Q186" t="s">
        <v>28</v>
      </c>
      <c r="R186" t="s">
        <v>54</v>
      </c>
    </row>
    <row r="187" spans="1:18" x14ac:dyDescent="0.25">
      <c r="A187" t="s">
        <v>68</v>
      </c>
      <c r="B187">
        <v>223817</v>
      </c>
      <c r="C187" t="s">
        <v>20</v>
      </c>
      <c r="D187" t="s">
        <v>173</v>
      </c>
      <c r="E187" t="s">
        <v>63</v>
      </c>
      <c r="F187">
        <v>2</v>
      </c>
      <c r="G187" s="89">
        <v>44253</v>
      </c>
      <c r="H187">
        <v>44257</v>
      </c>
      <c r="I187">
        <v>44270</v>
      </c>
      <c r="K187" t="s">
        <v>23</v>
      </c>
      <c r="L187" t="s">
        <v>34</v>
      </c>
      <c r="M187" t="s">
        <v>25</v>
      </c>
      <c r="O187" t="s">
        <v>26</v>
      </c>
      <c r="Q187" t="s">
        <v>28</v>
      </c>
      <c r="R187" t="s">
        <v>54</v>
      </c>
    </row>
    <row r="188" spans="1:18" x14ac:dyDescent="0.25">
      <c r="A188" t="s">
        <v>30</v>
      </c>
      <c r="B188">
        <v>225001</v>
      </c>
      <c r="C188" t="s">
        <v>31</v>
      </c>
      <c r="D188" t="s">
        <v>174</v>
      </c>
      <c r="E188" t="s">
        <v>36</v>
      </c>
      <c r="F188">
        <v>4</v>
      </c>
      <c r="G188" s="89">
        <v>44258</v>
      </c>
      <c r="H188">
        <v>44263</v>
      </c>
      <c r="I188">
        <v>44263</v>
      </c>
      <c r="K188" t="s">
        <v>23</v>
      </c>
      <c r="L188" t="s">
        <v>42</v>
      </c>
      <c r="M188" t="s">
        <v>25</v>
      </c>
    </row>
    <row r="189" spans="1:18" x14ac:dyDescent="0.25">
      <c r="A189" t="s">
        <v>30</v>
      </c>
      <c r="B189">
        <v>225001</v>
      </c>
      <c r="C189" t="s">
        <v>31</v>
      </c>
      <c r="D189" t="s">
        <v>174</v>
      </c>
      <c r="E189" t="s">
        <v>49</v>
      </c>
      <c r="F189">
        <v>1</v>
      </c>
      <c r="G189" s="89">
        <v>44258</v>
      </c>
      <c r="H189">
        <v>44263</v>
      </c>
      <c r="I189">
        <v>44263</v>
      </c>
      <c r="K189" t="s">
        <v>23</v>
      </c>
      <c r="L189" t="s">
        <v>42</v>
      </c>
      <c r="M189" t="s">
        <v>25</v>
      </c>
    </row>
    <row r="190" spans="1:18" x14ac:dyDescent="0.25">
      <c r="A190" t="s">
        <v>30</v>
      </c>
      <c r="B190">
        <v>225001</v>
      </c>
      <c r="C190" t="s">
        <v>31</v>
      </c>
      <c r="D190" t="s">
        <v>174</v>
      </c>
      <c r="E190" t="s">
        <v>33</v>
      </c>
      <c r="F190">
        <v>1</v>
      </c>
      <c r="G190" s="89">
        <v>44258</v>
      </c>
      <c r="H190">
        <v>44263</v>
      </c>
      <c r="I190">
        <v>44263</v>
      </c>
      <c r="K190" t="s">
        <v>23</v>
      </c>
      <c r="L190" t="s">
        <v>42</v>
      </c>
      <c r="M190" t="s">
        <v>25</v>
      </c>
      <c r="O190" t="s">
        <v>27</v>
      </c>
      <c r="Q190" t="s">
        <v>29</v>
      </c>
    </row>
    <row r="191" spans="1:18" x14ac:dyDescent="0.25">
      <c r="A191" t="s">
        <v>37</v>
      </c>
      <c r="B191">
        <v>224536</v>
      </c>
      <c r="C191" t="s">
        <v>20</v>
      </c>
      <c r="D191" t="s">
        <v>175</v>
      </c>
      <c r="E191" t="s">
        <v>22</v>
      </c>
      <c r="F191">
        <v>1</v>
      </c>
      <c r="G191" s="89">
        <v>44257</v>
      </c>
      <c r="H191">
        <v>44260</v>
      </c>
      <c r="I191">
        <v>44264</v>
      </c>
      <c r="K191" t="s">
        <v>23</v>
      </c>
      <c r="L191" t="s">
        <v>34</v>
      </c>
      <c r="M191" t="s">
        <v>25</v>
      </c>
      <c r="N191">
        <v>1</v>
      </c>
      <c r="O191" t="s">
        <v>26</v>
      </c>
      <c r="P191" t="s">
        <v>26</v>
      </c>
      <c r="Q191" t="s">
        <v>29</v>
      </c>
      <c r="R191" t="s">
        <v>54</v>
      </c>
    </row>
    <row r="192" spans="1:18" x14ac:dyDescent="0.25">
      <c r="A192" t="s">
        <v>47</v>
      </c>
      <c r="B192">
        <v>222723</v>
      </c>
      <c r="C192" t="s">
        <v>31</v>
      </c>
      <c r="D192" t="s">
        <v>154</v>
      </c>
      <c r="E192" t="s">
        <v>73</v>
      </c>
      <c r="F192">
        <v>1</v>
      </c>
      <c r="G192" s="89">
        <v>44250</v>
      </c>
      <c r="H192">
        <v>44263</v>
      </c>
      <c r="K192" t="s">
        <v>23</v>
      </c>
      <c r="L192" t="s">
        <v>58</v>
      </c>
      <c r="M192" t="s">
        <v>25</v>
      </c>
      <c r="O192" t="s">
        <v>26</v>
      </c>
      <c r="Q192" t="s">
        <v>28</v>
      </c>
      <c r="R192" t="s">
        <v>28</v>
      </c>
    </row>
    <row r="193" spans="1:18" x14ac:dyDescent="0.25">
      <c r="A193" t="s">
        <v>47</v>
      </c>
      <c r="B193">
        <v>224892</v>
      </c>
      <c r="C193" t="s">
        <v>31</v>
      </c>
      <c r="D193" t="s">
        <v>176</v>
      </c>
      <c r="E193" t="s">
        <v>94</v>
      </c>
      <c r="F193">
        <v>1</v>
      </c>
      <c r="G193" s="89">
        <v>44267</v>
      </c>
      <c r="H193">
        <v>44271</v>
      </c>
      <c r="I193">
        <v>44286</v>
      </c>
      <c r="K193" t="s">
        <v>23</v>
      </c>
      <c r="L193" t="s">
        <v>34</v>
      </c>
      <c r="M193" t="s">
        <v>25</v>
      </c>
      <c r="N193">
        <v>2</v>
      </c>
      <c r="O193" t="s">
        <v>26</v>
      </c>
      <c r="Q193" t="s">
        <v>29</v>
      </c>
    </row>
    <row r="194" spans="1:18" x14ac:dyDescent="0.25">
      <c r="A194" t="s">
        <v>47</v>
      </c>
      <c r="B194">
        <v>224892</v>
      </c>
      <c r="C194" t="s">
        <v>31</v>
      </c>
      <c r="D194" t="s">
        <v>176</v>
      </c>
      <c r="E194" t="s">
        <v>35</v>
      </c>
      <c r="F194">
        <v>1</v>
      </c>
      <c r="G194" s="89">
        <v>44267</v>
      </c>
      <c r="H194">
        <v>44271</v>
      </c>
      <c r="I194">
        <v>44271</v>
      </c>
      <c r="K194" t="s">
        <v>23</v>
      </c>
      <c r="L194" t="s">
        <v>34</v>
      </c>
      <c r="M194" t="s">
        <v>25</v>
      </c>
      <c r="N194">
        <v>2</v>
      </c>
      <c r="O194" t="s">
        <v>26</v>
      </c>
      <c r="Q194" t="s">
        <v>29</v>
      </c>
    </row>
    <row r="195" spans="1:18" x14ac:dyDescent="0.25">
      <c r="A195" t="s">
        <v>47</v>
      </c>
      <c r="B195">
        <v>224892</v>
      </c>
      <c r="C195" t="s">
        <v>31</v>
      </c>
      <c r="D195" t="s">
        <v>176</v>
      </c>
      <c r="E195" t="s">
        <v>90</v>
      </c>
      <c r="F195">
        <v>5</v>
      </c>
      <c r="G195" s="89">
        <v>44267</v>
      </c>
      <c r="H195">
        <v>44271</v>
      </c>
      <c r="I195">
        <v>44271</v>
      </c>
      <c r="K195" t="s">
        <v>23</v>
      </c>
      <c r="L195" t="s">
        <v>34</v>
      </c>
      <c r="M195" t="s">
        <v>25</v>
      </c>
      <c r="N195">
        <v>2</v>
      </c>
      <c r="O195" t="s">
        <v>26</v>
      </c>
      <c r="Q195" t="s">
        <v>29</v>
      </c>
    </row>
    <row r="196" spans="1:18" x14ac:dyDescent="0.25">
      <c r="A196" t="s">
        <v>47</v>
      </c>
      <c r="B196">
        <v>224892</v>
      </c>
      <c r="C196" t="s">
        <v>31</v>
      </c>
      <c r="D196" t="s">
        <v>176</v>
      </c>
      <c r="E196" t="s">
        <v>36</v>
      </c>
      <c r="F196">
        <v>4</v>
      </c>
      <c r="G196" s="89">
        <v>44267</v>
      </c>
      <c r="H196">
        <v>44271</v>
      </c>
      <c r="I196">
        <v>44271</v>
      </c>
      <c r="K196" t="s">
        <v>23</v>
      </c>
      <c r="L196" t="s">
        <v>34</v>
      </c>
      <c r="M196" t="s">
        <v>25</v>
      </c>
      <c r="N196">
        <v>2</v>
      </c>
      <c r="O196" t="s">
        <v>26</v>
      </c>
      <c r="Q196" t="s">
        <v>29</v>
      </c>
    </row>
    <row r="197" spans="1:18" x14ac:dyDescent="0.25">
      <c r="A197" t="s">
        <v>47</v>
      </c>
      <c r="B197">
        <v>224892</v>
      </c>
      <c r="C197" t="s">
        <v>31</v>
      </c>
      <c r="D197" t="s">
        <v>176</v>
      </c>
      <c r="E197" t="s">
        <v>43</v>
      </c>
      <c r="F197">
        <v>3</v>
      </c>
      <c r="G197" s="89">
        <v>44267</v>
      </c>
      <c r="H197">
        <v>44271</v>
      </c>
      <c r="I197">
        <v>44271</v>
      </c>
      <c r="K197" t="s">
        <v>23</v>
      </c>
      <c r="L197" t="s">
        <v>34</v>
      </c>
      <c r="M197" t="s">
        <v>25</v>
      </c>
      <c r="N197">
        <v>2</v>
      </c>
      <c r="O197" t="s">
        <v>26</v>
      </c>
      <c r="Q197" t="s">
        <v>29</v>
      </c>
    </row>
    <row r="198" spans="1:18" x14ac:dyDescent="0.25">
      <c r="A198" t="s">
        <v>47</v>
      </c>
      <c r="B198">
        <v>224892</v>
      </c>
      <c r="C198" t="s">
        <v>31</v>
      </c>
      <c r="D198" t="s">
        <v>176</v>
      </c>
      <c r="E198" t="s">
        <v>33</v>
      </c>
      <c r="F198">
        <v>1</v>
      </c>
      <c r="G198" s="89">
        <v>44267</v>
      </c>
      <c r="H198">
        <v>44271</v>
      </c>
      <c r="I198">
        <v>44271</v>
      </c>
      <c r="K198" t="s">
        <v>23</v>
      </c>
      <c r="L198" t="s">
        <v>34</v>
      </c>
      <c r="M198" t="s">
        <v>25</v>
      </c>
      <c r="N198">
        <v>2</v>
      </c>
      <c r="O198" t="s">
        <v>26</v>
      </c>
      <c r="Q198" t="s">
        <v>29</v>
      </c>
    </row>
    <row r="199" spans="1:18" x14ac:dyDescent="0.25">
      <c r="A199" t="s">
        <v>47</v>
      </c>
      <c r="B199">
        <v>224892</v>
      </c>
      <c r="C199" t="s">
        <v>31</v>
      </c>
      <c r="D199" t="s">
        <v>176</v>
      </c>
      <c r="E199" t="s">
        <v>89</v>
      </c>
      <c r="F199">
        <v>1</v>
      </c>
      <c r="G199" s="89">
        <v>44267</v>
      </c>
      <c r="H199">
        <v>44271</v>
      </c>
      <c r="I199">
        <v>44271</v>
      </c>
      <c r="J199" t="s">
        <v>177</v>
      </c>
      <c r="K199" t="s">
        <v>23</v>
      </c>
      <c r="L199" t="s">
        <v>34</v>
      </c>
      <c r="M199" t="s">
        <v>25</v>
      </c>
      <c r="N199">
        <v>2</v>
      </c>
      <c r="O199" t="s">
        <v>26</v>
      </c>
      <c r="Q199" t="s">
        <v>29</v>
      </c>
    </row>
    <row r="200" spans="1:18" x14ac:dyDescent="0.25">
      <c r="A200" t="s">
        <v>47</v>
      </c>
      <c r="B200">
        <v>224892</v>
      </c>
      <c r="C200" t="s">
        <v>31</v>
      </c>
      <c r="D200" t="s">
        <v>176</v>
      </c>
      <c r="E200" t="s">
        <v>62</v>
      </c>
      <c r="F200">
        <v>1</v>
      </c>
      <c r="G200" s="89">
        <v>44260</v>
      </c>
      <c r="H200">
        <v>44265</v>
      </c>
      <c r="I200">
        <v>44265</v>
      </c>
      <c r="K200" t="s">
        <v>23</v>
      </c>
      <c r="L200" t="s">
        <v>34</v>
      </c>
      <c r="M200" t="s">
        <v>25</v>
      </c>
      <c r="N200">
        <v>2</v>
      </c>
      <c r="O200" t="s">
        <v>26</v>
      </c>
      <c r="Q200" t="s">
        <v>29</v>
      </c>
    </row>
    <row r="201" spans="1:18" x14ac:dyDescent="0.25">
      <c r="A201" t="s">
        <v>178</v>
      </c>
      <c r="B201">
        <v>225692</v>
      </c>
      <c r="C201" t="s">
        <v>31</v>
      </c>
      <c r="D201" t="s">
        <v>179</v>
      </c>
      <c r="E201" t="s">
        <v>36</v>
      </c>
      <c r="F201">
        <v>1</v>
      </c>
      <c r="G201" s="89">
        <v>44260</v>
      </c>
      <c r="H201">
        <v>44266</v>
      </c>
      <c r="I201">
        <v>44266</v>
      </c>
      <c r="K201" t="s">
        <v>23</v>
      </c>
      <c r="L201" t="s">
        <v>42</v>
      </c>
      <c r="M201" t="s">
        <v>25</v>
      </c>
      <c r="O201" t="s">
        <v>27</v>
      </c>
      <c r="Q201" t="s">
        <v>29</v>
      </c>
    </row>
    <row r="202" spans="1:18" x14ac:dyDescent="0.25">
      <c r="A202" t="s">
        <v>178</v>
      </c>
      <c r="B202">
        <v>225692</v>
      </c>
      <c r="C202" t="s">
        <v>31</v>
      </c>
      <c r="D202" t="s">
        <v>179</v>
      </c>
      <c r="E202" t="s">
        <v>49</v>
      </c>
      <c r="F202">
        <v>1</v>
      </c>
      <c r="G202" s="89">
        <v>44260</v>
      </c>
      <c r="H202">
        <v>44266</v>
      </c>
      <c r="I202">
        <v>44266</v>
      </c>
      <c r="K202" t="s">
        <v>23</v>
      </c>
      <c r="L202" t="s">
        <v>42</v>
      </c>
      <c r="M202" t="s">
        <v>25</v>
      </c>
      <c r="O202" t="s">
        <v>27</v>
      </c>
      <c r="Q202" t="s">
        <v>29</v>
      </c>
    </row>
    <row r="203" spans="1:18" x14ac:dyDescent="0.25">
      <c r="A203" t="s">
        <v>30</v>
      </c>
      <c r="B203">
        <v>225795</v>
      </c>
      <c r="C203" t="s">
        <v>20</v>
      </c>
      <c r="D203" t="s">
        <v>180</v>
      </c>
      <c r="E203" t="s">
        <v>35</v>
      </c>
      <c r="F203">
        <v>2</v>
      </c>
      <c r="G203" s="89">
        <v>44263</v>
      </c>
      <c r="H203">
        <v>44265</v>
      </c>
      <c r="I203">
        <v>44265</v>
      </c>
      <c r="K203" t="s">
        <v>23</v>
      </c>
      <c r="L203" t="s">
        <v>34</v>
      </c>
      <c r="M203" t="s">
        <v>25</v>
      </c>
      <c r="O203" t="s">
        <v>26</v>
      </c>
      <c r="Q203" t="s">
        <v>29</v>
      </c>
      <c r="R203" t="s">
        <v>54</v>
      </c>
    </row>
    <row r="204" spans="1:18" x14ac:dyDescent="0.25">
      <c r="A204" t="s">
        <v>30</v>
      </c>
      <c r="B204">
        <v>225795</v>
      </c>
      <c r="C204" t="s">
        <v>20</v>
      </c>
      <c r="D204" t="s">
        <v>180</v>
      </c>
      <c r="E204" t="s">
        <v>43</v>
      </c>
      <c r="F204">
        <v>4</v>
      </c>
      <c r="G204" s="89">
        <v>44263</v>
      </c>
      <c r="H204">
        <v>44265</v>
      </c>
      <c r="I204">
        <v>44265</v>
      </c>
      <c r="K204" t="s">
        <v>23</v>
      </c>
      <c r="L204" t="s">
        <v>34</v>
      </c>
      <c r="M204" t="s">
        <v>25</v>
      </c>
      <c r="O204" t="s">
        <v>26</v>
      </c>
      <c r="Q204" t="s">
        <v>29</v>
      </c>
      <c r="R204" t="s">
        <v>54</v>
      </c>
    </row>
    <row r="205" spans="1:18" x14ac:dyDescent="0.25">
      <c r="A205" t="s">
        <v>30</v>
      </c>
      <c r="B205">
        <v>225795</v>
      </c>
      <c r="C205" t="s">
        <v>20</v>
      </c>
      <c r="D205" t="s">
        <v>180</v>
      </c>
      <c r="E205" t="s">
        <v>33</v>
      </c>
      <c r="F205">
        <v>4</v>
      </c>
      <c r="G205" s="89">
        <v>44263</v>
      </c>
      <c r="H205">
        <v>44265</v>
      </c>
      <c r="I205">
        <v>44265</v>
      </c>
      <c r="K205" t="s">
        <v>23</v>
      </c>
      <c r="L205" t="s">
        <v>34</v>
      </c>
      <c r="M205" t="s">
        <v>25</v>
      </c>
      <c r="O205" t="s">
        <v>26</v>
      </c>
      <c r="Q205" t="s">
        <v>29</v>
      </c>
      <c r="R205" t="s">
        <v>54</v>
      </c>
    </row>
    <row r="206" spans="1:18" x14ac:dyDescent="0.25">
      <c r="A206" t="s">
        <v>30</v>
      </c>
      <c r="B206">
        <v>225795</v>
      </c>
      <c r="C206" t="s">
        <v>20</v>
      </c>
      <c r="D206" t="s">
        <v>180</v>
      </c>
      <c r="E206" t="s">
        <v>45</v>
      </c>
      <c r="F206">
        <v>2</v>
      </c>
      <c r="G206" s="89">
        <v>44263</v>
      </c>
      <c r="H206">
        <v>44265</v>
      </c>
      <c r="I206">
        <v>44265</v>
      </c>
      <c r="K206" t="s">
        <v>23</v>
      </c>
      <c r="L206" t="s">
        <v>34</v>
      </c>
      <c r="M206" t="s">
        <v>25</v>
      </c>
      <c r="O206" t="s">
        <v>26</v>
      </c>
      <c r="Q206" t="s">
        <v>29</v>
      </c>
      <c r="R206" t="s">
        <v>54</v>
      </c>
    </row>
    <row r="207" spans="1:18" x14ac:dyDescent="0.25">
      <c r="A207" t="s">
        <v>40</v>
      </c>
      <c r="B207" t="s">
        <v>96</v>
      </c>
      <c r="C207" t="s">
        <v>31</v>
      </c>
      <c r="D207" t="s">
        <v>181</v>
      </c>
      <c r="E207" t="s">
        <v>182</v>
      </c>
      <c r="F207">
        <v>3</v>
      </c>
      <c r="G207" s="89">
        <v>44264</v>
      </c>
      <c r="H207">
        <v>44266</v>
      </c>
      <c r="I207">
        <v>44266</v>
      </c>
      <c r="K207" t="s">
        <v>23</v>
      </c>
      <c r="L207" t="s">
        <v>24</v>
      </c>
      <c r="M207" t="s">
        <v>25</v>
      </c>
      <c r="O207" t="s">
        <v>26</v>
      </c>
      <c r="Q207" t="s">
        <v>29</v>
      </c>
    </row>
    <row r="208" spans="1:18" x14ac:dyDescent="0.25">
      <c r="A208" t="s">
        <v>40</v>
      </c>
      <c r="B208">
        <v>226583</v>
      </c>
      <c r="C208" t="s">
        <v>20</v>
      </c>
      <c r="D208" t="s">
        <v>138</v>
      </c>
      <c r="E208" t="s">
        <v>35</v>
      </c>
      <c r="F208">
        <v>1</v>
      </c>
      <c r="G208" s="89">
        <v>44267</v>
      </c>
      <c r="H208">
        <v>44270</v>
      </c>
      <c r="I208">
        <v>44270</v>
      </c>
      <c r="J208" t="s">
        <v>183</v>
      </c>
      <c r="K208" t="s">
        <v>23</v>
      </c>
      <c r="L208" t="s">
        <v>24</v>
      </c>
      <c r="M208" t="s">
        <v>25</v>
      </c>
      <c r="O208" t="s">
        <v>26</v>
      </c>
      <c r="Q208" t="s">
        <v>29</v>
      </c>
      <c r="R208" t="s">
        <v>29</v>
      </c>
    </row>
    <row r="209" spans="1:18" x14ac:dyDescent="0.25">
      <c r="A209" t="s">
        <v>40</v>
      </c>
      <c r="B209">
        <v>226583</v>
      </c>
      <c r="C209" t="s">
        <v>20</v>
      </c>
      <c r="D209" t="s">
        <v>138</v>
      </c>
      <c r="E209" t="s">
        <v>35</v>
      </c>
      <c r="F209">
        <v>1</v>
      </c>
      <c r="G209" s="89">
        <v>44267</v>
      </c>
      <c r="H209">
        <v>44267</v>
      </c>
      <c r="I209">
        <v>44267</v>
      </c>
      <c r="J209" t="s">
        <v>184</v>
      </c>
      <c r="K209" t="s">
        <v>23</v>
      </c>
      <c r="L209" t="s">
        <v>24</v>
      </c>
      <c r="M209" t="s">
        <v>25</v>
      </c>
      <c r="O209" t="s">
        <v>26</v>
      </c>
      <c r="Q209" t="s">
        <v>29</v>
      </c>
      <c r="R209" t="s">
        <v>29</v>
      </c>
    </row>
    <row r="210" spans="1:18" x14ac:dyDescent="0.25">
      <c r="A210" t="s">
        <v>40</v>
      </c>
      <c r="B210">
        <v>226583</v>
      </c>
      <c r="C210" t="s">
        <v>20</v>
      </c>
      <c r="D210" t="s">
        <v>138</v>
      </c>
      <c r="E210" t="s">
        <v>35</v>
      </c>
      <c r="F210">
        <v>1</v>
      </c>
      <c r="G210" s="89">
        <v>44265</v>
      </c>
      <c r="H210">
        <v>44266</v>
      </c>
      <c r="I210">
        <v>44266</v>
      </c>
      <c r="K210" t="s">
        <v>23</v>
      </c>
      <c r="L210" t="s">
        <v>24</v>
      </c>
      <c r="M210" t="s">
        <v>25</v>
      </c>
      <c r="O210" t="s">
        <v>26</v>
      </c>
      <c r="Q210" t="s">
        <v>29</v>
      </c>
      <c r="R210" t="s">
        <v>29</v>
      </c>
    </row>
    <row r="211" spans="1:18" x14ac:dyDescent="0.25">
      <c r="A211" t="s">
        <v>40</v>
      </c>
      <c r="B211">
        <v>226583</v>
      </c>
      <c r="C211" t="s">
        <v>20</v>
      </c>
      <c r="D211" t="s">
        <v>138</v>
      </c>
      <c r="E211" t="s">
        <v>35</v>
      </c>
      <c r="F211">
        <v>1</v>
      </c>
      <c r="G211" s="89">
        <v>44267</v>
      </c>
      <c r="H211">
        <v>44270</v>
      </c>
      <c r="I211">
        <v>44272</v>
      </c>
      <c r="J211" t="s">
        <v>185</v>
      </c>
      <c r="K211" t="s">
        <v>23</v>
      </c>
      <c r="L211" t="s">
        <v>24</v>
      </c>
      <c r="M211" t="s">
        <v>25</v>
      </c>
      <c r="O211" t="s">
        <v>26</v>
      </c>
      <c r="Q211" t="s">
        <v>29</v>
      </c>
      <c r="R211" t="s">
        <v>29</v>
      </c>
    </row>
    <row r="212" spans="1:18" x14ac:dyDescent="0.25">
      <c r="A212" t="s">
        <v>40</v>
      </c>
      <c r="B212">
        <v>226583</v>
      </c>
      <c r="C212" t="s">
        <v>20</v>
      </c>
      <c r="D212" t="s">
        <v>138</v>
      </c>
      <c r="E212" t="s">
        <v>35</v>
      </c>
      <c r="F212">
        <v>1</v>
      </c>
      <c r="G212" s="89">
        <v>44277</v>
      </c>
      <c r="H212">
        <v>44277</v>
      </c>
      <c r="I212">
        <v>44277</v>
      </c>
      <c r="J212" t="s">
        <v>186</v>
      </c>
      <c r="K212" t="s">
        <v>23</v>
      </c>
      <c r="L212" t="s">
        <v>24</v>
      </c>
      <c r="M212" t="s">
        <v>25</v>
      </c>
      <c r="O212" t="s">
        <v>26</v>
      </c>
      <c r="Q212" t="s">
        <v>29</v>
      </c>
      <c r="R212" t="s">
        <v>29</v>
      </c>
    </row>
    <row r="213" spans="1:18" x14ac:dyDescent="0.25">
      <c r="A213" t="s">
        <v>40</v>
      </c>
      <c r="B213">
        <v>226583</v>
      </c>
      <c r="C213" t="s">
        <v>20</v>
      </c>
      <c r="D213" t="s">
        <v>138</v>
      </c>
      <c r="E213" t="s">
        <v>35</v>
      </c>
      <c r="F213">
        <v>1</v>
      </c>
      <c r="G213" s="89">
        <v>44279</v>
      </c>
      <c r="H213">
        <v>44279</v>
      </c>
      <c r="I213">
        <v>44279</v>
      </c>
      <c r="J213" t="s">
        <v>187</v>
      </c>
      <c r="K213" t="s">
        <v>23</v>
      </c>
      <c r="L213" t="s">
        <v>24</v>
      </c>
      <c r="M213" t="s">
        <v>25</v>
      </c>
      <c r="O213" t="s">
        <v>26</v>
      </c>
      <c r="Q213" t="s">
        <v>29</v>
      </c>
      <c r="R213" t="s">
        <v>29</v>
      </c>
    </row>
    <row r="214" spans="1:18" x14ac:dyDescent="0.25">
      <c r="A214" t="s">
        <v>40</v>
      </c>
      <c r="B214">
        <v>226583</v>
      </c>
      <c r="C214" t="s">
        <v>20</v>
      </c>
      <c r="D214" t="s">
        <v>138</v>
      </c>
      <c r="E214" t="s">
        <v>35</v>
      </c>
      <c r="F214">
        <v>2</v>
      </c>
      <c r="G214" s="89">
        <v>44281</v>
      </c>
      <c r="H214">
        <v>44281</v>
      </c>
      <c r="I214">
        <v>44281</v>
      </c>
      <c r="J214" t="s">
        <v>188</v>
      </c>
      <c r="K214" t="s">
        <v>23</v>
      </c>
      <c r="L214" t="s">
        <v>24</v>
      </c>
      <c r="M214" t="s">
        <v>25</v>
      </c>
      <c r="O214" t="s">
        <v>26</v>
      </c>
      <c r="Q214" t="s">
        <v>29</v>
      </c>
      <c r="R214" t="s">
        <v>29</v>
      </c>
    </row>
    <row r="215" spans="1:18" x14ac:dyDescent="0.25">
      <c r="A215" t="s">
        <v>40</v>
      </c>
      <c r="B215">
        <v>226583</v>
      </c>
      <c r="C215" t="s">
        <v>20</v>
      </c>
      <c r="D215" t="s">
        <v>138</v>
      </c>
      <c r="E215" t="s">
        <v>35</v>
      </c>
      <c r="F215">
        <v>2</v>
      </c>
      <c r="G215" s="89">
        <v>44284</v>
      </c>
      <c r="H215">
        <v>44284</v>
      </c>
      <c r="I215">
        <v>44284</v>
      </c>
      <c r="J215" t="s">
        <v>189</v>
      </c>
      <c r="K215" t="s">
        <v>23</v>
      </c>
      <c r="L215" t="s">
        <v>24</v>
      </c>
      <c r="M215" t="s">
        <v>25</v>
      </c>
      <c r="O215" t="s">
        <v>26</v>
      </c>
      <c r="Q215" t="s">
        <v>29</v>
      </c>
      <c r="R215" t="s">
        <v>29</v>
      </c>
    </row>
    <row r="216" spans="1:18" x14ac:dyDescent="0.25">
      <c r="A216" t="s">
        <v>40</v>
      </c>
      <c r="B216">
        <v>226583</v>
      </c>
      <c r="C216" t="s">
        <v>20</v>
      </c>
      <c r="D216" t="s">
        <v>138</v>
      </c>
      <c r="E216" t="s">
        <v>35</v>
      </c>
      <c r="F216">
        <v>1</v>
      </c>
      <c r="G216" s="89">
        <v>44285</v>
      </c>
      <c r="H216">
        <v>44285</v>
      </c>
      <c r="I216">
        <v>44285</v>
      </c>
      <c r="J216" t="s">
        <v>190</v>
      </c>
      <c r="K216" t="s">
        <v>23</v>
      </c>
      <c r="L216" t="s">
        <v>24</v>
      </c>
      <c r="M216" t="s">
        <v>25</v>
      </c>
      <c r="O216" t="s">
        <v>26</v>
      </c>
      <c r="Q216" t="s">
        <v>29</v>
      </c>
      <c r="R216" t="s">
        <v>29</v>
      </c>
    </row>
    <row r="217" spans="1:18" x14ac:dyDescent="0.25">
      <c r="A217" t="s">
        <v>40</v>
      </c>
      <c r="B217" t="s">
        <v>96</v>
      </c>
      <c r="C217" t="s">
        <v>31</v>
      </c>
      <c r="D217" t="s">
        <v>191</v>
      </c>
      <c r="E217" t="s">
        <v>182</v>
      </c>
      <c r="F217">
        <v>1</v>
      </c>
      <c r="G217" s="89">
        <v>44477</v>
      </c>
      <c r="H217">
        <v>44265</v>
      </c>
      <c r="I217">
        <v>44265</v>
      </c>
      <c r="K217" t="s">
        <v>23</v>
      </c>
      <c r="L217" t="s">
        <v>34</v>
      </c>
      <c r="M217" t="s">
        <v>25</v>
      </c>
      <c r="O217" t="s">
        <v>26</v>
      </c>
      <c r="Q217" t="s">
        <v>54</v>
      </c>
      <c r="R217" t="s">
        <v>54</v>
      </c>
    </row>
    <row r="218" spans="1:18" x14ac:dyDescent="0.25">
      <c r="A218" t="s">
        <v>40</v>
      </c>
      <c r="B218" t="s">
        <v>96</v>
      </c>
      <c r="C218" t="s">
        <v>31</v>
      </c>
      <c r="D218" t="s">
        <v>192</v>
      </c>
      <c r="E218" t="s">
        <v>182</v>
      </c>
      <c r="F218">
        <v>1</v>
      </c>
      <c r="G218" s="89">
        <v>44477</v>
      </c>
      <c r="H218">
        <v>44265</v>
      </c>
      <c r="I218">
        <v>44265</v>
      </c>
      <c r="K218" t="s">
        <v>23</v>
      </c>
      <c r="L218" t="s">
        <v>34</v>
      </c>
      <c r="M218" t="s">
        <v>25</v>
      </c>
      <c r="O218" t="s">
        <v>26</v>
      </c>
      <c r="Q218" t="s">
        <v>54</v>
      </c>
      <c r="R218" t="s">
        <v>54</v>
      </c>
    </row>
    <row r="219" spans="1:18" x14ac:dyDescent="0.25">
      <c r="A219" t="s">
        <v>71</v>
      </c>
      <c r="B219">
        <v>223889</v>
      </c>
      <c r="C219" t="s">
        <v>31</v>
      </c>
      <c r="D219" t="s">
        <v>193</v>
      </c>
      <c r="E219" t="s">
        <v>44</v>
      </c>
      <c r="F219">
        <v>1</v>
      </c>
      <c r="G219" s="89">
        <v>44253</v>
      </c>
      <c r="H219">
        <v>44271</v>
      </c>
      <c r="I219">
        <v>44273</v>
      </c>
      <c r="K219" t="s">
        <v>23</v>
      </c>
      <c r="L219" t="s">
        <v>34</v>
      </c>
      <c r="M219" t="s">
        <v>25</v>
      </c>
      <c r="O219" t="s">
        <v>26</v>
      </c>
      <c r="Q219" t="s">
        <v>29</v>
      </c>
    </row>
    <row r="220" spans="1:18" x14ac:dyDescent="0.25">
      <c r="A220" t="s">
        <v>30</v>
      </c>
      <c r="B220">
        <v>226373</v>
      </c>
      <c r="C220" t="s">
        <v>20</v>
      </c>
      <c r="D220" t="s">
        <v>194</v>
      </c>
      <c r="E220" t="s">
        <v>73</v>
      </c>
      <c r="F220">
        <v>1</v>
      </c>
      <c r="G220" s="89">
        <v>44265</v>
      </c>
      <c r="H220">
        <v>44267</v>
      </c>
      <c r="K220" t="s">
        <v>23</v>
      </c>
      <c r="L220" t="s">
        <v>58</v>
      </c>
      <c r="M220" t="s">
        <v>25</v>
      </c>
      <c r="O220" t="s">
        <v>26</v>
      </c>
      <c r="Q220" t="s">
        <v>29</v>
      </c>
      <c r="R220" t="s">
        <v>54</v>
      </c>
    </row>
    <row r="221" spans="1:18" x14ac:dyDescent="0.25">
      <c r="A221" t="s">
        <v>145</v>
      </c>
      <c r="B221">
        <v>226745</v>
      </c>
      <c r="C221" t="s">
        <v>20</v>
      </c>
      <c r="D221" t="s">
        <v>195</v>
      </c>
      <c r="E221" t="s">
        <v>35</v>
      </c>
      <c r="F221">
        <v>1</v>
      </c>
      <c r="G221" s="89">
        <v>44266</v>
      </c>
      <c r="H221">
        <v>44270</v>
      </c>
      <c r="K221" t="s">
        <v>23</v>
      </c>
      <c r="L221" t="s">
        <v>34</v>
      </c>
      <c r="M221" t="s">
        <v>25</v>
      </c>
      <c r="O221" t="s">
        <v>26</v>
      </c>
      <c r="Q221" t="s">
        <v>29</v>
      </c>
      <c r="R221" t="s">
        <v>54</v>
      </c>
    </row>
    <row r="222" spans="1:18" x14ac:dyDescent="0.25">
      <c r="A222" t="s">
        <v>145</v>
      </c>
      <c r="B222">
        <v>226745</v>
      </c>
      <c r="C222" t="s">
        <v>20</v>
      </c>
      <c r="D222" t="s">
        <v>195</v>
      </c>
      <c r="E222" t="s">
        <v>33</v>
      </c>
      <c r="F222">
        <v>1</v>
      </c>
      <c r="G222" s="89">
        <v>44266</v>
      </c>
      <c r="H222">
        <v>44270</v>
      </c>
      <c r="K222" t="s">
        <v>23</v>
      </c>
      <c r="L222" t="s">
        <v>34</v>
      </c>
      <c r="M222" t="s">
        <v>25</v>
      </c>
      <c r="O222" t="s">
        <v>26</v>
      </c>
      <c r="Q222" t="s">
        <v>29</v>
      </c>
      <c r="R222" t="s">
        <v>54</v>
      </c>
    </row>
    <row r="223" spans="1:18" x14ac:dyDescent="0.25">
      <c r="A223" t="s">
        <v>145</v>
      </c>
      <c r="B223">
        <v>226745</v>
      </c>
      <c r="C223" t="s">
        <v>20</v>
      </c>
      <c r="D223" t="s">
        <v>195</v>
      </c>
      <c r="E223" t="s">
        <v>93</v>
      </c>
      <c r="F223">
        <v>1</v>
      </c>
      <c r="G223" s="89">
        <v>44266</v>
      </c>
      <c r="H223">
        <v>44270</v>
      </c>
      <c r="K223" t="s">
        <v>23</v>
      </c>
      <c r="L223" t="s">
        <v>34</v>
      </c>
      <c r="M223" t="s">
        <v>25</v>
      </c>
      <c r="O223" t="s">
        <v>26</v>
      </c>
      <c r="Q223" t="s">
        <v>29</v>
      </c>
      <c r="R223" t="s">
        <v>54</v>
      </c>
    </row>
    <row r="224" spans="1:18" x14ac:dyDescent="0.25">
      <c r="A224" t="s">
        <v>19</v>
      </c>
      <c r="B224">
        <v>226949</v>
      </c>
      <c r="C224" t="s">
        <v>20</v>
      </c>
      <c r="D224" t="s">
        <v>196</v>
      </c>
      <c r="E224" t="s">
        <v>35</v>
      </c>
      <c r="F224">
        <v>2</v>
      </c>
      <c r="G224" s="89">
        <v>44266</v>
      </c>
      <c r="H224">
        <v>44267</v>
      </c>
      <c r="I224">
        <v>44271</v>
      </c>
      <c r="K224" t="s">
        <v>23</v>
      </c>
      <c r="L224" t="s">
        <v>34</v>
      </c>
      <c r="M224" t="s">
        <v>25</v>
      </c>
      <c r="N224">
        <v>1</v>
      </c>
      <c r="O224" t="s">
        <v>26</v>
      </c>
      <c r="P224" t="s">
        <v>26</v>
      </c>
      <c r="Q224" t="s">
        <v>29</v>
      </c>
      <c r="R224" t="s">
        <v>54</v>
      </c>
    </row>
    <row r="225" spans="1:18" x14ac:dyDescent="0.25">
      <c r="A225" t="s">
        <v>19</v>
      </c>
      <c r="B225">
        <v>226949</v>
      </c>
      <c r="C225" t="s">
        <v>20</v>
      </c>
      <c r="D225" t="s">
        <v>196</v>
      </c>
      <c r="E225" t="s">
        <v>36</v>
      </c>
      <c r="F225">
        <v>4</v>
      </c>
      <c r="G225" s="89">
        <v>44266</v>
      </c>
      <c r="H225">
        <v>44267</v>
      </c>
      <c r="I225">
        <v>44271</v>
      </c>
      <c r="K225" t="s">
        <v>23</v>
      </c>
      <c r="L225" t="s">
        <v>34</v>
      </c>
      <c r="M225" t="s">
        <v>25</v>
      </c>
      <c r="N225">
        <v>1</v>
      </c>
      <c r="O225" t="s">
        <v>26</v>
      </c>
      <c r="P225" t="s">
        <v>26</v>
      </c>
      <c r="Q225" t="s">
        <v>29</v>
      </c>
      <c r="R225" t="s">
        <v>54</v>
      </c>
    </row>
    <row r="226" spans="1:18" x14ac:dyDescent="0.25">
      <c r="A226" t="s">
        <v>19</v>
      </c>
      <c r="B226">
        <v>226949</v>
      </c>
      <c r="C226" t="s">
        <v>20</v>
      </c>
      <c r="D226" t="s">
        <v>196</v>
      </c>
      <c r="E226" t="s">
        <v>33</v>
      </c>
      <c r="F226">
        <v>1</v>
      </c>
      <c r="G226" s="89">
        <v>44266</v>
      </c>
      <c r="H226">
        <v>44267</v>
      </c>
      <c r="I226">
        <v>44271</v>
      </c>
      <c r="K226" t="s">
        <v>23</v>
      </c>
      <c r="L226" t="s">
        <v>34</v>
      </c>
      <c r="M226" t="s">
        <v>25</v>
      </c>
      <c r="O226" t="s">
        <v>26</v>
      </c>
      <c r="P226" t="s">
        <v>26</v>
      </c>
      <c r="Q226" t="s">
        <v>29</v>
      </c>
      <c r="R226" t="s">
        <v>54</v>
      </c>
    </row>
    <row r="227" spans="1:18" x14ac:dyDescent="0.25">
      <c r="A227" t="s">
        <v>19</v>
      </c>
      <c r="B227">
        <v>226949</v>
      </c>
      <c r="C227" t="s">
        <v>20</v>
      </c>
      <c r="D227" t="s">
        <v>196</v>
      </c>
      <c r="E227" t="s">
        <v>94</v>
      </c>
      <c r="F227">
        <v>1</v>
      </c>
      <c r="G227" s="89">
        <v>44266</v>
      </c>
      <c r="H227">
        <v>44267</v>
      </c>
      <c r="I227">
        <v>44271</v>
      </c>
      <c r="K227" t="s">
        <v>23</v>
      </c>
      <c r="L227" t="s">
        <v>34</v>
      </c>
      <c r="M227" t="s">
        <v>25</v>
      </c>
      <c r="N227">
        <v>1</v>
      </c>
      <c r="O227" t="s">
        <v>26</v>
      </c>
      <c r="P227" t="s">
        <v>26</v>
      </c>
      <c r="Q227" t="s">
        <v>29</v>
      </c>
      <c r="R227" t="s">
        <v>54</v>
      </c>
    </row>
    <row r="228" spans="1:18" x14ac:dyDescent="0.25">
      <c r="A228" t="s">
        <v>19</v>
      </c>
      <c r="B228">
        <v>226949</v>
      </c>
      <c r="C228" t="s">
        <v>20</v>
      </c>
      <c r="D228" t="s">
        <v>196</v>
      </c>
      <c r="E228" t="s">
        <v>49</v>
      </c>
      <c r="F228">
        <v>1</v>
      </c>
      <c r="G228" s="89">
        <v>44266</v>
      </c>
      <c r="H228">
        <v>44267</v>
      </c>
      <c r="I228">
        <v>44271</v>
      </c>
      <c r="K228" t="s">
        <v>23</v>
      </c>
      <c r="L228" t="s">
        <v>34</v>
      </c>
      <c r="M228" t="s">
        <v>25</v>
      </c>
      <c r="N228">
        <v>1</v>
      </c>
      <c r="O228" t="s">
        <v>26</v>
      </c>
      <c r="P228" t="s">
        <v>26</v>
      </c>
      <c r="Q228" t="s">
        <v>29</v>
      </c>
      <c r="R228" t="s">
        <v>54</v>
      </c>
    </row>
    <row r="229" spans="1:18" x14ac:dyDescent="0.25">
      <c r="A229" t="s">
        <v>37</v>
      </c>
      <c r="B229">
        <v>226995</v>
      </c>
      <c r="C229" t="s">
        <v>20</v>
      </c>
      <c r="D229" t="s">
        <v>197</v>
      </c>
      <c r="E229" t="s">
        <v>198</v>
      </c>
      <c r="F229">
        <v>1</v>
      </c>
      <c r="G229" s="89">
        <v>44267</v>
      </c>
      <c r="H229">
        <v>44270</v>
      </c>
      <c r="I229">
        <v>44271</v>
      </c>
      <c r="K229" t="s">
        <v>23</v>
      </c>
      <c r="L229" t="s">
        <v>34</v>
      </c>
      <c r="M229" t="s">
        <v>25</v>
      </c>
      <c r="O229" t="s">
        <v>26</v>
      </c>
      <c r="Q229" t="s">
        <v>54</v>
      </c>
    </row>
    <row r="230" spans="1:18" x14ac:dyDescent="0.25">
      <c r="A230" t="s">
        <v>37</v>
      </c>
      <c r="B230">
        <v>227227</v>
      </c>
      <c r="C230" t="s">
        <v>20</v>
      </c>
      <c r="D230" t="s">
        <v>199</v>
      </c>
      <c r="E230" t="s">
        <v>198</v>
      </c>
      <c r="F230">
        <v>1</v>
      </c>
      <c r="G230" s="89">
        <v>44267</v>
      </c>
      <c r="H230">
        <v>44271</v>
      </c>
      <c r="I230">
        <v>44277</v>
      </c>
      <c r="K230" t="s">
        <v>23</v>
      </c>
      <c r="L230" t="s">
        <v>34</v>
      </c>
      <c r="M230" t="s">
        <v>25</v>
      </c>
      <c r="N230">
        <v>1</v>
      </c>
      <c r="O230" t="s">
        <v>26</v>
      </c>
      <c r="P230" t="s">
        <v>26</v>
      </c>
      <c r="Q230" t="s">
        <v>54</v>
      </c>
    </row>
    <row r="231" spans="1:18" x14ac:dyDescent="0.25">
      <c r="A231" t="s">
        <v>68</v>
      </c>
      <c r="B231">
        <v>227517</v>
      </c>
      <c r="C231" t="s">
        <v>31</v>
      </c>
      <c r="D231" t="s">
        <v>200</v>
      </c>
      <c r="E231" t="s">
        <v>106</v>
      </c>
      <c r="F231">
        <v>1</v>
      </c>
      <c r="G231" s="89">
        <v>44270</v>
      </c>
      <c r="H231">
        <v>44280</v>
      </c>
      <c r="I231">
        <v>44280</v>
      </c>
      <c r="J231" t="s">
        <v>201</v>
      </c>
      <c r="K231" t="s">
        <v>23</v>
      </c>
      <c r="L231" t="s">
        <v>42</v>
      </c>
      <c r="M231" t="s">
        <v>25</v>
      </c>
      <c r="O231" t="s">
        <v>27</v>
      </c>
      <c r="Q231" t="s">
        <v>28</v>
      </c>
    </row>
    <row r="232" spans="1:18" x14ac:dyDescent="0.25">
      <c r="A232" t="s">
        <v>68</v>
      </c>
      <c r="B232">
        <v>227517</v>
      </c>
      <c r="C232" t="s">
        <v>31</v>
      </c>
      <c r="D232" t="s">
        <v>200</v>
      </c>
      <c r="E232" t="s">
        <v>106</v>
      </c>
      <c r="F232">
        <v>1</v>
      </c>
      <c r="G232" s="89">
        <v>44270</v>
      </c>
      <c r="H232">
        <v>44280</v>
      </c>
      <c r="I232">
        <v>44280</v>
      </c>
      <c r="J232" t="s">
        <v>202</v>
      </c>
      <c r="K232" t="s">
        <v>23</v>
      </c>
      <c r="L232" t="s">
        <v>42</v>
      </c>
      <c r="M232" t="s">
        <v>25</v>
      </c>
      <c r="O232" t="s">
        <v>27</v>
      </c>
      <c r="Q232" t="s">
        <v>28</v>
      </c>
    </row>
    <row r="233" spans="1:18" x14ac:dyDescent="0.25">
      <c r="A233" t="s">
        <v>129</v>
      </c>
      <c r="B233">
        <v>227893</v>
      </c>
      <c r="C233" t="s">
        <v>31</v>
      </c>
      <c r="D233" t="s">
        <v>203</v>
      </c>
      <c r="E233" t="s">
        <v>80</v>
      </c>
      <c r="F233">
        <v>8</v>
      </c>
      <c r="G233" s="89">
        <v>44271</v>
      </c>
      <c r="H233">
        <v>44274</v>
      </c>
      <c r="K233" t="s">
        <v>23</v>
      </c>
      <c r="L233" t="s">
        <v>58</v>
      </c>
      <c r="M233" t="s">
        <v>25</v>
      </c>
      <c r="O233" t="s">
        <v>26</v>
      </c>
      <c r="Q233" t="s">
        <v>29</v>
      </c>
      <c r="R233" t="s">
        <v>29</v>
      </c>
    </row>
    <row r="234" spans="1:18" x14ac:dyDescent="0.25">
      <c r="A234" t="s">
        <v>40</v>
      </c>
      <c r="B234" t="s">
        <v>96</v>
      </c>
      <c r="C234" t="s">
        <v>20</v>
      </c>
      <c r="D234" t="s">
        <v>204</v>
      </c>
      <c r="E234" t="s">
        <v>76</v>
      </c>
      <c r="F234">
        <v>1</v>
      </c>
      <c r="G234" s="89">
        <v>44274</v>
      </c>
      <c r="H234">
        <v>44277</v>
      </c>
      <c r="I234">
        <v>44274</v>
      </c>
      <c r="K234" t="s">
        <v>23</v>
      </c>
      <c r="L234" t="s">
        <v>34</v>
      </c>
      <c r="M234" t="s">
        <v>80</v>
      </c>
      <c r="O234" t="s">
        <v>27</v>
      </c>
      <c r="Q234" t="s">
        <v>54</v>
      </c>
      <c r="R234" t="s">
        <v>54</v>
      </c>
    </row>
    <row r="235" spans="1:18" x14ac:dyDescent="0.25">
      <c r="A235" t="s">
        <v>40</v>
      </c>
      <c r="B235" t="s">
        <v>96</v>
      </c>
      <c r="C235" t="s">
        <v>20</v>
      </c>
      <c r="D235" t="s">
        <v>204</v>
      </c>
      <c r="E235" t="s">
        <v>94</v>
      </c>
      <c r="F235">
        <v>1</v>
      </c>
      <c r="G235" s="89">
        <v>44274</v>
      </c>
      <c r="H235">
        <v>44277</v>
      </c>
      <c r="I235">
        <v>44274</v>
      </c>
      <c r="K235" t="s">
        <v>23</v>
      </c>
      <c r="L235" t="s">
        <v>34</v>
      </c>
      <c r="M235" t="s">
        <v>80</v>
      </c>
      <c r="O235" t="s">
        <v>27</v>
      </c>
      <c r="Q235" t="s">
        <v>54</v>
      </c>
      <c r="R235" t="s">
        <v>54</v>
      </c>
    </row>
    <row r="236" spans="1:18" x14ac:dyDescent="0.25">
      <c r="A236" t="s">
        <v>37</v>
      </c>
      <c r="B236">
        <v>229693</v>
      </c>
      <c r="C236" t="s">
        <v>20</v>
      </c>
      <c r="D236" t="s">
        <v>205</v>
      </c>
      <c r="E236" t="s">
        <v>35</v>
      </c>
      <c r="F236">
        <v>2</v>
      </c>
      <c r="G236" s="89">
        <v>44279</v>
      </c>
      <c r="H236">
        <v>44286</v>
      </c>
      <c r="I236">
        <v>44286</v>
      </c>
      <c r="K236" t="s">
        <v>23</v>
      </c>
      <c r="L236" t="s">
        <v>42</v>
      </c>
      <c r="M236" t="s">
        <v>25</v>
      </c>
      <c r="O236" t="s">
        <v>26</v>
      </c>
      <c r="Q236" t="s">
        <v>29</v>
      </c>
    </row>
    <row r="237" spans="1:18" x14ac:dyDescent="0.25">
      <c r="A237" t="s">
        <v>37</v>
      </c>
      <c r="B237">
        <v>229693</v>
      </c>
      <c r="C237" t="s">
        <v>20</v>
      </c>
      <c r="D237" t="s">
        <v>205</v>
      </c>
      <c r="E237" t="s">
        <v>33</v>
      </c>
      <c r="F237">
        <v>2</v>
      </c>
      <c r="G237" s="89">
        <v>44279</v>
      </c>
      <c r="H237">
        <v>44286</v>
      </c>
      <c r="I237">
        <v>44286</v>
      </c>
      <c r="K237" t="s">
        <v>23</v>
      </c>
      <c r="L237" t="s">
        <v>42</v>
      </c>
      <c r="M237" t="s">
        <v>25</v>
      </c>
      <c r="O237" t="s">
        <v>26</v>
      </c>
      <c r="Q237" t="s">
        <v>29</v>
      </c>
    </row>
    <row r="238" spans="1:18" x14ac:dyDescent="0.25">
      <c r="A238" t="s">
        <v>30</v>
      </c>
      <c r="B238">
        <v>228655</v>
      </c>
      <c r="C238" t="s">
        <v>64</v>
      </c>
      <c r="D238" t="s">
        <v>206</v>
      </c>
      <c r="E238" t="s">
        <v>80</v>
      </c>
      <c r="F238">
        <v>4</v>
      </c>
      <c r="G238" s="89">
        <v>44274</v>
      </c>
      <c r="H238">
        <v>44280</v>
      </c>
      <c r="K238" t="s">
        <v>23</v>
      </c>
      <c r="L238" t="s">
        <v>58</v>
      </c>
      <c r="M238" t="s">
        <v>80</v>
      </c>
      <c r="O238" t="s">
        <v>26</v>
      </c>
      <c r="Q238" t="s">
        <v>29</v>
      </c>
      <c r="R238" t="s">
        <v>54</v>
      </c>
    </row>
    <row r="239" spans="1:18" x14ac:dyDescent="0.25">
      <c r="A239" t="s">
        <v>30</v>
      </c>
      <c r="B239">
        <v>228655</v>
      </c>
      <c r="C239" t="s">
        <v>64</v>
      </c>
      <c r="D239" t="s">
        <v>206</v>
      </c>
      <c r="E239" t="s">
        <v>93</v>
      </c>
      <c r="F239">
        <v>1</v>
      </c>
      <c r="G239" s="89">
        <v>44274</v>
      </c>
      <c r="H239">
        <v>44280</v>
      </c>
      <c r="K239" t="s">
        <v>23</v>
      </c>
      <c r="L239" t="s">
        <v>58</v>
      </c>
      <c r="M239" t="s">
        <v>25</v>
      </c>
      <c r="O239" t="s">
        <v>26</v>
      </c>
      <c r="Q239" t="s">
        <v>29</v>
      </c>
      <c r="R239" t="s">
        <v>54</v>
      </c>
    </row>
    <row r="240" spans="1:18" x14ac:dyDescent="0.25">
      <c r="A240" t="s">
        <v>113</v>
      </c>
      <c r="B240">
        <v>229235</v>
      </c>
      <c r="C240" t="s">
        <v>31</v>
      </c>
      <c r="D240" t="s">
        <v>207</v>
      </c>
      <c r="E240" t="s">
        <v>73</v>
      </c>
      <c r="F240">
        <v>1</v>
      </c>
      <c r="G240" s="89">
        <v>44278</v>
      </c>
      <c r="H240">
        <v>44280</v>
      </c>
      <c r="I240">
        <v>44280</v>
      </c>
      <c r="K240" t="s">
        <v>23</v>
      </c>
      <c r="L240" t="s">
        <v>58</v>
      </c>
      <c r="M240" t="s">
        <v>25</v>
      </c>
      <c r="O240" t="s">
        <v>26</v>
      </c>
      <c r="Q240" t="s">
        <v>29</v>
      </c>
    </row>
    <row r="241" spans="1:18" x14ac:dyDescent="0.25">
      <c r="A241" t="s">
        <v>40</v>
      </c>
      <c r="B241" t="s">
        <v>96</v>
      </c>
      <c r="C241" t="s">
        <v>31</v>
      </c>
      <c r="D241" t="s">
        <v>208</v>
      </c>
      <c r="E241" t="s">
        <v>106</v>
      </c>
      <c r="F241">
        <v>1</v>
      </c>
      <c r="G241" s="89">
        <v>44265</v>
      </c>
      <c r="H241">
        <v>44275</v>
      </c>
      <c r="I241">
        <v>44270</v>
      </c>
      <c r="K241" t="s">
        <v>23</v>
      </c>
      <c r="L241" t="s">
        <v>42</v>
      </c>
      <c r="M241" t="s">
        <v>161</v>
      </c>
      <c r="N241">
        <v>2</v>
      </c>
      <c r="O241" t="s">
        <v>27</v>
      </c>
    </row>
    <row r="242" spans="1:18" x14ac:dyDescent="0.25">
      <c r="A242" t="s">
        <v>40</v>
      </c>
      <c r="B242" t="s">
        <v>96</v>
      </c>
      <c r="C242" t="s">
        <v>31</v>
      </c>
      <c r="D242" t="s">
        <v>208</v>
      </c>
      <c r="E242" t="s">
        <v>43</v>
      </c>
      <c r="F242">
        <v>3</v>
      </c>
      <c r="G242" s="89">
        <v>44265</v>
      </c>
      <c r="H242">
        <v>44275</v>
      </c>
      <c r="I242">
        <v>44270</v>
      </c>
      <c r="K242" t="s">
        <v>23</v>
      </c>
      <c r="L242" t="s">
        <v>42</v>
      </c>
      <c r="M242" t="s">
        <v>161</v>
      </c>
      <c r="N242">
        <v>2</v>
      </c>
      <c r="O242" t="s">
        <v>27</v>
      </c>
    </row>
    <row r="243" spans="1:18" x14ac:dyDescent="0.25">
      <c r="A243" t="s">
        <v>40</v>
      </c>
      <c r="B243" t="s">
        <v>96</v>
      </c>
      <c r="C243" t="s">
        <v>31</v>
      </c>
      <c r="D243" t="s">
        <v>208</v>
      </c>
      <c r="E243" t="s">
        <v>36</v>
      </c>
      <c r="F243">
        <v>3</v>
      </c>
      <c r="G243" s="89">
        <v>44265</v>
      </c>
      <c r="H243">
        <v>44275</v>
      </c>
      <c r="I243">
        <v>44270</v>
      </c>
      <c r="K243" t="s">
        <v>23</v>
      </c>
      <c r="L243" t="s">
        <v>42</v>
      </c>
      <c r="M243" t="s">
        <v>161</v>
      </c>
      <c r="N243">
        <v>2</v>
      </c>
      <c r="O243" t="s">
        <v>27</v>
      </c>
    </row>
    <row r="244" spans="1:18" x14ac:dyDescent="0.25">
      <c r="A244" t="s">
        <v>40</v>
      </c>
      <c r="B244" t="s">
        <v>96</v>
      </c>
      <c r="C244" t="s">
        <v>31</v>
      </c>
      <c r="D244" t="s">
        <v>208</v>
      </c>
      <c r="E244" t="s">
        <v>35</v>
      </c>
      <c r="F244">
        <v>1</v>
      </c>
      <c r="G244" s="89">
        <v>44265</v>
      </c>
      <c r="H244">
        <v>44275</v>
      </c>
      <c r="I244">
        <v>44270</v>
      </c>
      <c r="K244" t="s">
        <v>23</v>
      </c>
      <c r="L244" t="s">
        <v>42</v>
      </c>
      <c r="M244" t="s">
        <v>161</v>
      </c>
      <c r="N244">
        <v>2</v>
      </c>
      <c r="O244" t="s">
        <v>27</v>
      </c>
    </row>
    <row r="245" spans="1:18" x14ac:dyDescent="0.25">
      <c r="A245" t="s">
        <v>40</v>
      </c>
      <c r="B245" t="s">
        <v>96</v>
      </c>
      <c r="C245" t="s">
        <v>31</v>
      </c>
      <c r="D245" t="s">
        <v>208</v>
      </c>
      <c r="E245" t="s">
        <v>49</v>
      </c>
      <c r="F245">
        <v>1</v>
      </c>
      <c r="G245" s="89">
        <v>44265</v>
      </c>
      <c r="H245">
        <v>44275</v>
      </c>
      <c r="I245">
        <v>44270</v>
      </c>
      <c r="K245" t="s">
        <v>23</v>
      </c>
      <c r="L245" t="s">
        <v>42</v>
      </c>
      <c r="M245" t="s">
        <v>161</v>
      </c>
      <c r="N245">
        <v>2</v>
      </c>
      <c r="O245" t="s">
        <v>27</v>
      </c>
    </row>
    <row r="246" spans="1:18" x14ac:dyDescent="0.25">
      <c r="A246" t="s">
        <v>40</v>
      </c>
      <c r="B246" t="s">
        <v>96</v>
      </c>
      <c r="C246" t="s">
        <v>31</v>
      </c>
      <c r="D246" t="s">
        <v>208</v>
      </c>
      <c r="E246" t="s">
        <v>33</v>
      </c>
      <c r="F246">
        <v>1</v>
      </c>
      <c r="G246" s="89">
        <v>44265</v>
      </c>
      <c r="H246">
        <v>44275</v>
      </c>
      <c r="I246">
        <v>44270</v>
      </c>
      <c r="K246" t="s">
        <v>23</v>
      </c>
      <c r="L246" t="s">
        <v>42</v>
      </c>
      <c r="M246" t="s">
        <v>161</v>
      </c>
      <c r="N246">
        <v>2</v>
      </c>
      <c r="O246" t="s">
        <v>27</v>
      </c>
    </row>
    <row r="247" spans="1:18" x14ac:dyDescent="0.25">
      <c r="A247" t="s">
        <v>40</v>
      </c>
      <c r="B247" t="s">
        <v>96</v>
      </c>
      <c r="C247" t="s">
        <v>31</v>
      </c>
      <c r="D247" t="s">
        <v>208</v>
      </c>
      <c r="E247" t="s">
        <v>44</v>
      </c>
      <c r="F247">
        <v>1</v>
      </c>
      <c r="G247" s="89">
        <v>44265</v>
      </c>
      <c r="H247">
        <v>44275</v>
      </c>
      <c r="I247">
        <v>44270</v>
      </c>
      <c r="K247" t="s">
        <v>23</v>
      </c>
      <c r="L247" t="s">
        <v>42</v>
      </c>
      <c r="M247" t="s">
        <v>161</v>
      </c>
      <c r="N247">
        <v>2</v>
      </c>
      <c r="O247" t="s">
        <v>27</v>
      </c>
    </row>
    <row r="248" spans="1:18" x14ac:dyDescent="0.25">
      <c r="A248" t="s">
        <v>40</v>
      </c>
      <c r="B248" t="s">
        <v>96</v>
      </c>
      <c r="C248" t="s">
        <v>31</v>
      </c>
      <c r="D248" t="s">
        <v>208</v>
      </c>
      <c r="E248" t="s">
        <v>67</v>
      </c>
      <c r="F248">
        <v>1</v>
      </c>
      <c r="G248" s="89">
        <v>44265</v>
      </c>
      <c r="H248">
        <v>44275</v>
      </c>
      <c r="I248">
        <v>44270</v>
      </c>
      <c r="K248" t="s">
        <v>23</v>
      </c>
      <c r="L248" t="s">
        <v>42</v>
      </c>
      <c r="M248" t="s">
        <v>161</v>
      </c>
      <c r="N248">
        <v>2</v>
      </c>
      <c r="O248" t="s">
        <v>27</v>
      </c>
    </row>
    <row r="249" spans="1:18" x14ac:dyDescent="0.25">
      <c r="A249" t="s">
        <v>40</v>
      </c>
      <c r="B249" t="s">
        <v>96</v>
      </c>
      <c r="C249" t="s">
        <v>64</v>
      </c>
      <c r="D249" t="s">
        <v>209</v>
      </c>
      <c r="E249" t="s">
        <v>210</v>
      </c>
      <c r="F249">
        <v>7</v>
      </c>
      <c r="G249" s="89">
        <v>44272</v>
      </c>
      <c r="H249">
        <v>44284</v>
      </c>
      <c r="I249">
        <v>44284</v>
      </c>
      <c r="K249" t="s">
        <v>23</v>
      </c>
      <c r="L249" t="s">
        <v>42</v>
      </c>
      <c r="M249" t="s">
        <v>25</v>
      </c>
      <c r="N249">
        <v>2</v>
      </c>
      <c r="O249" t="s">
        <v>27</v>
      </c>
      <c r="Q249" t="s">
        <v>54</v>
      </c>
      <c r="R249" t="s">
        <v>54</v>
      </c>
    </row>
    <row r="250" spans="1:18" x14ac:dyDescent="0.25">
      <c r="A250" t="s">
        <v>40</v>
      </c>
      <c r="B250" t="s">
        <v>96</v>
      </c>
      <c r="C250" t="s">
        <v>64</v>
      </c>
      <c r="D250" t="s">
        <v>211</v>
      </c>
      <c r="E250" t="s">
        <v>67</v>
      </c>
      <c r="F250">
        <v>1</v>
      </c>
      <c r="G250" s="89">
        <v>44263</v>
      </c>
      <c r="H250">
        <v>44272</v>
      </c>
      <c r="I250">
        <v>44272</v>
      </c>
      <c r="K250" t="s">
        <v>23</v>
      </c>
      <c r="L250" t="s">
        <v>42</v>
      </c>
      <c r="M250" t="s">
        <v>25</v>
      </c>
      <c r="N250">
        <v>4</v>
      </c>
      <c r="O250" t="s">
        <v>27</v>
      </c>
      <c r="Q250" t="s">
        <v>54</v>
      </c>
      <c r="R250" t="s">
        <v>54</v>
      </c>
    </row>
    <row r="251" spans="1:18" x14ac:dyDescent="0.25">
      <c r="A251" t="s">
        <v>40</v>
      </c>
      <c r="B251" t="s">
        <v>96</v>
      </c>
      <c r="C251" t="s">
        <v>64</v>
      </c>
      <c r="D251" t="s">
        <v>211</v>
      </c>
      <c r="E251" t="s">
        <v>63</v>
      </c>
      <c r="F251">
        <v>3</v>
      </c>
      <c r="G251" s="89">
        <v>44263</v>
      </c>
      <c r="H251">
        <v>44272</v>
      </c>
      <c r="I251">
        <v>44272</v>
      </c>
      <c r="K251" t="s">
        <v>23</v>
      </c>
      <c r="L251" t="s">
        <v>42</v>
      </c>
      <c r="M251" t="s">
        <v>25</v>
      </c>
      <c r="N251">
        <v>0</v>
      </c>
      <c r="O251" t="s">
        <v>27</v>
      </c>
      <c r="Q251" t="s">
        <v>54</v>
      </c>
      <c r="R251" t="s">
        <v>54</v>
      </c>
    </row>
    <row r="252" spans="1:18" x14ac:dyDescent="0.25">
      <c r="A252" t="s">
        <v>40</v>
      </c>
      <c r="B252" t="s">
        <v>96</v>
      </c>
      <c r="C252" t="s">
        <v>64</v>
      </c>
      <c r="D252" t="s">
        <v>212</v>
      </c>
      <c r="E252" t="s">
        <v>210</v>
      </c>
      <c r="F252">
        <v>2</v>
      </c>
      <c r="G252" s="89">
        <v>44260</v>
      </c>
      <c r="H252">
        <v>44265</v>
      </c>
      <c r="I252">
        <v>44265</v>
      </c>
      <c r="K252" t="s">
        <v>23</v>
      </c>
      <c r="L252" t="s">
        <v>42</v>
      </c>
      <c r="M252" t="s">
        <v>25</v>
      </c>
      <c r="N252">
        <v>2</v>
      </c>
      <c r="O252" t="s">
        <v>27</v>
      </c>
      <c r="Q252" t="s">
        <v>54</v>
      </c>
      <c r="R252" t="s">
        <v>54</v>
      </c>
    </row>
    <row r="253" spans="1:18" x14ac:dyDescent="0.25">
      <c r="A253" t="s">
        <v>47</v>
      </c>
      <c r="B253">
        <v>214279</v>
      </c>
      <c r="C253" t="s">
        <v>31</v>
      </c>
      <c r="D253" t="s">
        <v>213</v>
      </c>
      <c r="E253" t="s">
        <v>35</v>
      </c>
      <c r="F253">
        <v>1</v>
      </c>
      <c r="G253" s="89">
        <v>44209</v>
      </c>
      <c r="H253">
        <v>44216</v>
      </c>
      <c r="I253">
        <v>44216</v>
      </c>
      <c r="K253" t="s">
        <v>214</v>
      </c>
      <c r="L253" t="s">
        <v>24</v>
      </c>
      <c r="M253" t="s">
        <v>25</v>
      </c>
      <c r="N253">
        <v>0</v>
      </c>
      <c r="O253" t="s">
        <v>26</v>
      </c>
      <c r="P253" t="s">
        <v>27</v>
      </c>
      <c r="Q253" t="s">
        <v>74</v>
      </c>
      <c r="R253" t="s">
        <v>74</v>
      </c>
    </row>
    <row r="254" spans="1:18" x14ac:dyDescent="0.25">
      <c r="A254" t="s">
        <v>47</v>
      </c>
      <c r="B254">
        <v>214279</v>
      </c>
      <c r="C254" t="s">
        <v>31</v>
      </c>
      <c r="D254" t="s">
        <v>213</v>
      </c>
      <c r="E254" t="s">
        <v>44</v>
      </c>
      <c r="F254">
        <v>1</v>
      </c>
      <c r="G254" s="89">
        <v>44209</v>
      </c>
      <c r="H254">
        <v>44216</v>
      </c>
      <c r="I254">
        <v>44216</v>
      </c>
      <c r="K254" t="s">
        <v>214</v>
      </c>
      <c r="L254" t="s">
        <v>24</v>
      </c>
      <c r="M254" t="s">
        <v>25</v>
      </c>
      <c r="N254">
        <v>2</v>
      </c>
      <c r="O254" t="s">
        <v>26</v>
      </c>
      <c r="P254" t="s">
        <v>27</v>
      </c>
      <c r="Q254" t="s">
        <v>74</v>
      </c>
      <c r="R254" t="s">
        <v>74</v>
      </c>
    </row>
    <row r="255" spans="1:18" x14ac:dyDescent="0.25">
      <c r="A255" t="s">
        <v>40</v>
      </c>
      <c r="B255">
        <v>215807</v>
      </c>
      <c r="C255" t="s">
        <v>31</v>
      </c>
      <c r="D255" t="s">
        <v>215</v>
      </c>
      <c r="E255" t="s">
        <v>62</v>
      </c>
      <c r="F255">
        <v>4</v>
      </c>
      <c r="G255" s="89">
        <v>44216</v>
      </c>
      <c r="H255">
        <v>44222</v>
      </c>
      <c r="K255" t="s">
        <v>216</v>
      </c>
      <c r="L255" t="s">
        <v>42</v>
      </c>
      <c r="M255" t="s">
        <v>25</v>
      </c>
      <c r="O255" t="s">
        <v>27</v>
      </c>
    </row>
    <row r="256" spans="1:18" x14ac:dyDescent="0.25">
      <c r="A256" t="s">
        <v>37</v>
      </c>
      <c r="B256">
        <v>216047</v>
      </c>
      <c r="C256" t="s">
        <v>31</v>
      </c>
      <c r="D256" t="s">
        <v>160</v>
      </c>
      <c r="E256" t="s">
        <v>217</v>
      </c>
      <c r="F256">
        <v>1</v>
      </c>
      <c r="G256" s="89">
        <v>44266</v>
      </c>
      <c r="H256">
        <v>44286</v>
      </c>
      <c r="K256" t="s">
        <v>218</v>
      </c>
      <c r="L256" t="s">
        <v>34</v>
      </c>
      <c r="M256" t="s">
        <v>161</v>
      </c>
      <c r="O256" t="s">
        <v>27</v>
      </c>
      <c r="P256" t="s">
        <v>27</v>
      </c>
      <c r="Q256" t="s">
        <v>29</v>
      </c>
    </row>
    <row r="257" spans="1:17" x14ac:dyDescent="0.25">
      <c r="A257" t="s">
        <v>37</v>
      </c>
      <c r="B257">
        <v>216047</v>
      </c>
      <c r="C257" t="s">
        <v>31</v>
      </c>
      <c r="D257" t="s">
        <v>160</v>
      </c>
      <c r="E257" t="s">
        <v>80</v>
      </c>
      <c r="F257">
        <v>1</v>
      </c>
      <c r="G257" s="89">
        <v>44266</v>
      </c>
      <c r="H257">
        <v>44286</v>
      </c>
      <c r="K257" t="s">
        <v>219</v>
      </c>
      <c r="L257" t="s">
        <v>34</v>
      </c>
      <c r="M257" t="s">
        <v>161</v>
      </c>
      <c r="O257" t="s">
        <v>27</v>
      </c>
      <c r="P257" t="s">
        <v>27</v>
      </c>
      <c r="Q257" t="s">
        <v>29</v>
      </c>
    </row>
    <row r="258" spans="1:17" x14ac:dyDescent="0.25">
      <c r="A258" t="s">
        <v>47</v>
      </c>
      <c r="B258">
        <v>226595</v>
      </c>
      <c r="C258" t="s">
        <v>31</v>
      </c>
      <c r="D258" t="s">
        <v>220</v>
      </c>
      <c r="E258" t="s">
        <v>35</v>
      </c>
      <c r="F258">
        <v>1</v>
      </c>
      <c r="G258" s="89">
        <v>44265</v>
      </c>
      <c r="H258">
        <v>44272</v>
      </c>
      <c r="I258">
        <v>44274</v>
      </c>
      <c r="K258" t="s">
        <v>214</v>
      </c>
      <c r="L258" t="s">
        <v>42</v>
      </c>
      <c r="M258" t="s">
        <v>25</v>
      </c>
      <c r="O258" t="s">
        <v>27</v>
      </c>
      <c r="Q258" t="s">
        <v>28</v>
      </c>
    </row>
    <row r="259" spans="1:17" x14ac:dyDescent="0.25">
      <c r="A259" t="s">
        <v>68</v>
      </c>
      <c r="B259">
        <v>227517</v>
      </c>
      <c r="C259" t="s">
        <v>31</v>
      </c>
      <c r="D259" t="s">
        <v>200</v>
      </c>
      <c r="E259" t="s">
        <v>33</v>
      </c>
      <c r="F259">
        <v>2</v>
      </c>
      <c r="G259" s="89">
        <v>44270</v>
      </c>
      <c r="H259">
        <v>44284</v>
      </c>
      <c r="I259">
        <v>44285</v>
      </c>
      <c r="J259" t="s">
        <v>221</v>
      </c>
      <c r="K259" t="s">
        <v>23</v>
      </c>
      <c r="L259" t="s">
        <v>34</v>
      </c>
      <c r="M259" t="s">
        <v>25</v>
      </c>
      <c r="O259" t="s">
        <v>27</v>
      </c>
      <c r="Q259" t="s">
        <v>28</v>
      </c>
    </row>
    <row r="260" spans="1:17" x14ac:dyDescent="0.25">
      <c r="A260" t="s">
        <v>68</v>
      </c>
      <c r="B260">
        <v>227517</v>
      </c>
      <c r="C260" t="s">
        <v>31</v>
      </c>
      <c r="D260" t="s">
        <v>200</v>
      </c>
      <c r="E260" t="s">
        <v>49</v>
      </c>
      <c r="F260">
        <v>2</v>
      </c>
      <c r="G260" s="89">
        <v>44270</v>
      </c>
      <c r="H260">
        <v>44284</v>
      </c>
      <c r="I260">
        <v>44285</v>
      </c>
      <c r="J260" t="s">
        <v>221</v>
      </c>
      <c r="K260" t="s">
        <v>23</v>
      </c>
      <c r="L260" t="s">
        <v>34</v>
      </c>
      <c r="M260" t="s">
        <v>25</v>
      </c>
      <c r="O260" t="s">
        <v>27</v>
      </c>
      <c r="Q260" t="s">
        <v>28</v>
      </c>
    </row>
    <row r="261" spans="1:17" x14ac:dyDescent="0.25">
      <c r="A261" t="s">
        <v>68</v>
      </c>
      <c r="B261">
        <v>227517</v>
      </c>
      <c r="C261" t="s">
        <v>31</v>
      </c>
      <c r="D261" t="s">
        <v>200</v>
      </c>
      <c r="E261" t="s">
        <v>35</v>
      </c>
      <c r="F261">
        <v>2</v>
      </c>
      <c r="G261" s="89">
        <v>44270</v>
      </c>
      <c r="H261">
        <v>44284</v>
      </c>
      <c r="I261">
        <v>44285</v>
      </c>
      <c r="J261" t="s">
        <v>221</v>
      </c>
      <c r="K261" t="s">
        <v>23</v>
      </c>
      <c r="L261" t="s">
        <v>34</v>
      </c>
      <c r="M261" t="s">
        <v>25</v>
      </c>
      <c r="O261" t="s">
        <v>27</v>
      </c>
      <c r="Q261" t="s">
        <v>28</v>
      </c>
    </row>
    <row r="262" spans="1:17" x14ac:dyDescent="0.25">
      <c r="A262" t="s">
        <v>68</v>
      </c>
      <c r="B262">
        <v>227517</v>
      </c>
      <c r="C262" t="s">
        <v>31</v>
      </c>
      <c r="D262" t="s">
        <v>200</v>
      </c>
      <c r="E262" t="s">
        <v>44</v>
      </c>
      <c r="F262">
        <v>2</v>
      </c>
      <c r="G262" s="89">
        <v>44270</v>
      </c>
      <c r="H262">
        <v>44284</v>
      </c>
      <c r="I262">
        <v>44285</v>
      </c>
      <c r="J262" t="s">
        <v>221</v>
      </c>
      <c r="K262" t="s">
        <v>23</v>
      </c>
      <c r="L262" t="s">
        <v>34</v>
      </c>
      <c r="M262" t="s">
        <v>25</v>
      </c>
      <c r="O262" t="s">
        <v>27</v>
      </c>
      <c r="Q262" t="s">
        <v>28</v>
      </c>
    </row>
    <row r="263" spans="1:17" x14ac:dyDescent="0.25">
      <c r="A263" t="s">
        <v>68</v>
      </c>
      <c r="B263">
        <v>227517</v>
      </c>
      <c r="C263" t="s">
        <v>31</v>
      </c>
      <c r="D263" t="s">
        <v>200</v>
      </c>
      <c r="E263" t="s">
        <v>36</v>
      </c>
      <c r="F263">
        <v>8</v>
      </c>
      <c r="G263" s="89">
        <v>44270</v>
      </c>
      <c r="H263">
        <v>44284</v>
      </c>
      <c r="I263">
        <v>44285</v>
      </c>
      <c r="J263" t="s">
        <v>221</v>
      </c>
      <c r="K263" t="s">
        <v>23</v>
      </c>
      <c r="L263" t="s">
        <v>34</v>
      </c>
      <c r="M263" t="s">
        <v>25</v>
      </c>
      <c r="O263" t="s">
        <v>27</v>
      </c>
      <c r="Q263" t="s">
        <v>28</v>
      </c>
    </row>
    <row r="264" spans="1:17" x14ac:dyDescent="0.25">
      <c r="A264" t="s">
        <v>30</v>
      </c>
      <c r="B264">
        <v>228546</v>
      </c>
      <c r="C264" t="s">
        <v>31</v>
      </c>
      <c r="D264" t="s">
        <v>222</v>
      </c>
      <c r="E264" t="s">
        <v>44</v>
      </c>
      <c r="F264">
        <v>2</v>
      </c>
      <c r="G264" s="89">
        <v>44273</v>
      </c>
      <c r="H264">
        <v>44279</v>
      </c>
      <c r="I264">
        <v>44279</v>
      </c>
      <c r="K264" t="s">
        <v>23</v>
      </c>
      <c r="L264" t="s">
        <v>58</v>
      </c>
      <c r="M264" t="s">
        <v>25</v>
      </c>
      <c r="O264" t="s">
        <v>26</v>
      </c>
      <c r="Q264" t="s">
        <v>29</v>
      </c>
    </row>
    <row r="265" spans="1:17" x14ac:dyDescent="0.25">
      <c r="A265" t="s">
        <v>30</v>
      </c>
      <c r="B265">
        <v>228546</v>
      </c>
      <c r="C265" t="s">
        <v>31</v>
      </c>
      <c r="D265" t="s">
        <v>222</v>
      </c>
      <c r="E265" t="s">
        <v>44</v>
      </c>
      <c r="F265">
        <v>2</v>
      </c>
      <c r="G265" s="89">
        <v>44273</v>
      </c>
      <c r="H265">
        <v>44279</v>
      </c>
      <c r="I265">
        <v>44279</v>
      </c>
      <c r="K265" t="s">
        <v>23</v>
      </c>
      <c r="L265" t="s">
        <v>34</v>
      </c>
      <c r="M265" t="s">
        <v>25</v>
      </c>
      <c r="O265" t="s">
        <v>26</v>
      </c>
      <c r="Q265" t="s">
        <v>29</v>
      </c>
    </row>
    <row r="266" spans="1:17" x14ac:dyDescent="0.25">
      <c r="A266" t="s">
        <v>47</v>
      </c>
      <c r="B266">
        <v>227888</v>
      </c>
      <c r="C266" t="s">
        <v>31</v>
      </c>
      <c r="D266" t="s">
        <v>223</v>
      </c>
      <c r="E266" t="s">
        <v>44</v>
      </c>
      <c r="F266">
        <v>1</v>
      </c>
      <c r="G266" s="89">
        <v>44271</v>
      </c>
      <c r="H266">
        <v>44291</v>
      </c>
      <c r="I266">
        <v>44291</v>
      </c>
      <c r="K266" t="s">
        <v>214</v>
      </c>
      <c r="L266" t="s">
        <v>34</v>
      </c>
      <c r="M266" t="s">
        <v>25</v>
      </c>
      <c r="O266" t="s">
        <v>26</v>
      </c>
      <c r="Q266" t="s">
        <v>28</v>
      </c>
    </row>
    <row r="267" spans="1:17" x14ac:dyDescent="0.25">
      <c r="A267" t="s">
        <v>47</v>
      </c>
      <c r="B267">
        <v>227888</v>
      </c>
      <c r="C267" t="s">
        <v>31</v>
      </c>
      <c r="D267" t="s">
        <v>223</v>
      </c>
      <c r="E267" t="s">
        <v>49</v>
      </c>
      <c r="F267">
        <v>1</v>
      </c>
      <c r="G267" s="89">
        <v>44271</v>
      </c>
      <c r="H267">
        <v>44291</v>
      </c>
      <c r="I267">
        <v>44291</v>
      </c>
      <c r="K267" t="s">
        <v>214</v>
      </c>
      <c r="L267" t="s">
        <v>34</v>
      </c>
      <c r="M267" t="s">
        <v>25</v>
      </c>
      <c r="O267" t="s">
        <v>26</v>
      </c>
      <c r="Q267" t="s">
        <v>28</v>
      </c>
    </row>
    <row r="268" spans="1:17" x14ac:dyDescent="0.25">
      <c r="A268" t="s">
        <v>47</v>
      </c>
      <c r="B268">
        <v>227888</v>
      </c>
      <c r="C268" t="s">
        <v>31</v>
      </c>
      <c r="D268" t="s">
        <v>223</v>
      </c>
      <c r="E268" t="s">
        <v>35</v>
      </c>
      <c r="F268">
        <v>1</v>
      </c>
      <c r="G268" s="89">
        <v>44271</v>
      </c>
      <c r="H268">
        <v>44279</v>
      </c>
      <c r="I268">
        <v>44279</v>
      </c>
      <c r="K268" t="s">
        <v>214</v>
      </c>
      <c r="L268" t="s">
        <v>34</v>
      </c>
      <c r="M268" t="s">
        <v>25</v>
      </c>
      <c r="O268" t="s">
        <v>26</v>
      </c>
      <c r="Q268" t="s">
        <v>28</v>
      </c>
    </row>
    <row r="269" spans="1:17" x14ac:dyDescent="0.25">
      <c r="A269" t="s">
        <v>145</v>
      </c>
      <c r="B269">
        <v>227710</v>
      </c>
      <c r="C269" t="s">
        <v>31</v>
      </c>
      <c r="D269" t="s">
        <v>224</v>
      </c>
      <c r="E269" t="s">
        <v>225</v>
      </c>
      <c r="F269">
        <v>1</v>
      </c>
      <c r="G269" s="89">
        <v>44271</v>
      </c>
      <c r="H269">
        <v>44280</v>
      </c>
      <c r="K269" t="s">
        <v>219</v>
      </c>
      <c r="L269" t="s">
        <v>34</v>
      </c>
      <c r="M269" t="s">
        <v>25</v>
      </c>
      <c r="O269" t="s">
        <v>26</v>
      </c>
      <c r="Q269" t="s">
        <v>29</v>
      </c>
    </row>
    <row r="270" spans="1:17" x14ac:dyDescent="0.25">
      <c r="A270" t="s">
        <v>30</v>
      </c>
      <c r="B270">
        <v>229524</v>
      </c>
      <c r="C270" t="s">
        <v>31</v>
      </c>
      <c r="D270" t="s">
        <v>226</v>
      </c>
      <c r="E270" t="s">
        <v>43</v>
      </c>
      <c r="F270">
        <v>3</v>
      </c>
      <c r="G270" s="89">
        <v>44279</v>
      </c>
      <c r="H270">
        <v>44280</v>
      </c>
      <c r="I270">
        <v>44280</v>
      </c>
      <c r="K270" t="s">
        <v>23</v>
      </c>
      <c r="L270" t="s">
        <v>34</v>
      </c>
      <c r="M270" t="s">
        <v>25</v>
      </c>
      <c r="O270" t="s">
        <v>26</v>
      </c>
      <c r="Q270" t="s">
        <v>29</v>
      </c>
    </row>
    <row r="271" spans="1:17" x14ac:dyDescent="0.25">
      <c r="A271" t="s">
        <v>30</v>
      </c>
      <c r="B271">
        <v>229524</v>
      </c>
      <c r="C271" t="s">
        <v>31</v>
      </c>
      <c r="D271" t="s">
        <v>226</v>
      </c>
      <c r="E271" t="s">
        <v>39</v>
      </c>
      <c r="F271">
        <v>1</v>
      </c>
      <c r="G271" s="89">
        <v>44279</v>
      </c>
      <c r="H271">
        <v>44280</v>
      </c>
      <c r="I271">
        <v>44280</v>
      </c>
      <c r="K271" t="s">
        <v>23</v>
      </c>
      <c r="L271" t="s">
        <v>34</v>
      </c>
      <c r="M271" t="s">
        <v>25</v>
      </c>
      <c r="O271" t="s">
        <v>26</v>
      </c>
      <c r="Q271" t="s">
        <v>29</v>
      </c>
    </row>
    <row r="272" spans="1:17" x14ac:dyDescent="0.25">
      <c r="A272" t="s">
        <v>30</v>
      </c>
      <c r="B272">
        <v>229524</v>
      </c>
      <c r="C272" t="s">
        <v>31</v>
      </c>
      <c r="D272" t="s">
        <v>226</v>
      </c>
      <c r="E272" t="s">
        <v>33</v>
      </c>
      <c r="F272">
        <v>1</v>
      </c>
      <c r="G272" s="89">
        <v>44279</v>
      </c>
      <c r="H272">
        <v>44280</v>
      </c>
      <c r="I272">
        <v>44280</v>
      </c>
      <c r="K272" t="s">
        <v>23</v>
      </c>
      <c r="L272" t="s">
        <v>34</v>
      </c>
      <c r="M272" t="s">
        <v>25</v>
      </c>
      <c r="O272" t="s">
        <v>26</v>
      </c>
      <c r="Q272" t="s">
        <v>29</v>
      </c>
    </row>
    <row r="273" spans="1:18" x14ac:dyDescent="0.25">
      <c r="A273" t="s">
        <v>30</v>
      </c>
      <c r="B273">
        <v>229524</v>
      </c>
      <c r="C273" t="s">
        <v>31</v>
      </c>
      <c r="D273" t="s">
        <v>226</v>
      </c>
      <c r="E273" t="s">
        <v>36</v>
      </c>
      <c r="F273">
        <v>3</v>
      </c>
      <c r="G273" s="89">
        <v>44279</v>
      </c>
      <c r="H273">
        <v>44280</v>
      </c>
      <c r="I273">
        <v>44280</v>
      </c>
      <c r="K273" t="s">
        <v>23</v>
      </c>
      <c r="L273" t="s">
        <v>34</v>
      </c>
      <c r="M273" t="s">
        <v>25</v>
      </c>
      <c r="O273" t="s">
        <v>26</v>
      </c>
      <c r="Q273" t="s">
        <v>29</v>
      </c>
    </row>
    <row r="274" spans="1:18" x14ac:dyDescent="0.25">
      <c r="A274" t="s">
        <v>30</v>
      </c>
      <c r="B274">
        <v>229086</v>
      </c>
      <c r="C274" t="s">
        <v>31</v>
      </c>
      <c r="D274" t="s">
        <v>227</v>
      </c>
      <c r="E274" t="s">
        <v>228</v>
      </c>
      <c r="F274">
        <v>1</v>
      </c>
      <c r="G274" s="89">
        <v>44277</v>
      </c>
      <c r="H274">
        <v>44281</v>
      </c>
      <c r="I274">
        <v>44281</v>
      </c>
      <c r="K274" t="s">
        <v>23</v>
      </c>
      <c r="L274" t="s">
        <v>34</v>
      </c>
      <c r="M274" t="s">
        <v>25</v>
      </c>
      <c r="O274" t="s">
        <v>27</v>
      </c>
      <c r="Q274" t="s">
        <v>29</v>
      </c>
    </row>
    <row r="275" spans="1:18" x14ac:dyDescent="0.25">
      <c r="A275" t="s">
        <v>30</v>
      </c>
      <c r="B275">
        <v>229763</v>
      </c>
      <c r="C275" t="s">
        <v>31</v>
      </c>
      <c r="D275" t="s">
        <v>229</v>
      </c>
      <c r="E275" t="s">
        <v>36</v>
      </c>
      <c r="F275">
        <v>3</v>
      </c>
      <c r="G275" s="89">
        <v>44279</v>
      </c>
      <c r="H275">
        <v>44286</v>
      </c>
      <c r="I275">
        <v>44287</v>
      </c>
      <c r="K275" t="s">
        <v>23</v>
      </c>
      <c r="L275" t="s">
        <v>42</v>
      </c>
      <c r="M275" t="s">
        <v>25</v>
      </c>
      <c r="O275" t="s">
        <v>27</v>
      </c>
      <c r="Q275" t="s">
        <v>29</v>
      </c>
    </row>
    <row r="276" spans="1:18" x14ac:dyDescent="0.25">
      <c r="A276" t="s">
        <v>30</v>
      </c>
      <c r="B276">
        <v>229763</v>
      </c>
      <c r="C276" t="s">
        <v>31</v>
      </c>
      <c r="D276" t="s">
        <v>229</v>
      </c>
      <c r="E276" t="s">
        <v>44</v>
      </c>
      <c r="F276">
        <v>1</v>
      </c>
      <c r="G276" s="89">
        <v>44279</v>
      </c>
      <c r="H276">
        <v>44286</v>
      </c>
      <c r="I276">
        <v>44287</v>
      </c>
      <c r="K276" t="s">
        <v>23</v>
      </c>
      <c r="L276" t="s">
        <v>42</v>
      </c>
      <c r="M276" t="s">
        <v>25</v>
      </c>
      <c r="O276" t="s">
        <v>27</v>
      </c>
      <c r="Q276" t="s">
        <v>29</v>
      </c>
    </row>
    <row r="277" spans="1:18" x14ac:dyDescent="0.25">
      <c r="A277" t="s">
        <v>30</v>
      </c>
      <c r="B277">
        <v>229763</v>
      </c>
      <c r="C277" t="s">
        <v>31</v>
      </c>
      <c r="D277" t="s">
        <v>229</v>
      </c>
      <c r="E277" t="s">
        <v>49</v>
      </c>
      <c r="F277">
        <v>1</v>
      </c>
      <c r="G277" s="89">
        <v>44279</v>
      </c>
      <c r="H277">
        <v>44286</v>
      </c>
      <c r="I277">
        <v>44287</v>
      </c>
      <c r="K277" t="s">
        <v>23</v>
      </c>
      <c r="L277" t="s">
        <v>42</v>
      </c>
      <c r="M277" t="s">
        <v>25</v>
      </c>
      <c r="O277" t="s">
        <v>27</v>
      </c>
      <c r="Q277" t="s">
        <v>29</v>
      </c>
    </row>
    <row r="278" spans="1:18" x14ac:dyDescent="0.25">
      <c r="A278" t="s">
        <v>30</v>
      </c>
      <c r="B278">
        <v>229763</v>
      </c>
      <c r="C278" t="s">
        <v>31</v>
      </c>
      <c r="D278" t="s">
        <v>229</v>
      </c>
      <c r="E278" t="s">
        <v>35</v>
      </c>
      <c r="F278">
        <v>1</v>
      </c>
      <c r="G278" s="89">
        <v>44279</v>
      </c>
      <c r="H278">
        <v>44286</v>
      </c>
      <c r="I278">
        <v>44287</v>
      </c>
      <c r="K278" t="s">
        <v>23</v>
      </c>
      <c r="L278" t="s">
        <v>42</v>
      </c>
      <c r="M278" t="s">
        <v>25</v>
      </c>
      <c r="O278" t="s">
        <v>27</v>
      </c>
      <c r="Q278" t="s">
        <v>29</v>
      </c>
    </row>
    <row r="279" spans="1:18" x14ac:dyDescent="0.25">
      <c r="A279" t="s">
        <v>30</v>
      </c>
      <c r="B279">
        <v>229967</v>
      </c>
      <c r="C279" t="s">
        <v>31</v>
      </c>
      <c r="D279" t="s">
        <v>230</v>
      </c>
      <c r="E279" t="s">
        <v>73</v>
      </c>
      <c r="F279">
        <v>1</v>
      </c>
      <c r="G279" s="89">
        <v>44280</v>
      </c>
      <c r="H279">
        <v>44295</v>
      </c>
      <c r="K279" t="s">
        <v>219</v>
      </c>
      <c r="L279" t="s">
        <v>42</v>
      </c>
      <c r="M279" t="s">
        <v>25</v>
      </c>
      <c r="O279" t="s">
        <v>26</v>
      </c>
      <c r="Q279" t="s">
        <v>54</v>
      </c>
    </row>
    <row r="280" spans="1:18" x14ac:dyDescent="0.25">
      <c r="A280" t="s">
        <v>231</v>
      </c>
      <c r="B280">
        <v>231112</v>
      </c>
      <c r="C280" t="s">
        <v>31</v>
      </c>
      <c r="D280" t="s">
        <v>232</v>
      </c>
      <c r="E280" t="s">
        <v>80</v>
      </c>
      <c r="F280">
        <v>1</v>
      </c>
      <c r="G280" s="89">
        <v>44286</v>
      </c>
      <c r="H280">
        <v>44291</v>
      </c>
      <c r="K280" t="s">
        <v>219</v>
      </c>
      <c r="L280" t="s">
        <v>58</v>
      </c>
      <c r="M280" t="s">
        <v>80</v>
      </c>
      <c r="O280" t="s">
        <v>26</v>
      </c>
      <c r="Q280" t="s">
        <v>29</v>
      </c>
    </row>
    <row r="281" spans="1:18" x14ac:dyDescent="0.25">
      <c r="A281" t="s">
        <v>71</v>
      </c>
      <c r="B281">
        <v>231245</v>
      </c>
      <c r="C281" t="s">
        <v>31</v>
      </c>
      <c r="D281" t="s">
        <v>233</v>
      </c>
      <c r="E281" t="s">
        <v>73</v>
      </c>
      <c r="F281">
        <v>1</v>
      </c>
      <c r="G281" s="89">
        <v>44286</v>
      </c>
      <c r="H281">
        <v>44292</v>
      </c>
      <c r="K281" t="s">
        <v>219</v>
      </c>
      <c r="L281" t="s">
        <v>34</v>
      </c>
      <c r="M281" t="s">
        <v>25</v>
      </c>
      <c r="O281" t="s">
        <v>26</v>
      </c>
      <c r="Q281" t="s">
        <v>29</v>
      </c>
    </row>
    <row r="282" spans="1:18" x14ac:dyDescent="0.25">
      <c r="A282" t="s">
        <v>68</v>
      </c>
      <c r="B282">
        <v>231492</v>
      </c>
      <c r="C282" t="s">
        <v>31</v>
      </c>
      <c r="D282" t="s">
        <v>234</v>
      </c>
      <c r="E282" t="s">
        <v>73</v>
      </c>
      <c r="F282">
        <v>1</v>
      </c>
      <c r="G282" s="89">
        <v>44287</v>
      </c>
      <c r="H282">
        <v>44293</v>
      </c>
      <c r="K282" t="s">
        <v>219</v>
      </c>
      <c r="L282" t="s">
        <v>34</v>
      </c>
      <c r="M282" t="s">
        <v>25</v>
      </c>
      <c r="O282" t="s">
        <v>26</v>
      </c>
      <c r="Q282" t="s">
        <v>29</v>
      </c>
    </row>
    <row r="283" spans="1:18" x14ac:dyDescent="0.25">
      <c r="A283" t="s">
        <v>47</v>
      </c>
      <c r="B283">
        <v>214279</v>
      </c>
      <c r="C283" t="s">
        <v>31</v>
      </c>
      <c r="D283" t="s">
        <v>213</v>
      </c>
      <c r="E283" t="s">
        <v>35</v>
      </c>
      <c r="F283">
        <v>1</v>
      </c>
      <c r="G283" s="89">
        <v>44209</v>
      </c>
      <c r="H283">
        <v>44216</v>
      </c>
      <c r="I283">
        <v>44216</v>
      </c>
      <c r="K283" t="s">
        <v>23</v>
      </c>
      <c r="L283" t="s">
        <v>24</v>
      </c>
      <c r="M283" t="s">
        <v>25</v>
      </c>
      <c r="N283">
        <v>2</v>
      </c>
      <c r="O283" t="s">
        <v>26</v>
      </c>
      <c r="P283" t="s">
        <v>27</v>
      </c>
      <c r="Q283" t="s">
        <v>74</v>
      </c>
      <c r="R283" t="s">
        <v>74</v>
      </c>
    </row>
    <row r="284" spans="1:18" x14ac:dyDescent="0.25">
      <c r="A284" t="s">
        <v>47</v>
      </c>
      <c r="B284">
        <v>214279</v>
      </c>
      <c r="C284" t="s">
        <v>31</v>
      </c>
      <c r="D284" t="s">
        <v>213</v>
      </c>
      <c r="E284" t="s">
        <v>44</v>
      </c>
      <c r="F284">
        <v>1</v>
      </c>
      <c r="G284" s="89">
        <v>44209</v>
      </c>
      <c r="H284">
        <v>44216</v>
      </c>
      <c r="I284">
        <v>44216</v>
      </c>
      <c r="K284" t="s">
        <v>23</v>
      </c>
      <c r="L284" t="s">
        <v>24</v>
      </c>
      <c r="M284" t="s">
        <v>25</v>
      </c>
      <c r="N284">
        <v>4</v>
      </c>
      <c r="O284" t="s">
        <v>26</v>
      </c>
      <c r="P284" t="s">
        <v>27</v>
      </c>
      <c r="Q284" t="s">
        <v>74</v>
      </c>
      <c r="R284" t="s">
        <v>74</v>
      </c>
    </row>
    <row r="285" spans="1:18" x14ac:dyDescent="0.25">
      <c r="A285" t="s">
        <v>235</v>
      </c>
      <c r="B285">
        <v>213706</v>
      </c>
      <c r="C285" t="s">
        <v>56</v>
      </c>
      <c r="D285" t="s">
        <v>236</v>
      </c>
      <c r="F285">
        <v>1</v>
      </c>
      <c r="G285" s="89">
        <v>44214.760844907411</v>
      </c>
      <c r="H285">
        <v>44218</v>
      </c>
      <c r="K285" t="s">
        <v>23</v>
      </c>
    </row>
    <row r="286" spans="1:18" x14ac:dyDescent="0.25">
      <c r="A286" t="s">
        <v>37</v>
      </c>
      <c r="B286">
        <v>214915</v>
      </c>
      <c r="C286" t="s">
        <v>20</v>
      </c>
      <c r="D286" t="s">
        <v>237</v>
      </c>
      <c r="E286" t="s">
        <v>35</v>
      </c>
      <c r="F286">
        <v>1</v>
      </c>
      <c r="G286" s="89">
        <v>44211</v>
      </c>
      <c r="H286">
        <v>44215</v>
      </c>
      <c r="I286">
        <v>44214</v>
      </c>
      <c r="K286" t="s">
        <v>23</v>
      </c>
      <c r="L286" t="s">
        <v>34</v>
      </c>
      <c r="M286" t="s">
        <v>25</v>
      </c>
      <c r="O286" t="s">
        <v>26</v>
      </c>
      <c r="P286" t="s">
        <v>26</v>
      </c>
      <c r="Q286" t="s">
        <v>54</v>
      </c>
      <c r="R286" t="s">
        <v>28</v>
      </c>
    </row>
    <row r="287" spans="1:18" x14ac:dyDescent="0.25">
      <c r="A287" t="s">
        <v>37</v>
      </c>
      <c r="B287">
        <v>215204</v>
      </c>
      <c r="C287" t="s">
        <v>56</v>
      </c>
      <c r="D287" t="s">
        <v>238</v>
      </c>
      <c r="F287">
        <v>1</v>
      </c>
      <c r="G287" s="89">
        <v>44214.683125000003</v>
      </c>
      <c r="H287">
        <v>44228</v>
      </c>
      <c r="K287" t="s">
        <v>23</v>
      </c>
    </row>
    <row r="288" spans="1:18" x14ac:dyDescent="0.25">
      <c r="A288" t="s">
        <v>37</v>
      </c>
      <c r="B288">
        <v>214915</v>
      </c>
      <c r="C288" t="s">
        <v>20</v>
      </c>
      <c r="D288" t="s">
        <v>237</v>
      </c>
      <c r="E288" t="s">
        <v>33</v>
      </c>
      <c r="F288">
        <v>1</v>
      </c>
      <c r="G288" s="89">
        <v>44211</v>
      </c>
      <c r="H288">
        <v>44215</v>
      </c>
      <c r="I288">
        <v>44214</v>
      </c>
      <c r="K288" t="s">
        <v>23</v>
      </c>
      <c r="L288" t="s">
        <v>34</v>
      </c>
      <c r="M288" t="s">
        <v>25</v>
      </c>
      <c r="O288" t="s">
        <v>26</v>
      </c>
      <c r="P288" t="s">
        <v>26</v>
      </c>
      <c r="Q288" t="s">
        <v>54</v>
      </c>
      <c r="R288" t="s">
        <v>28</v>
      </c>
    </row>
    <row r="289" spans="1:18" x14ac:dyDescent="0.25">
      <c r="A289" t="s">
        <v>30</v>
      </c>
      <c r="B289">
        <v>212059</v>
      </c>
      <c r="C289" t="s">
        <v>20</v>
      </c>
      <c r="D289" t="s">
        <v>70</v>
      </c>
      <c r="E289" t="s">
        <v>44</v>
      </c>
      <c r="F289">
        <v>2</v>
      </c>
      <c r="G289" s="89">
        <v>44200</v>
      </c>
      <c r="H289">
        <v>44218</v>
      </c>
      <c r="K289" t="s">
        <v>23</v>
      </c>
      <c r="Q289" t="s">
        <v>54</v>
      </c>
      <c r="R289" t="s">
        <v>54</v>
      </c>
    </row>
    <row r="290" spans="1:18" x14ac:dyDescent="0.25">
      <c r="A290" t="s">
        <v>30</v>
      </c>
      <c r="B290">
        <v>212059</v>
      </c>
      <c r="C290" t="s">
        <v>20</v>
      </c>
      <c r="D290" t="s">
        <v>70</v>
      </c>
      <c r="E290" t="s">
        <v>67</v>
      </c>
      <c r="F290">
        <v>1</v>
      </c>
      <c r="G290" s="89">
        <v>44200</v>
      </c>
      <c r="H290">
        <v>44207</v>
      </c>
      <c r="K290" t="s">
        <v>23</v>
      </c>
      <c r="Q290" t="s">
        <v>54</v>
      </c>
      <c r="R290" t="s">
        <v>54</v>
      </c>
    </row>
    <row r="291" spans="1:18" x14ac:dyDescent="0.25">
      <c r="A291" t="s">
        <v>40</v>
      </c>
      <c r="B291">
        <v>195121</v>
      </c>
      <c r="C291" t="s">
        <v>56</v>
      </c>
      <c r="D291" t="s">
        <v>239</v>
      </c>
      <c r="E291" t="s">
        <v>22</v>
      </c>
      <c r="F291">
        <v>1</v>
      </c>
      <c r="G291" s="89">
        <v>44117</v>
      </c>
      <c r="H291">
        <v>44120</v>
      </c>
      <c r="I291">
        <v>44118</v>
      </c>
      <c r="K291" t="s">
        <v>23</v>
      </c>
      <c r="L291" t="s">
        <v>24</v>
      </c>
    </row>
    <row r="292" spans="1:18" x14ac:dyDescent="0.25">
      <c r="A292" t="s">
        <v>40</v>
      </c>
      <c r="B292">
        <v>193661</v>
      </c>
      <c r="C292" t="s">
        <v>56</v>
      </c>
      <c r="D292" t="s">
        <v>240</v>
      </c>
      <c r="E292" t="s">
        <v>33</v>
      </c>
      <c r="F292">
        <v>2</v>
      </c>
      <c r="G292" s="89">
        <v>44109</v>
      </c>
      <c r="H292">
        <v>44130</v>
      </c>
      <c r="I292">
        <v>44119</v>
      </c>
      <c r="K292" t="s">
        <v>23</v>
      </c>
      <c r="L292" t="s">
        <v>42</v>
      </c>
    </row>
    <row r="293" spans="1:18" x14ac:dyDescent="0.25">
      <c r="A293" t="s">
        <v>55</v>
      </c>
      <c r="B293">
        <v>193724</v>
      </c>
      <c r="C293" t="s">
        <v>56</v>
      </c>
      <c r="D293" t="s">
        <v>241</v>
      </c>
      <c r="F293">
        <v>1</v>
      </c>
      <c r="G293" s="89">
        <v>44109</v>
      </c>
      <c r="I293">
        <v>44120</v>
      </c>
      <c r="K293" t="s">
        <v>23</v>
      </c>
      <c r="L293" t="s">
        <v>42</v>
      </c>
    </row>
    <row r="294" spans="1:18" x14ac:dyDescent="0.25">
      <c r="A294" t="s">
        <v>68</v>
      </c>
      <c r="B294">
        <v>193091</v>
      </c>
      <c r="C294" t="s">
        <v>20</v>
      </c>
      <c r="D294" t="s">
        <v>242</v>
      </c>
      <c r="E294" t="s">
        <v>76</v>
      </c>
      <c r="F294">
        <v>1</v>
      </c>
      <c r="G294" s="89">
        <v>44105</v>
      </c>
      <c r="H294">
        <v>44131</v>
      </c>
      <c r="I294">
        <v>44123</v>
      </c>
      <c r="K294" t="s">
        <v>23</v>
      </c>
      <c r="L294" t="s">
        <v>42</v>
      </c>
      <c r="Q294" t="s">
        <v>29</v>
      </c>
      <c r="R294" t="s">
        <v>54</v>
      </c>
    </row>
    <row r="295" spans="1:18" x14ac:dyDescent="0.25">
      <c r="A295" t="s">
        <v>243</v>
      </c>
      <c r="B295">
        <v>193525</v>
      </c>
      <c r="C295" t="s">
        <v>56</v>
      </c>
      <c r="D295" t="s">
        <v>244</v>
      </c>
      <c r="E295" t="s">
        <v>73</v>
      </c>
      <c r="F295">
        <v>1</v>
      </c>
      <c r="G295" s="89">
        <v>44106</v>
      </c>
      <c r="H295">
        <v>44118</v>
      </c>
      <c r="I295">
        <v>44118</v>
      </c>
      <c r="K295" t="s">
        <v>23</v>
      </c>
      <c r="L295" t="s">
        <v>58</v>
      </c>
      <c r="Q295" t="s">
        <v>29</v>
      </c>
    </row>
    <row r="296" spans="1:18" x14ac:dyDescent="0.25">
      <c r="A296" t="s">
        <v>40</v>
      </c>
      <c r="B296">
        <v>160587</v>
      </c>
      <c r="C296" t="s">
        <v>56</v>
      </c>
      <c r="D296" t="s">
        <v>245</v>
      </c>
      <c r="E296" t="s">
        <v>73</v>
      </c>
      <c r="F296">
        <v>1</v>
      </c>
      <c r="G296" s="89">
        <v>43934</v>
      </c>
      <c r="H296">
        <v>43973</v>
      </c>
      <c r="K296" t="s">
        <v>23</v>
      </c>
      <c r="L296" t="s">
        <v>42</v>
      </c>
    </row>
    <row r="297" spans="1:18" x14ac:dyDescent="0.25">
      <c r="A297" t="s">
        <v>95</v>
      </c>
      <c r="B297">
        <v>160624</v>
      </c>
      <c r="C297" t="s">
        <v>56</v>
      </c>
      <c r="D297" t="s">
        <v>246</v>
      </c>
      <c r="F297">
        <v>1</v>
      </c>
      <c r="G297" s="89">
        <v>43934</v>
      </c>
      <c r="I297">
        <v>43951</v>
      </c>
      <c r="K297" t="s">
        <v>23</v>
      </c>
      <c r="L297" t="s">
        <v>42</v>
      </c>
    </row>
    <row r="298" spans="1:18" x14ac:dyDescent="0.25">
      <c r="A298" t="s">
        <v>40</v>
      </c>
      <c r="B298">
        <v>153722</v>
      </c>
      <c r="C298" t="s">
        <v>20</v>
      </c>
      <c r="D298" t="s">
        <v>247</v>
      </c>
      <c r="E298" t="s">
        <v>73</v>
      </c>
      <c r="F298">
        <v>1</v>
      </c>
      <c r="G298" s="89">
        <v>43894</v>
      </c>
      <c r="I298">
        <v>43908</v>
      </c>
      <c r="K298" t="s">
        <v>23</v>
      </c>
    </row>
    <row r="299" spans="1:18" x14ac:dyDescent="0.25">
      <c r="A299" t="s">
        <v>243</v>
      </c>
      <c r="B299">
        <v>193243</v>
      </c>
      <c r="C299" t="s">
        <v>56</v>
      </c>
      <c r="D299" t="s">
        <v>248</v>
      </c>
      <c r="F299">
        <v>2</v>
      </c>
      <c r="G299" s="89">
        <v>44105</v>
      </c>
      <c r="H299">
        <v>44117</v>
      </c>
      <c r="I299">
        <v>44119</v>
      </c>
      <c r="K299" t="s">
        <v>23</v>
      </c>
      <c r="L299" t="s">
        <v>24</v>
      </c>
    </row>
    <row r="300" spans="1:18" x14ac:dyDescent="0.25">
      <c r="A300" t="s">
        <v>243</v>
      </c>
      <c r="B300">
        <v>193243</v>
      </c>
      <c r="C300" t="s">
        <v>56</v>
      </c>
      <c r="D300" t="s">
        <v>248</v>
      </c>
      <c r="F300">
        <v>1</v>
      </c>
      <c r="G300" s="89">
        <v>44105</v>
      </c>
      <c r="H300">
        <v>44117</v>
      </c>
      <c r="I300">
        <v>44119</v>
      </c>
      <c r="K300" t="s">
        <v>23</v>
      </c>
      <c r="L300" t="s">
        <v>24</v>
      </c>
    </row>
    <row r="301" spans="1:18" x14ac:dyDescent="0.25">
      <c r="A301" t="s">
        <v>243</v>
      </c>
      <c r="B301">
        <v>193243</v>
      </c>
      <c r="C301" t="s">
        <v>56</v>
      </c>
      <c r="D301" t="s">
        <v>248</v>
      </c>
      <c r="F301">
        <v>1</v>
      </c>
      <c r="G301" s="89">
        <v>44105</v>
      </c>
      <c r="H301">
        <v>44117</v>
      </c>
      <c r="I301">
        <v>44119</v>
      </c>
      <c r="K301" t="s">
        <v>23</v>
      </c>
      <c r="L301" t="s">
        <v>24</v>
      </c>
    </row>
    <row r="302" spans="1:18" x14ac:dyDescent="0.25">
      <c r="A302" t="s">
        <v>47</v>
      </c>
      <c r="B302">
        <v>194777</v>
      </c>
      <c r="C302" t="s">
        <v>56</v>
      </c>
      <c r="D302" t="s">
        <v>249</v>
      </c>
      <c r="F302">
        <v>3</v>
      </c>
      <c r="G302" s="89">
        <v>44112</v>
      </c>
      <c r="H302">
        <v>44124</v>
      </c>
      <c r="I302">
        <v>44117</v>
      </c>
      <c r="K302" t="s">
        <v>23</v>
      </c>
      <c r="L302" t="s">
        <v>34</v>
      </c>
    </row>
    <row r="303" spans="1:18" x14ac:dyDescent="0.25">
      <c r="A303" t="s">
        <v>47</v>
      </c>
      <c r="B303">
        <v>194777</v>
      </c>
      <c r="C303" t="s">
        <v>56</v>
      </c>
      <c r="D303" t="s">
        <v>249</v>
      </c>
      <c r="F303">
        <v>1</v>
      </c>
      <c r="G303" s="89">
        <v>44112</v>
      </c>
      <c r="H303">
        <v>44124</v>
      </c>
      <c r="I303">
        <v>44117</v>
      </c>
      <c r="K303" t="s">
        <v>23</v>
      </c>
      <c r="L303" t="s">
        <v>34</v>
      </c>
    </row>
    <row r="304" spans="1:18" x14ac:dyDescent="0.25">
      <c r="A304" t="s">
        <v>47</v>
      </c>
      <c r="B304">
        <v>194777</v>
      </c>
      <c r="C304" t="s">
        <v>56</v>
      </c>
      <c r="D304" t="s">
        <v>249</v>
      </c>
      <c r="F304">
        <v>1</v>
      </c>
      <c r="G304" s="89">
        <v>44112</v>
      </c>
      <c r="H304">
        <v>44124</v>
      </c>
      <c r="I304">
        <v>44117</v>
      </c>
      <c r="K304" t="s">
        <v>23</v>
      </c>
      <c r="L304" t="s">
        <v>34</v>
      </c>
    </row>
    <row r="305" spans="1:18" x14ac:dyDescent="0.25">
      <c r="A305" t="s">
        <v>40</v>
      </c>
      <c r="B305">
        <v>216830</v>
      </c>
      <c r="C305" t="s">
        <v>20</v>
      </c>
      <c r="D305" t="s">
        <v>250</v>
      </c>
      <c r="E305" t="s">
        <v>35</v>
      </c>
      <c r="F305">
        <v>1</v>
      </c>
      <c r="G305" s="89">
        <v>44223</v>
      </c>
      <c r="H305">
        <v>44223</v>
      </c>
      <c r="I305">
        <v>44223</v>
      </c>
      <c r="K305" t="s">
        <v>23</v>
      </c>
      <c r="L305" t="s">
        <v>24</v>
      </c>
      <c r="M305" t="s">
        <v>25</v>
      </c>
      <c r="O305" t="s">
        <v>26</v>
      </c>
      <c r="P305" t="s">
        <v>26</v>
      </c>
      <c r="Q305" t="s">
        <v>29</v>
      </c>
      <c r="R305" t="s">
        <v>54</v>
      </c>
    </row>
    <row r="306" spans="1:18" x14ac:dyDescent="0.25">
      <c r="A306" t="s">
        <v>40</v>
      </c>
      <c r="B306">
        <v>216830</v>
      </c>
      <c r="C306" t="s">
        <v>20</v>
      </c>
      <c r="D306" t="s">
        <v>250</v>
      </c>
      <c r="E306" t="s">
        <v>33</v>
      </c>
      <c r="F306">
        <v>1</v>
      </c>
      <c r="G306" s="89">
        <v>44223</v>
      </c>
      <c r="H306">
        <v>44223</v>
      </c>
      <c r="I306">
        <v>44223</v>
      </c>
      <c r="K306" t="s">
        <v>23</v>
      </c>
      <c r="L306" t="s">
        <v>24</v>
      </c>
      <c r="M306" t="s">
        <v>25</v>
      </c>
      <c r="O306" t="s">
        <v>26</v>
      </c>
      <c r="P306" t="s">
        <v>26</v>
      </c>
      <c r="Q306" t="s">
        <v>29</v>
      </c>
      <c r="R306" t="s">
        <v>54</v>
      </c>
    </row>
    <row r="307" spans="1:18" x14ac:dyDescent="0.25">
      <c r="A307" t="s">
        <v>37</v>
      </c>
      <c r="B307">
        <v>216047</v>
      </c>
      <c r="C307" t="s">
        <v>31</v>
      </c>
      <c r="D307" t="s">
        <v>160</v>
      </c>
      <c r="E307" t="s">
        <v>217</v>
      </c>
      <c r="F307">
        <v>4</v>
      </c>
      <c r="G307" s="89">
        <v>44266</v>
      </c>
      <c r="H307">
        <v>44300</v>
      </c>
      <c r="I307">
        <v>44300</v>
      </c>
      <c r="K307" t="s">
        <v>23</v>
      </c>
      <c r="L307" t="s">
        <v>42</v>
      </c>
      <c r="M307" t="s">
        <v>161</v>
      </c>
      <c r="O307" t="s">
        <v>27</v>
      </c>
      <c r="P307" t="s">
        <v>27</v>
      </c>
      <c r="Q307" t="s">
        <v>29</v>
      </c>
      <c r="R307" t="s">
        <v>29</v>
      </c>
    </row>
    <row r="308" spans="1:18" x14ac:dyDescent="0.25">
      <c r="A308" t="s">
        <v>37</v>
      </c>
      <c r="B308">
        <v>216047</v>
      </c>
      <c r="C308" t="s">
        <v>31</v>
      </c>
      <c r="D308" t="s">
        <v>160</v>
      </c>
      <c r="E308" t="s">
        <v>80</v>
      </c>
      <c r="F308">
        <v>1</v>
      </c>
      <c r="G308" s="89">
        <v>44266</v>
      </c>
      <c r="H308">
        <v>44286</v>
      </c>
      <c r="I308">
        <v>44312</v>
      </c>
      <c r="K308" t="s">
        <v>23</v>
      </c>
      <c r="L308" t="s">
        <v>42</v>
      </c>
      <c r="M308" t="s">
        <v>161</v>
      </c>
      <c r="O308" t="s">
        <v>27</v>
      </c>
      <c r="P308" t="s">
        <v>27</v>
      </c>
      <c r="Q308" t="s">
        <v>29</v>
      </c>
      <c r="R308" t="s">
        <v>29</v>
      </c>
    </row>
    <row r="309" spans="1:18" x14ac:dyDescent="0.25">
      <c r="A309" t="s">
        <v>95</v>
      </c>
      <c r="B309">
        <v>217989</v>
      </c>
      <c r="C309" t="s">
        <v>20</v>
      </c>
      <c r="D309" t="s">
        <v>251</v>
      </c>
      <c r="E309" t="s">
        <v>35</v>
      </c>
      <c r="F309">
        <v>1</v>
      </c>
      <c r="G309" s="89">
        <v>44228</v>
      </c>
      <c r="H309">
        <v>44230</v>
      </c>
      <c r="I309">
        <v>44230</v>
      </c>
      <c r="K309" t="s">
        <v>23</v>
      </c>
      <c r="L309" t="s">
        <v>24</v>
      </c>
      <c r="M309" t="s">
        <v>25</v>
      </c>
      <c r="O309" t="s">
        <v>26</v>
      </c>
      <c r="Q309" t="s">
        <v>29</v>
      </c>
      <c r="R309" t="s">
        <v>54</v>
      </c>
    </row>
    <row r="310" spans="1:18" x14ac:dyDescent="0.25">
      <c r="A310" t="s">
        <v>95</v>
      </c>
      <c r="B310">
        <v>217989</v>
      </c>
      <c r="C310" t="s">
        <v>20</v>
      </c>
      <c r="D310" t="s">
        <v>251</v>
      </c>
      <c r="E310" t="s">
        <v>33</v>
      </c>
      <c r="F310">
        <v>1</v>
      </c>
      <c r="G310" s="89">
        <v>44228</v>
      </c>
      <c r="H310">
        <v>44230</v>
      </c>
      <c r="I310">
        <v>44230</v>
      </c>
      <c r="K310" t="s">
        <v>23</v>
      </c>
      <c r="L310" t="s">
        <v>24</v>
      </c>
      <c r="M310" t="s">
        <v>25</v>
      </c>
      <c r="O310" t="s">
        <v>26</v>
      </c>
      <c r="Q310" t="s">
        <v>29</v>
      </c>
      <c r="R310" t="s">
        <v>54</v>
      </c>
    </row>
    <row r="311" spans="1:18" x14ac:dyDescent="0.25">
      <c r="A311" t="s">
        <v>145</v>
      </c>
      <c r="B311">
        <v>218759</v>
      </c>
      <c r="C311" t="s">
        <v>20</v>
      </c>
      <c r="D311" t="s">
        <v>252</v>
      </c>
      <c r="E311" t="s">
        <v>35</v>
      </c>
      <c r="F311">
        <v>2</v>
      </c>
      <c r="G311" s="89">
        <v>44230</v>
      </c>
      <c r="H311">
        <v>44230</v>
      </c>
      <c r="I311">
        <v>44230</v>
      </c>
      <c r="K311" t="s">
        <v>23</v>
      </c>
      <c r="L311" t="s">
        <v>34</v>
      </c>
      <c r="M311" t="s">
        <v>25</v>
      </c>
      <c r="O311" t="s">
        <v>26</v>
      </c>
      <c r="Q311" t="s">
        <v>29</v>
      </c>
      <c r="R311" t="s">
        <v>54</v>
      </c>
    </row>
    <row r="312" spans="1:18" x14ac:dyDescent="0.25">
      <c r="A312" t="s">
        <v>40</v>
      </c>
      <c r="B312">
        <v>219689</v>
      </c>
      <c r="C312" t="s">
        <v>20</v>
      </c>
      <c r="D312" t="s">
        <v>253</v>
      </c>
      <c r="E312" t="s">
        <v>83</v>
      </c>
      <c r="F312">
        <v>1</v>
      </c>
      <c r="G312" s="89">
        <v>44236</v>
      </c>
      <c r="H312">
        <v>44238</v>
      </c>
      <c r="I312">
        <v>44238</v>
      </c>
      <c r="K312" t="s">
        <v>23</v>
      </c>
      <c r="L312" t="s">
        <v>42</v>
      </c>
      <c r="M312" t="s">
        <v>25</v>
      </c>
      <c r="O312" t="s">
        <v>27</v>
      </c>
      <c r="P312" t="s">
        <v>26</v>
      </c>
      <c r="Q312" t="s">
        <v>29</v>
      </c>
      <c r="R312" t="s">
        <v>54</v>
      </c>
    </row>
    <row r="313" spans="1:18" x14ac:dyDescent="0.25">
      <c r="A313" t="s">
        <v>40</v>
      </c>
      <c r="B313">
        <v>219689</v>
      </c>
      <c r="C313" t="s">
        <v>20</v>
      </c>
      <c r="D313" t="s">
        <v>253</v>
      </c>
      <c r="E313" t="s">
        <v>35</v>
      </c>
      <c r="F313">
        <v>1</v>
      </c>
      <c r="G313" s="89">
        <v>44236</v>
      </c>
      <c r="H313">
        <v>44238</v>
      </c>
      <c r="I313">
        <v>44238</v>
      </c>
      <c r="K313" t="s">
        <v>23</v>
      </c>
      <c r="L313" t="s">
        <v>24</v>
      </c>
      <c r="M313" t="s">
        <v>25</v>
      </c>
      <c r="O313" t="s">
        <v>27</v>
      </c>
      <c r="P313" t="s">
        <v>26</v>
      </c>
      <c r="Q313" t="s">
        <v>29</v>
      </c>
      <c r="R313" t="s">
        <v>54</v>
      </c>
    </row>
    <row r="314" spans="1:18" x14ac:dyDescent="0.25">
      <c r="A314" t="s">
        <v>40</v>
      </c>
      <c r="B314">
        <v>219689</v>
      </c>
      <c r="C314" t="s">
        <v>20</v>
      </c>
      <c r="D314" t="s">
        <v>253</v>
      </c>
      <c r="E314" t="s">
        <v>33</v>
      </c>
      <c r="F314">
        <v>1</v>
      </c>
      <c r="G314" s="89">
        <v>44236</v>
      </c>
      <c r="H314">
        <v>44238</v>
      </c>
      <c r="I314">
        <v>44238</v>
      </c>
      <c r="K314" t="s">
        <v>23</v>
      </c>
      <c r="L314" t="s">
        <v>24</v>
      </c>
      <c r="M314" t="s">
        <v>25</v>
      </c>
      <c r="O314" t="s">
        <v>27</v>
      </c>
      <c r="P314" t="s">
        <v>26</v>
      </c>
      <c r="Q314" t="s">
        <v>29</v>
      </c>
      <c r="R314" t="s">
        <v>54</v>
      </c>
    </row>
    <row r="315" spans="1:18" x14ac:dyDescent="0.25">
      <c r="A315" t="s">
        <v>40</v>
      </c>
      <c r="B315">
        <v>220202</v>
      </c>
      <c r="C315" t="s">
        <v>20</v>
      </c>
      <c r="D315" t="s">
        <v>253</v>
      </c>
      <c r="E315" t="s">
        <v>35</v>
      </c>
      <c r="F315">
        <v>1</v>
      </c>
      <c r="G315" s="89">
        <v>44236</v>
      </c>
      <c r="H315">
        <v>44236</v>
      </c>
      <c r="I315">
        <v>44236</v>
      </c>
      <c r="K315" t="s">
        <v>23</v>
      </c>
      <c r="L315" t="s">
        <v>24</v>
      </c>
      <c r="M315" t="s">
        <v>25</v>
      </c>
      <c r="O315" t="s">
        <v>26</v>
      </c>
      <c r="P315" t="s">
        <v>26</v>
      </c>
      <c r="Q315" t="s">
        <v>29</v>
      </c>
      <c r="R315" t="s">
        <v>54</v>
      </c>
    </row>
    <row r="316" spans="1:18" x14ac:dyDescent="0.25">
      <c r="A316" t="s">
        <v>40</v>
      </c>
      <c r="B316">
        <v>220202</v>
      </c>
      <c r="C316" t="s">
        <v>20</v>
      </c>
      <c r="D316" t="s">
        <v>253</v>
      </c>
      <c r="E316" t="s">
        <v>33</v>
      </c>
      <c r="F316">
        <v>1</v>
      </c>
      <c r="G316" s="89">
        <v>44236</v>
      </c>
      <c r="H316">
        <v>44236</v>
      </c>
      <c r="I316">
        <v>44236</v>
      </c>
      <c r="K316" t="s">
        <v>23</v>
      </c>
      <c r="L316" t="s">
        <v>24</v>
      </c>
      <c r="M316" t="s">
        <v>25</v>
      </c>
      <c r="O316" t="s">
        <v>26</v>
      </c>
      <c r="P316" t="s">
        <v>26</v>
      </c>
      <c r="Q316" t="s">
        <v>29</v>
      </c>
      <c r="R316" t="s">
        <v>54</v>
      </c>
    </row>
    <row r="317" spans="1:18" x14ac:dyDescent="0.25">
      <c r="A317" t="s">
        <v>113</v>
      </c>
      <c r="B317">
        <v>218999</v>
      </c>
      <c r="C317" t="s">
        <v>20</v>
      </c>
      <c r="D317" t="s">
        <v>254</v>
      </c>
      <c r="E317" t="s">
        <v>73</v>
      </c>
      <c r="F317">
        <v>1</v>
      </c>
      <c r="G317" s="89">
        <v>44230</v>
      </c>
      <c r="H317">
        <v>44249</v>
      </c>
      <c r="I317">
        <v>44250</v>
      </c>
      <c r="K317" t="s">
        <v>23</v>
      </c>
      <c r="L317" t="s">
        <v>24</v>
      </c>
      <c r="M317" t="s">
        <v>25</v>
      </c>
      <c r="O317" t="s">
        <v>26</v>
      </c>
      <c r="Q317" t="s">
        <v>28</v>
      </c>
      <c r="R317" t="s">
        <v>28</v>
      </c>
    </row>
    <row r="318" spans="1:18" x14ac:dyDescent="0.25">
      <c r="A318" t="s">
        <v>95</v>
      </c>
      <c r="B318">
        <v>222688</v>
      </c>
      <c r="C318" t="s">
        <v>64</v>
      </c>
      <c r="D318" t="s">
        <v>255</v>
      </c>
      <c r="E318" t="s">
        <v>80</v>
      </c>
      <c r="F318">
        <v>1</v>
      </c>
      <c r="G318" s="89">
        <v>44249</v>
      </c>
      <c r="H318">
        <v>44258</v>
      </c>
      <c r="K318" t="s">
        <v>23</v>
      </c>
      <c r="L318" t="s">
        <v>42</v>
      </c>
      <c r="M318" t="s">
        <v>80</v>
      </c>
      <c r="O318" t="s">
        <v>27</v>
      </c>
      <c r="Q318" t="s">
        <v>29</v>
      </c>
    </row>
    <row r="319" spans="1:18" x14ac:dyDescent="0.25">
      <c r="A319" t="s">
        <v>145</v>
      </c>
      <c r="B319">
        <v>222008</v>
      </c>
      <c r="C319" t="s">
        <v>20</v>
      </c>
      <c r="D319" t="s">
        <v>256</v>
      </c>
      <c r="E319" t="s">
        <v>225</v>
      </c>
      <c r="F319">
        <v>1</v>
      </c>
      <c r="G319" s="89">
        <v>44245</v>
      </c>
      <c r="H319">
        <v>44258</v>
      </c>
      <c r="I319">
        <v>44263</v>
      </c>
      <c r="K319" t="s">
        <v>23</v>
      </c>
      <c r="L319" t="s">
        <v>34</v>
      </c>
      <c r="M319" t="s">
        <v>25</v>
      </c>
      <c r="O319" t="s">
        <v>26</v>
      </c>
      <c r="Q319" t="s">
        <v>29</v>
      </c>
      <c r="R319" t="s">
        <v>29</v>
      </c>
    </row>
    <row r="320" spans="1:18" x14ac:dyDescent="0.25">
      <c r="A320" t="s">
        <v>145</v>
      </c>
      <c r="B320">
        <v>222008</v>
      </c>
      <c r="C320" t="s">
        <v>20</v>
      </c>
      <c r="D320" t="s">
        <v>256</v>
      </c>
      <c r="E320" t="s">
        <v>63</v>
      </c>
      <c r="F320">
        <v>1</v>
      </c>
      <c r="G320" s="89">
        <v>44245</v>
      </c>
      <c r="H320">
        <v>44258</v>
      </c>
      <c r="I320">
        <v>44263</v>
      </c>
      <c r="K320" t="s">
        <v>23</v>
      </c>
      <c r="L320" t="s">
        <v>34</v>
      </c>
      <c r="M320" t="s">
        <v>25</v>
      </c>
      <c r="O320" t="s">
        <v>26</v>
      </c>
      <c r="Q320" t="s">
        <v>29</v>
      </c>
      <c r="R320" t="s">
        <v>29</v>
      </c>
    </row>
    <row r="321" spans="1:18" x14ac:dyDescent="0.25">
      <c r="A321" t="s">
        <v>37</v>
      </c>
      <c r="B321">
        <v>222168</v>
      </c>
      <c r="C321" t="s">
        <v>20</v>
      </c>
      <c r="D321" t="s">
        <v>137</v>
      </c>
      <c r="E321" t="s">
        <v>73</v>
      </c>
      <c r="F321">
        <v>1</v>
      </c>
      <c r="G321" s="89">
        <v>44246</v>
      </c>
      <c r="H321">
        <v>44253</v>
      </c>
      <c r="I321">
        <v>44256</v>
      </c>
      <c r="K321" t="s">
        <v>23</v>
      </c>
      <c r="L321" t="s">
        <v>42</v>
      </c>
      <c r="M321" t="s">
        <v>80</v>
      </c>
      <c r="O321" t="s">
        <v>27</v>
      </c>
      <c r="Q321" t="s">
        <v>29</v>
      </c>
      <c r="R321" t="s">
        <v>54</v>
      </c>
    </row>
    <row r="322" spans="1:18" x14ac:dyDescent="0.25">
      <c r="A322" t="s">
        <v>95</v>
      </c>
      <c r="B322">
        <v>223995</v>
      </c>
      <c r="C322" t="s">
        <v>20</v>
      </c>
      <c r="D322" t="s">
        <v>257</v>
      </c>
      <c r="E322" t="s">
        <v>35</v>
      </c>
      <c r="F322">
        <v>1</v>
      </c>
      <c r="G322" s="89">
        <v>44253</v>
      </c>
      <c r="H322">
        <v>44258</v>
      </c>
      <c r="I322">
        <v>44260</v>
      </c>
      <c r="K322" t="s">
        <v>23</v>
      </c>
      <c r="L322" t="s">
        <v>42</v>
      </c>
      <c r="M322" t="s">
        <v>25</v>
      </c>
      <c r="O322" t="s">
        <v>27</v>
      </c>
      <c r="Q322" t="s">
        <v>29</v>
      </c>
      <c r="R322" t="s">
        <v>54</v>
      </c>
    </row>
    <row r="323" spans="1:18" x14ac:dyDescent="0.25">
      <c r="A323" t="s">
        <v>95</v>
      </c>
      <c r="B323">
        <v>223995</v>
      </c>
      <c r="C323" t="s">
        <v>20</v>
      </c>
      <c r="D323" t="s">
        <v>257</v>
      </c>
      <c r="E323" t="s">
        <v>33</v>
      </c>
      <c r="F323">
        <v>1</v>
      </c>
      <c r="G323" s="89">
        <v>44253</v>
      </c>
      <c r="H323">
        <v>44258</v>
      </c>
      <c r="I323">
        <v>44260</v>
      </c>
      <c r="K323" t="s">
        <v>23</v>
      </c>
      <c r="L323" t="s">
        <v>42</v>
      </c>
      <c r="M323" t="s">
        <v>25</v>
      </c>
      <c r="O323" t="s">
        <v>27</v>
      </c>
      <c r="Q323" t="s">
        <v>29</v>
      </c>
      <c r="R323" t="s">
        <v>54</v>
      </c>
    </row>
    <row r="324" spans="1:18" x14ac:dyDescent="0.25">
      <c r="A324" t="s">
        <v>40</v>
      </c>
      <c r="B324">
        <v>225198</v>
      </c>
      <c r="C324" t="s">
        <v>20</v>
      </c>
      <c r="D324" t="s">
        <v>158</v>
      </c>
      <c r="E324" t="s">
        <v>35</v>
      </c>
      <c r="F324">
        <v>1</v>
      </c>
      <c r="G324" s="89">
        <v>44259</v>
      </c>
      <c r="H324">
        <v>44259</v>
      </c>
      <c r="I324">
        <v>44259</v>
      </c>
      <c r="K324" t="s">
        <v>23</v>
      </c>
      <c r="L324" t="s">
        <v>34</v>
      </c>
      <c r="M324" t="s">
        <v>25</v>
      </c>
      <c r="O324" t="s">
        <v>27</v>
      </c>
      <c r="Q324" t="s">
        <v>29</v>
      </c>
      <c r="R324" t="s">
        <v>29</v>
      </c>
    </row>
    <row r="325" spans="1:18" x14ac:dyDescent="0.25">
      <c r="A325" t="s">
        <v>77</v>
      </c>
      <c r="B325">
        <v>226301</v>
      </c>
      <c r="C325" t="s">
        <v>20</v>
      </c>
      <c r="D325" t="s">
        <v>258</v>
      </c>
      <c r="E325" t="s">
        <v>35</v>
      </c>
      <c r="F325">
        <v>1</v>
      </c>
      <c r="G325" s="89">
        <v>44264</v>
      </c>
      <c r="H325">
        <v>44267</v>
      </c>
      <c r="I325">
        <v>44270</v>
      </c>
      <c r="K325" t="s">
        <v>23</v>
      </c>
      <c r="L325" t="s">
        <v>34</v>
      </c>
      <c r="M325" t="s">
        <v>25</v>
      </c>
      <c r="O325" t="s">
        <v>26</v>
      </c>
      <c r="Q325" t="s">
        <v>29</v>
      </c>
      <c r="R325" t="s">
        <v>28</v>
      </c>
    </row>
    <row r="326" spans="1:18" x14ac:dyDescent="0.25">
      <c r="A326" t="s">
        <v>77</v>
      </c>
      <c r="B326">
        <v>226301</v>
      </c>
      <c r="C326" t="s">
        <v>20</v>
      </c>
      <c r="D326" t="s">
        <v>258</v>
      </c>
      <c r="E326" t="s">
        <v>49</v>
      </c>
      <c r="F326">
        <v>1</v>
      </c>
      <c r="G326" s="89">
        <v>44264</v>
      </c>
      <c r="H326">
        <v>44267</v>
      </c>
      <c r="I326">
        <v>44270</v>
      </c>
      <c r="K326" t="s">
        <v>23</v>
      </c>
      <c r="L326" t="s">
        <v>34</v>
      </c>
      <c r="M326" t="s">
        <v>25</v>
      </c>
      <c r="O326" t="s">
        <v>26</v>
      </c>
      <c r="Q326" t="s">
        <v>29</v>
      </c>
      <c r="R326" t="s">
        <v>28</v>
      </c>
    </row>
    <row r="327" spans="1:18" x14ac:dyDescent="0.25">
      <c r="A327" t="s">
        <v>77</v>
      </c>
      <c r="B327">
        <v>226301</v>
      </c>
      <c r="C327" t="s">
        <v>20</v>
      </c>
      <c r="D327" t="s">
        <v>258</v>
      </c>
      <c r="E327" t="s">
        <v>33</v>
      </c>
      <c r="F327">
        <v>1</v>
      </c>
      <c r="G327" s="89">
        <v>44264</v>
      </c>
      <c r="H327">
        <v>44267</v>
      </c>
      <c r="I327">
        <v>44270</v>
      </c>
      <c r="K327" t="s">
        <v>23</v>
      </c>
      <c r="L327" t="s">
        <v>34</v>
      </c>
      <c r="M327" t="s">
        <v>25</v>
      </c>
      <c r="O327" t="s">
        <v>26</v>
      </c>
      <c r="Q327" t="s">
        <v>29</v>
      </c>
      <c r="R327" t="s">
        <v>28</v>
      </c>
    </row>
    <row r="328" spans="1:18" x14ac:dyDescent="0.25">
      <c r="A328" t="s">
        <v>77</v>
      </c>
      <c r="B328">
        <v>226301</v>
      </c>
      <c r="C328" t="s">
        <v>20</v>
      </c>
      <c r="D328" t="s">
        <v>258</v>
      </c>
      <c r="E328" t="s">
        <v>39</v>
      </c>
      <c r="F328">
        <v>1</v>
      </c>
      <c r="G328" s="89">
        <v>44264</v>
      </c>
      <c r="H328">
        <v>44267</v>
      </c>
      <c r="I328">
        <v>44270</v>
      </c>
      <c r="K328" t="s">
        <v>23</v>
      </c>
      <c r="L328" t="s">
        <v>34</v>
      </c>
      <c r="M328" t="s">
        <v>25</v>
      </c>
      <c r="O328" t="s">
        <v>26</v>
      </c>
      <c r="Q328" t="s">
        <v>29</v>
      </c>
      <c r="R328" t="s">
        <v>28</v>
      </c>
    </row>
    <row r="329" spans="1:18" x14ac:dyDescent="0.25">
      <c r="A329" t="s">
        <v>77</v>
      </c>
      <c r="B329">
        <v>226301</v>
      </c>
      <c r="C329" t="s">
        <v>20</v>
      </c>
      <c r="D329" t="s">
        <v>258</v>
      </c>
      <c r="E329" t="s">
        <v>45</v>
      </c>
      <c r="F329">
        <v>1</v>
      </c>
      <c r="G329" s="89">
        <v>44264</v>
      </c>
      <c r="H329">
        <v>44267</v>
      </c>
      <c r="I329">
        <v>44270</v>
      </c>
      <c r="K329" t="s">
        <v>23</v>
      </c>
      <c r="L329" t="s">
        <v>34</v>
      </c>
      <c r="M329" t="s">
        <v>25</v>
      </c>
      <c r="O329" t="s">
        <v>26</v>
      </c>
      <c r="Q329" t="s">
        <v>29</v>
      </c>
      <c r="R329" t="s">
        <v>28</v>
      </c>
    </row>
    <row r="330" spans="1:18" x14ac:dyDescent="0.25">
      <c r="A330" t="s">
        <v>47</v>
      </c>
      <c r="B330">
        <v>226595</v>
      </c>
      <c r="C330" t="s">
        <v>31</v>
      </c>
      <c r="D330" t="s">
        <v>220</v>
      </c>
      <c r="E330" t="s">
        <v>45</v>
      </c>
      <c r="F330">
        <v>1</v>
      </c>
      <c r="G330" s="89">
        <v>44265</v>
      </c>
      <c r="H330">
        <v>44296</v>
      </c>
      <c r="I330">
        <v>44293</v>
      </c>
      <c r="K330" t="s">
        <v>23</v>
      </c>
      <c r="L330" t="s">
        <v>24</v>
      </c>
      <c r="M330" t="s">
        <v>25</v>
      </c>
      <c r="N330">
        <v>3</v>
      </c>
      <c r="O330" t="s">
        <v>27</v>
      </c>
      <c r="P330" t="s">
        <v>27</v>
      </c>
      <c r="Q330" t="s">
        <v>28</v>
      </c>
      <c r="R330" t="s">
        <v>74</v>
      </c>
    </row>
    <row r="331" spans="1:18" x14ac:dyDescent="0.25">
      <c r="A331" t="s">
        <v>47</v>
      </c>
      <c r="B331">
        <v>226595</v>
      </c>
      <c r="C331" t="s">
        <v>31</v>
      </c>
      <c r="D331" t="s">
        <v>220</v>
      </c>
      <c r="E331" t="s">
        <v>90</v>
      </c>
      <c r="F331">
        <v>9</v>
      </c>
      <c r="G331" s="89">
        <v>44265</v>
      </c>
      <c r="H331">
        <v>44296</v>
      </c>
      <c r="I331">
        <v>44293</v>
      </c>
      <c r="K331" t="s">
        <v>23</v>
      </c>
      <c r="L331" t="s">
        <v>24</v>
      </c>
      <c r="M331" t="s">
        <v>25</v>
      </c>
      <c r="N331">
        <v>2</v>
      </c>
      <c r="O331" t="s">
        <v>27</v>
      </c>
      <c r="P331" t="s">
        <v>27</v>
      </c>
      <c r="Q331" t="s">
        <v>28</v>
      </c>
      <c r="R331" t="s">
        <v>74</v>
      </c>
    </row>
    <row r="332" spans="1:18" x14ac:dyDescent="0.25">
      <c r="A332" t="s">
        <v>47</v>
      </c>
      <c r="B332">
        <v>226595</v>
      </c>
      <c r="C332" t="s">
        <v>31</v>
      </c>
      <c r="D332" t="s">
        <v>220</v>
      </c>
      <c r="E332" t="s">
        <v>39</v>
      </c>
      <c r="F332">
        <v>1</v>
      </c>
      <c r="G332" s="89">
        <v>44265</v>
      </c>
      <c r="H332">
        <v>44296</v>
      </c>
      <c r="I332">
        <v>44293</v>
      </c>
      <c r="K332" t="s">
        <v>23</v>
      </c>
      <c r="L332" t="s">
        <v>24</v>
      </c>
      <c r="M332" t="s">
        <v>25</v>
      </c>
      <c r="N332">
        <v>3</v>
      </c>
      <c r="O332" t="s">
        <v>27</v>
      </c>
      <c r="P332" t="s">
        <v>27</v>
      </c>
      <c r="Q332" t="s">
        <v>28</v>
      </c>
      <c r="R332" t="s">
        <v>74</v>
      </c>
    </row>
    <row r="333" spans="1:18" x14ac:dyDescent="0.25">
      <c r="A333" t="s">
        <v>47</v>
      </c>
      <c r="B333">
        <v>226595</v>
      </c>
      <c r="C333" t="s">
        <v>31</v>
      </c>
      <c r="D333" t="s">
        <v>220</v>
      </c>
      <c r="E333" t="s">
        <v>35</v>
      </c>
      <c r="F333">
        <v>1</v>
      </c>
      <c r="G333" s="89">
        <v>44265</v>
      </c>
      <c r="H333">
        <v>44272</v>
      </c>
      <c r="I333">
        <v>44274</v>
      </c>
      <c r="K333" t="s">
        <v>23</v>
      </c>
      <c r="L333" t="s">
        <v>24</v>
      </c>
      <c r="M333" t="s">
        <v>25</v>
      </c>
      <c r="N333">
        <v>5</v>
      </c>
      <c r="O333" t="s">
        <v>27</v>
      </c>
      <c r="P333" t="s">
        <v>27</v>
      </c>
      <c r="Q333" t="s">
        <v>28</v>
      </c>
      <c r="R333" t="s">
        <v>74</v>
      </c>
    </row>
    <row r="334" spans="1:18" x14ac:dyDescent="0.25">
      <c r="A334" t="s">
        <v>55</v>
      </c>
      <c r="B334">
        <v>226994</v>
      </c>
      <c r="C334" t="s">
        <v>20</v>
      </c>
      <c r="D334" t="s">
        <v>259</v>
      </c>
      <c r="E334" t="s">
        <v>33</v>
      </c>
      <c r="F334">
        <v>9</v>
      </c>
      <c r="G334" s="89">
        <v>44267</v>
      </c>
      <c r="H334">
        <v>44274</v>
      </c>
      <c r="I334">
        <v>44274</v>
      </c>
      <c r="K334" t="s">
        <v>23</v>
      </c>
      <c r="L334" t="s">
        <v>34</v>
      </c>
      <c r="M334" t="s">
        <v>25</v>
      </c>
      <c r="O334" t="s">
        <v>26</v>
      </c>
      <c r="P334" t="s">
        <v>26</v>
      </c>
      <c r="Q334" t="s">
        <v>29</v>
      </c>
      <c r="R334" t="s">
        <v>28</v>
      </c>
    </row>
    <row r="335" spans="1:18" x14ac:dyDescent="0.25">
      <c r="A335" t="s">
        <v>55</v>
      </c>
      <c r="B335">
        <v>226994</v>
      </c>
      <c r="C335" t="s">
        <v>20</v>
      </c>
      <c r="D335" t="s">
        <v>259</v>
      </c>
      <c r="E335" t="s">
        <v>94</v>
      </c>
      <c r="F335">
        <v>9</v>
      </c>
      <c r="G335" s="89">
        <v>44267</v>
      </c>
      <c r="H335">
        <v>44274</v>
      </c>
      <c r="I335">
        <v>44274</v>
      </c>
      <c r="K335" t="s">
        <v>23</v>
      </c>
      <c r="L335" t="s">
        <v>34</v>
      </c>
      <c r="M335" t="s">
        <v>25</v>
      </c>
      <c r="O335" t="s">
        <v>26</v>
      </c>
      <c r="P335" t="s">
        <v>26</v>
      </c>
      <c r="Q335" t="s">
        <v>29</v>
      </c>
      <c r="R335" t="s">
        <v>28</v>
      </c>
    </row>
    <row r="336" spans="1:18" x14ac:dyDescent="0.25">
      <c r="A336" t="s">
        <v>55</v>
      </c>
      <c r="B336">
        <v>226994</v>
      </c>
      <c r="C336" t="s">
        <v>20</v>
      </c>
      <c r="D336" t="s">
        <v>259</v>
      </c>
      <c r="E336" t="s">
        <v>35</v>
      </c>
      <c r="F336">
        <v>9</v>
      </c>
      <c r="G336" s="89">
        <v>44267</v>
      </c>
      <c r="H336">
        <v>44274</v>
      </c>
      <c r="I336">
        <v>44274</v>
      </c>
      <c r="K336" t="s">
        <v>23</v>
      </c>
      <c r="L336" t="s">
        <v>34</v>
      </c>
      <c r="M336" t="s">
        <v>25</v>
      </c>
      <c r="O336" t="s">
        <v>26</v>
      </c>
      <c r="P336" t="s">
        <v>26</v>
      </c>
      <c r="Q336" t="s">
        <v>29</v>
      </c>
      <c r="R336" t="s">
        <v>28</v>
      </c>
    </row>
    <row r="337" spans="1:18" x14ac:dyDescent="0.25">
      <c r="A337" t="s">
        <v>55</v>
      </c>
      <c r="B337">
        <v>226994</v>
      </c>
      <c r="C337" t="s">
        <v>20</v>
      </c>
      <c r="D337" t="s">
        <v>259</v>
      </c>
      <c r="E337" t="s">
        <v>36</v>
      </c>
      <c r="F337">
        <v>30</v>
      </c>
      <c r="G337" s="89">
        <v>44267</v>
      </c>
      <c r="H337">
        <v>44274</v>
      </c>
      <c r="I337">
        <v>44274</v>
      </c>
      <c r="K337" t="s">
        <v>23</v>
      </c>
      <c r="L337" t="s">
        <v>34</v>
      </c>
      <c r="M337" t="s">
        <v>25</v>
      </c>
      <c r="O337" t="s">
        <v>26</v>
      </c>
      <c r="P337" t="s">
        <v>26</v>
      </c>
      <c r="Q337" t="s">
        <v>29</v>
      </c>
      <c r="R337" t="s">
        <v>28</v>
      </c>
    </row>
    <row r="338" spans="1:18" x14ac:dyDescent="0.25">
      <c r="A338" t="s">
        <v>30</v>
      </c>
      <c r="B338">
        <v>224197</v>
      </c>
      <c r="C338" t="s">
        <v>64</v>
      </c>
      <c r="D338" t="s">
        <v>260</v>
      </c>
      <c r="E338" t="s">
        <v>80</v>
      </c>
      <c r="F338">
        <v>1</v>
      </c>
      <c r="G338" s="89">
        <v>44256</v>
      </c>
      <c r="H338">
        <v>44274</v>
      </c>
      <c r="K338" t="s">
        <v>219</v>
      </c>
      <c r="L338" t="s">
        <v>42</v>
      </c>
      <c r="M338" t="s">
        <v>25</v>
      </c>
      <c r="O338" t="s">
        <v>27</v>
      </c>
      <c r="Q338" t="s">
        <v>29</v>
      </c>
    </row>
    <row r="339" spans="1:18" x14ac:dyDescent="0.25">
      <c r="A339" t="s">
        <v>68</v>
      </c>
      <c r="B339">
        <v>227517</v>
      </c>
      <c r="C339" t="s">
        <v>31</v>
      </c>
      <c r="D339" t="s">
        <v>200</v>
      </c>
      <c r="E339" t="s">
        <v>33</v>
      </c>
      <c r="F339">
        <v>2</v>
      </c>
      <c r="G339" s="89">
        <v>44270</v>
      </c>
      <c r="H339">
        <v>44284</v>
      </c>
      <c r="I339">
        <v>44285</v>
      </c>
      <c r="J339" t="s">
        <v>221</v>
      </c>
      <c r="K339" t="s">
        <v>23</v>
      </c>
      <c r="L339" t="s">
        <v>42</v>
      </c>
      <c r="M339" t="s">
        <v>25</v>
      </c>
      <c r="O339" t="s">
        <v>27</v>
      </c>
      <c r="P339" t="s">
        <v>27</v>
      </c>
      <c r="Q339" t="s">
        <v>28</v>
      </c>
      <c r="R339" t="s">
        <v>29</v>
      </c>
    </row>
    <row r="340" spans="1:18" x14ac:dyDescent="0.25">
      <c r="A340" t="s">
        <v>68</v>
      </c>
      <c r="B340">
        <v>227517</v>
      </c>
      <c r="C340" t="s">
        <v>31</v>
      </c>
      <c r="D340" t="s">
        <v>200</v>
      </c>
      <c r="E340" t="s">
        <v>49</v>
      </c>
      <c r="F340">
        <v>2</v>
      </c>
      <c r="G340" s="89">
        <v>44270</v>
      </c>
      <c r="H340">
        <v>44284</v>
      </c>
      <c r="I340">
        <v>44285</v>
      </c>
      <c r="J340" t="s">
        <v>221</v>
      </c>
      <c r="K340" t="s">
        <v>23</v>
      </c>
      <c r="L340" t="s">
        <v>42</v>
      </c>
      <c r="M340" t="s">
        <v>25</v>
      </c>
      <c r="O340" t="s">
        <v>27</v>
      </c>
      <c r="P340" t="s">
        <v>27</v>
      </c>
      <c r="Q340" t="s">
        <v>28</v>
      </c>
      <c r="R340" t="s">
        <v>29</v>
      </c>
    </row>
    <row r="341" spans="1:18" x14ac:dyDescent="0.25">
      <c r="A341" t="s">
        <v>68</v>
      </c>
      <c r="B341">
        <v>227517</v>
      </c>
      <c r="C341" t="s">
        <v>31</v>
      </c>
      <c r="D341" t="s">
        <v>200</v>
      </c>
      <c r="E341" t="s">
        <v>35</v>
      </c>
      <c r="F341">
        <v>2</v>
      </c>
      <c r="G341" s="89">
        <v>44270</v>
      </c>
      <c r="H341">
        <v>44284</v>
      </c>
      <c r="I341">
        <v>44285</v>
      </c>
      <c r="J341" t="s">
        <v>221</v>
      </c>
      <c r="K341" t="s">
        <v>23</v>
      </c>
      <c r="L341" t="s">
        <v>42</v>
      </c>
      <c r="M341" t="s">
        <v>25</v>
      </c>
      <c r="O341" t="s">
        <v>27</v>
      </c>
      <c r="P341" t="s">
        <v>27</v>
      </c>
      <c r="Q341" t="s">
        <v>28</v>
      </c>
      <c r="R341" t="s">
        <v>29</v>
      </c>
    </row>
    <row r="342" spans="1:18" x14ac:dyDescent="0.25">
      <c r="A342" t="s">
        <v>68</v>
      </c>
      <c r="B342">
        <v>227517</v>
      </c>
      <c r="C342" t="s">
        <v>31</v>
      </c>
      <c r="D342" t="s">
        <v>200</v>
      </c>
      <c r="E342" t="s">
        <v>44</v>
      </c>
      <c r="F342">
        <v>2</v>
      </c>
      <c r="G342" s="89">
        <v>44270</v>
      </c>
      <c r="H342">
        <v>44284</v>
      </c>
      <c r="I342">
        <v>44285</v>
      </c>
      <c r="J342" t="s">
        <v>221</v>
      </c>
      <c r="K342" t="s">
        <v>23</v>
      </c>
      <c r="L342" t="s">
        <v>42</v>
      </c>
      <c r="M342" t="s">
        <v>25</v>
      </c>
      <c r="O342" t="s">
        <v>27</v>
      </c>
      <c r="P342" t="s">
        <v>27</v>
      </c>
      <c r="Q342" t="s">
        <v>28</v>
      </c>
      <c r="R342" t="s">
        <v>29</v>
      </c>
    </row>
    <row r="343" spans="1:18" x14ac:dyDescent="0.25">
      <c r="A343" t="s">
        <v>68</v>
      </c>
      <c r="B343">
        <v>227517</v>
      </c>
      <c r="C343" t="s">
        <v>31</v>
      </c>
      <c r="D343" t="s">
        <v>200</v>
      </c>
      <c r="E343" t="s">
        <v>36</v>
      </c>
      <c r="F343">
        <v>8</v>
      </c>
      <c r="G343" s="89">
        <v>44270</v>
      </c>
      <c r="H343">
        <v>44284</v>
      </c>
      <c r="I343">
        <v>44285</v>
      </c>
      <c r="J343" t="s">
        <v>221</v>
      </c>
      <c r="K343" t="s">
        <v>23</v>
      </c>
      <c r="L343" t="s">
        <v>42</v>
      </c>
      <c r="M343" t="s">
        <v>25</v>
      </c>
      <c r="O343" t="s">
        <v>27</v>
      </c>
      <c r="P343" t="s">
        <v>27</v>
      </c>
      <c r="Q343" t="s">
        <v>28</v>
      </c>
      <c r="R343" t="s">
        <v>29</v>
      </c>
    </row>
    <row r="344" spans="1:18" x14ac:dyDescent="0.25">
      <c r="A344" t="s">
        <v>95</v>
      </c>
      <c r="B344">
        <v>228081</v>
      </c>
      <c r="C344" t="s">
        <v>20</v>
      </c>
      <c r="D344" t="s">
        <v>261</v>
      </c>
      <c r="E344" t="s">
        <v>35</v>
      </c>
      <c r="F344">
        <v>1</v>
      </c>
      <c r="G344" s="89">
        <v>44272</v>
      </c>
      <c r="H344">
        <v>44273</v>
      </c>
      <c r="I344">
        <v>44273</v>
      </c>
      <c r="K344" t="s">
        <v>23</v>
      </c>
      <c r="L344" t="s">
        <v>34</v>
      </c>
      <c r="M344" t="s">
        <v>25</v>
      </c>
      <c r="O344" t="s">
        <v>26</v>
      </c>
      <c r="Q344" t="s">
        <v>28</v>
      </c>
      <c r="R344" t="s">
        <v>28</v>
      </c>
    </row>
    <row r="345" spans="1:18" x14ac:dyDescent="0.25">
      <c r="A345" t="s">
        <v>40</v>
      </c>
      <c r="B345">
        <v>228488</v>
      </c>
      <c r="C345" t="s">
        <v>20</v>
      </c>
      <c r="D345" t="s">
        <v>262</v>
      </c>
      <c r="E345" t="s">
        <v>225</v>
      </c>
      <c r="F345">
        <v>6</v>
      </c>
      <c r="G345" s="89">
        <v>44273</v>
      </c>
      <c r="H345">
        <v>44277</v>
      </c>
      <c r="I345">
        <v>44295</v>
      </c>
      <c r="K345" t="s">
        <v>23</v>
      </c>
      <c r="L345" t="s">
        <v>42</v>
      </c>
      <c r="M345" t="s">
        <v>25</v>
      </c>
      <c r="N345">
        <v>1</v>
      </c>
      <c r="O345" t="s">
        <v>27</v>
      </c>
      <c r="Q345" t="s">
        <v>29</v>
      </c>
      <c r="R345" t="s">
        <v>29</v>
      </c>
    </row>
    <row r="346" spans="1:18" x14ac:dyDescent="0.25">
      <c r="A346" t="s">
        <v>37</v>
      </c>
      <c r="B346">
        <v>227874</v>
      </c>
      <c r="C346" t="s">
        <v>20</v>
      </c>
      <c r="D346" t="s">
        <v>263</v>
      </c>
      <c r="E346" t="s">
        <v>35</v>
      </c>
      <c r="F346">
        <v>2</v>
      </c>
      <c r="G346" s="89">
        <v>44271</v>
      </c>
      <c r="H346">
        <v>44280</v>
      </c>
      <c r="I346">
        <v>44287</v>
      </c>
      <c r="K346" t="s">
        <v>23</v>
      </c>
      <c r="L346" t="s">
        <v>42</v>
      </c>
      <c r="M346" t="s">
        <v>25</v>
      </c>
      <c r="N346">
        <v>1</v>
      </c>
      <c r="O346" t="s">
        <v>26</v>
      </c>
      <c r="Q346" t="s">
        <v>28</v>
      </c>
      <c r="R346" t="s">
        <v>54</v>
      </c>
    </row>
    <row r="347" spans="1:18" x14ac:dyDescent="0.25">
      <c r="A347" t="s">
        <v>37</v>
      </c>
      <c r="B347">
        <v>227874</v>
      </c>
      <c r="C347" t="s">
        <v>20</v>
      </c>
      <c r="D347" t="s">
        <v>263</v>
      </c>
      <c r="E347" t="s">
        <v>49</v>
      </c>
      <c r="F347">
        <v>2</v>
      </c>
      <c r="G347" s="89">
        <v>44271</v>
      </c>
      <c r="H347">
        <v>44280</v>
      </c>
      <c r="I347">
        <v>44287</v>
      </c>
      <c r="K347" t="s">
        <v>23</v>
      </c>
      <c r="L347" t="s">
        <v>42</v>
      </c>
      <c r="M347" t="s">
        <v>25</v>
      </c>
      <c r="O347" t="s">
        <v>26</v>
      </c>
      <c r="Q347" t="s">
        <v>28</v>
      </c>
      <c r="R347" t="s">
        <v>54</v>
      </c>
    </row>
    <row r="348" spans="1:18" x14ac:dyDescent="0.25">
      <c r="A348" t="s">
        <v>37</v>
      </c>
      <c r="B348">
        <v>227874</v>
      </c>
      <c r="C348" t="s">
        <v>20</v>
      </c>
      <c r="D348" t="s">
        <v>263</v>
      </c>
      <c r="E348" t="s">
        <v>93</v>
      </c>
      <c r="F348">
        <v>2</v>
      </c>
      <c r="G348" s="89">
        <v>44271</v>
      </c>
      <c r="H348">
        <v>44280</v>
      </c>
      <c r="I348">
        <v>44287</v>
      </c>
      <c r="K348" t="s">
        <v>23</v>
      </c>
      <c r="L348" t="s">
        <v>42</v>
      </c>
      <c r="M348" t="s">
        <v>25</v>
      </c>
      <c r="N348">
        <v>1</v>
      </c>
      <c r="O348" t="s">
        <v>26</v>
      </c>
      <c r="Q348" t="s">
        <v>28</v>
      </c>
      <c r="R348" t="s">
        <v>54</v>
      </c>
    </row>
    <row r="349" spans="1:18" x14ac:dyDescent="0.25">
      <c r="A349" t="s">
        <v>55</v>
      </c>
      <c r="B349">
        <v>228924</v>
      </c>
      <c r="C349" t="s">
        <v>20</v>
      </c>
      <c r="D349" t="s">
        <v>264</v>
      </c>
      <c r="E349" t="s">
        <v>73</v>
      </c>
      <c r="F349">
        <v>1</v>
      </c>
      <c r="G349" s="89">
        <v>44277</v>
      </c>
      <c r="H349">
        <v>44277</v>
      </c>
      <c r="I349">
        <v>44278</v>
      </c>
      <c r="K349" t="s">
        <v>23</v>
      </c>
      <c r="L349" t="s">
        <v>58</v>
      </c>
      <c r="M349" t="s">
        <v>25</v>
      </c>
      <c r="O349" t="s">
        <v>26</v>
      </c>
      <c r="Q349" t="s">
        <v>54</v>
      </c>
      <c r="R349" t="s">
        <v>28</v>
      </c>
    </row>
    <row r="350" spans="1:18" x14ac:dyDescent="0.25">
      <c r="A350" t="s">
        <v>30</v>
      </c>
      <c r="B350">
        <v>228902</v>
      </c>
      <c r="C350" t="s">
        <v>20</v>
      </c>
      <c r="D350" t="s">
        <v>105</v>
      </c>
      <c r="E350" t="s">
        <v>73</v>
      </c>
      <c r="F350">
        <v>1</v>
      </c>
      <c r="G350" s="89">
        <v>44277</v>
      </c>
      <c r="H350">
        <v>44279</v>
      </c>
      <c r="I350">
        <v>44279</v>
      </c>
      <c r="K350" t="s">
        <v>23</v>
      </c>
      <c r="L350" t="s">
        <v>58</v>
      </c>
      <c r="M350" t="s">
        <v>25</v>
      </c>
      <c r="O350" t="s">
        <v>26</v>
      </c>
      <c r="Q350" t="s">
        <v>29</v>
      </c>
      <c r="R350" t="s">
        <v>54</v>
      </c>
    </row>
    <row r="351" spans="1:18" x14ac:dyDescent="0.25">
      <c r="A351" t="s">
        <v>30</v>
      </c>
      <c r="B351">
        <v>228546</v>
      </c>
      <c r="C351" t="s">
        <v>31</v>
      </c>
      <c r="D351" t="s">
        <v>222</v>
      </c>
      <c r="E351" t="s">
        <v>44</v>
      </c>
      <c r="F351">
        <v>2</v>
      </c>
      <c r="G351" s="89">
        <v>44273</v>
      </c>
      <c r="H351">
        <v>44279</v>
      </c>
      <c r="I351">
        <v>44279</v>
      </c>
      <c r="K351" t="s">
        <v>23</v>
      </c>
      <c r="L351" t="s">
        <v>58</v>
      </c>
      <c r="M351" t="s">
        <v>25</v>
      </c>
      <c r="O351" t="s">
        <v>26</v>
      </c>
      <c r="P351" t="s">
        <v>26</v>
      </c>
      <c r="Q351" t="s">
        <v>29</v>
      </c>
      <c r="R351" t="s">
        <v>74</v>
      </c>
    </row>
    <row r="352" spans="1:18" x14ac:dyDescent="0.25">
      <c r="A352" t="s">
        <v>30</v>
      </c>
      <c r="B352">
        <v>228546</v>
      </c>
      <c r="C352" t="s">
        <v>31</v>
      </c>
      <c r="D352" t="s">
        <v>222</v>
      </c>
      <c r="E352" t="s">
        <v>44</v>
      </c>
      <c r="F352">
        <v>2</v>
      </c>
      <c r="G352" s="89">
        <v>44273</v>
      </c>
      <c r="H352">
        <v>44279</v>
      </c>
      <c r="I352">
        <v>44279</v>
      </c>
      <c r="K352" t="s">
        <v>23</v>
      </c>
      <c r="L352" t="s">
        <v>34</v>
      </c>
      <c r="M352" t="s">
        <v>25</v>
      </c>
      <c r="O352" t="s">
        <v>26</v>
      </c>
      <c r="P352" t="s">
        <v>26</v>
      </c>
      <c r="Q352" t="s">
        <v>29</v>
      </c>
      <c r="R352" t="s">
        <v>74</v>
      </c>
    </row>
    <row r="353" spans="1:18" x14ac:dyDescent="0.25">
      <c r="A353" t="s">
        <v>145</v>
      </c>
      <c r="B353">
        <v>228024</v>
      </c>
      <c r="C353" t="s">
        <v>20</v>
      </c>
      <c r="D353" t="s">
        <v>265</v>
      </c>
      <c r="E353" t="s">
        <v>33</v>
      </c>
      <c r="F353">
        <v>1</v>
      </c>
      <c r="G353" s="89">
        <v>44272</v>
      </c>
      <c r="H353">
        <v>44285</v>
      </c>
      <c r="I353">
        <v>44294</v>
      </c>
      <c r="K353" t="s">
        <v>23</v>
      </c>
      <c r="L353" t="s">
        <v>42</v>
      </c>
      <c r="M353" t="s">
        <v>25</v>
      </c>
      <c r="N353">
        <v>1</v>
      </c>
      <c r="O353" t="s">
        <v>27</v>
      </c>
      <c r="Q353" t="s">
        <v>29</v>
      </c>
      <c r="R353" t="s">
        <v>54</v>
      </c>
    </row>
    <row r="354" spans="1:18" x14ac:dyDescent="0.25">
      <c r="A354" t="s">
        <v>145</v>
      </c>
      <c r="B354">
        <v>228024</v>
      </c>
      <c r="C354" t="s">
        <v>20</v>
      </c>
      <c r="D354" t="s">
        <v>265</v>
      </c>
      <c r="E354" t="s">
        <v>49</v>
      </c>
      <c r="F354">
        <v>1</v>
      </c>
      <c r="G354" s="89">
        <v>44272</v>
      </c>
      <c r="H354">
        <v>44285</v>
      </c>
      <c r="I354">
        <v>44294</v>
      </c>
      <c r="K354" t="s">
        <v>23</v>
      </c>
      <c r="L354" t="s">
        <v>42</v>
      </c>
      <c r="M354" t="s">
        <v>25</v>
      </c>
      <c r="N354">
        <v>1</v>
      </c>
      <c r="O354" t="s">
        <v>27</v>
      </c>
      <c r="Q354" t="s">
        <v>29</v>
      </c>
      <c r="R354" t="s">
        <v>54</v>
      </c>
    </row>
    <row r="355" spans="1:18" x14ac:dyDescent="0.25">
      <c r="A355" t="s">
        <v>145</v>
      </c>
      <c r="B355">
        <v>228024</v>
      </c>
      <c r="C355" t="s">
        <v>20</v>
      </c>
      <c r="D355" t="s">
        <v>265</v>
      </c>
      <c r="E355" t="s">
        <v>36</v>
      </c>
      <c r="F355">
        <v>4</v>
      </c>
      <c r="G355" s="89">
        <v>44272</v>
      </c>
      <c r="H355">
        <v>44285</v>
      </c>
      <c r="I355">
        <v>44294</v>
      </c>
      <c r="K355" t="s">
        <v>23</v>
      </c>
      <c r="L355" t="s">
        <v>42</v>
      </c>
      <c r="M355" t="s">
        <v>25</v>
      </c>
      <c r="N355">
        <v>1</v>
      </c>
      <c r="O355" t="s">
        <v>27</v>
      </c>
      <c r="Q355" t="s">
        <v>29</v>
      </c>
      <c r="R355" t="s">
        <v>54</v>
      </c>
    </row>
    <row r="356" spans="1:18" x14ac:dyDescent="0.25">
      <c r="A356" t="s">
        <v>145</v>
      </c>
      <c r="B356">
        <v>228024</v>
      </c>
      <c r="C356" t="s">
        <v>20</v>
      </c>
      <c r="D356" t="s">
        <v>265</v>
      </c>
      <c r="E356" t="s">
        <v>93</v>
      </c>
      <c r="F356">
        <v>1</v>
      </c>
      <c r="G356" s="89">
        <v>44272</v>
      </c>
      <c r="H356">
        <v>44285</v>
      </c>
      <c r="I356">
        <v>44294</v>
      </c>
      <c r="K356" t="s">
        <v>23</v>
      </c>
      <c r="L356" t="s">
        <v>42</v>
      </c>
      <c r="M356" t="s">
        <v>25</v>
      </c>
      <c r="N356">
        <v>1</v>
      </c>
      <c r="O356" t="s">
        <v>27</v>
      </c>
      <c r="Q356" t="s">
        <v>29</v>
      </c>
      <c r="R356" t="s">
        <v>54</v>
      </c>
    </row>
    <row r="357" spans="1:18" x14ac:dyDescent="0.25">
      <c r="A357" t="s">
        <v>231</v>
      </c>
      <c r="B357">
        <v>227457</v>
      </c>
      <c r="C357" t="s">
        <v>20</v>
      </c>
      <c r="D357" t="s">
        <v>266</v>
      </c>
      <c r="E357" t="s">
        <v>22</v>
      </c>
      <c r="F357">
        <v>4</v>
      </c>
      <c r="G357" s="89">
        <v>44270</v>
      </c>
      <c r="H357">
        <v>44278</v>
      </c>
      <c r="I357">
        <v>44278</v>
      </c>
      <c r="K357" t="s">
        <v>23</v>
      </c>
      <c r="L357" t="s">
        <v>34</v>
      </c>
      <c r="M357" t="s">
        <v>25</v>
      </c>
      <c r="O357" t="s">
        <v>26</v>
      </c>
      <c r="Q357" t="s">
        <v>29</v>
      </c>
    </row>
    <row r="358" spans="1:18" x14ac:dyDescent="0.25">
      <c r="A358" t="s">
        <v>68</v>
      </c>
      <c r="B358">
        <v>229448</v>
      </c>
      <c r="C358" t="s">
        <v>20</v>
      </c>
      <c r="D358" t="s">
        <v>267</v>
      </c>
      <c r="E358" t="s">
        <v>33</v>
      </c>
      <c r="F358">
        <v>1</v>
      </c>
      <c r="G358" s="89">
        <v>44278</v>
      </c>
      <c r="H358">
        <v>44278</v>
      </c>
      <c r="I358">
        <v>44278</v>
      </c>
      <c r="K358" t="s">
        <v>23</v>
      </c>
      <c r="L358" t="s">
        <v>34</v>
      </c>
      <c r="M358" t="s">
        <v>25</v>
      </c>
      <c r="O358" t="s">
        <v>26</v>
      </c>
      <c r="Q358" t="s">
        <v>29</v>
      </c>
      <c r="R358" t="s">
        <v>29</v>
      </c>
    </row>
    <row r="359" spans="1:18" x14ac:dyDescent="0.25">
      <c r="A359" t="s">
        <v>47</v>
      </c>
      <c r="B359">
        <v>227888</v>
      </c>
      <c r="C359" t="s">
        <v>31</v>
      </c>
      <c r="D359" t="s">
        <v>223</v>
      </c>
      <c r="E359" t="s">
        <v>44</v>
      </c>
      <c r="F359">
        <v>1</v>
      </c>
      <c r="G359" s="89">
        <v>44271</v>
      </c>
      <c r="H359">
        <v>44291</v>
      </c>
      <c r="I359">
        <v>44291</v>
      </c>
      <c r="K359" t="s">
        <v>23</v>
      </c>
      <c r="L359" t="s">
        <v>34</v>
      </c>
      <c r="M359" t="s">
        <v>25</v>
      </c>
      <c r="O359" t="s">
        <v>26</v>
      </c>
      <c r="P359" t="s">
        <v>27</v>
      </c>
      <c r="Q359" t="s">
        <v>28</v>
      </c>
      <c r="R359" t="s">
        <v>74</v>
      </c>
    </row>
    <row r="360" spans="1:18" x14ac:dyDescent="0.25">
      <c r="A360" t="s">
        <v>47</v>
      </c>
      <c r="B360">
        <v>227888</v>
      </c>
      <c r="C360" t="s">
        <v>31</v>
      </c>
      <c r="D360" t="s">
        <v>223</v>
      </c>
      <c r="E360" t="s">
        <v>49</v>
      </c>
      <c r="F360">
        <v>1</v>
      </c>
      <c r="G360" s="89">
        <v>44271</v>
      </c>
      <c r="H360">
        <v>44291</v>
      </c>
      <c r="I360">
        <v>44291</v>
      </c>
      <c r="K360" t="s">
        <v>23</v>
      </c>
      <c r="L360" t="s">
        <v>34</v>
      </c>
      <c r="M360" t="s">
        <v>25</v>
      </c>
      <c r="O360" t="s">
        <v>26</v>
      </c>
      <c r="P360" t="s">
        <v>27</v>
      </c>
      <c r="Q360" t="s">
        <v>28</v>
      </c>
      <c r="R360" t="s">
        <v>74</v>
      </c>
    </row>
    <row r="361" spans="1:18" x14ac:dyDescent="0.25">
      <c r="A361" t="s">
        <v>47</v>
      </c>
      <c r="B361">
        <v>227888</v>
      </c>
      <c r="C361" t="s">
        <v>31</v>
      </c>
      <c r="D361" t="s">
        <v>223</v>
      </c>
      <c r="E361" t="s">
        <v>35</v>
      </c>
      <c r="F361">
        <v>1</v>
      </c>
      <c r="G361" s="89">
        <v>44271</v>
      </c>
      <c r="H361">
        <v>44279</v>
      </c>
      <c r="I361">
        <v>44279</v>
      </c>
      <c r="K361" t="s">
        <v>23</v>
      </c>
      <c r="L361" t="s">
        <v>34</v>
      </c>
      <c r="M361" t="s">
        <v>25</v>
      </c>
      <c r="O361" t="s">
        <v>26</v>
      </c>
      <c r="P361" t="s">
        <v>27</v>
      </c>
      <c r="Q361" t="s">
        <v>28</v>
      </c>
      <c r="R361" t="s">
        <v>74</v>
      </c>
    </row>
    <row r="362" spans="1:18" x14ac:dyDescent="0.25">
      <c r="A362" t="s">
        <v>145</v>
      </c>
      <c r="B362">
        <v>227710</v>
      </c>
      <c r="C362" t="s">
        <v>31</v>
      </c>
      <c r="D362" t="s">
        <v>224</v>
      </c>
      <c r="E362" t="s">
        <v>36</v>
      </c>
      <c r="F362">
        <v>4</v>
      </c>
      <c r="G362" s="89">
        <v>44271</v>
      </c>
      <c r="H362">
        <v>44280</v>
      </c>
      <c r="I362">
        <v>44301</v>
      </c>
      <c r="K362" t="s">
        <v>23</v>
      </c>
      <c r="L362" t="s">
        <v>34</v>
      </c>
      <c r="M362" t="s">
        <v>25</v>
      </c>
      <c r="O362" t="s">
        <v>26</v>
      </c>
      <c r="P362" t="s">
        <v>26</v>
      </c>
      <c r="Q362" t="s">
        <v>29</v>
      </c>
      <c r="R362" t="s">
        <v>74</v>
      </c>
    </row>
    <row r="363" spans="1:18" x14ac:dyDescent="0.25">
      <c r="A363" t="s">
        <v>145</v>
      </c>
      <c r="B363">
        <v>227710</v>
      </c>
      <c r="C363" t="s">
        <v>31</v>
      </c>
      <c r="D363" t="s">
        <v>224</v>
      </c>
      <c r="E363" t="s">
        <v>33</v>
      </c>
      <c r="F363">
        <v>1</v>
      </c>
      <c r="G363" s="89">
        <v>44271</v>
      </c>
      <c r="H363">
        <v>44280</v>
      </c>
      <c r="I363">
        <v>44301</v>
      </c>
      <c r="K363" t="s">
        <v>23</v>
      </c>
      <c r="L363" t="s">
        <v>34</v>
      </c>
      <c r="M363" t="s">
        <v>25</v>
      </c>
      <c r="O363" t="s">
        <v>26</v>
      </c>
      <c r="P363" t="s">
        <v>26</v>
      </c>
      <c r="Q363" t="s">
        <v>29</v>
      </c>
      <c r="R363" t="s">
        <v>74</v>
      </c>
    </row>
    <row r="364" spans="1:18" x14ac:dyDescent="0.25">
      <c r="A364" t="s">
        <v>145</v>
      </c>
      <c r="B364">
        <v>227710</v>
      </c>
      <c r="C364" t="s">
        <v>31</v>
      </c>
      <c r="D364" t="s">
        <v>224</v>
      </c>
      <c r="E364" t="s">
        <v>49</v>
      </c>
      <c r="F364">
        <v>1</v>
      </c>
      <c r="G364" s="89">
        <v>44271</v>
      </c>
      <c r="H364">
        <v>44280</v>
      </c>
      <c r="I364">
        <v>44301</v>
      </c>
      <c r="K364" t="s">
        <v>23</v>
      </c>
      <c r="L364" t="s">
        <v>34</v>
      </c>
      <c r="M364" t="s">
        <v>25</v>
      </c>
      <c r="O364" t="s">
        <v>26</v>
      </c>
      <c r="P364" t="s">
        <v>26</v>
      </c>
      <c r="Q364" t="s">
        <v>29</v>
      </c>
      <c r="R364" t="s">
        <v>74</v>
      </c>
    </row>
    <row r="365" spans="1:18" x14ac:dyDescent="0.25">
      <c r="A365" t="s">
        <v>37</v>
      </c>
      <c r="B365">
        <v>227568</v>
      </c>
      <c r="C365" t="s">
        <v>20</v>
      </c>
      <c r="D365" t="s">
        <v>268</v>
      </c>
      <c r="E365" t="s">
        <v>83</v>
      </c>
      <c r="F365">
        <v>2</v>
      </c>
      <c r="G365" s="89">
        <v>44271</v>
      </c>
      <c r="H365">
        <v>44280</v>
      </c>
      <c r="I365">
        <v>44306</v>
      </c>
      <c r="K365" t="s">
        <v>23</v>
      </c>
      <c r="L365" t="s">
        <v>42</v>
      </c>
      <c r="M365" t="s">
        <v>25</v>
      </c>
      <c r="O365" t="s">
        <v>27</v>
      </c>
      <c r="Q365" t="s">
        <v>29</v>
      </c>
      <c r="R365" t="s">
        <v>54</v>
      </c>
    </row>
    <row r="366" spans="1:18" x14ac:dyDescent="0.25">
      <c r="A366" t="s">
        <v>30</v>
      </c>
      <c r="B366">
        <v>229524</v>
      </c>
      <c r="C366" t="s">
        <v>31</v>
      </c>
      <c r="D366" t="s">
        <v>226</v>
      </c>
      <c r="E366" t="s">
        <v>43</v>
      </c>
      <c r="F366">
        <v>3</v>
      </c>
      <c r="G366" s="89">
        <v>44279</v>
      </c>
      <c r="H366">
        <v>44280</v>
      </c>
      <c r="I366">
        <v>44280</v>
      </c>
      <c r="K366" t="s">
        <v>23</v>
      </c>
      <c r="L366" t="s">
        <v>34</v>
      </c>
      <c r="M366" t="s">
        <v>25</v>
      </c>
      <c r="O366" t="s">
        <v>26</v>
      </c>
      <c r="P366" t="s">
        <v>27</v>
      </c>
      <c r="Q366" t="s">
        <v>29</v>
      </c>
      <c r="R366" t="s">
        <v>54</v>
      </c>
    </row>
    <row r="367" spans="1:18" x14ac:dyDescent="0.25">
      <c r="A367" t="s">
        <v>30</v>
      </c>
      <c r="B367">
        <v>229524</v>
      </c>
      <c r="C367" t="s">
        <v>31</v>
      </c>
      <c r="D367" t="s">
        <v>226</v>
      </c>
      <c r="E367" t="s">
        <v>39</v>
      </c>
      <c r="F367">
        <v>1</v>
      </c>
      <c r="G367" s="89">
        <v>44279</v>
      </c>
      <c r="H367">
        <v>44280</v>
      </c>
      <c r="I367">
        <v>44280</v>
      </c>
      <c r="K367" t="s">
        <v>23</v>
      </c>
      <c r="L367" t="s">
        <v>34</v>
      </c>
      <c r="M367" t="s">
        <v>25</v>
      </c>
      <c r="O367" t="s">
        <v>26</v>
      </c>
      <c r="P367" t="s">
        <v>27</v>
      </c>
      <c r="Q367" t="s">
        <v>29</v>
      </c>
      <c r="R367" t="s">
        <v>54</v>
      </c>
    </row>
    <row r="368" spans="1:18" x14ac:dyDescent="0.25">
      <c r="A368" t="s">
        <v>30</v>
      </c>
      <c r="B368">
        <v>229524</v>
      </c>
      <c r="C368" t="s">
        <v>31</v>
      </c>
      <c r="D368" t="s">
        <v>226</v>
      </c>
      <c r="E368" t="s">
        <v>33</v>
      </c>
      <c r="F368">
        <v>1</v>
      </c>
      <c r="G368" s="89">
        <v>44279</v>
      </c>
      <c r="H368">
        <v>44280</v>
      </c>
      <c r="I368">
        <v>44280</v>
      </c>
      <c r="K368" t="s">
        <v>23</v>
      </c>
      <c r="L368" t="s">
        <v>34</v>
      </c>
      <c r="M368" t="s">
        <v>25</v>
      </c>
      <c r="O368" t="s">
        <v>26</v>
      </c>
      <c r="P368" t="s">
        <v>27</v>
      </c>
      <c r="Q368" t="s">
        <v>29</v>
      </c>
      <c r="R368" t="s">
        <v>54</v>
      </c>
    </row>
    <row r="369" spans="1:18" x14ac:dyDescent="0.25">
      <c r="A369" t="s">
        <v>30</v>
      </c>
      <c r="B369">
        <v>229524</v>
      </c>
      <c r="C369" t="s">
        <v>31</v>
      </c>
      <c r="D369" t="s">
        <v>226</v>
      </c>
      <c r="E369" t="s">
        <v>36</v>
      </c>
      <c r="F369">
        <v>3</v>
      </c>
      <c r="G369" s="89">
        <v>44279</v>
      </c>
      <c r="H369">
        <v>44280</v>
      </c>
      <c r="I369">
        <v>44280</v>
      </c>
      <c r="K369" t="s">
        <v>23</v>
      </c>
      <c r="L369" t="s">
        <v>34</v>
      </c>
      <c r="M369" t="s">
        <v>25</v>
      </c>
      <c r="O369" t="s">
        <v>26</v>
      </c>
      <c r="P369" t="s">
        <v>27</v>
      </c>
      <c r="Q369" t="s">
        <v>29</v>
      </c>
      <c r="R369" t="s">
        <v>54</v>
      </c>
    </row>
    <row r="370" spans="1:18" x14ac:dyDescent="0.25">
      <c r="A370" t="s">
        <v>30</v>
      </c>
      <c r="B370">
        <v>229051</v>
      </c>
      <c r="C370" t="s">
        <v>20</v>
      </c>
      <c r="D370" t="s">
        <v>269</v>
      </c>
      <c r="E370" t="s">
        <v>80</v>
      </c>
      <c r="F370">
        <v>10</v>
      </c>
      <c r="G370" s="89">
        <v>44277</v>
      </c>
      <c r="H370">
        <v>44281</v>
      </c>
      <c r="I370">
        <v>44280</v>
      </c>
      <c r="K370" t="s">
        <v>23</v>
      </c>
      <c r="L370" t="s">
        <v>58</v>
      </c>
      <c r="M370" t="s">
        <v>25</v>
      </c>
      <c r="O370" t="s">
        <v>26</v>
      </c>
      <c r="Q370" t="s">
        <v>29</v>
      </c>
      <c r="R370" t="s">
        <v>54</v>
      </c>
    </row>
    <row r="371" spans="1:18" x14ac:dyDescent="0.25">
      <c r="A371" t="s">
        <v>30</v>
      </c>
      <c r="B371">
        <v>229086</v>
      </c>
      <c r="C371" t="s">
        <v>31</v>
      </c>
      <c r="D371" t="s">
        <v>227</v>
      </c>
      <c r="E371" t="s">
        <v>228</v>
      </c>
      <c r="F371">
        <v>1</v>
      </c>
      <c r="G371" s="89">
        <v>44277</v>
      </c>
      <c r="H371">
        <v>44281</v>
      </c>
      <c r="I371">
        <v>44281</v>
      </c>
      <c r="K371" t="s">
        <v>23</v>
      </c>
      <c r="L371" t="s">
        <v>34</v>
      </c>
      <c r="M371" t="s">
        <v>25</v>
      </c>
      <c r="O371" t="s">
        <v>27</v>
      </c>
      <c r="P371" t="s">
        <v>27</v>
      </c>
      <c r="Q371" t="s">
        <v>29</v>
      </c>
      <c r="R371" t="s">
        <v>54</v>
      </c>
    </row>
    <row r="372" spans="1:18" x14ac:dyDescent="0.25">
      <c r="A372" t="s">
        <v>30</v>
      </c>
      <c r="B372">
        <v>229763</v>
      </c>
      <c r="C372" t="s">
        <v>31</v>
      </c>
      <c r="D372" t="s">
        <v>229</v>
      </c>
      <c r="E372" t="s">
        <v>36</v>
      </c>
      <c r="F372">
        <v>3</v>
      </c>
      <c r="G372" s="89">
        <v>44279</v>
      </c>
      <c r="H372">
        <v>44286</v>
      </c>
      <c r="I372">
        <v>44287</v>
      </c>
      <c r="K372" t="s">
        <v>23</v>
      </c>
      <c r="L372" t="s">
        <v>42</v>
      </c>
      <c r="M372" t="s">
        <v>25</v>
      </c>
      <c r="O372" t="s">
        <v>27</v>
      </c>
      <c r="P372" t="s">
        <v>27</v>
      </c>
      <c r="Q372" t="s">
        <v>29</v>
      </c>
      <c r="R372" t="s">
        <v>54</v>
      </c>
    </row>
    <row r="373" spans="1:18" x14ac:dyDescent="0.25">
      <c r="A373" t="s">
        <v>30</v>
      </c>
      <c r="B373">
        <v>229763</v>
      </c>
      <c r="C373" t="s">
        <v>31</v>
      </c>
      <c r="D373" t="s">
        <v>229</v>
      </c>
      <c r="E373" t="s">
        <v>44</v>
      </c>
      <c r="F373">
        <v>1</v>
      </c>
      <c r="G373" s="89">
        <v>44279</v>
      </c>
      <c r="H373">
        <v>44286</v>
      </c>
      <c r="I373">
        <v>44287</v>
      </c>
      <c r="K373" t="s">
        <v>23</v>
      </c>
      <c r="L373" t="s">
        <v>42</v>
      </c>
      <c r="M373" t="s">
        <v>25</v>
      </c>
      <c r="O373" t="s">
        <v>27</v>
      </c>
      <c r="P373" t="s">
        <v>27</v>
      </c>
      <c r="Q373" t="s">
        <v>29</v>
      </c>
      <c r="R373" t="s">
        <v>54</v>
      </c>
    </row>
    <row r="374" spans="1:18" x14ac:dyDescent="0.25">
      <c r="A374" t="s">
        <v>30</v>
      </c>
      <c r="B374">
        <v>229763</v>
      </c>
      <c r="C374" t="s">
        <v>31</v>
      </c>
      <c r="D374" t="s">
        <v>229</v>
      </c>
      <c r="E374" t="s">
        <v>49</v>
      </c>
      <c r="F374">
        <v>1</v>
      </c>
      <c r="G374" s="89">
        <v>44279</v>
      </c>
      <c r="H374">
        <v>44286</v>
      </c>
      <c r="I374">
        <v>44287</v>
      </c>
      <c r="K374" t="s">
        <v>23</v>
      </c>
      <c r="L374" t="s">
        <v>42</v>
      </c>
      <c r="M374" t="s">
        <v>25</v>
      </c>
      <c r="O374" t="s">
        <v>27</v>
      </c>
      <c r="P374" t="s">
        <v>27</v>
      </c>
      <c r="Q374" t="s">
        <v>29</v>
      </c>
      <c r="R374" t="s">
        <v>54</v>
      </c>
    </row>
    <row r="375" spans="1:18" x14ac:dyDescent="0.25">
      <c r="A375" t="s">
        <v>30</v>
      </c>
      <c r="B375">
        <v>229763</v>
      </c>
      <c r="C375" t="s">
        <v>31</v>
      </c>
      <c r="D375" t="s">
        <v>229</v>
      </c>
      <c r="E375" t="s">
        <v>35</v>
      </c>
      <c r="F375">
        <v>1</v>
      </c>
      <c r="G375" s="89">
        <v>44279</v>
      </c>
      <c r="H375">
        <v>44286</v>
      </c>
      <c r="I375">
        <v>44287</v>
      </c>
      <c r="K375" t="s">
        <v>23</v>
      </c>
      <c r="L375" t="s">
        <v>42</v>
      </c>
      <c r="M375" t="s">
        <v>25</v>
      </c>
      <c r="O375" t="s">
        <v>27</v>
      </c>
      <c r="P375" t="s">
        <v>27</v>
      </c>
      <c r="Q375" t="s">
        <v>29</v>
      </c>
      <c r="R375" t="s">
        <v>54</v>
      </c>
    </row>
    <row r="376" spans="1:18" x14ac:dyDescent="0.25">
      <c r="A376" t="s">
        <v>37</v>
      </c>
      <c r="B376">
        <v>229691</v>
      </c>
      <c r="C376" t="s">
        <v>20</v>
      </c>
      <c r="D376" t="s">
        <v>270</v>
      </c>
      <c r="E376" t="s">
        <v>35</v>
      </c>
      <c r="F376">
        <v>2</v>
      </c>
      <c r="G376" s="89">
        <v>44279</v>
      </c>
      <c r="H376">
        <v>44286</v>
      </c>
      <c r="I376">
        <v>44287</v>
      </c>
      <c r="K376" t="s">
        <v>23</v>
      </c>
      <c r="L376" t="s">
        <v>42</v>
      </c>
      <c r="M376" t="s">
        <v>25</v>
      </c>
      <c r="O376" t="s">
        <v>26</v>
      </c>
      <c r="Q376" t="s">
        <v>29</v>
      </c>
      <c r="R376" t="s">
        <v>54</v>
      </c>
    </row>
    <row r="377" spans="1:18" x14ac:dyDescent="0.25">
      <c r="A377" t="s">
        <v>37</v>
      </c>
      <c r="B377">
        <v>229691</v>
      </c>
      <c r="C377" t="s">
        <v>20</v>
      </c>
      <c r="D377" t="s">
        <v>270</v>
      </c>
      <c r="E377" t="s">
        <v>33</v>
      </c>
      <c r="F377">
        <v>2</v>
      </c>
      <c r="G377" s="89">
        <v>44279</v>
      </c>
      <c r="H377">
        <v>44286</v>
      </c>
      <c r="I377">
        <v>44287</v>
      </c>
      <c r="K377" t="s">
        <v>23</v>
      </c>
      <c r="L377" t="s">
        <v>42</v>
      </c>
      <c r="M377" t="s">
        <v>25</v>
      </c>
      <c r="O377" t="s">
        <v>26</v>
      </c>
      <c r="Q377" t="s">
        <v>29</v>
      </c>
      <c r="R377" t="s">
        <v>54</v>
      </c>
    </row>
    <row r="378" spans="1:18" x14ac:dyDescent="0.25">
      <c r="A378" t="s">
        <v>37</v>
      </c>
      <c r="B378">
        <v>229691</v>
      </c>
      <c r="C378" t="s">
        <v>20</v>
      </c>
      <c r="D378" t="s">
        <v>270</v>
      </c>
      <c r="E378" t="s">
        <v>49</v>
      </c>
      <c r="F378">
        <v>2</v>
      </c>
      <c r="G378" s="89">
        <v>44279</v>
      </c>
      <c r="H378">
        <v>44286</v>
      </c>
      <c r="I378">
        <v>44287</v>
      </c>
      <c r="K378" t="s">
        <v>23</v>
      </c>
      <c r="L378" t="s">
        <v>42</v>
      </c>
      <c r="M378" t="s">
        <v>25</v>
      </c>
      <c r="O378" t="s">
        <v>26</v>
      </c>
      <c r="Q378" t="s">
        <v>29</v>
      </c>
      <c r="R378" t="s">
        <v>54</v>
      </c>
    </row>
    <row r="379" spans="1:18" x14ac:dyDescent="0.25">
      <c r="A379" t="s">
        <v>37</v>
      </c>
      <c r="B379">
        <v>229691</v>
      </c>
      <c r="C379" t="s">
        <v>20</v>
      </c>
      <c r="D379" t="s">
        <v>270</v>
      </c>
      <c r="E379" t="s">
        <v>93</v>
      </c>
      <c r="F379">
        <v>2</v>
      </c>
      <c r="G379" s="89">
        <v>44279</v>
      </c>
      <c r="H379">
        <v>44286</v>
      </c>
      <c r="I379">
        <v>44287</v>
      </c>
      <c r="K379" t="s">
        <v>23</v>
      </c>
      <c r="L379" t="s">
        <v>42</v>
      </c>
      <c r="M379" t="s">
        <v>25</v>
      </c>
      <c r="O379" t="s">
        <v>26</v>
      </c>
      <c r="Q379" t="s">
        <v>29</v>
      </c>
      <c r="R379" t="s">
        <v>54</v>
      </c>
    </row>
    <row r="380" spans="1:18" x14ac:dyDescent="0.25">
      <c r="A380" t="s">
        <v>40</v>
      </c>
      <c r="B380">
        <v>226583</v>
      </c>
      <c r="C380" t="s">
        <v>20</v>
      </c>
      <c r="D380" t="s">
        <v>138</v>
      </c>
      <c r="E380" t="s">
        <v>35</v>
      </c>
      <c r="F380">
        <v>1</v>
      </c>
      <c r="G380" s="89">
        <v>44287</v>
      </c>
      <c r="H380">
        <v>44287</v>
      </c>
      <c r="I380">
        <v>44287</v>
      </c>
      <c r="J380" t="s">
        <v>271</v>
      </c>
      <c r="K380" t="s">
        <v>23</v>
      </c>
      <c r="L380" t="s">
        <v>24</v>
      </c>
      <c r="M380" t="s">
        <v>25</v>
      </c>
      <c r="O380" t="s">
        <v>26</v>
      </c>
      <c r="Q380" t="s">
        <v>29</v>
      </c>
      <c r="R380" t="s">
        <v>29</v>
      </c>
    </row>
    <row r="381" spans="1:18" x14ac:dyDescent="0.25">
      <c r="A381" t="s">
        <v>40</v>
      </c>
      <c r="B381">
        <v>226583</v>
      </c>
      <c r="C381" t="s">
        <v>20</v>
      </c>
      <c r="D381" t="s">
        <v>138</v>
      </c>
      <c r="E381" t="s">
        <v>35</v>
      </c>
      <c r="F381">
        <v>1</v>
      </c>
      <c r="G381" s="89">
        <v>44287</v>
      </c>
      <c r="H381">
        <v>44287</v>
      </c>
      <c r="I381">
        <v>44287</v>
      </c>
      <c r="J381" t="s">
        <v>272</v>
      </c>
      <c r="K381" t="s">
        <v>23</v>
      </c>
      <c r="L381" t="s">
        <v>24</v>
      </c>
      <c r="M381" t="s">
        <v>25</v>
      </c>
      <c r="O381" t="s">
        <v>26</v>
      </c>
      <c r="Q381" t="s">
        <v>29</v>
      </c>
      <c r="R381" t="s">
        <v>29</v>
      </c>
    </row>
    <row r="382" spans="1:18" x14ac:dyDescent="0.25">
      <c r="A382" t="s">
        <v>40</v>
      </c>
      <c r="B382">
        <v>226583</v>
      </c>
      <c r="C382" t="s">
        <v>20</v>
      </c>
      <c r="D382" t="s">
        <v>138</v>
      </c>
      <c r="E382" t="s">
        <v>35</v>
      </c>
      <c r="F382">
        <v>1</v>
      </c>
      <c r="G382" s="89">
        <v>44291</v>
      </c>
      <c r="H382">
        <v>44291</v>
      </c>
      <c r="I382">
        <v>44291</v>
      </c>
      <c r="J382" t="s">
        <v>273</v>
      </c>
      <c r="K382" t="s">
        <v>23</v>
      </c>
      <c r="L382" t="s">
        <v>24</v>
      </c>
      <c r="M382" t="s">
        <v>25</v>
      </c>
      <c r="O382" t="s">
        <v>26</v>
      </c>
      <c r="Q382" t="s">
        <v>29</v>
      </c>
      <c r="R382" t="s">
        <v>29</v>
      </c>
    </row>
    <row r="383" spans="1:18" x14ac:dyDescent="0.25">
      <c r="A383" t="s">
        <v>40</v>
      </c>
      <c r="B383">
        <v>226583</v>
      </c>
      <c r="C383" t="s">
        <v>20</v>
      </c>
      <c r="D383" t="s">
        <v>138</v>
      </c>
      <c r="E383" t="s">
        <v>35</v>
      </c>
      <c r="F383">
        <v>1</v>
      </c>
      <c r="G383" s="89">
        <v>44293</v>
      </c>
      <c r="H383">
        <v>44293</v>
      </c>
      <c r="I383">
        <v>44293</v>
      </c>
      <c r="J383" t="s">
        <v>274</v>
      </c>
      <c r="K383" t="s">
        <v>23</v>
      </c>
      <c r="L383" t="s">
        <v>24</v>
      </c>
      <c r="M383" t="s">
        <v>25</v>
      </c>
      <c r="O383" t="s">
        <v>26</v>
      </c>
      <c r="Q383" t="s">
        <v>29</v>
      </c>
      <c r="R383" t="s">
        <v>29</v>
      </c>
    </row>
    <row r="384" spans="1:18" x14ac:dyDescent="0.25">
      <c r="A384" t="s">
        <v>40</v>
      </c>
      <c r="B384">
        <v>226583</v>
      </c>
      <c r="C384" t="s">
        <v>20</v>
      </c>
      <c r="D384" t="s">
        <v>138</v>
      </c>
      <c r="E384" t="s">
        <v>35</v>
      </c>
      <c r="F384">
        <v>1</v>
      </c>
      <c r="G384" s="89">
        <v>44293</v>
      </c>
      <c r="H384">
        <v>44293</v>
      </c>
      <c r="I384">
        <v>44293</v>
      </c>
      <c r="J384" t="s">
        <v>275</v>
      </c>
      <c r="K384" t="s">
        <v>23</v>
      </c>
      <c r="L384" t="s">
        <v>24</v>
      </c>
      <c r="M384" t="s">
        <v>25</v>
      </c>
      <c r="O384" t="s">
        <v>26</v>
      </c>
      <c r="Q384" t="s">
        <v>29</v>
      </c>
      <c r="R384" t="s">
        <v>29</v>
      </c>
    </row>
    <row r="385" spans="1:18" x14ac:dyDescent="0.25">
      <c r="A385" t="s">
        <v>40</v>
      </c>
      <c r="B385">
        <v>226583</v>
      </c>
      <c r="C385" t="s">
        <v>20</v>
      </c>
      <c r="D385" t="s">
        <v>138</v>
      </c>
      <c r="E385" t="s">
        <v>35</v>
      </c>
      <c r="F385">
        <v>1</v>
      </c>
      <c r="G385" s="89">
        <v>44294</v>
      </c>
      <c r="H385">
        <v>44294</v>
      </c>
      <c r="I385">
        <v>44294</v>
      </c>
      <c r="J385" t="s">
        <v>276</v>
      </c>
      <c r="K385" t="s">
        <v>23</v>
      </c>
      <c r="L385" t="s">
        <v>24</v>
      </c>
      <c r="M385" t="s">
        <v>25</v>
      </c>
      <c r="O385" t="s">
        <v>26</v>
      </c>
      <c r="Q385" t="s">
        <v>29</v>
      </c>
      <c r="R385" t="s">
        <v>29</v>
      </c>
    </row>
    <row r="386" spans="1:18" x14ac:dyDescent="0.25">
      <c r="A386" t="s">
        <v>40</v>
      </c>
      <c r="B386">
        <v>226583</v>
      </c>
      <c r="C386" t="s">
        <v>20</v>
      </c>
      <c r="D386" t="s">
        <v>138</v>
      </c>
      <c r="E386" t="s">
        <v>35</v>
      </c>
      <c r="F386">
        <v>1</v>
      </c>
      <c r="G386" s="89">
        <v>44295</v>
      </c>
      <c r="H386">
        <v>44295</v>
      </c>
      <c r="I386">
        <v>44295</v>
      </c>
      <c r="J386" t="s">
        <v>277</v>
      </c>
      <c r="K386" t="s">
        <v>23</v>
      </c>
      <c r="L386" t="s">
        <v>24</v>
      </c>
      <c r="M386" t="s">
        <v>25</v>
      </c>
      <c r="O386" t="s">
        <v>26</v>
      </c>
      <c r="Q386" t="s">
        <v>29</v>
      </c>
      <c r="R386" t="s">
        <v>29</v>
      </c>
    </row>
    <row r="387" spans="1:18" x14ac:dyDescent="0.25">
      <c r="A387" t="s">
        <v>40</v>
      </c>
      <c r="B387">
        <v>226583</v>
      </c>
      <c r="C387" t="s">
        <v>20</v>
      </c>
      <c r="D387" t="s">
        <v>138</v>
      </c>
      <c r="E387" t="s">
        <v>35</v>
      </c>
      <c r="F387">
        <v>1</v>
      </c>
      <c r="G387" s="89">
        <v>44298</v>
      </c>
      <c r="H387">
        <v>44298</v>
      </c>
      <c r="I387">
        <v>44298</v>
      </c>
      <c r="J387" t="s">
        <v>278</v>
      </c>
      <c r="K387" t="s">
        <v>23</v>
      </c>
      <c r="L387" t="s">
        <v>24</v>
      </c>
      <c r="M387" t="s">
        <v>25</v>
      </c>
      <c r="N387">
        <v>1</v>
      </c>
      <c r="O387" t="s">
        <v>26</v>
      </c>
      <c r="Q387" t="s">
        <v>29</v>
      </c>
      <c r="R387" t="s">
        <v>29</v>
      </c>
    </row>
    <row r="388" spans="1:18" x14ac:dyDescent="0.25">
      <c r="A388" t="s">
        <v>30</v>
      </c>
      <c r="B388">
        <v>229967</v>
      </c>
      <c r="C388" t="s">
        <v>31</v>
      </c>
      <c r="D388" t="s">
        <v>230</v>
      </c>
      <c r="E388" t="s">
        <v>49</v>
      </c>
      <c r="F388">
        <v>2</v>
      </c>
      <c r="G388" s="89">
        <v>44280</v>
      </c>
      <c r="H388">
        <v>44299</v>
      </c>
      <c r="I388">
        <v>44299</v>
      </c>
      <c r="K388" t="s">
        <v>23</v>
      </c>
      <c r="L388" t="s">
        <v>42</v>
      </c>
      <c r="M388" t="s">
        <v>25</v>
      </c>
      <c r="O388" t="s">
        <v>26</v>
      </c>
      <c r="P388" t="s">
        <v>27</v>
      </c>
      <c r="Q388" t="s">
        <v>54</v>
      </c>
      <c r="R388" t="s">
        <v>54</v>
      </c>
    </row>
    <row r="389" spans="1:18" x14ac:dyDescent="0.25">
      <c r="A389" t="s">
        <v>30</v>
      </c>
      <c r="B389">
        <v>229967</v>
      </c>
      <c r="C389" t="s">
        <v>31</v>
      </c>
      <c r="D389" t="s">
        <v>230</v>
      </c>
      <c r="E389" t="s">
        <v>36</v>
      </c>
      <c r="F389">
        <v>6</v>
      </c>
      <c r="G389" s="89">
        <v>44280</v>
      </c>
      <c r="H389">
        <v>44299</v>
      </c>
      <c r="I389">
        <v>44299</v>
      </c>
      <c r="K389" t="s">
        <v>23</v>
      </c>
      <c r="L389" t="s">
        <v>42</v>
      </c>
      <c r="M389" t="s">
        <v>25</v>
      </c>
      <c r="O389" t="s">
        <v>26</v>
      </c>
      <c r="P389" t="s">
        <v>27</v>
      </c>
      <c r="Q389" t="s">
        <v>54</v>
      </c>
      <c r="R389" t="s">
        <v>54</v>
      </c>
    </row>
    <row r="390" spans="1:18" x14ac:dyDescent="0.25">
      <c r="A390" t="s">
        <v>30</v>
      </c>
      <c r="B390">
        <v>229967</v>
      </c>
      <c r="C390" t="s">
        <v>31</v>
      </c>
      <c r="D390" t="s">
        <v>230</v>
      </c>
      <c r="E390" t="s">
        <v>35</v>
      </c>
      <c r="F390">
        <v>2</v>
      </c>
      <c r="G390" s="89">
        <v>44280</v>
      </c>
      <c r="H390">
        <v>44299</v>
      </c>
      <c r="I390">
        <v>44299</v>
      </c>
      <c r="K390" t="s">
        <v>23</v>
      </c>
      <c r="L390" t="s">
        <v>42</v>
      </c>
      <c r="M390" t="s">
        <v>25</v>
      </c>
      <c r="O390" t="s">
        <v>26</v>
      </c>
      <c r="P390" t="s">
        <v>27</v>
      </c>
      <c r="Q390" t="s">
        <v>54</v>
      </c>
      <c r="R390" t="s">
        <v>54</v>
      </c>
    </row>
    <row r="391" spans="1:18" x14ac:dyDescent="0.25">
      <c r="A391" t="s">
        <v>30</v>
      </c>
      <c r="B391">
        <v>229967</v>
      </c>
      <c r="C391" t="s">
        <v>31</v>
      </c>
      <c r="D391" t="s">
        <v>230</v>
      </c>
      <c r="E391" t="s">
        <v>67</v>
      </c>
      <c r="F391">
        <v>1</v>
      </c>
      <c r="G391" s="89">
        <v>44280</v>
      </c>
      <c r="H391">
        <v>44299</v>
      </c>
      <c r="I391">
        <v>44299</v>
      </c>
      <c r="K391" t="s">
        <v>23</v>
      </c>
      <c r="L391" t="s">
        <v>42</v>
      </c>
      <c r="M391" t="s">
        <v>25</v>
      </c>
      <c r="O391" t="s">
        <v>26</v>
      </c>
      <c r="P391" t="s">
        <v>27</v>
      </c>
      <c r="Q391" t="s">
        <v>54</v>
      </c>
      <c r="R391" t="s">
        <v>54</v>
      </c>
    </row>
    <row r="392" spans="1:18" x14ac:dyDescent="0.25">
      <c r="A392" t="s">
        <v>30</v>
      </c>
      <c r="B392">
        <v>229967</v>
      </c>
      <c r="C392" t="s">
        <v>31</v>
      </c>
      <c r="D392" t="s">
        <v>230</v>
      </c>
      <c r="E392" t="s">
        <v>89</v>
      </c>
      <c r="F392">
        <v>1</v>
      </c>
      <c r="G392" s="89">
        <v>44280</v>
      </c>
      <c r="H392">
        <v>44299</v>
      </c>
      <c r="I392">
        <v>44299</v>
      </c>
      <c r="K392" t="s">
        <v>23</v>
      </c>
      <c r="L392" t="s">
        <v>42</v>
      </c>
      <c r="M392" t="s">
        <v>25</v>
      </c>
      <c r="O392" t="s">
        <v>26</v>
      </c>
      <c r="P392" t="s">
        <v>27</v>
      </c>
      <c r="Q392" t="s">
        <v>54</v>
      </c>
      <c r="R392" t="s">
        <v>54</v>
      </c>
    </row>
    <row r="393" spans="1:18" x14ac:dyDescent="0.25">
      <c r="A393" t="s">
        <v>30</v>
      </c>
      <c r="B393">
        <v>229967</v>
      </c>
      <c r="C393" t="s">
        <v>31</v>
      </c>
      <c r="D393" t="s">
        <v>230</v>
      </c>
      <c r="E393" t="s">
        <v>106</v>
      </c>
      <c r="F393">
        <v>2</v>
      </c>
      <c r="G393" s="89">
        <v>44280</v>
      </c>
      <c r="H393">
        <v>44299</v>
      </c>
      <c r="I393">
        <v>44299</v>
      </c>
      <c r="K393" t="s">
        <v>23</v>
      </c>
      <c r="L393" t="s">
        <v>42</v>
      </c>
      <c r="M393" t="s">
        <v>25</v>
      </c>
      <c r="O393" t="s">
        <v>26</v>
      </c>
      <c r="P393" t="s">
        <v>27</v>
      </c>
      <c r="Q393" t="s">
        <v>54</v>
      </c>
      <c r="R393" t="s">
        <v>54</v>
      </c>
    </row>
    <row r="394" spans="1:18" x14ac:dyDescent="0.25">
      <c r="A394" t="s">
        <v>37</v>
      </c>
      <c r="B394">
        <v>230035</v>
      </c>
      <c r="C394" t="s">
        <v>20</v>
      </c>
      <c r="D394" t="s">
        <v>279</v>
      </c>
      <c r="E394" t="s">
        <v>73</v>
      </c>
      <c r="F394">
        <v>2</v>
      </c>
      <c r="G394" s="89">
        <v>44280</v>
      </c>
      <c r="H394">
        <v>44291</v>
      </c>
      <c r="I394">
        <v>44293</v>
      </c>
      <c r="K394" t="s">
        <v>23</v>
      </c>
      <c r="L394" t="s">
        <v>34</v>
      </c>
      <c r="M394" t="s">
        <v>25</v>
      </c>
      <c r="N394">
        <v>1</v>
      </c>
      <c r="O394" t="s">
        <v>26</v>
      </c>
      <c r="Q394" t="s">
        <v>54</v>
      </c>
      <c r="R394" t="s">
        <v>54</v>
      </c>
    </row>
    <row r="395" spans="1:18" x14ac:dyDescent="0.25">
      <c r="A395" t="s">
        <v>68</v>
      </c>
      <c r="B395">
        <v>230329</v>
      </c>
      <c r="C395" t="s">
        <v>20</v>
      </c>
      <c r="D395" t="s">
        <v>280</v>
      </c>
      <c r="E395" t="s">
        <v>44</v>
      </c>
      <c r="F395">
        <v>2</v>
      </c>
      <c r="G395" s="89">
        <v>44281</v>
      </c>
      <c r="H395">
        <v>44292</v>
      </c>
      <c r="I395">
        <v>44292</v>
      </c>
      <c r="K395" t="s">
        <v>23</v>
      </c>
      <c r="L395" t="s">
        <v>42</v>
      </c>
      <c r="M395" t="s">
        <v>25</v>
      </c>
      <c r="O395" t="s">
        <v>27</v>
      </c>
      <c r="Q395" t="s">
        <v>29</v>
      </c>
      <c r="R395" t="s">
        <v>54</v>
      </c>
    </row>
    <row r="396" spans="1:18" x14ac:dyDescent="0.25">
      <c r="A396" t="s">
        <v>68</v>
      </c>
      <c r="B396">
        <v>230329</v>
      </c>
      <c r="C396" t="s">
        <v>20</v>
      </c>
      <c r="D396" t="s">
        <v>280</v>
      </c>
      <c r="E396" t="s">
        <v>36</v>
      </c>
      <c r="F396">
        <v>1</v>
      </c>
      <c r="G396" s="89">
        <v>44281</v>
      </c>
      <c r="H396">
        <v>44292</v>
      </c>
      <c r="K396" t="s">
        <v>214</v>
      </c>
      <c r="L396" t="s">
        <v>42</v>
      </c>
      <c r="M396" t="s">
        <v>25</v>
      </c>
      <c r="O396" t="s">
        <v>27</v>
      </c>
      <c r="Q396" t="s">
        <v>29</v>
      </c>
    </row>
    <row r="397" spans="1:18" x14ac:dyDescent="0.25">
      <c r="A397" t="s">
        <v>68</v>
      </c>
      <c r="B397">
        <v>230329</v>
      </c>
      <c r="C397" t="s">
        <v>20</v>
      </c>
      <c r="D397" t="s">
        <v>280</v>
      </c>
      <c r="E397" t="s">
        <v>33</v>
      </c>
      <c r="F397">
        <v>1</v>
      </c>
      <c r="G397" s="89">
        <v>44281</v>
      </c>
      <c r="H397">
        <v>44292</v>
      </c>
      <c r="K397" t="s">
        <v>214</v>
      </c>
      <c r="L397" t="s">
        <v>42</v>
      </c>
      <c r="M397" t="s">
        <v>25</v>
      </c>
      <c r="O397" t="s">
        <v>27</v>
      </c>
      <c r="Q397" t="s">
        <v>29</v>
      </c>
    </row>
    <row r="398" spans="1:18" x14ac:dyDescent="0.25">
      <c r="A398" t="s">
        <v>68</v>
      </c>
      <c r="B398">
        <v>230329</v>
      </c>
      <c r="C398" t="s">
        <v>20</v>
      </c>
      <c r="D398" t="s">
        <v>280</v>
      </c>
      <c r="E398" t="s">
        <v>49</v>
      </c>
      <c r="F398">
        <v>1</v>
      </c>
      <c r="G398" s="89">
        <v>44281</v>
      </c>
      <c r="H398">
        <v>44292</v>
      </c>
      <c r="K398" t="s">
        <v>214</v>
      </c>
      <c r="L398" t="s">
        <v>42</v>
      </c>
      <c r="M398" t="s">
        <v>25</v>
      </c>
      <c r="O398" t="s">
        <v>27</v>
      </c>
      <c r="Q398" t="s">
        <v>29</v>
      </c>
    </row>
    <row r="399" spans="1:18" x14ac:dyDescent="0.25">
      <c r="A399" t="s">
        <v>231</v>
      </c>
      <c r="B399">
        <v>231112</v>
      </c>
      <c r="C399" t="s">
        <v>31</v>
      </c>
      <c r="D399" t="s">
        <v>232</v>
      </c>
      <c r="E399" t="s">
        <v>80</v>
      </c>
      <c r="F399">
        <v>1</v>
      </c>
      <c r="G399" s="89">
        <v>44286</v>
      </c>
      <c r="H399">
        <v>44291</v>
      </c>
      <c r="I399">
        <v>44291</v>
      </c>
      <c r="K399" t="s">
        <v>23</v>
      </c>
      <c r="L399" t="s">
        <v>58</v>
      </c>
      <c r="M399" t="s">
        <v>80</v>
      </c>
      <c r="O399" t="s">
        <v>26</v>
      </c>
      <c r="P399" t="s">
        <v>27</v>
      </c>
      <c r="Q399" t="s">
        <v>29</v>
      </c>
      <c r="R399" t="s">
        <v>281</v>
      </c>
    </row>
    <row r="400" spans="1:18" x14ac:dyDescent="0.25">
      <c r="A400" t="s">
        <v>71</v>
      </c>
      <c r="B400">
        <v>231245</v>
      </c>
      <c r="C400" t="s">
        <v>31</v>
      </c>
      <c r="D400" t="s">
        <v>233</v>
      </c>
      <c r="E400" t="s">
        <v>45</v>
      </c>
      <c r="F400">
        <v>1</v>
      </c>
      <c r="G400" s="89">
        <v>44286</v>
      </c>
      <c r="H400">
        <v>44293</v>
      </c>
      <c r="I400">
        <v>44293</v>
      </c>
      <c r="K400" t="s">
        <v>23</v>
      </c>
      <c r="L400" t="s">
        <v>34</v>
      </c>
      <c r="M400" t="s">
        <v>25</v>
      </c>
      <c r="N400">
        <v>1</v>
      </c>
      <c r="O400" t="s">
        <v>26</v>
      </c>
      <c r="P400" t="s">
        <v>27</v>
      </c>
      <c r="Q400" t="s">
        <v>29</v>
      </c>
      <c r="R400" t="s">
        <v>54</v>
      </c>
    </row>
    <row r="401" spans="1:18" x14ac:dyDescent="0.25">
      <c r="A401" t="s">
        <v>71</v>
      </c>
      <c r="B401">
        <v>231245</v>
      </c>
      <c r="C401" t="s">
        <v>31</v>
      </c>
      <c r="D401" t="s">
        <v>233</v>
      </c>
      <c r="E401" t="s">
        <v>94</v>
      </c>
      <c r="F401">
        <v>1</v>
      </c>
      <c r="G401" s="89">
        <v>44286</v>
      </c>
      <c r="H401">
        <v>44293</v>
      </c>
      <c r="I401">
        <v>44293</v>
      </c>
      <c r="K401" t="s">
        <v>23</v>
      </c>
      <c r="L401" t="s">
        <v>34</v>
      </c>
      <c r="M401" t="s">
        <v>25</v>
      </c>
      <c r="N401">
        <v>1</v>
      </c>
      <c r="O401" t="s">
        <v>26</v>
      </c>
      <c r="P401" t="s">
        <v>27</v>
      </c>
      <c r="Q401" t="s">
        <v>29</v>
      </c>
      <c r="R401" t="s">
        <v>54</v>
      </c>
    </row>
    <row r="402" spans="1:18" x14ac:dyDescent="0.25">
      <c r="A402" t="s">
        <v>71</v>
      </c>
      <c r="B402">
        <v>231245</v>
      </c>
      <c r="C402" t="s">
        <v>31</v>
      </c>
      <c r="D402" t="s">
        <v>233</v>
      </c>
      <c r="E402" t="s">
        <v>90</v>
      </c>
      <c r="F402">
        <v>4</v>
      </c>
      <c r="G402" s="89">
        <v>44286</v>
      </c>
      <c r="H402">
        <v>44293</v>
      </c>
      <c r="I402">
        <v>44293</v>
      </c>
      <c r="K402" t="s">
        <v>23</v>
      </c>
      <c r="L402" t="s">
        <v>34</v>
      </c>
      <c r="M402" t="s">
        <v>25</v>
      </c>
      <c r="N402">
        <v>1</v>
      </c>
      <c r="O402" t="s">
        <v>26</v>
      </c>
      <c r="P402" t="s">
        <v>27</v>
      </c>
      <c r="Q402" t="s">
        <v>29</v>
      </c>
      <c r="R402" t="s">
        <v>54</v>
      </c>
    </row>
    <row r="403" spans="1:18" x14ac:dyDescent="0.25">
      <c r="A403" t="s">
        <v>71</v>
      </c>
      <c r="B403">
        <v>231245</v>
      </c>
      <c r="C403" t="s">
        <v>31</v>
      </c>
      <c r="D403" t="s">
        <v>233</v>
      </c>
      <c r="E403" t="s">
        <v>33</v>
      </c>
      <c r="F403">
        <v>1</v>
      </c>
      <c r="G403" s="89">
        <v>44286</v>
      </c>
      <c r="H403">
        <v>44293</v>
      </c>
      <c r="I403">
        <v>44293</v>
      </c>
      <c r="K403" t="s">
        <v>23</v>
      </c>
      <c r="L403" t="s">
        <v>34</v>
      </c>
      <c r="M403" t="s">
        <v>25</v>
      </c>
      <c r="O403" t="s">
        <v>26</v>
      </c>
      <c r="P403" t="s">
        <v>27</v>
      </c>
      <c r="Q403" t="s">
        <v>29</v>
      </c>
      <c r="R403" t="s">
        <v>54</v>
      </c>
    </row>
    <row r="404" spans="1:18" x14ac:dyDescent="0.25">
      <c r="A404" t="s">
        <v>71</v>
      </c>
      <c r="B404">
        <v>231245</v>
      </c>
      <c r="C404" t="s">
        <v>31</v>
      </c>
      <c r="D404" t="s">
        <v>233</v>
      </c>
      <c r="E404" t="s">
        <v>35</v>
      </c>
      <c r="F404">
        <v>1</v>
      </c>
      <c r="G404" s="89">
        <v>44286</v>
      </c>
      <c r="H404">
        <v>44293</v>
      </c>
      <c r="I404">
        <v>44293</v>
      </c>
      <c r="K404" t="s">
        <v>23</v>
      </c>
      <c r="L404" t="s">
        <v>34</v>
      </c>
      <c r="M404" t="s">
        <v>25</v>
      </c>
      <c r="O404" t="s">
        <v>26</v>
      </c>
      <c r="P404" t="s">
        <v>27</v>
      </c>
      <c r="Q404" t="s">
        <v>29</v>
      </c>
      <c r="R404" t="s">
        <v>54</v>
      </c>
    </row>
    <row r="405" spans="1:18" x14ac:dyDescent="0.25">
      <c r="A405" t="s">
        <v>71</v>
      </c>
      <c r="B405">
        <v>231245</v>
      </c>
      <c r="C405" t="s">
        <v>31</v>
      </c>
      <c r="D405" t="s">
        <v>233</v>
      </c>
      <c r="E405" t="s">
        <v>44</v>
      </c>
      <c r="F405">
        <v>2</v>
      </c>
      <c r="G405" s="89">
        <v>44286</v>
      </c>
      <c r="H405">
        <v>44293</v>
      </c>
      <c r="I405">
        <v>44293</v>
      </c>
      <c r="K405" t="s">
        <v>23</v>
      </c>
      <c r="L405" t="s">
        <v>34</v>
      </c>
      <c r="M405" t="s">
        <v>25</v>
      </c>
      <c r="N405">
        <v>5</v>
      </c>
      <c r="O405" t="s">
        <v>26</v>
      </c>
      <c r="P405" t="s">
        <v>27</v>
      </c>
      <c r="Q405" t="s">
        <v>29</v>
      </c>
      <c r="R405" t="s">
        <v>54</v>
      </c>
    </row>
    <row r="406" spans="1:18" x14ac:dyDescent="0.25">
      <c r="A406" t="s">
        <v>113</v>
      </c>
      <c r="B406">
        <v>231260</v>
      </c>
      <c r="C406" t="s">
        <v>20</v>
      </c>
      <c r="D406" t="s">
        <v>282</v>
      </c>
      <c r="E406" t="s">
        <v>73</v>
      </c>
      <c r="F406">
        <v>1</v>
      </c>
      <c r="G406" s="89">
        <v>44286</v>
      </c>
      <c r="H406">
        <v>44292</v>
      </c>
      <c r="I406">
        <v>44292</v>
      </c>
      <c r="K406" t="s">
        <v>23</v>
      </c>
      <c r="L406" t="s">
        <v>58</v>
      </c>
      <c r="M406" t="s">
        <v>25</v>
      </c>
      <c r="O406" t="s">
        <v>26</v>
      </c>
      <c r="Q406" t="s">
        <v>29</v>
      </c>
      <c r="R406" t="s">
        <v>28</v>
      </c>
    </row>
    <row r="407" spans="1:18" x14ac:dyDescent="0.25">
      <c r="A407" t="s">
        <v>68</v>
      </c>
      <c r="B407">
        <v>231492</v>
      </c>
      <c r="C407" t="s">
        <v>31</v>
      </c>
      <c r="D407" t="s">
        <v>234</v>
      </c>
      <c r="E407" t="s">
        <v>33</v>
      </c>
      <c r="F407">
        <v>1</v>
      </c>
      <c r="G407" s="89">
        <v>44287</v>
      </c>
      <c r="H407">
        <v>44293</v>
      </c>
      <c r="I407">
        <v>44293</v>
      </c>
      <c r="K407" t="s">
        <v>23</v>
      </c>
      <c r="L407" t="s">
        <v>34</v>
      </c>
      <c r="M407" t="s">
        <v>25</v>
      </c>
      <c r="O407" t="s">
        <v>26</v>
      </c>
      <c r="P407" t="s">
        <v>27</v>
      </c>
      <c r="Q407" t="s">
        <v>29</v>
      </c>
      <c r="R407" t="s">
        <v>54</v>
      </c>
    </row>
    <row r="408" spans="1:18" x14ac:dyDescent="0.25">
      <c r="A408" t="s">
        <v>68</v>
      </c>
      <c r="B408">
        <v>231492</v>
      </c>
      <c r="C408" t="s">
        <v>31</v>
      </c>
      <c r="D408" t="s">
        <v>234</v>
      </c>
      <c r="E408" t="s">
        <v>36</v>
      </c>
      <c r="F408">
        <v>4</v>
      </c>
      <c r="G408" s="89">
        <v>44287</v>
      </c>
      <c r="H408">
        <v>44293</v>
      </c>
      <c r="I408">
        <v>44293</v>
      </c>
      <c r="K408" t="s">
        <v>23</v>
      </c>
      <c r="L408" t="s">
        <v>34</v>
      </c>
      <c r="M408" t="s">
        <v>25</v>
      </c>
      <c r="O408" t="s">
        <v>26</v>
      </c>
      <c r="P408" t="s">
        <v>27</v>
      </c>
      <c r="Q408" t="s">
        <v>29</v>
      </c>
      <c r="R408" t="s">
        <v>54</v>
      </c>
    </row>
    <row r="409" spans="1:18" x14ac:dyDescent="0.25">
      <c r="A409" t="s">
        <v>68</v>
      </c>
      <c r="B409">
        <v>231492</v>
      </c>
      <c r="C409" t="s">
        <v>31</v>
      </c>
      <c r="D409" t="s">
        <v>234</v>
      </c>
      <c r="E409" t="s">
        <v>49</v>
      </c>
      <c r="F409">
        <v>1</v>
      </c>
      <c r="G409" s="89">
        <v>44287</v>
      </c>
      <c r="H409">
        <v>44293</v>
      </c>
      <c r="I409">
        <v>44293</v>
      </c>
      <c r="K409" t="s">
        <v>23</v>
      </c>
      <c r="L409" t="s">
        <v>34</v>
      </c>
      <c r="M409" t="s">
        <v>25</v>
      </c>
      <c r="O409" t="s">
        <v>26</v>
      </c>
      <c r="P409" t="s">
        <v>27</v>
      </c>
      <c r="Q409" t="s">
        <v>29</v>
      </c>
      <c r="R409" t="s">
        <v>54</v>
      </c>
    </row>
    <row r="410" spans="1:18" x14ac:dyDescent="0.25">
      <c r="A410" t="s">
        <v>68</v>
      </c>
      <c r="B410">
        <v>231492</v>
      </c>
      <c r="C410" t="s">
        <v>31</v>
      </c>
      <c r="D410" t="s">
        <v>234</v>
      </c>
      <c r="E410" t="s">
        <v>35</v>
      </c>
      <c r="F410">
        <v>1</v>
      </c>
      <c r="G410" s="89">
        <v>44287</v>
      </c>
      <c r="H410">
        <v>44293</v>
      </c>
      <c r="I410">
        <v>44293</v>
      </c>
      <c r="K410" t="s">
        <v>23</v>
      </c>
      <c r="L410" t="s">
        <v>34</v>
      </c>
      <c r="M410" t="s">
        <v>25</v>
      </c>
      <c r="O410" t="s">
        <v>26</v>
      </c>
      <c r="P410" t="s">
        <v>27</v>
      </c>
      <c r="Q410" t="s">
        <v>29</v>
      </c>
      <c r="R410" t="s">
        <v>54</v>
      </c>
    </row>
    <row r="411" spans="1:18" x14ac:dyDescent="0.25">
      <c r="A411" t="s">
        <v>68</v>
      </c>
      <c r="B411">
        <v>231492</v>
      </c>
      <c r="C411" t="s">
        <v>31</v>
      </c>
      <c r="D411" t="s">
        <v>234</v>
      </c>
      <c r="E411" t="s">
        <v>44</v>
      </c>
      <c r="F411">
        <v>1</v>
      </c>
      <c r="G411" s="89">
        <v>44287</v>
      </c>
      <c r="H411">
        <v>44293</v>
      </c>
      <c r="I411">
        <v>44293</v>
      </c>
      <c r="K411" t="s">
        <v>23</v>
      </c>
      <c r="L411" t="s">
        <v>34</v>
      </c>
      <c r="M411" t="s">
        <v>25</v>
      </c>
      <c r="O411" t="s">
        <v>26</v>
      </c>
      <c r="P411" t="s">
        <v>27</v>
      </c>
      <c r="Q411" t="s">
        <v>29</v>
      </c>
      <c r="R411" t="s">
        <v>54</v>
      </c>
    </row>
    <row r="412" spans="1:18" x14ac:dyDescent="0.25">
      <c r="A412" t="s">
        <v>145</v>
      </c>
      <c r="B412">
        <v>230590</v>
      </c>
      <c r="C412" t="s">
        <v>20</v>
      </c>
      <c r="D412" t="s">
        <v>283</v>
      </c>
      <c r="E412" t="s">
        <v>73</v>
      </c>
      <c r="F412">
        <v>1</v>
      </c>
      <c r="G412" s="89">
        <v>44284</v>
      </c>
      <c r="H412">
        <v>44293</v>
      </c>
      <c r="I412">
        <v>44293</v>
      </c>
      <c r="K412" t="s">
        <v>23</v>
      </c>
      <c r="L412" t="s">
        <v>42</v>
      </c>
      <c r="M412" t="s">
        <v>25</v>
      </c>
      <c r="O412" t="s">
        <v>27</v>
      </c>
      <c r="Q412" t="s">
        <v>29</v>
      </c>
      <c r="R412" t="s">
        <v>54</v>
      </c>
    </row>
    <row r="413" spans="1:18" x14ac:dyDescent="0.25">
      <c r="A413" t="s">
        <v>37</v>
      </c>
      <c r="B413">
        <v>231774</v>
      </c>
      <c r="C413" t="s">
        <v>20</v>
      </c>
      <c r="D413" t="s">
        <v>284</v>
      </c>
      <c r="E413" t="s">
        <v>22</v>
      </c>
      <c r="F413">
        <v>1</v>
      </c>
      <c r="G413" s="89">
        <v>44291</v>
      </c>
      <c r="H413">
        <v>44294</v>
      </c>
      <c r="K413" t="s">
        <v>214</v>
      </c>
      <c r="L413" t="s">
        <v>34</v>
      </c>
      <c r="M413" t="s">
        <v>25</v>
      </c>
      <c r="O413" t="s">
        <v>26</v>
      </c>
      <c r="Q413" t="s">
        <v>29</v>
      </c>
      <c r="R413" t="s">
        <v>54</v>
      </c>
    </row>
    <row r="414" spans="1:18" x14ac:dyDescent="0.25">
      <c r="A414" t="s">
        <v>40</v>
      </c>
      <c r="B414" t="s">
        <v>96</v>
      </c>
      <c r="C414" t="s">
        <v>31</v>
      </c>
      <c r="D414" t="s">
        <v>285</v>
      </c>
      <c r="E414" t="s">
        <v>286</v>
      </c>
      <c r="F414">
        <v>1</v>
      </c>
      <c r="G414" s="89">
        <v>44293</v>
      </c>
      <c r="H414">
        <v>44294</v>
      </c>
      <c r="I414">
        <v>44294</v>
      </c>
      <c r="K414" t="s">
        <v>23</v>
      </c>
      <c r="L414" t="s">
        <v>34</v>
      </c>
      <c r="M414" t="s">
        <v>25</v>
      </c>
      <c r="O414" t="s">
        <v>26</v>
      </c>
      <c r="P414" t="s">
        <v>27</v>
      </c>
      <c r="Q414" t="s">
        <v>54</v>
      </c>
      <c r="R414" t="s">
        <v>54</v>
      </c>
    </row>
    <row r="415" spans="1:18" x14ac:dyDescent="0.25">
      <c r="A415" t="s">
        <v>40</v>
      </c>
      <c r="B415" t="s">
        <v>96</v>
      </c>
      <c r="C415" t="s">
        <v>31</v>
      </c>
      <c r="D415" t="s">
        <v>285</v>
      </c>
      <c r="E415" t="s">
        <v>45</v>
      </c>
      <c r="F415">
        <v>1</v>
      </c>
      <c r="G415" s="89">
        <v>44293</v>
      </c>
      <c r="H415">
        <v>44294</v>
      </c>
      <c r="I415">
        <v>44294</v>
      </c>
      <c r="K415" t="s">
        <v>23</v>
      </c>
      <c r="L415" t="s">
        <v>34</v>
      </c>
      <c r="M415" t="s">
        <v>25</v>
      </c>
      <c r="O415" t="s">
        <v>26</v>
      </c>
      <c r="P415" t="s">
        <v>27</v>
      </c>
      <c r="Q415" t="s">
        <v>54</v>
      </c>
      <c r="R415" t="s">
        <v>54</v>
      </c>
    </row>
    <row r="416" spans="1:18" x14ac:dyDescent="0.25">
      <c r="A416" t="s">
        <v>40</v>
      </c>
      <c r="B416" t="s">
        <v>96</v>
      </c>
      <c r="C416" t="s">
        <v>31</v>
      </c>
      <c r="D416" t="s">
        <v>285</v>
      </c>
      <c r="E416" t="s">
        <v>287</v>
      </c>
      <c r="F416">
        <v>1</v>
      </c>
      <c r="G416" s="89">
        <v>44293</v>
      </c>
      <c r="H416">
        <v>44294</v>
      </c>
      <c r="I416">
        <v>44294</v>
      </c>
      <c r="K416" t="s">
        <v>23</v>
      </c>
      <c r="L416" t="s">
        <v>34</v>
      </c>
      <c r="M416" t="s">
        <v>25</v>
      </c>
      <c r="O416" t="s">
        <v>26</v>
      </c>
      <c r="P416" t="s">
        <v>27</v>
      </c>
      <c r="Q416" t="s">
        <v>54</v>
      </c>
      <c r="R416" t="s">
        <v>54</v>
      </c>
    </row>
    <row r="417" spans="1:18" x14ac:dyDescent="0.25">
      <c r="A417" t="s">
        <v>40</v>
      </c>
      <c r="B417" t="s">
        <v>96</v>
      </c>
      <c r="C417" t="s">
        <v>31</v>
      </c>
      <c r="D417" t="s">
        <v>285</v>
      </c>
      <c r="E417" t="s">
        <v>63</v>
      </c>
      <c r="F417">
        <v>3</v>
      </c>
      <c r="G417" s="89">
        <v>44293</v>
      </c>
      <c r="H417">
        <v>44294</v>
      </c>
      <c r="I417">
        <v>44294</v>
      </c>
      <c r="K417" t="s">
        <v>23</v>
      </c>
      <c r="L417" t="s">
        <v>34</v>
      </c>
      <c r="M417" t="s">
        <v>25</v>
      </c>
      <c r="O417" t="s">
        <v>26</v>
      </c>
      <c r="P417" t="s">
        <v>27</v>
      </c>
      <c r="Q417" t="s">
        <v>54</v>
      </c>
      <c r="R417" t="s">
        <v>54</v>
      </c>
    </row>
    <row r="418" spans="1:18" x14ac:dyDescent="0.25">
      <c r="A418" t="s">
        <v>47</v>
      </c>
      <c r="B418">
        <v>232103</v>
      </c>
      <c r="C418" t="s">
        <v>20</v>
      </c>
      <c r="D418" t="s">
        <v>288</v>
      </c>
      <c r="E418" t="s">
        <v>94</v>
      </c>
      <c r="F418">
        <v>2</v>
      </c>
      <c r="G418" s="89">
        <v>44293</v>
      </c>
      <c r="H418">
        <v>44298</v>
      </c>
      <c r="I418">
        <v>44299</v>
      </c>
      <c r="K418" t="s">
        <v>23</v>
      </c>
      <c r="L418" t="s">
        <v>34</v>
      </c>
      <c r="M418" t="s">
        <v>25</v>
      </c>
      <c r="N418">
        <v>1</v>
      </c>
      <c r="O418" t="s">
        <v>26</v>
      </c>
      <c r="Q418" t="s">
        <v>29</v>
      </c>
      <c r="R418" t="s">
        <v>54</v>
      </c>
    </row>
    <row r="419" spans="1:18" x14ac:dyDescent="0.25">
      <c r="A419" t="s">
        <v>30</v>
      </c>
      <c r="B419">
        <v>232064</v>
      </c>
      <c r="C419" t="s">
        <v>20</v>
      </c>
      <c r="D419" t="s">
        <v>289</v>
      </c>
      <c r="E419" t="s">
        <v>290</v>
      </c>
      <c r="F419">
        <v>1</v>
      </c>
      <c r="G419" s="89">
        <v>44293</v>
      </c>
      <c r="H419">
        <v>44299</v>
      </c>
      <c r="I419">
        <v>44300</v>
      </c>
      <c r="K419" t="s">
        <v>23</v>
      </c>
      <c r="L419" t="s">
        <v>34</v>
      </c>
      <c r="M419" t="s">
        <v>25</v>
      </c>
      <c r="N419">
        <v>1</v>
      </c>
      <c r="O419" t="s">
        <v>26</v>
      </c>
      <c r="Q419" t="s">
        <v>29</v>
      </c>
      <c r="R419" t="s">
        <v>54</v>
      </c>
    </row>
    <row r="420" spans="1:18" x14ac:dyDescent="0.25">
      <c r="A420" t="s">
        <v>178</v>
      </c>
      <c r="B420">
        <v>232076</v>
      </c>
      <c r="C420" t="s">
        <v>31</v>
      </c>
      <c r="D420" t="s">
        <v>291</v>
      </c>
      <c r="E420" t="s">
        <v>33</v>
      </c>
      <c r="F420">
        <v>1</v>
      </c>
      <c r="G420" s="89">
        <v>44293</v>
      </c>
      <c r="H420">
        <v>44300</v>
      </c>
      <c r="I420">
        <v>44300</v>
      </c>
      <c r="K420" t="s">
        <v>23</v>
      </c>
      <c r="L420" t="s">
        <v>34</v>
      </c>
      <c r="M420" t="s">
        <v>25</v>
      </c>
      <c r="O420" t="s">
        <v>26</v>
      </c>
      <c r="P420" t="s">
        <v>26</v>
      </c>
      <c r="Q420" t="s">
        <v>54</v>
      </c>
      <c r="R420" t="s">
        <v>28</v>
      </c>
    </row>
    <row r="421" spans="1:18" x14ac:dyDescent="0.25">
      <c r="A421" t="s">
        <v>178</v>
      </c>
      <c r="B421">
        <v>232076</v>
      </c>
      <c r="C421" t="s">
        <v>31</v>
      </c>
      <c r="D421" t="s">
        <v>291</v>
      </c>
      <c r="E421" t="s">
        <v>90</v>
      </c>
      <c r="F421">
        <v>2</v>
      </c>
      <c r="G421" s="89">
        <v>44293</v>
      </c>
      <c r="H421">
        <v>44300</v>
      </c>
      <c r="I421">
        <v>44300</v>
      </c>
      <c r="K421" t="s">
        <v>23</v>
      </c>
      <c r="L421" t="s">
        <v>34</v>
      </c>
      <c r="M421" t="s">
        <v>25</v>
      </c>
      <c r="O421" t="s">
        <v>26</v>
      </c>
      <c r="P421" t="s">
        <v>26</v>
      </c>
      <c r="Q421" t="s">
        <v>54</v>
      </c>
      <c r="R421" t="s">
        <v>28</v>
      </c>
    </row>
    <row r="422" spans="1:18" x14ac:dyDescent="0.25">
      <c r="A422" t="s">
        <v>178</v>
      </c>
      <c r="B422">
        <v>232076</v>
      </c>
      <c r="C422" t="s">
        <v>31</v>
      </c>
      <c r="D422" t="s">
        <v>291</v>
      </c>
      <c r="E422" t="s">
        <v>36</v>
      </c>
      <c r="F422">
        <v>5</v>
      </c>
      <c r="G422" s="89">
        <v>44293</v>
      </c>
      <c r="H422">
        <v>44300</v>
      </c>
      <c r="I422">
        <v>44300</v>
      </c>
      <c r="K422" t="s">
        <v>23</v>
      </c>
      <c r="L422" t="s">
        <v>34</v>
      </c>
      <c r="M422" t="s">
        <v>25</v>
      </c>
      <c r="N422">
        <v>1</v>
      </c>
      <c r="O422" t="s">
        <v>26</v>
      </c>
      <c r="P422" t="s">
        <v>26</v>
      </c>
      <c r="Q422" t="s">
        <v>54</v>
      </c>
      <c r="R422" t="s">
        <v>28</v>
      </c>
    </row>
    <row r="423" spans="1:18" x14ac:dyDescent="0.25">
      <c r="A423" t="s">
        <v>178</v>
      </c>
      <c r="B423">
        <v>232076</v>
      </c>
      <c r="C423" t="s">
        <v>31</v>
      </c>
      <c r="D423" t="s">
        <v>291</v>
      </c>
      <c r="E423" t="s">
        <v>44</v>
      </c>
      <c r="F423">
        <v>2</v>
      </c>
      <c r="G423" s="89">
        <v>44293</v>
      </c>
      <c r="H423">
        <v>44300</v>
      </c>
      <c r="I423">
        <v>44300</v>
      </c>
      <c r="K423" t="s">
        <v>23</v>
      </c>
      <c r="L423" t="s">
        <v>34</v>
      </c>
      <c r="M423" t="s">
        <v>25</v>
      </c>
      <c r="N423">
        <v>1</v>
      </c>
      <c r="O423" t="s">
        <v>26</v>
      </c>
      <c r="P423" t="s">
        <v>26</v>
      </c>
      <c r="Q423" t="s">
        <v>54</v>
      </c>
      <c r="R423" t="s">
        <v>28</v>
      </c>
    </row>
    <row r="424" spans="1:18" x14ac:dyDescent="0.25">
      <c r="A424" t="s">
        <v>178</v>
      </c>
      <c r="B424">
        <v>232076</v>
      </c>
      <c r="C424" t="s">
        <v>31</v>
      </c>
      <c r="D424" t="s">
        <v>291</v>
      </c>
      <c r="E424" t="s">
        <v>39</v>
      </c>
      <c r="F424">
        <v>5</v>
      </c>
      <c r="G424" s="89">
        <v>44293</v>
      </c>
      <c r="H424">
        <v>44300</v>
      </c>
      <c r="I424">
        <v>44300</v>
      </c>
      <c r="K424" t="s">
        <v>23</v>
      </c>
      <c r="L424" t="s">
        <v>34</v>
      </c>
      <c r="M424" t="s">
        <v>25</v>
      </c>
      <c r="O424" t="s">
        <v>26</v>
      </c>
      <c r="P424" t="s">
        <v>26</v>
      </c>
      <c r="Q424" t="s">
        <v>54</v>
      </c>
      <c r="R424" t="s">
        <v>28</v>
      </c>
    </row>
    <row r="425" spans="1:18" x14ac:dyDescent="0.25">
      <c r="A425" t="s">
        <v>178</v>
      </c>
      <c r="B425">
        <v>232076</v>
      </c>
      <c r="C425" t="s">
        <v>31</v>
      </c>
      <c r="D425" t="s">
        <v>291</v>
      </c>
      <c r="E425" t="s">
        <v>292</v>
      </c>
      <c r="F425">
        <v>5</v>
      </c>
      <c r="G425" s="89">
        <v>44293</v>
      </c>
      <c r="H425">
        <v>44300</v>
      </c>
      <c r="I425">
        <v>44300</v>
      </c>
      <c r="J425" t="s">
        <v>293</v>
      </c>
      <c r="K425" t="s">
        <v>23</v>
      </c>
      <c r="L425" t="s">
        <v>34</v>
      </c>
      <c r="M425" t="s">
        <v>25</v>
      </c>
      <c r="O425" t="s">
        <v>26</v>
      </c>
      <c r="P425" t="s">
        <v>26</v>
      </c>
      <c r="Q425" t="s">
        <v>54</v>
      </c>
      <c r="R425" t="s">
        <v>28</v>
      </c>
    </row>
    <row r="426" spans="1:18" x14ac:dyDescent="0.25">
      <c r="A426" t="s">
        <v>19</v>
      </c>
      <c r="B426">
        <v>208701</v>
      </c>
      <c r="C426" t="s">
        <v>20</v>
      </c>
      <c r="D426" t="s">
        <v>100</v>
      </c>
      <c r="E426" t="s">
        <v>33</v>
      </c>
      <c r="F426">
        <v>10</v>
      </c>
      <c r="G426" s="89">
        <v>44180</v>
      </c>
      <c r="H426">
        <v>44194</v>
      </c>
      <c r="I426">
        <v>44183</v>
      </c>
      <c r="K426" t="s">
        <v>23</v>
      </c>
      <c r="L426" t="s">
        <v>24</v>
      </c>
      <c r="M426" t="s">
        <v>25</v>
      </c>
      <c r="N426">
        <v>0</v>
      </c>
      <c r="O426" t="s">
        <v>26</v>
      </c>
      <c r="Q426" t="s">
        <v>29</v>
      </c>
      <c r="R426" t="s">
        <v>74</v>
      </c>
    </row>
    <row r="427" spans="1:18" x14ac:dyDescent="0.25">
      <c r="A427" t="s">
        <v>19</v>
      </c>
      <c r="B427">
        <v>208701</v>
      </c>
      <c r="C427" t="s">
        <v>20</v>
      </c>
      <c r="D427" t="s">
        <v>100</v>
      </c>
      <c r="E427" t="s">
        <v>294</v>
      </c>
      <c r="F427">
        <v>1</v>
      </c>
      <c r="G427" s="89">
        <v>44180</v>
      </c>
      <c r="H427">
        <v>44194</v>
      </c>
      <c r="I427">
        <v>44183</v>
      </c>
      <c r="K427" t="s">
        <v>23</v>
      </c>
      <c r="L427" t="s">
        <v>24</v>
      </c>
      <c r="M427" t="s">
        <v>25</v>
      </c>
      <c r="N427">
        <v>0</v>
      </c>
      <c r="O427" t="s">
        <v>26</v>
      </c>
      <c r="Q427" t="s">
        <v>29</v>
      </c>
      <c r="R427" t="s">
        <v>74</v>
      </c>
    </row>
    <row r="428" spans="1:18" x14ac:dyDescent="0.25">
      <c r="A428" t="s">
        <v>19</v>
      </c>
      <c r="B428">
        <v>208701</v>
      </c>
      <c r="C428" t="s">
        <v>20</v>
      </c>
      <c r="D428" t="s">
        <v>100</v>
      </c>
      <c r="E428" t="s">
        <v>109</v>
      </c>
      <c r="F428">
        <v>1</v>
      </c>
      <c r="G428" s="89">
        <v>44180</v>
      </c>
      <c r="H428">
        <v>44194</v>
      </c>
      <c r="I428">
        <v>44183</v>
      </c>
      <c r="K428" t="s">
        <v>23</v>
      </c>
      <c r="L428" t="s">
        <v>24</v>
      </c>
      <c r="M428" t="s">
        <v>25</v>
      </c>
      <c r="N428">
        <v>0</v>
      </c>
      <c r="O428" t="s">
        <v>26</v>
      </c>
      <c r="Q428" t="s">
        <v>29</v>
      </c>
      <c r="R428" t="s">
        <v>74</v>
      </c>
    </row>
    <row r="429" spans="1:18" x14ac:dyDescent="0.25">
      <c r="A429" t="s">
        <v>19</v>
      </c>
      <c r="B429">
        <v>208701</v>
      </c>
      <c r="C429" t="s">
        <v>20</v>
      </c>
      <c r="D429" t="s">
        <v>100</v>
      </c>
      <c r="E429" t="s">
        <v>35</v>
      </c>
      <c r="F429">
        <v>1</v>
      </c>
      <c r="G429" s="89">
        <v>44180</v>
      </c>
      <c r="H429">
        <v>44194</v>
      </c>
      <c r="I429">
        <v>44183</v>
      </c>
      <c r="K429" t="s">
        <v>23</v>
      </c>
      <c r="L429" t="s">
        <v>24</v>
      </c>
      <c r="M429" t="s">
        <v>25</v>
      </c>
      <c r="N429">
        <v>0</v>
      </c>
      <c r="O429" t="s">
        <v>26</v>
      </c>
      <c r="Q429" t="s">
        <v>29</v>
      </c>
      <c r="R429" t="s">
        <v>74</v>
      </c>
    </row>
    <row r="430" spans="1:18" x14ac:dyDescent="0.25">
      <c r="A430" t="s">
        <v>19</v>
      </c>
      <c r="B430">
        <v>208701</v>
      </c>
      <c r="C430" t="s">
        <v>20</v>
      </c>
      <c r="D430" t="s">
        <v>100</v>
      </c>
      <c r="E430" t="s">
        <v>45</v>
      </c>
      <c r="F430">
        <v>1</v>
      </c>
      <c r="G430" s="89">
        <v>44180</v>
      </c>
      <c r="H430">
        <v>44194</v>
      </c>
      <c r="I430">
        <v>44183</v>
      </c>
      <c r="K430" t="s">
        <v>23</v>
      </c>
      <c r="L430" t="s">
        <v>24</v>
      </c>
      <c r="M430" t="s">
        <v>25</v>
      </c>
      <c r="N430">
        <v>0</v>
      </c>
      <c r="O430" t="s">
        <v>26</v>
      </c>
      <c r="Q430" t="s">
        <v>29</v>
      </c>
      <c r="R430" t="s">
        <v>74</v>
      </c>
    </row>
    <row r="431" spans="1:18" x14ac:dyDescent="0.25">
      <c r="A431" t="s">
        <v>19</v>
      </c>
      <c r="B431">
        <v>208701</v>
      </c>
      <c r="C431" t="s">
        <v>20</v>
      </c>
      <c r="D431" t="s">
        <v>100</v>
      </c>
      <c r="E431" t="s">
        <v>44</v>
      </c>
      <c r="F431">
        <v>2</v>
      </c>
      <c r="G431" s="89">
        <v>44180</v>
      </c>
      <c r="H431">
        <v>44194</v>
      </c>
      <c r="I431">
        <v>44183</v>
      </c>
      <c r="K431" t="s">
        <v>23</v>
      </c>
      <c r="L431" t="s">
        <v>24</v>
      </c>
      <c r="M431" t="s">
        <v>25</v>
      </c>
      <c r="N431">
        <v>1</v>
      </c>
      <c r="O431" t="s">
        <v>26</v>
      </c>
      <c r="Q431" t="s">
        <v>29</v>
      </c>
      <c r="R431" t="s">
        <v>74</v>
      </c>
    </row>
    <row r="432" spans="1:18" x14ac:dyDescent="0.25">
      <c r="A432" t="s">
        <v>37</v>
      </c>
      <c r="B432">
        <v>231938</v>
      </c>
      <c r="C432" t="s">
        <v>20</v>
      </c>
      <c r="D432" t="s">
        <v>295</v>
      </c>
      <c r="E432" t="s">
        <v>44</v>
      </c>
      <c r="F432">
        <v>1</v>
      </c>
      <c r="G432" s="89">
        <v>44292</v>
      </c>
      <c r="H432">
        <v>44301</v>
      </c>
      <c r="I432">
        <v>44301</v>
      </c>
      <c r="K432" t="s">
        <v>23</v>
      </c>
      <c r="L432" t="s">
        <v>42</v>
      </c>
      <c r="M432" t="s">
        <v>25</v>
      </c>
      <c r="O432" t="s">
        <v>27</v>
      </c>
      <c r="Q432" t="s">
        <v>29</v>
      </c>
      <c r="R432" t="s">
        <v>54</v>
      </c>
    </row>
    <row r="433" spans="1:18" x14ac:dyDescent="0.25">
      <c r="A433" t="s">
        <v>37</v>
      </c>
      <c r="B433">
        <v>231943</v>
      </c>
      <c r="C433" t="s">
        <v>20</v>
      </c>
      <c r="D433" t="s">
        <v>296</v>
      </c>
      <c r="E433" t="s">
        <v>297</v>
      </c>
      <c r="F433">
        <v>1</v>
      </c>
      <c r="G433" s="89">
        <v>44292</v>
      </c>
      <c r="H433">
        <v>44305</v>
      </c>
      <c r="I433">
        <v>44314</v>
      </c>
      <c r="K433" t="s">
        <v>23</v>
      </c>
      <c r="L433" t="s">
        <v>42</v>
      </c>
      <c r="M433" t="s">
        <v>25</v>
      </c>
      <c r="N433">
        <v>2</v>
      </c>
      <c r="O433" t="s">
        <v>27</v>
      </c>
      <c r="Q433" t="s">
        <v>29</v>
      </c>
    </row>
    <row r="434" spans="1:18" x14ac:dyDescent="0.25">
      <c r="A434" t="s">
        <v>113</v>
      </c>
      <c r="B434" t="s">
        <v>96</v>
      </c>
      <c r="C434" t="s">
        <v>31</v>
      </c>
      <c r="D434" t="s">
        <v>298</v>
      </c>
      <c r="E434" t="s">
        <v>43</v>
      </c>
      <c r="F434">
        <v>3</v>
      </c>
      <c r="G434" s="89">
        <v>44290</v>
      </c>
      <c r="H434">
        <v>44295</v>
      </c>
      <c r="I434">
        <v>44295</v>
      </c>
      <c r="K434" t="s">
        <v>23</v>
      </c>
      <c r="L434" t="s">
        <v>24</v>
      </c>
      <c r="M434" t="s">
        <v>25</v>
      </c>
      <c r="O434" t="s">
        <v>26</v>
      </c>
      <c r="P434" t="s">
        <v>27</v>
      </c>
      <c r="Q434" t="s">
        <v>54</v>
      </c>
      <c r="R434" t="s">
        <v>54</v>
      </c>
    </row>
    <row r="435" spans="1:18" x14ac:dyDescent="0.25">
      <c r="A435" t="s">
        <v>40</v>
      </c>
      <c r="B435" t="s">
        <v>96</v>
      </c>
      <c r="C435" t="s">
        <v>31</v>
      </c>
      <c r="D435" t="s">
        <v>299</v>
      </c>
      <c r="E435" t="s">
        <v>63</v>
      </c>
      <c r="F435">
        <v>2</v>
      </c>
      <c r="G435" s="89">
        <v>44291</v>
      </c>
      <c r="H435">
        <v>44292</v>
      </c>
      <c r="I435">
        <v>44292</v>
      </c>
      <c r="K435" t="s">
        <v>23</v>
      </c>
      <c r="L435" t="s">
        <v>42</v>
      </c>
      <c r="M435" t="s">
        <v>25</v>
      </c>
      <c r="N435">
        <v>8</v>
      </c>
      <c r="O435" t="s">
        <v>26</v>
      </c>
      <c r="P435" t="s">
        <v>27</v>
      </c>
      <c r="Q435" t="s">
        <v>54</v>
      </c>
      <c r="R435" t="s">
        <v>54</v>
      </c>
    </row>
    <row r="436" spans="1:18" x14ac:dyDescent="0.25">
      <c r="A436" t="s">
        <v>40</v>
      </c>
      <c r="B436" t="s">
        <v>300</v>
      </c>
      <c r="C436" t="s">
        <v>20</v>
      </c>
      <c r="D436" t="s">
        <v>301</v>
      </c>
      <c r="E436" t="s">
        <v>35</v>
      </c>
      <c r="F436">
        <v>1</v>
      </c>
      <c r="G436" s="89">
        <v>44300</v>
      </c>
      <c r="H436">
        <v>44301</v>
      </c>
      <c r="K436" t="s">
        <v>219</v>
      </c>
      <c r="L436" t="s">
        <v>24</v>
      </c>
      <c r="M436" t="s">
        <v>25</v>
      </c>
      <c r="O436" t="s">
        <v>26</v>
      </c>
      <c r="Q436" t="s">
        <v>29</v>
      </c>
    </row>
    <row r="437" spans="1:18" x14ac:dyDescent="0.25">
      <c r="A437" t="s">
        <v>37</v>
      </c>
      <c r="B437">
        <v>231977</v>
      </c>
      <c r="C437" t="s">
        <v>20</v>
      </c>
      <c r="D437" t="s">
        <v>302</v>
      </c>
      <c r="E437" t="s">
        <v>35</v>
      </c>
      <c r="F437">
        <v>1</v>
      </c>
      <c r="G437" s="89">
        <v>44292</v>
      </c>
      <c r="H437">
        <v>44309</v>
      </c>
      <c r="K437" t="s">
        <v>214</v>
      </c>
      <c r="L437" t="s">
        <v>42</v>
      </c>
      <c r="M437" t="s">
        <v>25</v>
      </c>
      <c r="N437">
        <v>1</v>
      </c>
      <c r="O437" t="s">
        <v>27</v>
      </c>
      <c r="Q437" t="s">
        <v>54</v>
      </c>
    </row>
    <row r="438" spans="1:18" x14ac:dyDescent="0.25">
      <c r="A438" t="s">
        <v>19</v>
      </c>
      <c r="B438">
        <v>232692</v>
      </c>
      <c r="C438" t="s">
        <v>31</v>
      </c>
      <c r="D438" t="s">
        <v>303</v>
      </c>
      <c r="E438" t="s">
        <v>80</v>
      </c>
      <c r="F438">
        <v>1</v>
      </c>
      <c r="G438" s="89">
        <v>44299</v>
      </c>
      <c r="H438">
        <v>44307</v>
      </c>
      <c r="I438">
        <v>44315</v>
      </c>
      <c r="K438" t="s">
        <v>23</v>
      </c>
      <c r="L438" t="s">
        <v>42</v>
      </c>
      <c r="M438" t="s">
        <v>80</v>
      </c>
      <c r="O438" t="s">
        <v>27</v>
      </c>
      <c r="P438" t="s">
        <v>27</v>
      </c>
      <c r="Q438" t="s">
        <v>29</v>
      </c>
      <c r="R438" t="s">
        <v>54</v>
      </c>
    </row>
    <row r="439" spans="1:18" x14ac:dyDescent="0.25">
      <c r="A439" t="s">
        <v>40</v>
      </c>
      <c r="B439" t="s">
        <v>304</v>
      </c>
      <c r="C439" t="s">
        <v>31</v>
      </c>
      <c r="D439" t="s">
        <v>305</v>
      </c>
      <c r="E439" t="s">
        <v>35</v>
      </c>
      <c r="F439">
        <v>1</v>
      </c>
      <c r="G439" s="89">
        <v>44301</v>
      </c>
      <c r="H439">
        <v>44313</v>
      </c>
      <c r="I439">
        <v>44313</v>
      </c>
      <c r="K439" t="s">
        <v>23</v>
      </c>
      <c r="L439" t="s">
        <v>42</v>
      </c>
      <c r="M439" t="s">
        <v>25</v>
      </c>
      <c r="O439" t="s">
        <v>27</v>
      </c>
      <c r="P439" t="s">
        <v>27</v>
      </c>
      <c r="Q439" t="s">
        <v>29</v>
      </c>
      <c r="R439" t="s">
        <v>54</v>
      </c>
    </row>
    <row r="440" spans="1:18" x14ac:dyDescent="0.25">
      <c r="A440" t="s">
        <v>40</v>
      </c>
      <c r="B440" t="s">
        <v>96</v>
      </c>
      <c r="C440" t="s">
        <v>31</v>
      </c>
      <c r="D440" t="s">
        <v>306</v>
      </c>
      <c r="E440" t="s">
        <v>63</v>
      </c>
      <c r="F440">
        <v>13</v>
      </c>
      <c r="G440" s="89">
        <v>44302</v>
      </c>
      <c r="H440">
        <v>44306</v>
      </c>
      <c r="I440">
        <v>44306</v>
      </c>
      <c r="K440" t="s">
        <v>23</v>
      </c>
      <c r="L440" t="s">
        <v>42</v>
      </c>
      <c r="M440" t="s">
        <v>25</v>
      </c>
      <c r="N440">
        <v>8</v>
      </c>
      <c r="O440" t="s">
        <v>27</v>
      </c>
      <c r="P440" t="s">
        <v>27</v>
      </c>
      <c r="Q440" t="s">
        <v>54</v>
      </c>
      <c r="R440" t="s">
        <v>54</v>
      </c>
    </row>
    <row r="441" spans="1:18" x14ac:dyDescent="0.25">
      <c r="A441" t="s">
        <v>40</v>
      </c>
      <c r="B441" t="s">
        <v>96</v>
      </c>
      <c r="C441" t="s">
        <v>31</v>
      </c>
      <c r="D441" t="s">
        <v>306</v>
      </c>
      <c r="E441" t="s">
        <v>67</v>
      </c>
      <c r="F441">
        <v>1</v>
      </c>
      <c r="G441" s="89">
        <v>44302</v>
      </c>
      <c r="H441">
        <v>44306</v>
      </c>
      <c r="I441">
        <v>44306</v>
      </c>
      <c r="K441" t="s">
        <v>23</v>
      </c>
      <c r="L441" t="s">
        <v>42</v>
      </c>
      <c r="M441" t="s">
        <v>25</v>
      </c>
      <c r="N441">
        <v>3</v>
      </c>
      <c r="O441" t="s">
        <v>27</v>
      </c>
      <c r="P441" t="s">
        <v>27</v>
      </c>
      <c r="Q441" t="s">
        <v>54</v>
      </c>
      <c r="R441" t="s">
        <v>54</v>
      </c>
    </row>
    <row r="442" spans="1:18" x14ac:dyDescent="0.25">
      <c r="A442" t="s">
        <v>40</v>
      </c>
      <c r="B442" t="s">
        <v>96</v>
      </c>
      <c r="C442" t="s">
        <v>31</v>
      </c>
      <c r="D442" t="s">
        <v>306</v>
      </c>
      <c r="E442" t="s">
        <v>89</v>
      </c>
      <c r="F442">
        <v>2</v>
      </c>
      <c r="G442" s="89">
        <v>44302</v>
      </c>
      <c r="H442">
        <v>44306</v>
      </c>
      <c r="I442">
        <v>44306</v>
      </c>
      <c r="K442" t="s">
        <v>23</v>
      </c>
      <c r="L442" t="s">
        <v>42</v>
      </c>
      <c r="M442" t="s">
        <v>25</v>
      </c>
      <c r="N442">
        <v>1</v>
      </c>
      <c r="O442" t="s">
        <v>27</v>
      </c>
      <c r="P442" t="s">
        <v>27</v>
      </c>
      <c r="Q442" t="s">
        <v>54</v>
      </c>
      <c r="R442" t="s">
        <v>54</v>
      </c>
    </row>
    <row r="443" spans="1:18" x14ac:dyDescent="0.25">
      <c r="A443" t="s">
        <v>47</v>
      </c>
      <c r="B443" t="s">
        <v>307</v>
      </c>
      <c r="C443" t="s">
        <v>31</v>
      </c>
      <c r="D443" t="s">
        <v>308</v>
      </c>
      <c r="E443" t="s">
        <v>33</v>
      </c>
      <c r="F443">
        <v>1</v>
      </c>
      <c r="G443" s="89">
        <v>44300</v>
      </c>
      <c r="H443">
        <v>44314</v>
      </c>
      <c r="I443">
        <v>44314</v>
      </c>
      <c r="K443" t="s">
        <v>214</v>
      </c>
      <c r="L443" t="s">
        <v>24</v>
      </c>
      <c r="M443" t="s">
        <v>25</v>
      </c>
      <c r="O443" t="s">
        <v>26</v>
      </c>
      <c r="P443" t="s">
        <v>27</v>
      </c>
      <c r="Q443" t="s">
        <v>74</v>
      </c>
    </row>
    <row r="444" spans="1:18" x14ac:dyDescent="0.25">
      <c r="A444" t="s">
        <v>47</v>
      </c>
      <c r="B444" t="s">
        <v>307</v>
      </c>
      <c r="C444" t="s">
        <v>31</v>
      </c>
      <c r="D444" t="s">
        <v>308</v>
      </c>
      <c r="E444" t="s">
        <v>35</v>
      </c>
      <c r="F444">
        <v>1</v>
      </c>
      <c r="G444" s="89">
        <v>44300</v>
      </c>
      <c r="H444">
        <v>44314</v>
      </c>
      <c r="I444">
        <v>44314</v>
      </c>
      <c r="K444" t="s">
        <v>214</v>
      </c>
      <c r="L444" t="s">
        <v>24</v>
      </c>
      <c r="M444" t="s">
        <v>25</v>
      </c>
      <c r="O444" t="s">
        <v>26</v>
      </c>
      <c r="P444" t="s">
        <v>27</v>
      </c>
      <c r="Q444" t="s">
        <v>74</v>
      </c>
    </row>
    <row r="445" spans="1:18" x14ac:dyDescent="0.25">
      <c r="A445" t="s">
        <v>68</v>
      </c>
      <c r="B445" t="s">
        <v>309</v>
      </c>
      <c r="C445" t="s">
        <v>31</v>
      </c>
      <c r="D445" t="s">
        <v>310</v>
      </c>
      <c r="E445" t="s">
        <v>49</v>
      </c>
      <c r="F445">
        <v>1</v>
      </c>
      <c r="G445" s="89">
        <v>44302</v>
      </c>
      <c r="H445">
        <v>44313</v>
      </c>
      <c r="I445">
        <v>44313</v>
      </c>
      <c r="K445" t="s">
        <v>23</v>
      </c>
      <c r="L445" t="s">
        <v>42</v>
      </c>
      <c r="O445" t="s">
        <v>27</v>
      </c>
      <c r="P445" t="s">
        <v>27</v>
      </c>
      <c r="Q445" t="s">
        <v>28</v>
      </c>
      <c r="R445" t="s">
        <v>54</v>
      </c>
    </row>
    <row r="446" spans="1:18" x14ac:dyDescent="0.25">
      <c r="A446" t="s">
        <v>68</v>
      </c>
      <c r="B446" t="s">
        <v>309</v>
      </c>
      <c r="C446" t="s">
        <v>31</v>
      </c>
      <c r="D446" t="s">
        <v>310</v>
      </c>
      <c r="E446" t="s">
        <v>33</v>
      </c>
      <c r="F446">
        <v>1</v>
      </c>
      <c r="G446" s="89">
        <v>44302</v>
      </c>
      <c r="H446">
        <v>44313</v>
      </c>
      <c r="I446">
        <v>44313</v>
      </c>
      <c r="K446" t="s">
        <v>23</v>
      </c>
      <c r="L446" t="s">
        <v>42</v>
      </c>
      <c r="O446" t="s">
        <v>27</v>
      </c>
      <c r="P446" t="s">
        <v>27</v>
      </c>
      <c r="Q446" t="s">
        <v>28</v>
      </c>
      <c r="R446" t="s">
        <v>54</v>
      </c>
    </row>
    <row r="447" spans="1:18" x14ac:dyDescent="0.25">
      <c r="A447" t="s">
        <v>68</v>
      </c>
      <c r="B447" t="s">
        <v>309</v>
      </c>
      <c r="C447" t="s">
        <v>31</v>
      </c>
      <c r="D447" t="s">
        <v>310</v>
      </c>
      <c r="E447" t="s">
        <v>36</v>
      </c>
      <c r="F447">
        <v>2</v>
      </c>
      <c r="G447" s="89">
        <v>44302</v>
      </c>
      <c r="H447">
        <v>44313</v>
      </c>
      <c r="I447">
        <v>44313</v>
      </c>
      <c r="K447" t="s">
        <v>23</v>
      </c>
      <c r="L447" t="s">
        <v>42</v>
      </c>
      <c r="O447" t="s">
        <v>27</v>
      </c>
      <c r="P447" t="s">
        <v>27</v>
      </c>
      <c r="Q447" t="s">
        <v>28</v>
      </c>
      <c r="R447" t="s">
        <v>54</v>
      </c>
    </row>
    <row r="448" spans="1:18" x14ac:dyDescent="0.25">
      <c r="A448" t="s">
        <v>68</v>
      </c>
      <c r="B448" t="s">
        <v>309</v>
      </c>
      <c r="C448" t="s">
        <v>31</v>
      </c>
      <c r="D448" t="s">
        <v>310</v>
      </c>
      <c r="E448" t="s">
        <v>44</v>
      </c>
      <c r="F448">
        <v>1</v>
      </c>
      <c r="G448" s="89">
        <v>44302</v>
      </c>
      <c r="H448">
        <v>44313</v>
      </c>
      <c r="I448">
        <v>44313</v>
      </c>
      <c r="K448" t="s">
        <v>23</v>
      </c>
      <c r="L448" t="s">
        <v>42</v>
      </c>
      <c r="O448" t="s">
        <v>27</v>
      </c>
      <c r="P448" t="s">
        <v>27</v>
      </c>
      <c r="Q448" t="s">
        <v>28</v>
      </c>
      <c r="R448" t="s">
        <v>54</v>
      </c>
    </row>
    <row r="449" spans="1:18" x14ac:dyDescent="0.25">
      <c r="A449" t="s">
        <v>68</v>
      </c>
      <c r="B449" t="s">
        <v>309</v>
      </c>
      <c r="C449" t="s">
        <v>31</v>
      </c>
      <c r="D449" t="s">
        <v>310</v>
      </c>
      <c r="E449" t="s">
        <v>35</v>
      </c>
      <c r="F449">
        <v>1</v>
      </c>
      <c r="G449" s="89">
        <v>44302</v>
      </c>
      <c r="H449">
        <v>44313</v>
      </c>
      <c r="I449">
        <v>44313</v>
      </c>
      <c r="K449" t="s">
        <v>23</v>
      </c>
      <c r="L449" t="s">
        <v>42</v>
      </c>
      <c r="O449" t="s">
        <v>27</v>
      </c>
      <c r="P449" t="s">
        <v>27</v>
      </c>
      <c r="Q449" t="s">
        <v>28</v>
      </c>
      <c r="R449" t="s">
        <v>54</v>
      </c>
    </row>
    <row r="450" spans="1:18" x14ac:dyDescent="0.25">
      <c r="A450" t="s">
        <v>19</v>
      </c>
      <c r="B450">
        <v>232692</v>
      </c>
      <c r="C450" t="s">
        <v>31</v>
      </c>
      <c r="D450" t="s">
        <v>303</v>
      </c>
      <c r="E450" t="s">
        <v>80</v>
      </c>
      <c r="F450">
        <v>1</v>
      </c>
      <c r="G450" s="89">
        <v>44299</v>
      </c>
      <c r="H450">
        <v>44313</v>
      </c>
      <c r="I450">
        <v>44313</v>
      </c>
      <c r="J450" t="s">
        <v>311</v>
      </c>
      <c r="K450" t="s">
        <v>23</v>
      </c>
      <c r="L450" t="s">
        <v>42</v>
      </c>
      <c r="M450" t="s">
        <v>25</v>
      </c>
      <c r="O450" t="s">
        <v>27</v>
      </c>
      <c r="P450" t="s">
        <v>27</v>
      </c>
      <c r="Q450" t="s">
        <v>29</v>
      </c>
      <c r="R450" t="s">
        <v>29</v>
      </c>
    </row>
    <row r="451" spans="1:18" x14ac:dyDescent="0.25">
      <c r="A451" t="s">
        <v>47</v>
      </c>
      <c r="B451" t="s">
        <v>312</v>
      </c>
      <c r="C451" t="s">
        <v>31</v>
      </c>
      <c r="D451" t="s">
        <v>313</v>
      </c>
      <c r="E451" t="s">
        <v>35</v>
      </c>
      <c r="F451">
        <v>1</v>
      </c>
      <c r="G451" s="89">
        <v>44300</v>
      </c>
      <c r="H451">
        <v>44312</v>
      </c>
      <c r="I451">
        <v>44312</v>
      </c>
      <c r="K451" t="s">
        <v>214</v>
      </c>
      <c r="L451" t="s">
        <v>24</v>
      </c>
      <c r="M451" t="s">
        <v>25</v>
      </c>
      <c r="O451" t="s">
        <v>26</v>
      </c>
      <c r="P451" t="s">
        <v>27</v>
      </c>
      <c r="Q451" t="s">
        <v>28</v>
      </c>
    </row>
    <row r="452" spans="1:18" x14ac:dyDescent="0.25">
      <c r="A452" t="s">
        <v>47</v>
      </c>
      <c r="B452" t="s">
        <v>312</v>
      </c>
      <c r="C452" t="s">
        <v>31</v>
      </c>
      <c r="D452" t="s">
        <v>313</v>
      </c>
      <c r="E452" t="s">
        <v>314</v>
      </c>
      <c r="F452">
        <v>1</v>
      </c>
      <c r="G452" s="89">
        <v>44300</v>
      </c>
      <c r="H452">
        <v>44312</v>
      </c>
      <c r="I452">
        <v>44312</v>
      </c>
      <c r="K452" t="s">
        <v>214</v>
      </c>
      <c r="L452" t="s">
        <v>24</v>
      </c>
      <c r="M452" t="s">
        <v>25</v>
      </c>
      <c r="O452" t="s">
        <v>26</v>
      </c>
      <c r="P452" t="s">
        <v>27</v>
      </c>
      <c r="Q452" t="s">
        <v>28</v>
      </c>
    </row>
    <row r="453" spans="1:18" x14ac:dyDescent="0.25">
      <c r="A453" t="s">
        <v>68</v>
      </c>
      <c r="B453" t="s">
        <v>315</v>
      </c>
      <c r="C453" t="s">
        <v>20</v>
      </c>
      <c r="D453" t="s">
        <v>316</v>
      </c>
      <c r="E453" t="s">
        <v>73</v>
      </c>
      <c r="F453">
        <v>9</v>
      </c>
      <c r="G453" s="89">
        <v>44302</v>
      </c>
      <c r="H453">
        <v>44312</v>
      </c>
      <c r="I453">
        <v>44313</v>
      </c>
      <c r="K453" t="s">
        <v>23</v>
      </c>
      <c r="L453" t="s">
        <v>58</v>
      </c>
      <c r="M453" t="s">
        <v>25</v>
      </c>
      <c r="O453" t="s">
        <v>26</v>
      </c>
      <c r="Q453" t="s">
        <v>29</v>
      </c>
      <c r="R453" t="s">
        <v>54</v>
      </c>
    </row>
    <row r="454" spans="1:18" x14ac:dyDescent="0.25">
      <c r="A454" t="s">
        <v>95</v>
      </c>
      <c r="B454" t="s">
        <v>96</v>
      </c>
      <c r="C454" t="s">
        <v>31</v>
      </c>
      <c r="D454" t="s">
        <v>317</v>
      </c>
      <c r="E454" t="s">
        <v>35</v>
      </c>
      <c r="F454">
        <v>2</v>
      </c>
      <c r="G454" s="89">
        <v>44312</v>
      </c>
      <c r="H454">
        <v>44312</v>
      </c>
      <c r="I454">
        <v>44312</v>
      </c>
      <c r="K454" t="s">
        <v>23</v>
      </c>
      <c r="L454" t="s">
        <v>24</v>
      </c>
      <c r="M454" t="s">
        <v>25</v>
      </c>
      <c r="N454">
        <v>2</v>
      </c>
      <c r="O454" t="s">
        <v>27</v>
      </c>
      <c r="P454" t="s">
        <v>27</v>
      </c>
      <c r="Q454" t="s">
        <v>54</v>
      </c>
      <c r="R454" t="s">
        <v>54</v>
      </c>
    </row>
    <row r="455" spans="1:18" x14ac:dyDescent="0.25">
      <c r="A455" t="s">
        <v>95</v>
      </c>
      <c r="B455" t="s">
        <v>96</v>
      </c>
      <c r="C455" t="s">
        <v>31</v>
      </c>
      <c r="D455" t="s">
        <v>317</v>
      </c>
      <c r="E455" t="s">
        <v>33</v>
      </c>
      <c r="F455">
        <v>2</v>
      </c>
      <c r="G455" s="89">
        <v>44312</v>
      </c>
      <c r="H455">
        <v>44312</v>
      </c>
      <c r="I455">
        <v>44312</v>
      </c>
      <c r="K455" t="s">
        <v>23</v>
      </c>
      <c r="L455" t="s">
        <v>24</v>
      </c>
      <c r="M455" t="s">
        <v>25</v>
      </c>
      <c r="N455">
        <v>2</v>
      </c>
      <c r="O455" t="s">
        <v>27</v>
      </c>
      <c r="P455" t="s">
        <v>27</v>
      </c>
      <c r="Q455" t="s">
        <v>54</v>
      </c>
      <c r="R455" t="s">
        <v>54</v>
      </c>
    </row>
    <row r="456" spans="1:18" x14ac:dyDescent="0.25">
      <c r="A456" t="s">
        <v>37</v>
      </c>
      <c r="B456" t="s">
        <v>318</v>
      </c>
      <c r="C456" t="s">
        <v>20</v>
      </c>
      <c r="D456" t="s">
        <v>319</v>
      </c>
      <c r="E456" t="s">
        <v>44</v>
      </c>
      <c r="F456">
        <v>1</v>
      </c>
      <c r="G456" s="89">
        <v>44306</v>
      </c>
      <c r="H456">
        <v>44309</v>
      </c>
      <c r="I456">
        <v>44312</v>
      </c>
      <c r="K456" t="s">
        <v>23</v>
      </c>
      <c r="L456" t="s">
        <v>34</v>
      </c>
      <c r="M456" t="s">
        <v>25</v>
      </c>
      <c r="N456">
        <v>1</v>
      </c>
      <c r="O456" t="s">
        <v>26</v>
      </c>
      <c r="Q456" t="s">
        <v>29</v>
      </c>
      <c r="R456" t="s">
        <v>54</v>
      </c>
    </row>
    <row r="457" spans="1:18" x14ac:dyDescent="0.25">
      <c r="A457" t="s">
        <v>37</v>
      </c>
      <c r="B457" t="s">
        <v>318</v>
      </c>
      <c r="C457" t="s">
        <v>20</v>
      </c>
      <c r="D457" t="s">
        <v>319</v>
      </c>
      <c r="E457" t="s">
        <v>35</v>
      </c>
      <c r="F457">
        <v>1</v>
      </c>
      <c r="G457" s="89">
        <v>44306</v>
      </c>
      <c r="H457">
        <v>44309</v>
      </c>
      <c r="I457">
        <v>44312</v>
      </c>
      <c r="K457" t="s">
        <v>23</v>
      </c>
      <c r="L457" t="s">
        <v>34</v>
      </c>
      <c r="M457" t="s">
        <v>25</v>
      </c>
      <c r="N457">
        <v>1</v>
      </c>
      <c r="O457" t="s">
        <v>26</v>
      </c>
      <c r="Q457" t="s">
        <v>29</v>
      </c>
      <c r="R457" t="s">
        <v>54</v>
      </c>
    </row>
    <row r="458" spans="1:18" x14ac:dyDescent="0.25">
      <c r="A458" t="s">
        <v>37</v>
      </c>
      <c r="B458" t="s">
        <v>318</v>
      </c>
      <c r="C458" t="s">
        <v>20</v>
      </c>
      <c r="D458" t="s">
        <v>319</v>
      </c>
      <c r="E458" t="s">
        <v>49</v>
      </c>
      <c r="F458">
        <v>1</v>
      </c>
      <c r="G458" s="89">
        <v>44306</v>
      </c>
      <c r="H458">
        <v>44309</v>
      </c>
      <c r="I458">
        <v>44312</v>
      </c>
      <c r="K458" t="s">
        <v>23</v>
      </c>
      <c r="L458" t="s">
        <v>34</v>
      </c>
      <c r="M458" t="s">
        <v>25</v>
      </c>
      <c r="N458">
        <v>1</v>
      </c>
      <c r="O458" t="s">
        <v>26</v>
      </c>
      <c r="Q458" t="s">
        <v>29</v>
      </c>
      <c r="R458" t="s">
        <v>54</v>
      </c>
    </row>
    <row r="459" spans="1:18" x14ac:dyDescent="0.25">
      <c r="A459" t="s">
        <v>37</v>
      </c>
      <c r="B459" t="s">
        <v>318</v>
      </c>
      <c r="C459" t="s">
        <v>20</v>
      </c>
      <c r="D459" t="s">
        <v>319</v>
      </c>
      <c r="E459" t="s">
        <v>33</v>
      </c>
      <c r="F459">
        <v>1</v>
      </c>
      <c r="G459" s="89">
        <v>44306</v>
      </c>
      <c r="H459">
        <v>44309</v>
      </c>
      <c r="I459">
        <v>44312</v>
      </c>
      <c r="K459" t="s">
        <v>23</v>
      </c>
      <c r="L459" t="s">
        <v>34</v>
      </c>
      <c r="M459" t="s">
        <v>25</v>
      </c>
      <c r="N459">
        <v>1</v>
      </c>
      <c r="O459" t="s">
        <v>26</v>
      </c>
      <c r="Q459" t="s">
        <v>29</v>
      </c>
      <c r="R459" t="s">
        <v>54</v>
      </c>
    </row>
    <row r="460" spans="1:18" x14ac:dyDescent="0.25">
      <c r="A460" t="s">
        <v>37</v>
      </c>
      <c r="B460" t="s">
        <v>318</v>
      </c>
      <c r="C460" t="s">
        <v>20</v>
      </c>
      <c r="D460" t="s">
        <v>319</v>
      </c>
      <c r="E460" t="s">
        <v>36</v>
      </c>
      <c r="F460">
        <v>3</v>
      </c>
      <c r="G460" s="89">
        <v>44306</v>
      </c>
      <c r="H460">
        <v>44309</v>
      </c>
      <c r="I460">
        <v>44312</v>
      </c>
      <c r="K460" t="s">
        <v>23</v>
      </c>
      <c r="L460" t="s">
        <v>34</v>
      </c>
      <c r="M460" t="s">
        <v>25</v>
      </c>
      <c r="N460">
        <v>1</v>
      </c>
      <c r="O460" t="s">
        <v>26</v>
      </c>
      <c r="Q460" t="s">
        <v>29</v>
      </c>
      <c r="R460" t="s">
        <v>54</v>
      </c>
    </row>
    <row r="461" spans="1:18" x14ac:dyDescent="0.25">
      <c r="A461" t="s">
        <v>37</v>
      </c>
      <c r="B461" t="s">
        <v>320</v>
      </c>
      <c r="C461" t="s">
        <v>20</v>
      </c>
      <c r="D461" t="s">
        <v>321</v>
      </c>
      <c r="E461" t="s">
        <v>35</v>
      </c>
      <c r="F461">
        <v>1</v>
      </c>
      <c r="G461" s="89">
        <v>44302</v>
      </c>
      <c r="H461">
        <v>44308</v>
      </c>
      <c r="I461">
        <v>44309</v>
      </c>
      <c r="K461" t="s">
        <v>23</v>
      </c>
      <c r="L461" t="s">
        <v>24</v>
      </c>
      <c r="M461" t="s">
        <v>25</v>
      </c>
      <c r="O461" t="s">
        <v>27</v>
      </c>
      <c r="Q461" t="s">
        <v>54</v>
      </c>
      <c r="R461" t="s">
        <v>54</v>
      </c>
    </row>
    <row r="462" spans="1:18" x14ac:dyDescent="0.25">
      <c r="A462" t="s">
        <v>37</v>
      </c>
      <c r="B462" t="s">
        <v>320</v>
      </c>
      <c r="C462" t="s">
        <v>20</v>
      </c>
      <c r="D462" t="s">
        <v>321</v>
      </c>
      <c r="E462" t="s">
        <v>49</v>
      </c>
      <c r="F462">
        <v>1</v>
      </c>
      <c r="G462" s="89">
        <v>44302</v>
      </c>
      <c r="H462">
        <v>44308</v>
      </c>
      <c r="I462">
        <v>44309</v>
      </c>
      <c r="K462" t="s">
        <v>23</v>
      </c>
      <c r="L462" t="s">
        <v>24</v>
      </c>
      <c r="M462" t="s">
        <v>25</v>
      </c>
      <c r="O462" t="s">
        <v>27</v>
      </c>
      <c r="Q462" t="s">
        <v>54</v>
      </c>
      <c r="R462" t="s">
        <v>54</v>
      </c>
    </row>
    <row r="463" spans="1:18" x14ac:dyDescent="0.25">
      <c r="A463" t="s">
        <v>37</v>
      </c>
      <c r="B463" t="s">
        <v>320</v>
      </c>
      <c r="C463" t="s">
        <v>20</v>
      </c>
      <c r="D463" t="s">
        <v>321</v>
      </c>
      <c r="E463" t="s">
        <v>33</v>
      </c>
      <c r="F463">
        <v>1</v>
      </c>
      <c r="G463" s="89">
        <v>44302</v>
      </c>
      <c r="H463">
        <v>44308</v>
      </c>
      <c r="I463">
        <v>44309</v>
      </c>
      <c r="K463" t="s">
        <v>23</v>
      </c>
      <c r="L463" t="s">
        <v>24</v>
      </c>
      <c r="M463" t="s">
        <v>25</v>
      </c>
      <c r="O463" t="s">
        <v>27</v>
      </c>
      <c r="Q463" t="s">
        <v>54</v>
      </c>
      <c r="R463" t="s">
        <v>54</v>
      </c>
    </row>
    <row r="464" spans="1:18" x14ac:dyDescent="0.25">
      <c r="A464" t="s">
        <v>40</v>
      </c>
      <c r="B464" t="s">
        <v>322</v>
      </c>
      <c r="C464" t="s">
        <v>20</v>
      </c>
      <c r="D464" t="s">
        <v>323</v>
      </c>
      <c r="E464" t="s">
        <v>35</v>
      </c>
      <c r="F464">
        <v>1</v>
      </c>
      <c r="G464" s="89">
        <v>44313</v>
      </c>
      <c r="H464">
        <v>44315</v>
      </c>
      <c r="K464" t="s">
        <v>23</v>
      </c>
      <c r="L464" t="s">
        <v>24</v>
      </c>
      <c r="M464" t="s">
        <v>25</v>
      </c>
      <c r="N464">
        <v>1</v>
      </c>
      <c r="O464" t="s">
        <v>27</v>
      </c>
      <c r="Q464" t="s">
        <v>29</v>
      </c>
      <c r="R464" t="s">
        <v>29</v>
      </c>
    </row>
    <row r="465" spans="1:18" x14ac:dyDescent="0.25">
      <c r="A465" t="s">
        <v>40</v>
      </c>
      <c r="B465" t="s">
        <v>322</v>
      </c>
      <c r="C465" t="s">
        <v>20</v>
      </c>
      <c r="D465" t="s">
        <v>323</v>
      </c>
      <c r="E465" t="s">
        <v>33</v>
      </c>
      <c r="F465">
        <v>1</v>
      </c>
      <c r="G465" s="89">
        <v>44313</v>
      </c>
      <c r="H465">
        <v>44315</v>
      </c>
      <c r="K465" t="s">
        <v>23</v>
      </c>
      <c r="L465" t="s">
        <v>24</v>
      </c>
      <c r="M465" t="s">
        <v>25</v>
      </c>
      <c r="N465">
        <v>1</v>
      </c>
      <c r="O465" t="s">
        <v>27</v>
      </c>
      <c r="Q465" t="s">
        <v>54</v>
      </c>
      <c r="R465" t="s">
        <v>54</v>
      </c>
    </row>
    <row r="466" spans="1:18" x14ac:dyDescent="0.25">
      <c r="A466" t="s">
        <v>30</v>
      </c>
      <c r="B466" t="s">
        <v>324</v>
      </c>
      <c r="C466" t="s">
        <v>31</v>
      </c>
      <c r="D466" t="s">
        <v>325</v>
      </c>
      <c r="E466" t="s">
        <v>49</v>
      </c>
      <c r="F466">
        <v>1</v>
      </c>
      <c r="G466" s="89">
        <v>44309</v>
      </c>
      <c r="H466">
        <v>44314</v>
      </c>
      <c r="I466">
        <v>44314</v>
      </c>
      <c r="K466" t="s">
        <v>23</v>
      </c>
      <c r="L466" t="s">
        <v>24</v>
      </c>
      <c r="M466" t="s">
        <v>25</v>
      </c>
      <c r="O466" t="s">
        <v>26</v>
      </c>
      <c r="P466" t="s">
        <v>27</v>
      </c>
      <c r="Q466" t="s">
        <v>54</v>
      </c>
      <c r="R466" t="s">
        <v>54</v>
      </c>
    </row>
    <row r="467" spans="1:18" x14ac:dyDescent="0.25">
      <c r="A467" t="s">
        <v>30</v>
      </c>
      <c r="B467" t="s">
        <v>324</v>
      </c>
      <c r="C467" t="s">
        <v>31</v>
      </c>
      <c r="D467" t="s">
        <v>325</v>
      </c>
      <c r="E467" t="s">
        <v>33</v>
      </c>
      <c r="F467">
        <v>1</v>
      </c>
      <c r="G467" s="89">
        <v>44309</v>
      </c>
      <c r="H467">
        <v>44314</v>
      </c>
      <c r="I467">
        <v>44314</v>
      </c>
      <c r="K467" t="s">
        <v>23</v>
      </c>
      <c r="L467" t="s">
        <v>24</v>
      </c>
      <c r="M467" t="s">
        <v>25</v>
      </c>
      <c r="O467" t="s">
        <v>26</v>
      </c>
      <c r="P467" t="s">
        <v>27</v>
      </c>
      <c r="Q467" t="s">
        <v>54</v>
      </c>
      <c r="R467" t="s">
        <v>54</v>
      </c>
    </row>
    <row r="468" spans="1:18" x14ac:dyDescent="0.25">
      <c r="A468" t="s">
        <v>30</v>
      </c>
      <c r="B468" t="s">
        <v>324</v>
      </c>
      <c r="C468" t="s">
        <v>31</v>
      </c>
      <c r="D468" t="s">
        <v>325</v>
      </c>
      <c r="E468" t="s">
        <v>36</v>
      </c>
      <c r="F468">
        <v>2</v>
      </c>
      <c r="G468" s="89">
        <v>44309</v>
      </c>
      <c r="H468">
        <v>44314</v>
      </c>
      <c r="I468">
        <v>44314</v>
      </c>
      <c r="K468" t="s">
        <v>23</v>
      </c>
      <c r="L468" t="s">
        <v>24</v>
      </c>
      <c r="M468" t="s">
        <v>25</v>
      </c>
      <c r="O468" t="s">
        <v>26</v>
      </c>
      <c r="P468" t="s">
        <v>27</v>
      </c>
      <c r="Q468" t="s">
        <v>54</v>
      </c>
      <c r="R468" t="s">
        <v>54</v>
      </c>
    </row>
    <row r="469" spans="1:18" x14ac:dyDescent="0.25">
      <c r="A469" t="s">
        <v>30</v>
      </c>
      <c r="B469" t="s">
        <v>326</v>
      </c>
      <c r="C469" t="s">
        <v>20</v>
      </c>
      <c r="D469" t="s">
        <v>327</v>
      </c>
      <c r="E469" t="s">
        <v>49</v>
      </c>
      <c r="G469" s="89">
        <v>44315</v>
      </c>
      <c r="H469">
        <v>44321</v>
      </c>
      <c r="K469" t="s">
        <v>219</v>
      </c>
    </row>
    <row r="470" spans="1:18" x14ac:dyDescent="0.25">
      <c r="A470" t="s">
        <v>37</v>
      </c>
      <c r="B470" t="s">
        <v>328</v>
      </c>
      <c r="C470" t="s">
        <v>20</v>
      </c>
      <c r="D470" t="s">
        <v>329</v>
      </c>
      <c r="E470" t="s">
        <v>67</v>
      </c>
      <c r="G470" s="89">
        <v>44306</v>
      </c>
      <c r="H470">
        <v>44320</v>
      </c>
      <c r="K470" t="s">
        <v>219</v>
      </c>
    </row>
    <row r="471" spans="1:18" x14ac:dyDescent="0.25">
      <c r="A471" t="s">
        <v>30</v>
      </c>
      <c r="B471" t="s">
        <v>330</v>
      </c>
      <c r="C471" t="s">
        <v>31</v>
      </c>
      <c r="D471" t="s">
        <v>331</v>
      </c>
      <c r="E471" t="s">
        <v>39</v>
      </c>
      <c r="G471" s="89">
        <v>44315</v>
      </c>
      <c r="H471">
        <v>44322</v>
      </c>
      <c r="K471" t="s">
        <v>219</v>
      </c>
      <c r="L471" t="s">
        <v>42</v>
      </c>
      <c r="P471" t="s">
        <v>27</v>
      </c>
      <c r="Q471" t="s">
        <v>29</v>
      </c>
    </row>
    <row r="472" spans="1:18" x14ac:dyDescent="0.25">
      <c r="A472" t="s">
        <v>178</v>
      </c>
      <c r="B472" t="s">
        <v>332</v>
      </c>
      <c r="C472" t="s">
        <v>31</v>
      </c>
      <c r="D472" t="s">
        <v>333</v>
      </c>
      <c r="E472" t="s">
        <v>73</v>
      </c>
      <c r="G472" s="89">
        <v>44306</v>
      </c>
      <c r="H472">
        <v>44321</v>
      </c>
      <c r="K472" t="s">
        <v>219</v>
      </c>
      <c r="L472" t="s">
        <v>42</v>
      </c>
      <c r="P472" t="s">
        <v>27</v>
      </c>
      <c r="Q472" t="s">
        <v>54</v>
      </c>
    </row>
    <row r="473" spans="1:18" x14ac:dyDescent="0.25">
      <c r="A473" t="s">
        <v>178</v>
      </c>
      <c r="B473" t="s">
        <v>334</v>
      </c>
      <c r="C473" t="s">
        <v>31</v>
      </c>
      <c r="D473" t="s">
        <v>335</v>
      </c>
      <c r="E473" t="s">
        <v>35</v>
      </c>
      <c r="F473">
        <v>1</v>
      </c>
      <c r="G473" s="89">
        <v>44309</v>
      </c>
      <c r="H473">
        <v>44316</v>
      </c>
      <c r="I473">
        <v>44315</v>
      </c>
      <c r="K473" t="s">
        <v>23</v>
      </c>
      <c r="L473" t="s">
        <v>24</v>
      </c>
      <c r="M473" t="s">
        <v>25</v>
      </c>
      <c r="O473" t="s">
        <v>26</v>
      </c>
      <c r="P473" t="s">
        <v>26</v>
      </c>
      <c r="Q473" t="s">
        <v>54</v>
      </c>
      <c r="R473" t="s">
        <v>54</v>
      </c>
    </row>
    <row r="474" spans="1:18" x14ac:dyDescent="0.25">
      <c r="A474" t="s">
        <v>178</v>
      </c>
      <c r="B474" t="s">
        <v>334</v>
      </c>
      <c r="C474" t="s">
        <v>31</v>
      </c>
      <c r="D474" t="s">
        <v>335</v>
      </c>
      <c r="E474" t="s">
        <v>49</v>
      </c>
      <c r="F474">
        <v>1</v>
      </c>
      <c r="G474" s="89">
        <v>44309</v>
      </c>
      <c r="H474">
        <v>44316</v>
      </c>
      <c r="I474">
        <v>44315</v>
      </c>
      <c r="K474" t="s">
        <v>23</v>
      </c>
      <c r="L474" t="s">
        <v>24</v>
      </c>
      <c r="M474" t="s">
        <v>25</v>
      </c>
      <c r="O474" t="s">
        <v>26</v>
      </c>
      <c r="P474" t="s">
        <v>26</v>
      </c>
      <c r="Q474" t="s">
        <v>54</v>
      </c>
      <c r="R474" t="s">
        <v>54</v>
      </c>
    </row>
    <row r="475" spans="1:18" x14ac:dyDescent="0.25">
      <c r="A475" t="s">
        <v>178</v>
      </c>
      <c r="B475" t="s">
        <v>334</v>
      </c>
      <c r="C475" t="s">
        <v>31</v>
      </c>
      <c r="D475" t="s">
        <v>335</v>
      </c>
      <c r="E475" t="s">
        <v>33</v>
      </c>
      <c r="F475">
        <v>1</v>
      </c>
      <c r="G475" s="89">
        <v>44309</v>
      </c>
      <c r="H475">
        <v>44316</v>
      </c>
      <c r="I475">
        <v>44315</v>
      </c>
      <c r="K475" t="s">
        <v>23</v>
      </c>
      <c r="L475" t="s">
        <v>24</v>
      </c>
      <c r="M475" t="s">
        <v>25</v>
      </c>
      <c r="O475" t="s">
        <v>26</v>
      </c>
      <c r="P475" t="s">
        <v>26</v>
      </c>
      <c r="Q475" t="s">
        <v>54</v>
      </c>
      <c r="R475" t="s">
        <v>54</v>
      </c>
    </row>
    <row r="476" spans="1:18" x14ac:dyDescent="0.25">
      <c r="A476" t="s">
        <v>178</v>
      </c>
      <c r="B476" t="s">
        <v>334</v>
      </c>
      <c r="C476" t="s">
        <v>31</v>
      </c>
      <c r="D476" t="s">
        <v>335</v>
      </c>
      <c r="E476" t="s">
        <v>36</v>
      </c>
      <c r="F476">
        <v>2</v>
      </c>
      <c r="G476" s="89">
        <v>44309</v>
      </c>
      <c r="H476">
        <v>44316</v>
      </c>
      <c r="I476">
        <v>44315</v>
      </c>
      <c r="K476" t="s">
        <v>23</v>
      </c>
      <c r="L476" t="s">
        <v>24</v>
      </c>
      <c r="M476" t="s">
        <v>25</v>
      </c>
      <c r="O476" t="s">
        <v>26</v>
      </c>
      <c r="P476" t="s">
        <v>26</v>
      </c>
      <c r="Q476" t="s">
        <v>54</v>
      </c>
      <c r="R476" t="s">
        <v>54</v>
      </c>
    </row>
    <row r="477" spans="1:18" x14ac:dyDescent="0.25">
      <c r="A477" t="s">
        <v>30</v>
      </c>
      <c r="B477">
        <v>233943</v>
      </c>
      <c r="C477" t="s">
        <v>31</v>
      </c>
      <c r="D477" t="s">
        <v>336</v>
      </c>
      <c r="E477" t="s">
        <v>44</v>
      </c>
      <c r="G477" s="89">
        <v>44314</v>
      </c>
      <c r="H477">
        <v>44320</v>
      </c>
      <c r="K477" t="s">
        <v>219</v>
      </c>
      <c r="L477" t="s">
        <v>24</v>
      </c>
    </row>
    <row r="478" spans="1:18" x14ac:dyDescent="0.25">
      <c r="A478" t="s">
        <v>95</v>
      </c>
      <c r="B478" t="s">
        <v>96</v>
      </c>
      <c r="C478" t="s">
        <v>31</v>
      </c>
      <c r="D478" t="s">
        <v>337</v>
      </c>
      <c r="E478" t="s">
        <v>35</v>
      </c>
      <c r="F478">
        <v>1</v>
      </c>
      <c r="G478" s="89">
        <v>44316</v>
      </c>
      <c r="H478">
        <v>44316</v>
      </c>
      <c r="I478">
        <v>44316</v>
      </c>
      <c r="K478" t="s">
        <v>23</v>
      </c>
      <c r="L478" t="s">
        <v>24</v>
      </c>
      <c r="O478" t="s">
        <v>26</v>
      </c>
      <c r="P478" t="s">
        <v>27</v>
      </c>
      <c r="Q478" t="s">
        <v>29</v>
      </c>
      <c r="R478" t="s">
        <v>29</v>
      </c>
    </row>
    <row r="479" spans="1:18" x14ac:dyDescent="0.25">
      <c r="A479" t="s">
        <v>71</v>
      </c>
      <c r="B479" t="s">
        <v>96</v>
      </c>
      <c r="C479" t="s">
        <v>31</v>
      </c>
      <c r="D479" t="s">
        <v>338</v>
      </c>
      <c r="E479" t="s">
        <v>49</v>
      </c>
      <c r="F479">
        <v>2</v>
      </c>
      <c r="G479" s="89">
        <v>44316</v>
      </c>
      <c r="H479">
        <v>44316</v>
      </c>
      <c r="I479">
        <v>44316</v>
      </c>
      <c r="J479" t="s">
        <v>339</v>
      </c>
      <c r="K479" t="s">
        <v>23</v>
      </c>
      <c r="L479" t="s">
        <v>58</v>
      </c>
      <c r="M479" t="s">
        <v>25</v>
      </c>
      <c r="O479" t="s">
        <v>26</v>
      </c>
      <c r="P479" t="s">
        <v>27</v>
      </c>
      <c r="Q479" t="s">
        <v>29</v>
      </c>
      <c r="R479" t="s">
        <v>54</v>
      </c>
    </row>
    <row r="480" spans="1:18" x14ac:dyDescent="0.25">
      <c r="A480" t="s">
        <v>47</v>
      </c>
      <c r="B480">
        <v>214279</v>
      </c>
      <c r="C480" t="s">
        <v>31</v>
      </c>
      <c r="D480" t="s">
        <v>213</v>
      </c>
      <c r="E480" t="s">
        <v>35</v>
      </c>
      <c r="F480">
        <v>1</v>
      </c>
      <c r="G480" s="89">
        <v>44209</v>
      </c>
      <c r="H480">
        <v>44216</v>
      </c>
      <c r="I480">
        <v>44216</v>
      </c>
      <c r="K480" t="s">
        <v>23</v>
      </c>
      <c r="L480" t="s">
        <v>24</v>
      </c>
      <c r="M480" t="s">
        <v>25</v>
      </c>
      <c r="N480">
        <v>2</v>
      </c>
      <c r="O480" t="s">
        <v>26</v>
      </c>
      <c r="P480" t="s">
        <v>27</v>
      </c>
      <c r="Q480" t="s">
        <v>74</v>
      </c>
      <c r="R480" t="s">
        <v>74</v>
      </c>
    </row>
    <row r="481" spans="1:18" x14ac:dyDescent="0.25">
      <c r="A481" t="s">
        <v>47</v>
      </c>
      <c r="B481">
        <v>214279</v>
      </c>
      <c r="C481" t="s">
        <v>31</v>
      </c>
      <c r="D481" t="s">
        <v>213</v>
      </c>
      <c r="E481" t="s">
        <v>44</v>
      </c>
      <c r="F481">
        <v>1</v>
      </c>
      <c r="G481" s="89">
        <v>44209</v>
      </c>
      <c r="H481">
        <v>44216</v>
      </c>
      <c r="I481">
        <v>44216</v>
      </c>
      <c r="K481" t="s">
        <v>23</v>
      </c>
      <c r="L481" t="s">
        <v>24</v>
      </c>
      <c r="M481" t="s">
        <v>25</v>
      </c>
      <c r="N481">
        <v>4</v>
      </c>
      <c r="O481" t="s">
        <v>26</v>
      </c>
      <c r="P481" t="s">
        <v>27</v>
      </c>
      <c r="Q481" t="s">
        <v>74</v>
      </c>
      <c r="R481" t="s">
        <v>74</v>
      </c>
    </row>
    <row r="482" spans="1:18" x14ac:dyDescent="0.25">
      <c r="A482" t="s">
        <v>235</v>
      </c>
      <c r="B482">
        <v>213706</v>
      </c>
      <c r="C482" t="s">
        <v>56</v>
      </c>
      <c r="D482" t="s">
        <v>236</v>
      </c>
      <c r="F482">
        <v>1</v>
      </c>
      <c r="G482" s="89">
        <v>44214.760844907411</v>
      </c>
      <c r="H482">
        <v>44218</v>
      </c>
      <c r="K482" t="s">
        <v>23</v>
      </c>
    </row>
    <row r="483" spans="1:18" x14ac:dyDescent="0.25">
      <c r="A483" t="s">
        <v>37</v>
      </c>
      <c r="B483">
        <v>214915</v>
      </c>
      <c r="C483" t="s">
        <v>20</v>
      </c>
      <c r="D483" t="s">
        <v>237</v>
      </c>
      <c r="E483" t="s">
        <v>35</v>
      </c>
      <c r="F483">
        <v>1</v>
      </c>
      <c r="G483" s="89">
        <v>44211</v>
      </c>
      <c r="H483">
        <v>44215</v>
      </c>
      <c r="I483">
        <v>44214</v>
      </c>
      <c r="K483" t="s">
        <v>23</v>
      </c>
      <c r="L483" t="s">
        <v>34</v>
      </c>
      <c r="M483" t="s">
        <v>25</v>
      </c>
      <c r="O483" t="s">
        <v>26</v>
      </c>
      <c r="P483" t="s">
        <v>26</v>
      </c>
      <c r="Q483" t="s">
        <v>54</v>
      </c>
      <c r="R483" t="s">
        <v>28</v>
      </c>
    </row>
    <row r="484" spans="1:18" x14ac:dyDescent="0.25">
      <c r="A484" t="s">
        <v>37</v>
      </c>
      <c r="B484">
        <v>215204</v>
      </c>
      <c r="C484" t="s">
        <v>56</v>
      </c>
      <c r="D484" t="s">
        <v>238</v>
      </c>
      <c r="F484">
        <v>1</v>
      </c>
      <c r="G484" s="89">
        <v>44214.683125000003</v>
      </c>
      <c r="H484">
        <v>44228</v>
      </c>
      <c r="K484" t="s">
        <v>23</v>
      </c>
    </row>
    <row r="485" spans="1:18" x14ac:dyDescent="0.25">
      <c r="A485" t="s">
        <v>37</v>
      </c>
      <c r="B485">
        <v>214915</v>
      </c>
      <c r="C485" t="s">
        <v>20</v>
      </c>
      <c r="D485" t="s">
        <v>237</v>
      </c>
      <c r="E485" t="s">
        <v>33</v>
      </c>
      <c r="F485">
        <v>1</v>
      </c>
      <c r="G485" s="89">
        <v>44211</v>
      </c>
      <c r="H485">
        <v>44215</v>
      </c>
      <c r="I485">
        <v>44214</v>
      </c>
      <c r="K485" t="s">
        <v>23</v>
      </c>
      <c r="L485" t="s">
        <v>34</v>
      </c>
      <c r="M485" t="s">
        <v>25</v>
      </c>
      <c r="O485" t="s">
        <v>26</v>
      </c>
      <c r="P485" t="s">
        <v>26</v>
      </c>
      <c r="Q485" t="s">
        <v>54</v>
      </c>
      <c r="R485" t="s">
        <v>28</v>
      </c>
    </row>
    <row r="486" spans="1:18" x14ac:dyDescent="0.25">
      <c r="A486" t="s">
        <v>30</v>
      </c>
      <c r="B486">
        <v>212059</v>
      </c>
      <c r="C486" t="s">
        <v>20</v>
      </c>
      <c r="D486" t="s">
        <v>70</v>
      </c>
      <c r="E486" t="s">
        <v>44</v>
      </c>
      <c r="F486">
        <v>2</v>
      </c>
      <c r="G486" s="89">
        <v>44200</v>
      </c>
      <c r="H486">
        <v>44218</v>
      </c>
      <c r="K486" t="s">
        <v>23</v>
      </c>
      <c r="Q486" t="s">
        <v>54</v>
      </c>
      <c r="R486" t="s">
        <v>54</v>
      </c>
    </row>
    <row r="487" spans="1:18" x14ac:dyDescent="0.25">
      <c r="A487" t="s">
        <v>30</v>
      </c>
      <c r="B487">
        <v>212059</v>
      </c>
      <c r="C487" t="s">
        <v>20</v>
      </c>
      <c r="D487" t="s">
        <v>70</v>
      </c>
      <c r="E487" t="s">
        <v>67</v>
      </c>
      <c r="F487">
        <v>1</v>
      </c>
      <c r="G487" s="89">
        <v>44200</v>
      </c>
      <c r="H487">
        <v>44207</v>
      </c>
      <c r="K487" t="s">
        <v>23</v>
      </c>
      <c r="Q487" t="s">
        <v>54</v>
      </c>
      <c r="R487" t="s">
        <v>54</v>
      </c>
    </row>
    <row r="488" spans="1:18" x14ac:dyDescent="0.25">
      <c r="A488" t="s">
        <v>40</v>
      </c>
      <c r="B488">
        <v>195121</v>
      </c>
      <c r="C488" t="s">
        <v>56</v>
      </c>
      <c r="D488" t="s">
        <v>239</v>
      </c>
      <c r="E488" t="s">
        <v>22</v>
      </c>
      <c r="F488">
        <v>1</v>
      </c>
      <c r="G488" s="89">
        <v>44117</v>
      </c>
      <c r="H488">
        <v>44120</v>
      </c>
      <c r="I488">
        <v>44118</v>
      </c>
      <c r="K488" t="s">
        <v>23</v>
      </c>
      <c r="L488" t="s">
        <v>24</v>
      </c>
    </row>
    <row r="489" spans="1:18" x14ac:dyDescent="0.25">
      <c r="A489" t="s">
        <v>40</v>
      </c>
      <c r="B489">
        <v>193661</v>
      </c>
      <c r="C489" t="s">
        <v>56</v>
      </c>
      <c r="D489" t="s">
        <v>240</v>
      </c>
      <c r="E489" t="s">
        <v>33</v>
      </c>
      <c r="F489">
        <v>2</v>
      </c>
      <c r="G489" s="89">
        <v>44109</v>
      </c>
      <c r="H489">
        <v>44130</v>
      </c>
      <c r="I489">
        <v>44119</v>
      </c>
      <c r="K489" t="s">
        <v>23</v>
      </c>
      <c r="L489" t="s">
        <v>42</v>
      </c>
    </row>
    <row r="490" spans="1:18" x14ac:dyDescent="0.25">
      <c r="A490" t="s">
        <v>55</v>
      </c>
      <c r="B490">
        <v>193724</v>
      </c>
      <c r="C490" t="s">
        <v>56</v>
      </c>
      <c r="D490" t="s">
        <v>241</v>
      </c>
      <c r="F490">
        <v>1</v>
      </c>
      <c r="G490" s="89">
        <v>44109</v>
      </c>
      <c r="I490">
        <v>44120</v>
      </c>
      <c r="K490" t="s">
        <v>23</v>
      </c>
      <c r="L490" t="s">
        <v>42</v>
      </c>
    </row>
    <row r="491" spans="1:18" x14ac:dyDescent="0.25">
      <c r="A491" t="s">
        <v>68</v>
      </c>
      <c r="B491">
        <v>193091</v>
      </c>
      <c r="C491" t="s">
        <v>20</v>
      </c>
      <c r="D491" t="s">
        <v>242</v>
      </c>
      <c r="E491" t="s">
        <v>76</v>
      </c>
      <c r="F491">
        <v>1</v>
      </c>
      <c r="G491" s="89">
        <v>44105</v>
      </c>
      <c r="H491">
        <v>44131</v>
      </c>
      <c r="I491">
        <v>44123</v>
      </c>
      <c r="K491" t="s">
        <v>23</v>
      </c>
      <c r="L491" t="s">
        <v>42</v>
      </c>
      <c r="Q491" t="s">
        <v>29</v>
      </c>
      <c r="R491" t="s">
        <v>54</v>
      </c>
    </row>
    <row r="492" spans="1:18" x14ac:dyDescent="0.25">
      <c r="A492" t="s">
        <v>243</v>
      </c>
      <c r="B492">
        <v>193525</v>
      </c>
      <c r="C492" t="s">
        <v>56</v>
      </c>
      <c r="D492" t="s">
        <v>244</v>
      </c>
      <c r="E492" t="s">
        <v>73</v>
      </c>
      <c r="F492">
        <v>1</v>
      </c>
      <c r="G492" s="89">
        <v>44106</v>
      </c>
      <c r="H492">
        <v>44118</v>
      </c>
      <c r="I492">
        <v>44118</v>
      </c>
      <c r="K492" t="s">
        <v>23</v>
      </c>
      <c r="L492" t="s">
        <v>58</v>
      </c>
      <c r="Q492" t="s">
        <v>29</v>
      </c>
    </row>
    <row r="493" spans="1:18" x14ac:dyDescent="0.25">
      <c r="A493" t="s">
        <v>40</v>
      </c>
      <c r="B493">
        <v>160587</v>
      </c>
      <c r="C493" t="s">
        <v>56</v>
      </c>
      <c r="D493" t="s">
        <v>245</v>
      </c>
      <c r="E493" t="s">
        <v>73</v>
      </c>
      <c r="F493">
        <v>1</v>
      </c>
      <c r="G493" s="89">
        <v>43934</v>
      </c>
      <c r="H493">
        <v>43973</v>
      </c>
      <c r="K493" t="s">
        <v>23</v>
      </c>
      <c r="L493" t="s">
        <v>42</v>
      </c>
    </row>
    <row r="494" spans="1:18" x14ac:dyDescent="0.25">
      <c r="A494" t="s">
        <v>95</v>
      </c>
      <c r="B494">
        <v>160624</v>
      </c>
      <c r="C494" t="s">
        <v>56</v>
      </c>
      <c r="D494" t="s">
        <v>246</v>
      </c>
      <c r="F494">
        <v>1</v>
      </c>
      <c r="G494" s="89">
        <v>43934</v>
      </c>
      <c r="I494">
        <v>43951</v>
      </c>
      <c r="K494" t="s">
        <v>23</v>
      </c>
      <c r="L494" t="s">
        <v>42</v>
      </c>
    </row>
    <row r="495" spans="1:18" x14ac:dyDescent="0.25">
      <c r="A495" t="s">
        <v>40</v>
      </c>
      <c r="B495">
        <v>153722</v>
      </c>
      <c r="C495" t="s">
        <v>20</v>
      </c>
      <c r="D495" t="s">
        <v>247</v>
      </c>
      <c r="E495" t="s">
        <v>73</v>
      </c>
      <c r="F495">
        <v>1</v>
      </c>
      <c r="G495" s="89">
        <v>43894</v>
      </c>
      <c r="I495">
        <v>43908</v>
      </c>
      <c r="K495" t="s">
        <v>23</v>
      </c>
    </row>
    <row r="496" spans="1:18" x14ac:dyDescent="0.25">
      <c r="A496" t="s">
        <v>243</v>
      </c>
      <c r="B496">
        <v>193243</v>
      </c>
      <c r="C496" t="s">
        <v>56</v>
      </c>
      <c r="D496" t="s">
        <v>248</v>
      </c>
      <c r="F496">
        <v>2</v>
      </c>
      <c r="G496" s="89">
        <v>44105</v>
      </c>
      <c r="H496">
        <v>44117</v>
      </c>
      <c r="I496">
        <v>44119</v>
      </c>
      <c r="K496" t="s">
        <v>23</v>
      </c>
      <c r="L496" t="s">
        <v>24</v>
      </c>
    </row>
    <row r="497" spans="1:18" x14ac:dyDescent="0.25">
      <c r="A497" t="s">
        <v>243</v>
      </c>
      <c r="B497">
        <v>193243</v>
      </c>
      <c r="C497" t="s">
        <v>56</v>
      </c>
      <c r="D497" t="s">
        <v>248</v>
      </c>
      <c r="F497">
        <v>1</v>
      </c>
      <c r="G497" s="89">
        <v>44105</v>
      </c>
      <c r="H497">
        <v>44117</v>
      </c>
      <c r="I497">
        <v>44119</v>
      </c>
      <c r="K497" t="s">
        <v>23</v>
      </c>
      <c r="L497" t="s">
        <v>24</v>
      </c>
    </row>
    <row r="498" spans="1:18" x14ac:dyDescent="0.25">
      <c r="A498" t="s">
        <v>243</v>
      </c>
      <c r="B498">
        <v>193243</v>
      </c>
      <c r="C498" t="s">
        <v>56</v>
      </c>
      <c r="D498" t="s">
        <v>248</v>
      </c>
      <c r="F498">
        <v>1</v>
      </c>
      <c r="G498" s="89">
        <v>44105</v>
      </c>
      <c r="H498">
        <v>44117</v>
      </c>
      <c r="I498">
        <v>44119</v>
      </c>
      <c r="K498" t="s">
        <v>23</v>
      </c>
      <c r="L498" t="s">
        <v>24</v>
      </c>
    </row>
    <row r="499" spans="1:18" x14ac:dyDescent="0.25">
      <c r="A499" t="s">
        <v>47</v>
      </c>
      <c r="B499">
        <v>194777</v>
      </c>
      <c r="C499" t="s">
        <v>56</v>
      </c>
      <c r="D499" t="s">
        <v>249</v>
      </c>
      <c r="F499">
        <v>3</v>
      </c>
      <c r="G499" s="89">
        <v>44112</v>
      </c>
      <c r="H499">
        <v>44124</v>
      </c>
      <c r="I499">
        <v>44117</v>
      </c>
      <c r="K499" t="s">
        <v>23</v>
      </c>
      <c r="L499" t="s">
        <v>34</v>
      </c>
    </row>
    <row r="500" spans="1:18" x14ac:dyDescent="0.25">
      <c r="A500" t="s">
        <v>47</v>
      </c>
      <c r="B500">
        <v>194777</v>
      </c>
      <c r="C500" t="s">
        <v>56</v>
      </c>
      <c r="D500" t="s">
        <v>249</v>
      </c>
      <c r="F500">
        <v>1</v>
      </c>
      <c r="G500" s="89">
        <v>44112</v>
      </c>
      <c r="H500">
        <v>44124</v>
      </c>
      <c r="I500">
        <v>44117</v>
      </c>
      <c r="K500" t="s">
        <v>23</v>
      </c>
      <c r="L500" t="s">
        <v>34</v>
      </c>
    </row>
    <row r="501" spans="1:18" x14ac:dyDescent="0.25">
      <c r="A501" t="s">
        <v>47</v>
      </c>
      <c r="B501">
        <v>194777</v>
      </c>
      <c r="C501" t="s">
        <v>56</v>
      </c>
      <c r="D501" t="s">
        <v>249</v>
      </c>
      <c r="F501">
        <v>1</v>
      </c>
      <c r="G501" s="89">
        <v>44112</v>
      </c>
      <c r="H501">
        <v>44124</v>
      </c>
      <c r="I501">
        <v>44117</v>
      </c>
      <c r="K501" t="s">
        <v>23</v>
      </c>
      <c r="L501" t="s">
        <v>34</v>
      </c>
    </row>
    <row r="502" spans="1:18" x14ac:dyDescent="0.25">
      <c r="A502" t="s">
        <v>40</v>
      </c>
      <c r="B502">
        <v>216830</v>
      </c>
      <c r="C502" t="s">
        <v>20</v>
      </c>
      <c r="D502" t="s">
        <v>250</v>
      </c>
      <c r="E502" t="s">
        <v>35</v>
      </c>
      <c r="F502">
        <v>1</v>
      </c>
      <c r="G502" s="89">
        <v>44223</v>
      </c>
      <c r="H502">
        <v>44223</v>
      </c>
      <c r="I502">
        <v>44223</v>
      </c>
      <c r="K502" t="s">
        <v>23</v>
      </c>
      <c r="L502" t="s">
        <v>24</v>
      </c>
      <c r="M502" t="s">
        <v>25</v>
      </c>
      <c r="O502" t="s">
        <v>26</v>
      </c>
      <c r="P502" t="s">
        <v>26</v>
      </c>
      <c r="Q502" t="s">
        <v>29</v>
      </c>
      <c r="R502" t="s">
        <v>54</v>
      </c>
    </row>
    <row r="503" spans="1:18" x14ac:dyDescent="0.25">
      <c r="A503" t="s">
        <v>40</v>
      </c>
      <c r="B503">
        <v>216830</v>
      </c>
      <c r="C503" t="s">
        <v>20</v>
      </c>
      <c r="D503" t="s">
        <v>250</v>
      </c>
      <c r="E503" t="s">
        <v>33</v>
      </c>
      <c r="F503">
        <v>1</v>
      </c>
      <c r="G503" s="89">
        <v>44223</v>
      </c>
      <c r="H503">
        <v>44223</v>
      </c>
      <c r="I503">
        <v>44223</v>
      </c>
      <c r="K503" t="s">
        <v>23</v>
      </c>
      <c r="L503" t="s">
        <v>24</v>
      </c>
      <c r="M503" t="s">
        <v>25</v>
      </c>
      <c r="O503" t="s">
        <v>26</v>
      </c>
      <c r="P503" t="s">
        <v>26</v>
      </c>
      <c r="Q503" t="s">
        <v>29</v>
      </c>
      <c r="R503" t="s">
        <v>54</v>
      </c>
    </row>
    <row r="504" spans="1:18" x14ac:dyDescent="0.25">
      <c r="A504" t="s">
        <v>37</v>
      </c>
      <c r="B504">
        <v>216047</v>
      </c>
      <c r="C504" t="s">
        <v>31</v>
      </c>
      <c r="D504" t="s">
        <v>160</v>
      </c>
      <c r="E504" t="s">
        <v>217</v>
      </c>
      <c r="F504">
        <v>4</v>
      </c>
      <c r="G504" s="89">
        <v>44266</v>
      </c>
      <c r="H504">
        <v>44300</v>
      </c>
      <c r="I504">
        <v>44300</v>
      </c>
      <c r="K504" t="s">
        <v>23</v>
      </c>
      <c r="L504" t="s">
        <v>42</v>
      </c>
      <c r="M504" t="s">
        <v>161</v>
      </c>
      <c r="O504" t="s">
        <v>27</v>
      </c>
      <c r="P504" t="s">
        <v>27</v>
      </c>
      <c r="Q504" t="s">
        <v>29</v>
      </c>
      <c r="R504" t="s">
        <v>29</v>
      </c>
    </row>
    <row r="505" spans="1:18" x14ac:dyDescent="0.25">
      <c r="A505" t="s">
        <v>37</v>
      </c>
      <c r="B505">
        <v>216047</v>
      </c>
      <c r="C505" t="s">
        <v>31</v>
      </c>
      <c r="D505" t="s">
        <v>160</v>
      </c>
      <c r="E505" t="s">
        <v>80</v>
      </c>
      <c r="F505">
        <v>1</v>
      </c>
      <c r="G505" s="89">
        <v>44266</v>
      </c>
      <c r="H505">
        <v>44286</v>
      </c>
      <c r="I505">
        <v>44312</v>
      </c>
      <c r="K505" t="s">
        <v>23</v>
      </c>
      <c r="L505" t="s">
        <v>42</v>
      </c>
      <c r="M505" t="s">
        <v>161</v>
      </c>
      <c r="O505" t="s">
        <v>27</v>
      </c>
      <c r="P505" t="s">
        <v>27</v>
      </c>
      <c r="Q505" t="s">
        <v>29</v>
      </c>
      <c r="R505" t="s">
        <v>29</v>
      </c>
    </row>
    <row r="506" spans="1:18" x14ac:dyDescent="0.25">
      <c r="A506" t="s">
        <v>95</v>
      </c>
      <c r="B506">
        <v>217989</v>
      </c>
      <c r="C506" t="s">
        <v>20</v>
      </c>
      <c r="D506" t="s">
        <v>251</v>
      </c>
      <c r="E506" t="s">
        <v>35</v>
      </c>
      <c r="F506">
        <v>1</v>
      </c>
      <c r="G506" s="89">
        <v>44228</v>
      </c>
      <c r="H506">
        <v>44230</v>
      </c>
      <c r="I506">
        <v>44230</v>
      </c>
      <c r="K506" t="s">
        <v>23</v>
      </c>
      <c r="L506" t="s">
        <v>24</v>
      </c>
      <c r="M506" t="s">
        <v>25</v>
      </c>
      <c r="O506" t="s">
        <v>26</v>
      </c>
      <c r="Q506" t="s">
        <v>29</v>
      </c>
      <c r="R506" t="s">
        <v>54</v>
      </c>
    </row>
    <row r="507" spans="1:18" x14ac:dyDescent="0.25">
      <c r="A507" t="s">
        <v>95</v>
      </c>
      <c r="B507">
        <v>217989</v>
      </c>
      <c r="C507" t="s">
        <v>20</v>
      </c>
      <c r="D507" t="s">
        <v>251</v>
      </c>
      <c r="E507" t="s">
        <v>33</v>
      </c>
      <c r="F507">
        <v>1</v>
      </c>
      <c r="G507" s="89">
        <v>44228</v>
      </c>
      <c r="H507">
        <v>44230</v>
      </c>
      <c r="I507">
        <v>44230</v>
      </c>
      <c r="K507" t="s">
        <v>23</v>
      </c>
      <c r="L507" t="s">
        <v>24</v>
      </c>
      <c r="M507" t="s">
        <v>25</v>
      </c>
      <c r="O507" t="s">
        <v>26</v>
      </c>
      <c r="Q507" t="s">
        <v>29</v>
      </c>
      <c r="R507" t="s">
        <v>54</v>
      </c>
    </row>
    <row r="508" spans="1:18" x14ac:dyDescent="0.25">
      <c r="A508" t="s">
        <v>145</v>
      </c>
      <c r="B508">
        <v>218759</v>
      </c>
      <c r="C508" t="s">
        <v>20</v>
      </c>
      <c r="D508" t="s">
        <v>252</v>
      </c>
      <c r="E508" t="s">
        <v>35</v>
      </c>
      <c r="F508">
        <v>2</v>
      </c>
      <c r="G508" s="89">
        <v>44230</v>
      </c>
      <c r="H508">
        <v>44230</v>
      </c>
      <c r="I508">
        <v>44230</v>
      </c>
      <c r="K508" t="s">
        <v>23</v>
      </c>
      <c r="L508" t="s">
        <v>34</v>
      </c>
      <c r="M508" t="s">
        <v>25</v>
      </c>
      <c r="O508" t="s">
        <v>26</v>
      </c>
      <c r="Q508" t="s">
        <v>29</v>
      </c>
      <c r="R508" t="s">
        <v>54</v>
      </c>
    </row>
    <row r="509" spans="1:18" x14ac:dyDescent="0.25">
      <c r="A509" t="s">
        <v>40</v>
      </c>
      <c r="B509">
        <v>219689</v>
      </c>
      <c r="C509" t="s">
        <v>20</v>
      </c>
      <c r="D509" t="s">
        <v>253</v>
      </c>
      <c r="E509" t="s">
        <v>83</v>
      </c>
      <c r="F509">
        <v>1</v>
      </c>
      <c r="G509" s="89">
        <v>44236</v>
      </c>
      <c r="H509">
        <v>44238</v>
      </c>
      <c r="I509">
        <v>44238</v>
      </c>
      <c r="K509" t="s">
        <v>23</v>
      </c>
      <c r="L509" t="s">
        <v>42</v>
      </c>
      <c r="M509" t="s">
        <v>25</v>
      </c>
      <c r="O509" t="s">
        <v>27</v>
      </c>
      <c r="P509" t="s">
        <v>26</v>
      </c>
      <c r="Q509" t="s">
        <v>29</v>
      </c>
      <c r="R509" t="s">
        <v>54</v>
      </c>
    </row>
    <row r="510" spans="1:18" x14ac:dyDescent="0.25">
      <c r="A510" t="s">
        <v>40</v>
      </c>
      <c r="B510">
        <v>219689</v>
      </c>
      <c r="C510" t="s">
        <v>20</v>
      </c>
      <c r="D510" t="s">
        <v>253</v>
      </c>
      <c r="E510" t="s">
        <v>35</v>
      </c>
      <c r="F510">
        <v>1</v>
      </c>
      <c r="G510" s="89">
        <v>44236</v>
      </c>
      <c r="H510">
        <v>44238</v>
      </c>
      <c r="I510">
        <v>44238</v>
      </c>
      <c r="K510" t="s">
        <v>23</v>
      </c>
      <c r="L510" t="s">
        <v>24</v>
      </c>
      <c r="M510" t="s">
        <v>25</v>
      </c>
      <c r="O510" t="s">
        <v>27</v>
      </c>
      <c r="P510" t="s">
        <v>26</v>
      </c>
      <c r="Q510" t="s">
        <v>29</v>
      </c>
      <c r="R510" t="s">
        <v>54</v>
      </c>
    </row>
    <row r="511" spans="1:18" x14ac:dyDescent="0.25">
      <c r="A511" t="s">
        <v>40</v>
      </c>
      <c r="B511">
        <v>219689</v>
      </c>
      <c r="C511" t="s">
        <v>20</v>
      </c>
      <c r="D511" t="s">
        <v>253</v>
      </c>
      <c r="E511" t="s">
        <v>33</v>
      </c>
      <c r="F511">
        <v>1</v>
      </c>
      <c r="G511" s="89">
        <v>44236</v>
      </c>
      <c r="H511">
        <v>44238</v>
      </c>
      <c r="I511">
        <v>44238</v>
      </c>
      <c r="K511" t="s">
        <v>23</v>
      </c>
      <c r="L511" t="s">
        <v>24</v>
      </c>
      <c r="M511" t="s">
        <v>25</v>
      </c>
      <c r="O511" t="s">
        <v>27</v>
      </c>
      <c r="P511" t="s">
        <v>26</v>
      </c>
      <c r="Q511" t="s">
        <v>29</v>
      </c>
      <c r="R511" t="s">
        <v>54</v>
      </c>
    </row>
    <row r="512" spans="1:18" x14ac:dyDescent="0.25">
      <c r="A512" t="s">
        <v>40</v>
      </c>
      <c r="B512">
        <v>220202</v>
      </c>
      <c r="C512" t="s">
        <v>20</v>
      </c>
      <c r="D512" t="s">
        <v>253</v>
      </c>
      <c r="E512" t="s">
        <v>35</v>
      </c>
      <c r="F512">
        <v>1</v>
      </c>
      <c r="G512" s="89">
        <v>44236</v>
      </c>
      <c r="H512">
        <v>44236</v>
      </c>
      <c r="I512">
        <v>44236</v>
      </c>
      <c r="K512" t="s">
        <v>23</v>
      </c>
      <c r="L512" t="s">
        <v>24</v>
      </c>
      <c r="M512" t="s">
        <v>25</v>
      </c>
      <c r="O512" t="s">
        <v>26</v>
      </c>
      <c r="P512" t="s">
        <v>26</v>
      </c>
      <c r="Q512" t="s">
        <v>29</v>
      </c>
      <c r="R512" t="s">
        <v>54</v>
      </c>
    </row>
    <row r="513" spans="1:18" x14ac:dyDescent="0.25">
      <c r="A513" t="s">
        <v>40</v>
      </c>
      <c r="B513">
        <v>220202</v>
      </c>
      <c r="C513" t="s">
        <v>20</v>
      </c>
      <c r="D513" t="s">
        <v>253</v>
      </c>
      <c r="E513" t="s">
        <v>33</v>
      </c>
      <c r="F513">
        <v>1</v>
      </c>
      <c r="G513" s="89">
        <v>44236</v>
      </c>
      <c r="H513">
        <v>44236</v>
      </c>
      <c r="I513">
        <v>44236</v>
      </c>
      <c r="K513" t="s">
        <v>23</v>
      </c>
      <c r="L513" t="s">
        <v>24</v>
      </c>
      <c r="M513" t="s">
        <v>25</v>
      </c>
      <c r="O513" t="s">
        <v>26</v>
      </c>
      <c r="P513" t="s">
        <v>26</v>
      </c>
      <c r="Q513" t="s">
        <v>29</v>
      </c>
      <c r="R513" t="s">
        <v>54</v>
      </c>
    </row>
    <row r="514" spans="1:18" x14ac:dyDescent="0.25">
      <c r="A514" t="s">
        <v>113</v>
      </c>
      <c r="B514">
        <v>218999</v>
      </c>
      <c r="C514" t="s">
        <v>20</v>
      </c>
      <c r="D514" t="s">
        <v>254</v>
      </c>
      <c r="E514" t="s">
        <v>73</v>
      </c>
      <c r="F514">
        <v>1</v>
      </c>
      <c r="G514" s="89">
        <v>44230</v>
      </c>
      <c r="H514">
        <v>44249</v>
      </c>
      <c r="I514">
        <v>44250</v>
      </c>
      <c r="K514" t="s">
        <v>23</v>
      </c>
      <c r="L514" t="s">
        <v>24</v>
      </c>
      <c r="M514" t="s">
        <v>25</v>
      </c>
      <c r="O514" t="s">
        <v>26</v>
      </c>
      <c r="Q514" t="s">
        <v>28</v>
      </c>
      <c r="R514" t="s">
        <v>28</v>
      </c>
    </row>
    <row r="515" spans="1:18" x14ac:dyDescent="0.25">
      <c r="A515" t="s">
        <v>95</v>
      </c>
      <c r="B515">
        <v>222688</v>
      </c>
      <c r="C515" t="s">
        <v>64</v>
      </c>
      <c r="D515" t="s">
        <v>255</v>
      </c>
      <c r="E515" t="s">
        <v>80</v>
      </c>
      <c r="F515">
        <v>1</v>
      </c>
      <c r="G515" s="89">
        <v>44249</v>
      </c>
      <c r="H515">
        <v>44258</v>
      </c>
      <c r="K515" t="s">
        <v>23</v>
      </c>
      <c r="L515" t="s">
        <v>42</v>
      </c>
      <c r="M515" t="s">
        <v>80</v>
      </c>
      <c r="O515" t="s">
        <v>27</v>
      </c>
      <c r="Q515" t="s">
        <v>29</v>
      </c>
    </row>
    <row r="516" spans="1:18" x14ac:dyDescent="0.25">
      <c r="A516" t="s">
        <v>145</v>
      </c>
      <c r="B516">
        <v>222008</v>
      </c>
      <c r="C516" t="s">
        <v>20</v>
      </c>
      <c r="D516" t="s">
        <v>256</v>
      </c>
      <c r="E516" t="s">
        <v>225</v>
      </c>
      <c r="F516">
        <v>1</v>
      </c>
      <c r="G516" s="89">
        <v>44245</v>
      </c>
      <c r="H516">
        <v>44258</v>
      </c>
      <c r="I516">
        <v>44263</v>
      </c>
      <c r="K516" t="s">
        <v>23</v>
      </c>
      <c r="L516" t="s">
        <v>34</v>
      </c>
      <c r="M516" t="s">
        <v>25</v>
      </c>
      <c r="O516" t="s">
        <v>26</v>
      </c>
      <c r="Q516" t="s">
        <v>29</v>
      </c>
      <c r="R516" t="s">
        <v>29</v>
      </c>
    </row>
    <row r="517" spans="1:18" x14ac:dyDescent="0.25">
      <c r="A517" t="s">
        <v>145</v>
      </c>
      <c r="B517">
        <v>222008</v>
      </c>
      <c r="C517" t="s">
        <v>20</v>
      </c>
      <c r="D517" t="s">
        <v>256</v>
      </c>
      <c r="E517" t="s">
        <v>63</v>
      </c>
      <c r="F517">
        <v>1</v>
      </c>
      <c r="G517" s="89">
        <v>44245</v>
      </c>
      <c r="H517">
        <v>44258</v>
      </c>
      <c r="I517">
        <v>44263</v>
      </c>
      <c r="K517" t="s">
        <v>23</v>
      </c>
      <c r="L517" t="s">
        <v>34</v>
      </c>
      <c r="M517" t="s">
        <v>25</v>
      </c>
      <c r="O517" t="s">
        <v>26</v>
      </c>
      <c r="Q517" t="s">
        <v>29</v>
      </c>
      <c r="R517" t="s">
        <v>29</v>
      </c>
    </row>
    <row r="518" spans="1:18" x14ac:dyDescent="0.25">
      <c r="A518" t="s">
        <v>37</v>
      </c>
      <c r="B518">
        <v>222168</v>
      </c>
      <c r="C518" t="s">
        <v>20</v>
      </c>
      <c r="D518" t="s">
        <v>137</v>
      </c>
      <c r="E518" t="s">
        <v>73</v>
      </c>
      <c r="F518">
        <v>1</v>
      </c>
      <c r="G518" s="89">
        <v>44246</v>
      </c>
      <c r="H518">
        <v>44253</v>
      </c>
      <c r="I518">
        <v>44256</v>
      </c>
      <c r="K518" t="s">
        <v>23</v>
      </c>
      <c r="L518" t="s">
        <v>42</v>
      </c>
      <c r="M518" t="s">
        <v>80</v>
      </c>
      <c r="O518" t="s">
        <v>27</v>
      </c>
      <c r="Q518" t="s">
        <v>29</v>
      </c>
      <c r="R518" t="s">
        <v>54</v>
      </c>
    </row>
    <row r="519" spans="1:18" x14ac:dyDescent="0.25">
      <c r="A519" t="s">
        <v>95</v>
      </c>
      <c r="B519">
        <v>223995</v>
      </c>
      <c r="C519" t="s">
        <v>20</v>
      </c>
      <c r="D519" t="s">
        <v>257</v>
      </c>
      <c r="E519" t="s">
        <v>35</v>
      </c>
      <c r="F519">
        <v>1</v>
      </c>
      <c r="G519" s="89">
        <v>44253</v>
      </c>
      <c r="H519">
        <v>44258</v>
      </c>
      <c r="I519">
        <v>44260</v>
      </c>
      <c r="K519" t="s">
        <v>23</v>
      </c>
      <c r="L519" t="s">
        <v>42</v>
      </c>
      <c r="M519" t="s">
        <v>25</v>
      </c>
      <c r="O519" t="s">
        <v>27</v>
      </c>
      <c r="Q519" t="s">
        <v>29</v>
      </c>
      <c r="R519" t="s">
        <v>54</v>
      </c>
    </row>
    <row r="520" spans="1:18" x14ac:dyDescent="0.25">
      <c r="A520" t="s">
        <v>95</v>
      </c>
      <c r="B520">
        <v>223995</v>
      </c>
      <c r="C520" t="s">
        <v>20</v>
      </c>
      <c r="D520" t="s">
        <v>257</v>
      </c>
      <c r="E520" t="s">
        <v>33</v>
      </c>
      <c r="F520">
        <v>1</v>
      </c>
      <c r="G520" s="89">
        <v>44253</v>
      </c>
      <c r="H520">
        <v>44258</v>
      </c>
      <c r="I520">
        <v>44260</v>
      </c>
      <c r="K520" t="s">
        <v>23</v>
      </c>
      <c r="L520" t="s">
        <v>42</v>
      </c>
      <c r="M520" t="s">
        <v>25</v>
      </c>
      <c r="O520" t="s">
        <v>27</v>
      </c>
      <c r="Q520" t="s">
        <v>29</v>
      </c>
      <c r="R520" t="s">
        <v>54</v>
      </c>
    </row>
    <row r="521" spans="1:18" x14ac:dyDescent="0.25">
      <c r="A521" t="s">
        <v>40</v>
      </c>
      <c r="B521">
        <v>225198</v>
      </c>
      <c r="C521" t="s">
        <v>20</v>
      </c>
      <c r="D521" t="s">
        <v>158</v>
      </c>
      <c r="E521" t="s">
        <v>35</v>
      </c>
      <c r="F521">
        <v>1</v>
      </c>
      <c r="G521" s="89">
        <v>44259</v>
      </c>
      <c r="H521">
        <v>44259</v>
      </c>
      <c r="I521">
        <v>44259</v>
      </c>
      <c r="K521" t="s">
        <v>23</v>
      </c>
      <c r="L521" t="s">
        <v>34</v>
      </c>
      <c r="M521" t="s">
        <v>25</v>
      </c>
      <c r="O521" t="s">
        <v>27</v>
      </c>
      <c r="Q521" t="s">
        <v>29</v>
      </c>
      <c r="R521" t="s">
        <v>29</v>
      </c>
    </row>
    <row r="522" spans="1:18" x14ac:dyDescent="0.25">
      <c r="A522" t="s">
        <v>77</v>
      </c>
      <c r="B522">
        <v>226301</v>
      </c>
      <c r="C522" t="s">
        <v>20</v>
      </c>
      <c r="D522" t="s">
        <v>258</v>
      </c>
      <c r="E522" t="s">
        <v>35</v>
      </c>
      <c r="F522">
        <v>1</v>
      </c>
      <c r="G522" s="89">
        <v>44264</v>
      </c>
      <c r="H522">
        <v>44267</v>
      </c>
      <c r="I522">
        <v>44270</v>
      </c>
      <c r="K522" t="s">
        <v>23</v>
      </c>
      <c r="L522" t="s">
        <v>34</v>
      </c>
      <c r="M522" t="s">
        <v>25</v>
      </c>
      <c r="O522" t="s">
        <v>26</v>
      </c>
      <c r="Q522" t="s">
        <v>29</v>
      </c>
      <c r="R522" t="s">
        <v>28</v>
      </c>
    </row>
    <row r="523" spans="1:18" x14ac:dyDescent="0.25">
      <c r="A523" t="s">
        <v>77</v>
      </c>
      <c r="B523">
        <v>226301</v>
      </c>
      <c r="C523" t="s">
        <v>20</v>
      </c>
      <c r="D523" t="s">
        <v>258</v>
      </c>
      <c r="E523" t="s">
        <v>49</v>
      </c>
      <c r="F523">
        <v>1</v>
      </c>
      <c r="G523" s="89">
        <v>44264</v>
      </c>
      <c r="H523">
        <v>44267</v>
      </c>
      <c r="I523">
        <v>44270</v>
      </c>
      <c r="K523" t="s">
        <v>23</v>
      </c>
      <c r="L523" t="s">
        <v>34</v>
      </c>
      <c r="M523" t="s">
        <v>25</v>
      </c>
      <c r="O523" t="s">
        <v>26</v>
      </c>
      <c r="Q523" t="s">
        <v>29</v>
      </c>
      <c r="R523" t="s">
        <v>28</v>
      </c>
    </row>
    <row r="524" spans="1:18" x14ac:dyDescent="0.25">
      <c r="A524" t="s">
        <v>77</v>
      </c>
      <c r="B524">
        <v>226301</v>
      </c>
      <c r="C524" t="s">
        <v>20</v>
      </c>
      <c r="D524" t="s">
        <v>258</v>
      </c>
      <c r="E524" t="s">
        <v>33</v>
      </c>
      <c r="F524">
        <v>1</v>
      </c>
      <c r="G524" s="89">
        <v>44264</v>
      </c>
      <c r="H524">
        <v>44267</v>
      </c>
      <c r="I524">
        <v>44270</v>
      </c>
      <c r="K524" t="s">
        <v>23</v>
      </c>
      <c r="L524" t="s">
        <v>34</v>
      </c>
      <c r="M524" t="s">
        <v>25</v>
      </c>
      <c r="O524" t="s">
        <v>26</v>
      </c>
      <c r="Q524" t="s">
        <v>29</v>
      </c>
      <c r="R524" t="s">
        <v>28</v>
      </c>
    </row>
    <row r="525" spans="1:18" x14ac:dyDescent="0.25">
      <c r="A525" t="s">
        <v>77</v>
      </c>
      <c r="B525">
        <v>226301</v>
      </c>
      <c r="C525" t="s">
        <v>20</v>
      </c>
      <c r="D525" t="s">
        <v>258</v>
      </c>
      <c r="E525" t="s">
        <v>39</v>
      </c>
      <c r="F525">
        <v>1</v>
      </c>
      <c r="G525" s="89">
        <v>44264</v>
      </c>
      <c r="H525">
        <v>44267</v>
      </c>
      <c r="I525">
        <v>44270</v>
      </c>
      <c r="K525" t="s">
        <v>23</v>
      </c>
      <c r="L525" t="s">
        <v>34</v>
      </c>
      <c r="M525" t="s">
        <v>25</v>
      </c>
      <c r="O525" t="s">
        <v>26</v>
      </c>
      <c r="Q525" t="s">
        <v>29</v>
      </c>
      <c r="R525" t="s">
        <v>28</v>
      </c>
    </row>
    <row r="526" spans="1:18" x14ac:dyDescent="0.25">
      <c r="A526" t="s">
        <v>77</v>
      </c>
      <c r="B526">
        <v>226301</v>
      </c>
      <c r="C526" t="s">
        <v>20</v>
      </c>
      <c r="D526" t="s">
        <v>258</v>
      </c>
      <c r="E526" t="s">
        <v>45</v>
      </c>
      <c r="F526">
        <v>1</v>
      </c>
      <c r="G526" s="89">
        <v>44264</v>
      </c>
      <c r="H526">
        <v>44267</v>
      </c>
      <c r="I526">
        <v>44270</v>
      </c>
      <c r="K526" t="s">
        <v>23</v>
      </c>
      <c r="L526" t="s">
        <v>34</v>
      </c>
      <c r="M526" t="s">
        <v>25</v>
      </c>
      <c r="O526" t="s">
        <v>26</v>
      </c>
      <c r="Q526" t="s">
        <v>29</v>
      </c>
      <c r="R526" t="s">
        <v>28</v>
      </c>
    </row>
    <row r="527" spans="1:18" x14ac:dyDescent="0.25">
      <c r="A527" t="s">
        <v>47</v>
      </c>
      <c r="B527">
        <v>226595</v>
      </c>
      <c r="C527" t="s">
        <v>31</v>
      </c>
      <c r="D527" t="s">
        <v>220</v>
      </c>
      <c r="E527" t="s">
        <v>45</v>
      </c>
      <c r="F527">
        <v>1</v>
      </c>
      <c r="G527" s="89">
        <v>44265</v>
      </c>
      <c r="H527">
        <v>44296</v>
      </c>
      <c r="I527">
        <v>44293</v>
      </c>
      <c r="K527" t="s">
        <v>23</v>
      </c>
      <c r="L527" t="s">
        <v>24</v>
      </c>
      <c r="M527" t="s">
        <v>25</v>
      </c>
      <c r="N527">
        <v>3</v>
      </c>
      <c r="O527" t="s">
        <v>27</v>
      </c>
      <c r="P527" t="s">
        <v>27</v>
      </c>
      <c r="Q527" t="s">
        <v>28</v>
      </c>
      <c r="R527" t="s">
        <v>74</v>
      </c>
    </row>
    <row r="528" spans="1:18" x14ac:dyDescent="0.25">
      <c r="A528" t="s">
        <v>47</v>
      </c>
      <c r="B528">
        <v>226595</v>
      </c>
      <c r="C528" t="s">
        <v>31</v>
      </c>
      <c r="D528" t="s">
        <v>220</v>
      </c>
      <c r="E528" t="s">
        <v>90</v>
      </c>
      <c r="F528">
        <v>9</v>
      </c>
      <c r="G528" s="89">
        <v>44265</v>
      </c>
      <c r="H528">
        <v>44296</v>
      </c>
      <c r="I528">
        <v>44293</v>
      </c>
      <c r="K528" t="s">
        <v>23</v>
      </c>
      <c r="L528" t="s">
        <v>24</v>
      </c>
      <c r="M528" t="s">
        <v>25</v>
      </c>
      <c r="N528">
        <v>2</v>
      </c>
      <c r="O528" t="s">
        <v>27</v>
      </c>
      <c r="P528" t="s">
        <v>27</v>
      </c>
      <c r="Q528" t="s">
        <v>28</v>
      </c>
      <c r="R528" t="s">
        <v>74</v>
      </c>
    </row>
    <row r="529" spans="1:18" x14ac:dyDescent="0.25">
      <c r="A529" t="s">
        <v>47</v>
      </c>
      <c r="B529">
        <v>226595</v>
      </c>
      <c r="C529" t="s">
        <v>31</v>
      </c>
      <c r="D529" t="s">
        <v>220</v>
      </c>
      <c r="E529" t="s">
        <v>39</v>
      </c>
      <c r="F529">
        <v>1</v>
      </c>
      <c r="G529" s="89">
        <v>44265</v>
      </c>
      <c r="H529">
        <v>44296</v>
      </c>
      <c r="I529">
        <v>44293</v>
      </c>
      <c r="K529" t="s">
        <v>23</v>
      </c>
      <c r="L529" t="s">
        <v>24</v>
      </c>
      <c r="M529" t="s">
        <v>25</v>
      </c>
      <c r="N529">
        <v>3</v>
      </c>
      <c r="O529" t="s">
        <v>27</v>
      </c>
      <c r="P529" t="s">
        <v>27</v>
      </c>
      <c r="Q529" t="s">
        <v>28</v>
      </c>
      <c r="R529" t="s">
        <v>74</v>
      </c>
    </row>
    <row r="530" spans="1:18" x14ac:dyDescent="0.25">
      <c r="A530" t="s">
        <v>47</v>
      </c>
      <c r="B530">
        <v>226595</v>
      </c>
      <c r="C530" t="s">
        <v>31</v>
      </c>
      <c r="D530" t="s">
        <v>220</v>
      </c>
      <c r="E530" t="s">
        <v>35</v>
      </c>
      <c r="F530">
        <v>1</v>
      </c>
      <c r="G530" s="89">
        <v>44265</v>
      </c>
      <c r="H530">
        <v>44272</v>
      </c>
      <c r="I530">
        <v>44274</v>
      </c>
      <c r="K530" t="s">
        <v>23</v>
      </c>
      <c r="L530" t="s">
        <v>24</v>
      </c>
      <c r="M530" t="s">
        <v>25</v>
      </c>
      <c r="N530">
        <v>5</v>
      </c>
      <c r="O530" t="s">
        <v>27</v>
      </c>
      <c r="P530" t="s">
        <v>27</v>
      </c>
      <c r="Q530" t="s">
        <v>28</v>
      </c>
      <c r="R530" t="s">
        <v>74</v>
      </c>
    </row>
    <row r="531" spans="1:18" x14ac:dyDescent="0.25">
      <c r="A531" t="s">
        <v>55</v>
      </c>
      <c r="B531">
        <v>226994</v>
      </c>
      <c r="C531" t="s">
        <v>20</v>
      </c>
      <c r="D531" t="s">
        <v>259</v>
      </c>
      <c r="E531" t="s">
        <v>33</v>
      </c>
      <c r="F531">
        <v>9</v>
      </c>
      <c r="G531" s="89">
        <v>44267</v>
      </c>
      <c r="H531">
        <v>44274</v>
      </c>
      <c r="I531">
        <v>44274</v>
      </c>
      <c r="K531" t="s">
        <v>23</v>
      </c>
      <c r="L531" t="s">
        <v>34</v>
      </c>
      <c r="M531" t="s">
        <v>25</v>
      </c>
      <c r="O531" t="s">
        <v>26</v>
      </c>
      <c r="P531" t="s">
        <v>26</v>
      </c>
      <c r="Q531" t="s">
        <v>29</v>
      </c>
      <c r="R531" t="s">
        <v>28</v>
      </c>
    </row>
    <row r="532" spans="1:18" x14ac:dyDescent="0.25">
      <c r="A532" t="s">
        <v>55</v>
      </c>
      <c r="B532">
        <v>226994</v>
      </c>
      <c r="C532" t="s">
        <v>20</v>
      </c>
      <c r="D532" t="s">
        <v>259</v>
      </c>
      <c r="E532" t="s">
        <v>94</v>
      </c>
      <c r="F532">
        <v>9</v>
      </c>
      <c r="G532" s="89">
        <v>44267</v>
      </c>
      <c r="H532">
        <v>44274</v>
      </c>
      <c r="I532">
        <v>44274</v>
      </c>
      <c r="K532" t="s">
        <v>23</v>
      </c>
      <c r="L532" t="s">
        <v>34</v>
      </c>
      <c r="M532" t="s">
        <v>25</v>
      </c>
      <c r="O532" t="s">
        <v>26</v>
      </c>
      <c r="P532" t="s">
        <v>26</v>
      </c>
      <c r="Q532" t="s">
        <v>29</v>
      </c>
      <c r="R532" t="s">
        <v>28</v>
      </c>
    </row>
    <row r="533" spans="1:18" x14ac:dyDescent="0.25">
      <c r="A533" t="s">
        <v>55</v>
      </c>
      <c r="B533">
        <v>226994</v>
      </c>
      <c r="C533" t="s">
        <v>20</v>
      </c>
      <c r="D533" t="s">
        <v>259</v>
      </c>
      <c r="E533" t="s">
        <v>35</v>
      </c>
      <c r="F533">
        <v>9</v>
      </c>
      <c r="G533" s="89">
        <v>44267</v>
      </c>
      <c r="H533">
        <v>44274</v>
      </c>
      <c r="I533">
        <v>44274</v>
      </c>
      <c r="K533" t="s">
        <v>23</v>
      </c>
      <c r="L533" t="s">
        <v>34</v>
      </c>
      <c r="M533" t="s">
        <v>25</v>
      </c>
      <c r="O533" t="s">
        <v>26</v>
      </c>
      <c r="P533" t="s">
        <v>26</v>
      </c>
      <c r="Q533" t="s">
        <v>29</v>
      </c>
      <c r="R533" t="s">
        <v>28</v>
      </c>
    </row>
    <row r="534" spans="1:18" x14ac:dyDescent="0.25">
      <c r="A534" t="s">
        <v>55</v>
      </c>
      <c r="B534">
        <v>226994</v>
      </c>
      <c r="C534" t="s">
        <v>20</v>
      </c>
      <c r="D534" t="s">
        <v>259</v>
      </c>
      <c r="E534" t="s">
        <v>36</v>
      </c>
      <c r="F534">
        <v>30</v>
      </c>
      <c r="G534" s="89">
        <v>44267</v>
      </c>
      <c r="H534">
        <v>44274</v>
      </c>
      <c r="I534">
        <v>44274</v>
      </c>
      <c r="K534" t="s">
        <v>23</v>
      </c>
      <c r="L534" t="s">
        <v>34</v>
      </c>
      <c r="M534" t="s">
        <v>25</v>
      </c>
      <c r="O534" t="s">
        <v>26</v>
      </c>
      <c r="P534" t="s">
        <v>26</v>
      </c>
      <c r="Q534" t="s">
        <v>29</v>
      </c>
      <c r="R534" t="s">
        <v>28</v>
      </c>
    </row>
    <row r="535" spans="1:18" x14ac:dyDescent="0.25">
      <c r="A535" t="s">
        <v>68</v>
      </c>
      <c r="B535">
        <v>227517</v>
      </c>
      <c r="C535" t="s">
        <v>31</v>
      </c>
      <c r="D535" t="s">
        <v>200</v>
      </c>
      <c r="E535" t="s">
        <v>33</v>
      </c>
      <c r="F535">
        <v>2</v>
      </c>
      <c r="G535" s="89">
        <v>44270</v>
      </c>
      <c r="H535">
        <v>44284</v>
      </c>
      <c r="I535">
        <v>44285</v>
      </c>
      <c r="J535" t="s">
        <v>221</v>
      </c>
      <c r="K535" t="s">
        <v>23</v>
      </c>
      <c r="L535" t="s">
        <v>42</v>
      </c>
      <c r="M535" t="s">
        <v>25</v>
      </c>
      <c r="O535" t="s">
        <v>27</v>
      </c>
      <c r="P535" t="s">
        <v>27</v>
      </c>
      <c r="Q535" t="s">
        <v>28</v>
      </c>
      <c r="R535" t="s">
        <v>29</v>
      </c>
    </row>
    <row r="536" spans="1:18" x14ac:dyDescent="0.25">
      <c r="A536" t="s">
        <v>68</v>
      </c>
      <c r="B536">
        <v>227517</v>
      </c>
      <c r="C536" t="s">
        <v>31</v>
      </c>
      <c r="D536" t="s">
        <v>200</v>
      </c>
      <c r="E536" t="s">
        <v>49</v>
      </c>
      <c r="F536">
        <v>2</v>
      </c>
      <c r="G536" s="89">
        <v>44270</v>
      </c>
      <c r="H536">
        <v>44284</v>
      </c>
      <c r="I536">
        <v>44285</v>
      </c>
      <c r="J536" t="s">
        <v>221</v>
      </c>
      <c r="K536" t="s">
        <v>23</v>
      </c>
      <c r="L536" t="s">
        <v>42</v>
      </c>
      <c r="M536" t="s">
        <v>25</v>
      </c>
      <c r="O536" t="s">
        <v>27</v>
      </c>
      <c r="P536" t="s">
        <v>27</v>
      </c>
      <c r="Q536" t="s">
        <v>28</v>
      </c>
      <c r="R536" t="s">
        <v>29</v>
      </c>
    </row>
    <row r="537" spans="1:18" x14ac:dyDescent="0.25">
      <c r="A537" t="s">
        <v>68</v>
      </c>
      <c r="B537">
        <v>227517</v>
      </c>
      <c r="C537" t="s">
        <v>31</v>
      </c>
      <c r="D537" t="s">
        <v>200</v>
      </c>
      <c r="E537" t="s">
        <v>35</v>
      </c>
      <c r="F537">
        <v>2</v>
      </c>
      <c r="G537" s="89">
        <v>44270</v>
      </c>
      <c r="H537">
        <v>44284</v>
      </c>
      <c r="I537">
        <v>44285</v>
      </c>
      <c r="J537" t="s">
        <v>221</v>
      </c>
      <c r="K537" t="s">
        <v>23</v>
      </c>
      <c r="L537" t="s">
        <v>42</v>
      </c>
      <c r="M537" t="s">
        <v>25</v>
      </c>
      <c r="O537" t="s">
        <v>27</v>
      </c>
      <c r="P537" t="s">
        <v>27</v>
      </c>
      <c r="Q537" t="s">
        <v>28</v>
      </c>
      <c r="R537" t="s">
        <v>29</v>
      </c>
    </row>
    <row r="538" spans="1:18" x14ac:dyDescent="0.25">
      <c r="A538" t="s">
        <v>68</v>
      </c>
      <c r="B538">
        <v>227517</v>
      </c>
      <c r="C538" t="s">
        <v>31</v>
      </c>
      <c r="D538" t="s">
        <v>200</v>
      </c>
      <c r="E538" t="s">
        <v>44</v>
      </c>
      <c r="F538">
        <v>2</v>
      </c>
      <c r="G538" s="89">
        <v>44270</v>
      </c>
      <c r="H538">
        <v>44284</v>
      </c>
      <c r="I538">
        <v>44285</v>
      </c>
      <c r="J538" t="s">
        <v>221</v>
      </c>
      <c r="K538" t="s">
        <v>23</v>
      </c>
      <c r="L538" t="s">
        <v>42</v>
      </c>
      <c r="M538" t="s">
        <v>25</v>
      </c>
      <c r="O538" t="s">
        <v>27</v>
      </c>
      <c r="P538" t="s">
        <v>27</v>
      </c>
      <c r="Q538" t="s">
        <v>28</v>
      </c>
      <c r="R538" t="s">
        <v>29</v>
      </c>
    </row>
    <row r="539" spans="1:18" x14ac:dyDescent="0.25">
      <c r="A539" t="s">
        <v>68</v>
      </c>
      <c r="B539">
        <v>227517</v>
      </c>
      <c r="C539" t="s">
        <v>31</v>
      </c>
      <c r="D539" t="s">
        <v>200</v>
      </c>
      <c r="E539" t="s">
        <v>36</v>
      </c>
      <c r="F539">
        <v>8</v>
      </c>
      <c r="G539" s="89">
        <v>44270</v>
      </c>
      <c r="H539">
        <v>44284</v>
      </c>
      <c r="I539">
        <v>44285</v>
      </c>
      <c r="J539" t="s">
        <v>221</v>
      </c>
      <c r="K539" t="s">
        <v>23</v>
      </c>
      <c r="L539" t="s">
        <v>42</v>
      </c>
      <c r="M539" t="s">
        <v>25</v>
      </c>
      <c r="O539" t="s">
        <v>27</v>
      </c>
      <c r="P539" t="s">
        <v>27</v>
      </c>
      <c r="Q539" t="s">
        <v>28</v>
      </c>
      <c r="R539" t="s">
        <v>29</v>
      </c>
    </row>
    <row r="540" spans="1:18" x14ac:dyDescent="0.25">
      <c r="A540" t="s">
        <v>95</v>
      </c>
      <c r="B540">
        <v>228081</v>
      </c>
      <c r="C540" t="s">
        <v>20</v>
      </c>
      <c r="D540" t="s">
        <v>261</v>
      </c>
      <c r="E540" t="s">
        <v>35</v>
      </c>
      <c r="F540">
        <v>1</v>
      </c>
      <c r="G540" s="89">
        <v>44272</v>
      </c>
      <c r="H540">
        <v>44273</v>
      </c>
      <c r="I540">
        <v>44273</v>
      </c>
      <c r="K540" t="s">
        <v>23</v>
      </c>
      <c r="L540" t="s">
        <v>34</v>
      </c>
      <c r="M540" t="s">
        <v>25</v>
      </c>
      <c r="O540" t="s">
        <v>26</v>
      </c>
      <c r="Q540" t="s">
        <v>28</v>
      </c>
      <c r="R540" t="s">
        <v>28</v>
      </c>
    </row>
    <row r="541" spans="1:18" x14ac:dyDescent="0.25">
      <c r="A541" t="s">
        <v>40</v>
      </c>
      <c r="B541">
        <v>228488</v>
      </c>
      <c r="C541" t="s">
        <v>20</v>
      </c>
      <c r="D541" t="s">
        <v>262</v>
      </c>
      <c r="E541" t="s">
        <v>225</v>
      </c>
      <c r="F541">
        <v>6</v>
      </c>
      <c r="G541" s="89">
        <v>44273</v>
      </c>
      <c r="H541">
        <v>44277</v>
      </c>
      <c r="I541">
        <v>44295</v>
      </c>
      <c r="K541" t="s">
        <v>23</v>
      </c>
      <c r="L541" t="s">
        <v>42</v>
      </c>
      <c r="M541" t="s">
        <v>25</v>
      </c>
      <c r="N541">
        <v>1</v>
      </c>
      <c r="O541" t="s">
        <v>27</v>
      </c>
      <c r="Q541" t="s">
        <v>29</v>
      </c>
      <c r="R541" t="s">
        <v>29</v>
      </c>
    </row>
    <row r="542" spans="1:18" x14ac:dyDescent="0.25">
      <c r="A542" t="s">
        <v>37</v>
      </c>
      <c r="B542">
        <v>227874</v>
      </c>
      <c r="C542" t="s">
        <v>20</v>
      </c>
      <c r="D542" t="s">
        <v>263</v>
      </c>
      <c r="E542" t="s">
        <v>35</v>
      </c>
      <c r="F542">
        <v>2</v>
      </c>
      <c r="G542" s="89">
        <v>44271</v>
      </c>
      <c r="H542">
        <v>44280</v>
      </c>
      <c r="I542">
        <v>44287</v>
      </c>
      <c r="K542" t="s">
        <v>23</v>
      </c>
      <c r="L542" t="s">
        <v>42</v>
      </c>
      <c r="M542" t="s">
        <v>25</v>
      </c>
      <c r="N542">
        <v>1</v>
      </c>
      <c r="O542" t="s">
        <v>26</v>
      </c>
      <c r="Q542" t="s">
        <v>28</v>
      </c>
      <c r="R542" t="s">
        <v>54</v>
      </c>
    </row>
    <row r="543" spans="1:18" x14ac:dyDescent="0.25">
      <c r="A543" t="s">
        <v>37</v>
      </c>
      <c r="B543">
        <v>227874</v>
      </c>
      <c r="C543" t="s">
        <v>20</v>
      </c>
      <c r="D543" t="s">
        <v>263</v>
      </c>
      <c r="E543" t="s">
        <v>49</v>
      </c>
      <c r="F543">
        <v>2</v>
      </c>
      <c r="G543" s="89">
        <v>44271</v>
      </c>
      <c r="H543">
        <v>44280</v>
      </c>
      <c r="I543">
        <v>44287</v>
      </c>
      <c r="K543" t="s">
        <v>23</v>
      </c>
      <c r="L543" t="s">
        <v>42</v>
      </c>
      <c r="M543" t="s">
        <v>25</v>
      </c>
      <c r="O543" t="s">
        <v>26</v>
      </c>
      <c r="Q543" t="s">
        <v>28</v>
      </c>
      <c r="R543" t="s">
        <v>54</v>
      </c>
    </row>
    <row r="544" spans="1:18" x14ac:dyDescent="0.25">
      <c r="A544" t="s">
        <v>37</v>
      </c>
      <c r="B544">
        <v>227874</v>
      </c>
      <c r="C544" t="s">
        <v>20</v>
      </c>
      <c r="D544" t="s">
        <v>263</v>
      </c>
      <c r="E544" t="s">
        <v>93</v>
      </c>
      <c r="F544">
        <v>2</v>
      </c>
      <c r="G544" s="89">
        <v>44271</v>
      </c>
      <c r="H544">
        <v>44280</v>
      </c>
      <c r="I544">
        <v>44287</v>
      </c>
      <c r="K544" t="s">
        <v>23</v>
      </c>
      <c r="L544" t="s">
        <v>42</v>
      </c>
      <c r="M544" t="s">
        <v>25</v>
      </c>
      <c r="N544">
        <v>1</v>
      </c>
      <c r="O544" t="s">
        <v>26</v>
      </c>
      <c r="Q544" t="s">
        <v>28</v>
      </c>
      <c r="R544" t="s">
        <v>54</v>
      </c>
    </row>
    <row r="545" spans="1:18" x14ac:dyDescent="0.25">
      <c r="A545" t="s">
        <v>55</v>
      </c>
      <c r="B545">
        <v>228924</v>
      </c>
      <c r="C545" t="s">
        <v>20</v>
      </c>
      <c r="D545" t="s">
        <v>264</v>
      </c>
      <c r="E545" t="s">
        <v>73</v>
      </c>
      <c r="F545">
        <v>1</v>
      </c>
      <c r="G545" s="89">
        <v>44277</v>
      </c>
      <c r="H545">
        <v>44277</v>
      </c>
      <c r="I545">
        <v>44278</v>
      </c>
      <c r="K545" t="s">
        <v>23</v>
      </c>
      <c r="L545" t="s">
        <v>58</v>
      </c>
      <c r="M545" t="s">
        <v>25</v>
      </c>
      <c r="O545" t="s">
        <v>26</v>
      </c>
      <c r="Q545" t="s">
        <v>54</v>
      </c>
      <c r="R545" t="s">
        <v>28</v>
      </c>
    </row>
    <row r="546" spans="1:18" x14ac:dyDescent="0.25">
      <c r="A546" t="s">
        <v>30</v>
      </c>
      <c r="B546">
        <v>228902</v>
      </c>
      <c r="C546" t="s">
        <v>20</v>
      </c>
      <c r="D546" t="s">
        <v>105</v>
      </c>
      <c r="E546" t="s">
        <v>73</v>
      </c>
      <c r="F546">
        <v>1</v>
      </c>
      <c r="G546" s="89">
        <v>44277</v>
      </c>
      <c r="H546">
        <v>44279</v>
      </c>
      <c r="I546">
        <v>44279</v>
      </c>
      <c r="K546" t="s">
        <v>23</v>
      </c>
      <c r="L546" t="s">
        <v>58</v>
      </c>
      <c r="M546" t="s">
        <v>25</v>
      </c>
      <c r="O546" t="s">
        <v>26</v>
      </c>
      <c r="Q546" t="s">
        <v>29</v>
      </c>
      <c r="R546" t="s">
        <v>54</v>
      </c>
    </row>
    <row r="547" spans="1:18" x14ac:dyDescent="0.25">
      <c r="A547" t="s">
        <v>30</v>
      </c>
      <c r="B547">
        <v>228546</v>
      </c>
      <c r="C547" t="s">
        <v>31</v>
      </c>
      <c r="D547" t="s">
        <v>222</v>
      </c>
      <c r="E547" t="s">
        <v>44</v>
      </c>
      <c r="F547">
        <v>2</v>
      </c>
      <c r="G547" s="89">
        <v>44273</v>
      </c>
      <c r="H547">
        <v>44279</v>
      </c>
      <c r="I547">
        <v>44279</v>
      </c>
      <c r="K547" t="s">
        <v>23</v>
      </c>
      <c r="L547" t="s">
        <v>58</v>
      </c>
      <c r="M547" t="s">
        <v>25</v>
      </c>
      <c r="O547" t="s">
        <v>26</v>
      </c>
      <c r="P547" t="s">
        <v>26</v>
      </c>
      <c r="Q547" t="s">
        <v>29</v>
      </c>
      <c r="R547" t="s">
        <v>74</v>
      </c>
    </row>
    <row r="548" spans="1:18" x14ac:dyDescent="0.25">
      <c r="A548" t="s">
        <v>30</v>
      </c>
      <c r="B548">
        <v>228546</v>
      </c>
      <c r="C548" t="s">
        <v>31</v>
      </c>
      <c r="D548" t="s">
        <v>222</v>
      </c>
      <c r="E548" t="s">
        <v>44</v>
      </c>
      <c r="F548">
        <v>2</v>
      </c>
      <c r="G548" s="89">
        <v>44273</v>
      </c>
      <c r="H548">
        <v>44279</v>
      </c>
      <c r="I548">
        <v>44279</v>
      </c>
      <c r="K548" t="s">
        <v>23</v>
      </c>
      <c r="L548" t="s">
        <v>34</v>
      </c>
      <c r="M548" t="s">
        <v>25</v>
      </c>
      <c r="O548" t="s">
        <v>26</v>
      </c>
      <c r="P548" t="s">
        <v>26</v>
      </c>
      <c r="Q548" t="s">
        <v>29</v>
      </c>
      <c r="R548" t="s">
        <v>74</v>
      </c>
    </row>
    <row r="549" spans="1:18" x14ac:dyDescent="0.25">
      <c r="A549" t="s">
        <v>145</v>
      </c>
      <c r="B549">
        <v>228024</v>
      </c>
      <c r="C549" t="s">
        <v>20</v>
      </c>
      <c r="D549" t="s">
        <v>265</v>
      </c>
      <c r="E549" t="s">
        <v>33</v>
      </c>
      <c r="F549">
        <v>1</v>
      </c>
      <c r="G549" s="89">
        <v>44272</v>
      </c>
      <c r="H549">
        <v>44285</v>
      </c>
      <c r="I549">
        <v>44294</v>
      </c>
      <c r="K549" t="s">
        <v>23</v>
      </c>
      <c r="L549" t="s">
        <v>42</v>
      </c>
      <c r="M549" t="s">
        <v>25</v>
      </c>
      <c r="N549">
        <v>1</v>
      </c>
      <c r="O549" t="s">
        <v>27</v>
      </c>
      <c r="Q549" t="s">
        <v>29</v>
      </c>
      <c r="R549" t="s">
        <v>54</v>
      </c>
    </row>
    <row r="550" spans="1:18" x14ac:dyDescent="0.25">
      <c r="A550" t="s">
        <v>145</v>
      </c>
      <c r="B550">
        <v>228024</v>
      </c>
      <c r="C550" t="s">
        <v>20</v>
      </c>
      <c r="D550" t="s">
        <v>265</v>
      </c>
      <c r="E550" t="s">
        <v>49</v>
      </c>
      <c r="F550">
        <v>1</v>
      </c>
      <c r="G550" s="89">
        <v>44272</v>
      </c>
      <c r="H550">
        <v>44285</v>
      </c>
      <c r="I550">
        <v>44294</v>
      </c>
      <c r="K550" t="s">
        <v>23</v>
      </c>
      <c r="L550" t="s">
        <v>42</v>
      </c>
      <c r="M550" t="s">
        <v>25</v>
      </c>
      <c r="N550">
        <v>1</v>
      </c>
      <c r="O550" t="s">
        <v>27</v>
      </c>
      <c r="Q550" t="s">
        <v>29</v>
      </c>
      <c r="R550" t="s">
        <v>54</v>
      </c>
    </row>
    <row r="551" spans="1:18" x14ac:dyDescent="0.25">
      <c r="A551" t="s">
        <v>145</v>
      </c>
      <c r="B551">
        <v>228024</v>
      </c>
      <c r="C551" t="s">
        <v>20</v>
      </c>
      <c r="D551" t="s">
        <v>265</v>
      </c>
      <c r="E551" t="s">
        <v>36</v>
      </c>
      <c r="F551">
        <v>4</v>
      </c>
      <c r="G551" s="89">
        <v>44272</v>
      </c>
      <c r="H551">
        <v>44285</v>
      </c>
      <c r="I551">
        <v>44294</v>
      </c>
      <c r="K551" t="s">
        <v>23</v>
      </c>
      <c r="L551" t="s">
        <v>42</v>
      </c>
      <c r="M551" t="s">
        <v>25</v>
      </c>
      <c r="N551">
        <v>1</v>
      </c>
      <c r="O551" t="s">
        <v>27</v>
      </c>
      <c r="Q551" t="s">
        <v>29</v>
      </c>
      <c r="R551" t="s">
        <v>54</v>
      </c>
    </row>
    <row r="552" spans="1:18" x14ac:dyDescent="0.25">
      <c r="A552" t="s">
        <v>145</v>
      </c>
      <c r="B552">
        <v>228024</v>
      </c>
      <c r="C552" t="s">
        <v>20</v>
      </c>
      <c r="D552" t="s">
        <v>265</v>
      </c>
      <c r="E552" t="s">
        <v>93</v>
      </c>
      <c r="F552">
        <v>1</v>
      </c>
      <c r="G552" s="89">
        <v>44272</v>
      </c>
      <c r="H552">
        <v>44285</v>
      </c>
      <c r="I552">
        <v>44294</v>
      </c>
      <c r="K552" t="s">
        <v>23</v>
      </c>
      <c r="L552" t="s">
        <v>42</v>
      </c>
      <c r="M552" t="s">
        <v>25</v>
      </c>
      <c r="N552">
        <v>1</v>
      </c>
      <c r="O552" t="s">
        <v>27</v>
      </c>
      <c r="Q552" t="s">
        <v>29</v>
      </c>
      <c r="R552" t="s">
        <v>54</v>
      </c>
    </row>
    <row r="553" spans="1:18" x14ac:dyDescent="0.25">
      <c r="A553" t="s">
        <v>231</v>
      </c>
      <c r="B553">
        <v>227457</v>
      </c>
      <c r="C553" t="s">
        <v>20</v>
      </c>
      <c r="D553" t="s">
        <v>266</v>
      </c>
      <c r="E553" t="s">
        <v>22</v>
      </c>
      <c r="F553">
        <v>4</v>
      </c>
      <c r="G553" s="89">
        <v>44270</v>
      </c>
      <c r="H553">
        <v>44278</v>
      </c>
      <c r="I553">
        <v>44278</v>
      </c>
      <c r="K553" t="s">
        <v>23</v>
      </c>
      <c r="L553" t="s">
        <v>34</v>
      </c>
      <c r="M553" t="s">
        <v>25</v>
      </c>
      <c r="O553" t="s">
        <v>26</v>
      </c>
      <c r="Q553" t="s">
        <v>29</v>
      </c>
    </row>
    <row r="554" spans="1:18" x14ac:dyDescent="0.25">
      <c r="A554" t="s">
        <v>68</v>
      </c>
      <c r="B554">
        <v>229448</v>
      </c>
      <c r="C554" t="s">
        <v>20</v>
      </c>
      <c r="D554" t="s">
        <v>267</v>
      </c>
      <c r="E554" t="s">
        <v>33</v>
      </c>
      <c r="F554">
        <v>1</v>
      </c>
      <c r="G554" s="89">
        <v>44278</v>
      </c>
      <c r="H554">
        <v>44278</v>
      </c>
      <c r="I554">
        <v>44278</v>
      </c>
      <c r="K554" t="s">
        <v>23</v>
      </c>
      <c r="L554" t="s">
        <v>34</v>
      </c>
      <c r="M554" t="s">
        <v>25</v>
      </c>
      <c r="O554" t="s">
        <v>26</v>
      </c>
      <c r="Q554" t="s">
        <v>29</v>
      </c>
      <c r="R554" t="s">
        <v>29</v>
      </c>
    </row>
    <row r="555" spans="1:18" x14ac:dyDescent="0.25">
      <c r="A555" t="s">
        <v>47</v>
      </c>
      <c r="B555">
        <v>227888</v>
      </c>
      <c r="C555" t="s">
        <v>31</v>
      </c>
      <c r="D555" t="s">
        <v>223</v>
      </c>
      <c r="E555" t="s">
        <v>44</v>
      </c>
      <c r="F555">
        <v>1</v>
      </c>
      <c r="G555" s="89">
        <v>44271</v>
      </c>
      <c r="H555">
        <v>44291</v>
      </c>
      <c r="I555">
        <v>44291</v>
      </c>
      <c r="K555" t="s">
        <v>23</v>
      </c>
      <c r="L555" t="s">
        <v>34</v>
      </c>
      <c r="M555" t="s">
        <v>25</v>
      </c>
      <c r="O555" t="s">
        <v>26</v>
      </c>
      <c r="P555" t="s">
        <v>27</v>
      </c>
      <c r="Q555" t="s">
        <v>28</v>
      </c>
      <c r="R555" t="s">
        <v>74</v>
      </c>
    </row>
    <row r="556" spans="1:18" x14ac:dyDescent="0.25">
      <c r="A556" t="s">
        <v>47</v>
      </c>
      <c r="B556">
        <v>227888</v>
      </c>
      <c r="C556" t="s">
        <v>31</v>
      </c>
      <c r="D556" t="s">
        <v>223</v>
      </c>
      <c r="E556" t="s">
        <v>49</v>
      </c>
      <c r="F556">
        <v>1</v>
      </c>
      <c r="G556" s="89">
        <v>44271</v>
      </c>
      <c r="H556">
        <v>44291</v>
      </c>
      <c r="I556">
        <v>44291</v>
      </c>
      <c r="K556" t="s">
        <v>23</v>
      </c>
      <c r="L556" t="s">
        <v>34</v>
      </c>
      <c r="M556" t="s">
        <v>25</v>
      </c>
      <c r="O556" t="s">
        <v>26</v>
      </c>
      <c r="P556" t="s">
        <v>27</v>
      </c>
      <c r="Q556" t="s">
        <v>28</v>
      </c>
      <c r="R556" t="s">
        <v>74</v>
      </c>
    </row>
    <row r="557" spans="1:18" x14ac:dyDescent="0.25">
      <c r="A557" t="s">
        <v>47</v>
      </c>
      <c r="B557">
        <v>227888</v>
      </c>
      <c r="C557" t="s">
        <v>31</v>
      </c>
      <c r="D557" t="s">
        <v>223</v>
      </c>
      <c r="E557" t="s">
        <v>35</v>
      </c>
      <c r="F557">
        <v>1</v>
      </c>
      <c r="G557" s="89">
        <v>44271</v>
      </c>
      <c r="H557">
        <v>44279</v>
      </c>
      <c r="I557">
        <v>44279</v>
      </c>
      <c r="K557" t="s">
        <v>23</v>
      </c>
      <c r="L557" t="s">
        <v>34</v>
      </c>
      <c r="M557" t="s">
        <v>25</v>
      </c>
      <c r="O557" t="s">
        <v>26</v>
      </c>
      <c r="P557" t="s">
        <v>27</v>
      </c>
      <c r="Q557" t="s">
        <v>28</v>
      </c>
      <c r="R557" t="s">
        <v>74</v>
      </c>
    </row>
    <row r="558" spans="1:18" x14ac:dyDescent="0.25">
      <c r="A558" t="s">
        <v>145</v>
      </c>
      <c r="B558">
        <v>227710</v>
      </c>
      <c r="C558" t="s">
        <v>31</v>
      </c>
      <c r="D558" t="s">
        <v>224</v>
      </c>
      <c r="E558" t="s">
        <v>36</v>
      </c>
      <c r="F558">
        <v>4</v>
      </c>
      <c r="G558" s="89">
        <v>44271</v>
      </c>
      <c r="H558">
        <v>44280</v>
      </c>
      <c r="I558">
        <v>44301</v>
      </c>
      <c r="K558" t="s">
        <v>23</v>
      </c>
      <c r="L558" t="s">
        <v>34</v>
      </c>
      <c r="M558" t="s">
        <v>25</v>
      </c>
      <c r="O558" t="s">
        <v>26</v>
      </c>
      <c r="P558" t="s">
        <v>26</v>
      </c>
      <c r="Q558" t="s">
        <v>29</v>
      </c>
      <c r="R558" t="s">
        <v>74</v>
      </c>
    </row>
    <row r="559" spans="1:18" x14ac:dyDescent="0.25">
      <c r="A559" t="s">
        <v>145</v>
      </c>
      <c r="B559">
        <v>227710</v>
      </c>
      <c r="C559" t="s">
        <v>31</v>
      </c>
      <c r="D559" t="s">
        <v>224</v>
      </c>
      <c r="E559" t="s">
        <v>33</v>
      </c>
      <c r="F559">
        <v>1</v>
      </c>
      <c r="G559" s="89">
        <v>44271</v>
      </c>
      <c r="H559">
        <v>44280</v>
      </c>
      <c r="I559">
        <v>44301</v>
      </c>
      <c r="K559" t="s">
        <v>23</v>
      </c>
      <c r="L559" t="s">
        <v>34</v>
      </c>
      <c r="M559" t="s">
        <v>25</v>
      </c>
      <c r="O559" t="s">
        <v>26</v>
      </c>
      <c r="P559" t="s">
        <v>26</v>
      </c>
      <c r="Q559" t="s">
        <v>29</v>
      </c>
      <c r="R559" t="s">
        <v>74</v>
      </c>
    </row>
    <row r="560" spans="1:18" x14ac:dyDescent="0.25">
      <c r="A560" t="s">
        <v>145</v>
      </c>
      <c r="B560">
        <v>227710</v>
      </c>
      <c r="C560" t="s">
        <v>31</v>
      </c>
      <c r="D560" t="s">
        <v>224</v>
      </c>
      <c r="E560" t="s">
        <v>49</v>
      </c>
      <c r="F560">
        <v>1</v>
      </c>
      <c r="G560" s="89">
        <v>44271</v>
      </c>
      <c r="H560">
        <v>44280</v>
      </c>
      <c r="I560">
        <v>44301</v>
      </c>
      <c r="K560" t="s">
        <v>23</v>
      </c>
      <c r="L560" t="s">
        <v>34</v>
      </c>
      <c r="M560" t="s">
        <v>25</v>
      </c>
      <c r="O560" t="s">
        <v>26</v>
      </c>
      <c r="P560" t="s">
        <v>26</v>
      </c>
      <c r="Q560" t="s">
        <v>29</v>
      </c>
      <c r="R560" t="s">
        <v>74</v>
      </c>
    </row>
    <row r="561" spans="1:18" x14ac:dyDescent="0.25">
      <c r="A561" t="s">
        <v>37</v>
      </c>
      <c r="B561">
        <v>227568</v>
      </c>
      <c r="C561" t="s">
        <v>20</v>
      </c>
      <c r="D561" t="s">
        <v>268</v>
      </c>
      <c r="E561" t="s">
        <v>83</v>
      </c>
      <c r="F561">
        <v>2</v>
      </c>
      <c r="G561" s="89">
        <v>44271</v>
      </c>
      <c r="H561">
        <v>44280</v>
      </c>
      <c r="I561">
        <v>44306</v>
      </c>
      <c r="K561" t="s">
        <v>23</v>
      </c>
      <c r="L561" t="s">
        <v>42</v>
      </c>
      <c r="M561" t="s">
        <v>25</v>
      </c>
      <c r="O561" t="s">
        <v>27</v>
      </c>
      <c r="Q561" t="s">
        <v>29</v>
      </c>
      <c r="R561" t="s">
        <v>54</v>
      </c>
    </row>
    <row r="562" spans="1:18" x14ac:dyDescent="0.25">
      <c r="A562" t="s">
        <v>30</v>
      </c>
      <c r="B562">
        <v>229524</v>
      </c>
      <c r="C562" t="s">
        <v>31</v>
      </c>
      <c r="D562" t="s">
        <v>226</v>
      </c>
      <c r="E562" t="s">
        <v>43</v>
      </c>
      <c r="F562">
        <v>3</v>
      </c>
      <c r="G562" s="89">
        <v>44279</v>
      </c>
      <c r="H562">
        <v>44280</v>
      </c>
      <c r="I562">
        <v>44280</v>
      </c>
      <c r="K562" t="s">
        <v>23</v>
      </c>
      <c r="L562" t="s">
        <v>34</v>
      </c>
      <c r="M562" t="s">
        <v>25</v>
      </c>
      <c r="O562" t="s">
        <v>26</v>
      </c>
      <c r="P562" t="s">
        <v>27</v>
      </c>
      <c r="Q562" t="s">
        <v>29</v>
      </c>
      <c r="R562" t="s">
        <v>54</v>
      </c>
    </row>
    <row r="563" spans="1:18" x14ac:dyDescent="0.25">
      <c r="A563" t="s">
        <v>30</v>
      </c>
      <c r="B563">
        <v>229524</v>
      </c>
      <c r="C563" t="s">
        <v>31</v>
      </c>
      <c r="D563" t="s">
        <v>226</v>
      </c>
      <c r="E563" t="s">
        <v>39</v>
      </c>
      <c r="F563">
        <v>1</v>
      </c>
      <c r="G563" s="89">
        <v>44279</v>
      </c>
      <c r="H563">
        <v>44280</v>
      </c>
      <c r="I563">
        <v>44280</v>
      </c>
      <c r="K563" t="s">
        <v>23</v>
      </c>
      <c r="L563" t="s">
        <v>34</v>
      </c>
      <c r="M563" t="s">
        <v>25</v>
      </c>
      <c r="O563" t="s">
        <v>26</v>
      </c>
      <c r="P563" t="s">
        <v>27</v>
      </c>
      <c r="Q563" t="s">
        <v>29</v>
      </c>
      <c r="R563" t="s">
        <v>54</v>
      </c>
    </row>
    <row r="564" spans="1:18" x14ac:dyDescent="0.25">
      <c r="A564" t="s">
        <v>30</v>
      </c>
      <c r="B564">
        <v>229524</v>
      </c>
      <c r="C564" t="s">
        <v>31</v>
      </c>
      <c r="D564" t="s">
        <v>226</v>
      </c>
      <c r="E564" t="s">
        <v>33</v>
      </c>
      <c r="F564">
        <v>1</v>
      </c>
      <c r="G564" s="89">
        <v>44279</v>
      </c>
      <c r="H564">
        <v>44280</v>
      </c>
      <c r="I564">
        <v>44280</v>
      </c>
      <c r="K564" t="s">
        <v>23</v>
      </c>
      <c r="L564" t="s">
        <v>34</v>
      </c>
      <c r="M564" t="s">
        <v>25</v>
      </c>
      <c r="O564" t="s">
        <v>26</v>
      </c>
      <c r="P564" t="s">
        <v>27</v>
      </c>
      <c r="Q564" t="s">
        <v>29</v>
      </c>
      <c r="R564" t="s">
        <v>54</v>
      </c>
    </row>
    <row r="565" spans="1:18" x14ac:dyDescent="0.25">
      <c r="A565" t="s">
        <v>30</v>
      </c>
      <c r="B565">
        <v>229524</v>
      </c>
      <c r="C565" t="s">
        <v>31</v>
      </c>
      <c r="D565" t="s">
        <v>226</v>
      </c>
      <c r="E565" t="s">
        <v>36</v>
      </c>
      <c r="F565">
        <v>3</v>
      </c>
      <c r="G565" s="89">
        <v>44279</v>
      </c>
      <c r="H565">
        <v>44280</v>
      </c>
      <c r="I565">
        <v>44280</v>
      </c>
      <c r="K565" t="s">
        <v>23</v>
      </c>
      <c r="L565" t="s">
        <v>34</v>
      </c>
      <c r="M565" t="s">
        <v>25</v>
      </c>
      <c r="O565" t="s">
        <v>26</v>
      </c>
      <c r="P565" t="s">
        <v>27</v>
      </c>
      <c r="Q565" t="s">
        <v>29</v>
      </c>
      <c r="R565" t="s">
        <v>54</v>
      </c>
    </row>
    <row r="566" spans="1:18" x14ac:dyDescent="0.25">
      <c r="A566" t="s">
        <v>30</v>
      </c>
      <c r="B566">
        <v>229051</v>
      </c>
      <c r="C566" t="s">
        <v>20</v>
      </c>
      <c r="D566" t="s">
        <v>269</v>
      </c>
      <c r="E566" t="s">
        <v>80</v>
      </c>
      <c r="F566">
        <v>10</v>
      </c>
      <c r="G566" s="89">
        <v>44277</v>
      </c>
      <c r="H566">
        <v>44281</v>
      </c>
      <c r="I566">
        <v>44280</v>
      </c>
      <c r="K566" t="s">
        <v>23</v>
      </c>
      <c r="L566" t="s">
        <v>58</v>
      </c>
      <c r="M566" t="s">
        <v>25</v>
      </c>
      <c r="O566" t="s">
        <v>26</v>
      </c>
      <c r="Q566" t="s">
        <v>29</v>
      </c>
      <c r="R566" t="s">
        <v>54</v>
      </c>
    </row>
    <row r="567" spans="1:18" x14ac:dyDescent="0.25">
      <c r="A567" t="s">
        <v>30</v>
      </c>
      <c r="B567">
        <v>229086</v>
      </c>
      <c r="C567" t="s">
        <v>31</v>
      </c>
      <c r="D567" t="s">
        <v>227</v>
      </c>
      <c r="E567" t="s">
        <v>228</v>
      </c>
      <c r="F567">
        <v>1</v>
      </c>
      <c r="G567" s="89">
        <v>44277</v>
      </c>
      <c r="H567">
        <v>44281</v>
      </c>
      <c r="I567">
        <v>44281</v>
      </c>
      <c r="K567" t="s">
        <v>23</v>
      </c>
      <c r="L567" t="s">
        <v>34</v>
      </c>
      <c r="M567" t="s">
        <v>25</v>
      </c>
      <c r="O567" t="s">
        <v>27</v>
      </c>
      <c r="P567" t="s">
        <v>27</v>
      </c>
      <c r="Q567" t="s">
        <v>29</v>
      </c>
      <c r="R567" t="s">
        <v>54</v>
      </c>
    </row>
    <row r="568" spans="1:18" x14ac:dyDescent="0.25">
      <c r="A568" t="s">
        <v>30</v>
      </c>
      <c r="B568">
        <v>229763</v>
      </c>
      <c r="C568" t="s">
        <v>31</v>
      </c>
      <c r="D568" t="s">
        <v>229</v>
      </c>
      <c r="E568" t="s">
        <v>36</v>
      </c>
      <c r="F568">
        <v>3</v>
      </c>
      <c r="G568" s="89">
        <v>44279</v>
      </c>
      <c r="H568">
        <v>44286</v>
      </c>
      <c r="I568">
        <v>44287</v>
      </c>
      <c r="K568" t="s">
        <v>23</v>
      </c>
      <c r="L568" t="s">
        <v>42</v>
      </c>
      <c r="M568" t="s">
        <v>25</v>
      </c>
      <c r="O568" t="s">
        <v>27</v>
      </c>
      <c r="P568" t="s">
        <v>27</v>
      </c>
      <c r="Q568" t="s">
        <v>29</v>
      </c>
      <c r="R568" t="s">
        <v>54</v>
      </c>
    </row>
    <row r="569" spans="1:18" x14ac:dyDescent="0.25">
      <c r="A569" t="s">
        <v>30</v>
      </c>
      <c r="B569">
        <v>229763</v>
      </c>
      <c r="C569" t="s">
        <v>31</v>
      </c>
      <c r="D569" t="s">
        <v>229</v>
      </c>
      <c r="E569" t="s">
        <v>44</v>
      </c>
      <c r="F569">
        <v>1</v>
      </c>
      <c r="G569" s="89">
        <v>44279</v>
      </c>
      <c r="H569">
        <v>44286</v>
      </c>
      <c r="I569">
        <v>44287</v>
      </c>
      <c r="K569" t="s">
        <v>23</v>
      </c>
      <c r="L569" t="s">
        <v>42</v>
      </c>
      <c r="M569" t="s">
        <v>25</v>
      </c>
      <c r="O569" t="s">
        <v>27</v>
      </c>
      <c r="P569" t="s">
        <v>27</v>
      </c>
      <c r="Q569" t="s">
        <v>29</v>
      </c>
      <c r="R569" t="s">
        <v>54</v>
      </c>
    </row>
    <row r="570" spans="1:18" x14ac:dyDescent="0.25">
      <c r="A570" t="s">
        <v>30</v>
      </c>
      <c r="B570">
        <v>229763</v>
      </c>
      <c r="C570" t="s">
        <v>31</v>
      </c>
      <c r="D570" t="s">
        <v>229</v>
      </c>
      <c r="E570" t="s">
        <v>49</v>
      </c>
      <c r="F570">
        <v>1</v>
      </c>
      <c r="G570" s="89">
        <v>44279</v>
      </c>
      <c r="H570">
        <v>44286</v>
      </c>
      <c r="I570">
        <v>44287</v>
      </c>
      <c r="K570" t="s">
        <v>23</v>
      </c>
      <c r="L570" t="s">
        <v>42</v>
      </c>
      <c r="M570" t="s">
        <v>25</v>
      </c>
      <c r="O570" t="s">
        <v>27</v>
      </c>
      <c r="P570" t="s">
        <v>27</v>
      </c>
      <c r="Q570" t="s">
        <v>29</v>
      </c>
      <c r="R570" t="s">
        <v>54</v>
      </c>
    </row>
    <row r="571" spans="1:18" x14ac:dyDescent="0.25">
      <c r="A571" t="s">
        <v>30</v>
      </c>
      <c r="B571">
        <v>229763</v>
      </c>
      <c r="C571" t="s">
        <v>31</v>
      </c>
      <c r="D571" t="s">
        <v>229</v>
      </c>
      <c r="E571" t="s">
        <v>35</v>
      </c>
      <c r="F571">
        <v>1</v>
      </c>
      <c r="G571" s="89">
        <v>44279</v>
      </c>
      <c r="H571">
        <v>44286</v>
      </c>
      <c r="I571">
        <v>44287</v>
      </c>
      <c r="K571" t="s">
        <v>23</v>
      </c>
      <c r="L571" t="s">
        <v>42</v>
      </c>
      <c r="M571" t="s">
        <v>25</v>
      </c>
      <c r="O571" t="s">
        <v>27</v>
      </c>
      <c r="P571" t="s">
        <v>27</v>
      </c>
      <c r="Q571" t="s">
        <v>29</v>
      </c>
      <c r="R571" t="s">
        <v>54</v>
      </c>
    </row>
    <row r="572" spans="1:18" x14ac:dyDescent="0.25">
      <c r="A572" t="s">
        <v>37</v>
      </c>
      <c r="B572">
        <v>229691</v>
      </c>
      <c r="C572" t="s">
        <v>20</v>
      </c>
      <c r="D572" t="s">
        <v>270</v>
      </c>
      <c r="E572" t="s">
        <v>35</v>
      </c>
      <c r="F572">
        <v>2</v>
      </c>
      <c r="G572" s="89">
        <v>44279</v>
      </c>
      <c r="H572">
        <v>44286</v>
      </c>
      <c r="I572">
        <v>44287</v>
      </c>
      <c r="K572" t="s">
        <v>23</v>
      </c>
      <c r="L572" t="s">
        <v>42</v>
      </c>
      <c r="M572" t="s">
        <v>25</v>
      </c>
      <c r="O572" t="s">
        <v>26</v>
      </c>
      <c r="Q572" t="s">
        <v>29</v>
      </c>
      <c r="R572" t="s">
        <v>54</v>
      </c>
    </row>
    <row r="573" spans="1:18" x14ac:dyDescent="0.25">
      <c r="A573" t="s">
        <v>37</v>
      </c>
      <c r="B573">
        <v>229691</v>
      </c>
      <c r="C573" t="s">
        <v>20</v>
      </c>
      <c r="D573" t="s">
        <v>270</v>
      </c>
      <c r="E573" t="s">
        <v>33</v>
      </c>
      <c r="F573">
        <v>2</v>
      </c>
      <c r="G573" s="89">
        <v>44279</v>
      </c>
      <c r="H573">
        <v>44286</v>
      </c>
      <c r="I573">
        <v>44287</v>
      </c>
      <c r="K573" t="s">
        <v>23</v>
      </c>
      <c r="L573" t="s">
        <v>42</v>
      </c>
      <c r="M573" t="s">
        <v>25</v>
      </c>
      <c r="O573" t="s">
        <v>26</v>
      </c>
      <c r="Q573" t="s">
        <v>29</v>
      </c>
      <c r="R573" t="s">
        <v>54</v>
      </c>
    </row>
    <row r="574" spans="1:18" x14ac:dyDescent="0.25">
      <c r="A574" t="s">
        <v>37</v>
      </c>
      <c r="B574">
        <v>229691</v>
      </c>
      <c r="C574" t="s">
        <v>20</v>
      </c>
      <c r="D574" t="s">
        <v>270</v>
      </c>
      <c r="E574" t="s">
        <v>49</v>
      </c>
      <c r="F574">
        <v>2</v>
      </c>
      <c r="G574" s="89">
        <v>44279</v>
      </c>
      <c r="H574">
        <v>44286</v>
      </c>
      <c r="I574">
        <v>44287</v>
      </c>
      <c r="K574" t="s">
        <v>23</v>
      </c>
      <c r="L574" t="s">
        <v>42</v>
      </c>
      <c r="M574" t="s">
        <v>25</v>
      </c>
      <c r="O574" t="s">
        <v>26</v>
      </c>
      <c r="Q574" t="s">
        <v>29</v>
      </c>
      <c r="R574" t="s">
        <v>54</v>
      </c>
    </row>
    <row r="575" spans="1:18" x14ac:dyDescent="0.25">
      <c r="A575" t="s">
        <v>37</v>
      </c>
      <c r="B575">
        <v>229691</v>
      </c>
      <c r="C575" t="s">
        <v>20</v>
      </c>
      <c r="D575" t="s">
        <v>270</v>
      </c>
      <c r="E575" t="s">
        <v>93</v>
      </c>
      <c r="F575">
        <v>2</v>
      </c>
      <c r="G575" s="89">
        <v>44279</v>
      </c>
      <c r="H575">
        <v>44286</v>
      </c>
      <c r="I575">
        <v>44287</v>
      </c>
      <c r="K575" t="s">
        <v>23</v>
      </c>
      <c r="L575" t="s">
        <v>42</v>
      </c>
      <c r="M575" t="s">
        <v>25</v>
      </c>
      <c r="O575" t="s">
        <v>26</v>
      </c>
      <c r="Q575" t="s">
        <v>29</v>
      </c>
      <c r="R575" t="s">
        <v>54</v>
      </c>
    </row>
    <row r="576" spans="1:18" x14ac:dyDescent="0.25">
      <c r="A576" t="s">
        <v>40</v>
      </c>
      <c r="B576">
        <v>226583</v>
      </c>
      <c r="C576" t="s">
        <v>20</v>
      </c>
      <c r="D576" t="s">
        <v>138</v>
      </c>
      <c r="E576" t="s">
        <v>35</v>
      </c>
      <c r="F576">
        <v>1</v>
      </c>
      <c r="G576" s="89">
        <v>44287</v>
      </c>
      <c r="H576">
        <v>44287</v>
      </c>
      <c r="I576">
        <v>44287</v>
      </c>
      <c r="J576" t="s">
        <v>271</v>
      </c>
      <c r="K576" t="s">
        <v>23</v>
      </c>
      <c r="L576" t="s">
        <v>24</v>
      </c>
      <c r="M576" t="s">
        <v>25</v>
      </c>
      <c r="O576" t="s">
        <v>26</v>
      </c>
      <c r="Q576" t="s">
        <v>29</v>
      </c>
      <c r="R576" t="s">
        <v>29</v>
      </c>
    </row>
    <row r="577" spans="1:18" x14ac:dyDescent="0.25">
      <c r="A577" t="s">
        <v>40</v>
      </c>
      <c r="B577">
        <v>226583</v>
      </c>
      <c r="C577" t="s">
        <v>20</v>
      </c>
      <c r="D577" t="s">
        <v>138</v>
      </c>
      <c r="E577" t="s">
        <v>35</v>
      </c>
      <c r="F577">
        <v>1</v>
      </c>
      <c r="G577" s="89">
        <v>44287</v>
      </c>
      <c r="H577">
        <v>44287</v>
      </c>
      <c r="I577">
        <v>44287</v>
      </c>
      <c r="J577" t="s">
        <v>272</v>
      </c>
      <c r="K577" t="s">
        <v>23</v>
      </c>
      <c r="L577" t="s">
        <v>24</v>
      </c>
      <c r="M577" t="s">
        <v>25</v>
      </c>
      <c r="O577" t="s">
        <v>26</v>
      </c>
      <c r="Q577" t="s">
        <v>29</v>
      </c>
      <c r="R577" t="s">
        <v>29</v>
      </c>
    </row>
    <row r="578" spans="1:18" x14ac:dyDescent="0.25">
      <c r="A578" t="s">
        <v>40</v>
      </c>
      <c r="B578">
        <v>226583</v>
      </c>
      <c r="C578" t="s">
        <v>20</v>
      </c>
      <c r="D578" t="s">
        <v>138</v>
      </c>
      <c r="E578" t="s">
        <v>35</v>
      </c>
      <c r="F578">
        <v>1</v>
      </c>
      <c r="G578" s="89">
        <v>44291</v>
      </c>
      <c r="H578">
        <v>44291</v>
      </c>
      <c r="I578">
        <v>44291</v>
      </c>
      <c r="J578" t="s">
        <v>273</v>
      </c>
      <c r="K578" t="s">
        <v>23</v>
      </c>
      <c r="L578" t="s">
        <v>24</v>
      </c>
      <c r="M578" t="s">
        <v>25</v>
      </c>
      <c r="O578" t="s">
        <v>26</v>
      </c>
      <c r="Q578" t="s">
        <v>29</v>
      </c>
      <c r="R578" t="s">
        <v>29</v>
      </c>
    </row>
    <row r="579" spans="1:18" x14ac:dyDescent="0.25">
      <c r="A579" t="s">
        <v>40</v>
      </c>
      <c r="B579">
        <v>226583</v>
      </c>
      <c r="C579" t="s">
        <v>20</v>
      </c>
      <c r="D579" t="s">
        <v>138</v>
      </c>
      <c r="E579" t="s">
        <v>35</v>
      </c>
      <c r="F579">
        <v>1</v>
      </c>
      <c r="G579" s="89">
        <v>44293</v>
      </c>
      <c r="H579">
        <v>44293</v>
      </c>
      <c r="I579">
        <v>44293</v>
      </c>
      <c r="J579" t="s">
        <v>274</v>
      </c>
      <c r="K579" t="s">
        <v>23</v>
      </c>
      <c r="L579" t="s">
        <v>24</v>
      </c>
      <c r="M579" t="s">
        <v>25</v>
      </c>
      <c r="O579" t="s">
        <v>26</v>
      </c>
      <c r="Q579" t="s">
        <v>29</v>
      </c>
      <c r="R579" t="s">
        <v>29</v>
      </c>
    </row>
    <row r="580" spans="1:18" x14ac:dyDescent="0.25">
      <c r="A580" t="s">
        <v>40</v>
      </c>
      <c r="B580">
        <v>226583</v>
      </c>
      <c r="C580" t="s">
        <v>20</v>
      </c>
      <c r="D580" t="s">
        <v>138</v>
      </c>
      <c r="E580" t="s">
        <v>35</v>
      </c>
      <c r="F580">
        <v>1</v>
      </c>
      <c r="G580" s="89">
        <v>44293</v>
      </c>
      <c r="H580">
        <v>44293</v>
      </c>
      <c r="I580">
        <v>44293</v>
      </c>
      <c r="J580" t="s">
        <v>275</v>
      </c>
      <c r="K580" t="s">
        <v>23</v>
      </c>
      <c r="L580" t="s">
        <v>24</v>
      </c>
      <c r="M580" t="s">
        <v>25</v>
      </c>
      <c r="O580" t="s">
        <v>26</v>
      </c>
      <c r="Q580" t="s">
        <v>29</v>
      </c>
      <c r="R580" t="s">
        <v>29</v>
      </c>
    </row>
    <row r="581" spans="1:18" x14ac:dyDescent="0.25">
      <c r="A581" t="s">
        <v>40</v>
      </c>
      <c r="B581">
        <v>226583</v>
      </c>
      <c r="C581" t="s">
        <v>20</v>
      </c>
      <c r="D581" t="s">
        <v>138</v>
      </c>
      <c r="E581" t="s">
        <v>35</v>
      </c>
      <c r="F581">
        <v>1</v>
      </c>
      <c r="G581" s="89">
        <v>44294</v>
      </c>
      <c r="H581">
        <v>44294</v>
      </c>
      <c r="I581">
        <v>44294</v>
      </c>
      <c r="J581" t="s">
        <v>276</v>
      </c>
      <c r="K581" t="s">
        <v>23</v>
      </c>
      <c r="L581" t="s">
        <v>24</v>
      </c>
      <c r="M581" t="s">
        <v>25</v>
      </c>
      <c r="O581" t="s">
        <v>26</v>
      </c>
      <c r="Q581" t="s">
        <v>29</v>
      </c>
      <c r="R581" t="s">
        <v>29</v>
      </c>
    </row>
    <row r="582" spans="1:18" x14ac:dyDescent="0.25">
      <c r="A582" t="s">
        <v>40</v>
      </c>
      <c r="B582">
        <v>226583</v>
      </c>
      <c r="C582" t="s">
        <v>20</v>
      </c>
      <c r="D582" t="s">
        <v>138</v>
      </c>
      <c r="E582" t="s">
        <v>35</v>
      </c>
      <c r="F582">
        <v>1</v>
      </c>
      <c r="G582" s="89">
        <v>44295</v>
      </c>
      <c r="H582">
        <v>44295</v>
      </c>
      <c r="I582">
        <v>44295</v>
      </c>
      <c r="J582" t="s">
        <v>277</v>
      </c>
      <c r="K582" t="s">
        <v>23</v>
      </c>
      <c r="L582" t="s">
        <v>24</v>
      </c>
      <c r="M582" t="s">
        <v>25</v>
      </c>
      <c r="O582" t="s">
        <v>26</v>
      </c>
      <c r="Q582" t="s">
        <v>29</v>
      </c>
      <c r="R582" t="s">
        <v>29</v>
      </c>
    </row>
    <row r="583" spans="1:18" x14ac:dyDescent="0.25">
      <c r="A583" t="s">
        <v>40</v>
      </c>
      <c r="B583">
        <v>226583</v>
      </c>
      <c r="C583" t="s">
        <v>20</v>
      </c>
      <c r="D583" t="s">
        <v>138</v>
      </c>
      <c r="E583" t="s">
        <v>35</v>
      </c>
      <c r="F583">
        <v>1</v>
      </c>
      <c r="G583" s="89">
        <v>44298</v>
      </c>
      <c r="H583">
        <v>44298</v>
      </c>
      <c r="I583">
        <v>44298</v>
      </c>
      <c r="J583" t="s">
        <v>278</v>
      </c>
      <c r="K583" t="s">
        <v>23</v>
      </c>
      <c r="L583" t="s">
        <v>24</v>
      </c>
      <c r="M583" t="s">
        <v>25</v>
      </c>
      <c r="N583">
        <v>1</v>
      </c>
      <c r="O583" t="s">
        <v>26</v>
      </c>
      <c r="Q583" t="s">
        <v>29</v>
      </c>
      <c r="R583" t="s">
        <v>29</v>
      </c>
    </row>
    <row r="584" spans="1:18" x14ac:dyDescent="0.25">
      <c r="A584" t="s">
        <v>30</v>
      </c>
      <c r="B584">
        <v>229967</v>
      </c>
      <c r="C584" t="s">
        <v>31</v>
      </c>
      <c r="D584" t="s">
        <v>230</v>
      </c>
      <c r="E584" t="s">
        <v>49</v>
      </c>
      <c r="F584">
        <v>2</v>
      </c>
      <c r="G584" s="89">
        <v>44280</v>
      </c>
      <c r="H584">
        <v>44299</v>
      </c>
      <c r="I584">
        <v>44299</v>
      </c>
      <c r="K584" t="s">
        <v>23</v>
      </c>
      <c r="L584" t="s">
        <v>42</v>
      </c>
      <c r="M584" t="s">
        <v>25</v>
      </c>
      <c r="O584" t="s">
        <v>26</v>
      </c>
      <c r="P584" t="s">
        <v>27</v>
      </c>
      <c r="Q584" t="s">
        <v>54</v>
      </c>
      <c r="R584" t="s">
        <v>54</v>
      </c>
    </row>
    <row r="585" spans="1:18" x14ac:dyDescent="0.25">
      <c r="A585" t="s">
        <v>30</v>
      </c>
      <c r="B585">
        <v>229967</v>
      </c>
      <c r="C585" t="s">
        <v>31</v>
      </c>
      <c r="D585" t="s">
        <v>230</v>
      </c>
      <c r="E585" t="s">
        <v>36</v>
      </c>
      <c r="F585">
        <v>6</v>
      </c>
      <c r="G585" s="89">
        <v>44280</v>
      </c>
      <c r="H585">
        <v>44299</v>
      </c>
      <c r="I585">
        <v>44299</v>
      </c>
      <c r="K585" t="s">
        <v>23</v>
      </c>
      <c r="L585" t="s">
        <v>42</v>
      </c>
      <c r="M585" t="s">
        <v>25</v>
      </c>
      <c r="O585" t="s">
        <v>26</v>
      </c>
      <c r="P585" t="s">
        <v>27</v>
      </c>
      <c r="Q585" t="s">
        <v>54</v>
      </c>
      <c r="R585" t="s">
        <v>54</v>
      </c>
    </row>
    <row r="586" spans="1:18" x14ac:dyDescent="0.25">
      <c r="A586" t="s">
        <v>30</v>
      </c>
      <c r="B586">
        <v>229967</v>
      </c>
      <c r="C586" t="s">
        <v>31</v>
      </c>
      <c r="D586" t="s">
        <v>230</v>
      </c>
      <c r="E586" t="s">
        <v>35</v>
      </c>
      <c r="F586">
        <v>2</v>
      </c>
      <c r="G586" s="89">
        <v>44280</v>
      </c>
      <c r="H586">
        <v>44299</v>
      </c>
      <c r="I586">
        <v>44299</v>
      </c>
      <c r="K586" t="s">
        <v>23</v>
      </c>
      <c r="L586" t="s">
        <v>42</v>
      </c>
      <c r="M586" t="s">
        <v>25</v>
      </c>
      <c r="O586" t="s">
        <v>26</v>
      </c>
      <c r="P586" t="s">
        <v>27</v>
      </c>
      <c r="Q586" t="s">
        <v>54</v>
      </c>
      <c r="R586" t="s">
        <v>54</v>
      </c>
    </row>
    <row r="587" spans="1:18" x14ac:dyDescent="0.25">
      <c r="A587" t="s">
        <v>30</v>
      </c>
      <c r="B587">
        <v>229967</v>
      </c>
      <c r="C587" t="s">
        <v>31</v>
      </c>
      <c r="D587" t="s">
        <v>230</v>
      </c>
      <c r="E587" t="s">
        <v>67</v>
      </c>
      <c r="F587">
        <v>1</v>
      </c>
      <c r="G587" s="89">
        <v>44280</v>
      </c>
      <c r="H587">
        <v>44299</v>
      </c>
      <c r="I587">
        <v>44299</v>
      </c>
      <c r="K587" t="s">
        <v>23</v>
      </c>
      <c r="L587" t="s">
        <v>42</v>
      </c>
      <c r="M587" t="s">
        <v>25</v>
      </c>
      <c r="O587" t="s">
        <v>26</v>
      </c>
      <c r="P587" t="s">
        <v>27</v>
      </c>
      <c r="Q587" t="s">
        <v>54</v>
      </c>
      <c r="R587" t="s">
        <v>54</v>
      </c>
    </row>
    <row r="588" spans="1:18" x14ac:dyDescent="0.25">
      <c r="A588" t="s">
        <v>30</v>
      </c>
      <c r="B588">
        <v>229967</v>
      </c>
      <c r="C588" t="s">
        <v>31</v>
      </c>
      <c r="D588" t="s">
        <v>230</v>
      </c>
      <c r="E588" t="s">
        <v>89</v>
      </c>
      <c r="F588">
        <v>1</v>
      </c>
      <c r="G588" s="89">
        <v>44280</v>
      </c>
      <c r="H588">
        <v>44299</v>
      </c>
      <c r="I588">
        <v>44299</v>
      </c>
      <c r="K588" t="s">
        <v>23</v>
      </c>
      <c r="L588" t="s">
        <v>42</v>
      </c>
      <c r="M588" t="s">
        <v>25</v>
      </c>
      <c r="O588" t="s">
        <v>26</v>
      </c>
      <c r="P588" t="s">
        <v>27</v>
      </c>
      <c r="Q588" t="s">
        <v>54</v>
      </c>
      <c r="R588" t="s">
        <v>54</v>
      </c>
    </row>
    <row r="589" spans="1:18" x14ac:dyDescent="0.25">
      <c r="A589" t="s">
        <v>30</v>
      </c>
      <c r="B589">
        <v>229967</v>
      </c>
      <c r="C589" t="s">
        <v>31</v>
      </c>
      <c r="D589" t="s">
        <v>230</v>
      </c>
      <c r="E589" t="s">
        <v>106</v>
      </c>
      <c r="F589">
        <v>2</v>
      </c>
      <c r="G589" s="89">
        <v>44280</v>
      </c>
      <c r="H589">
        <v>44299</v>
      </c>
      <c r="I589">
        <v>44299</v>
      </c>
      <c r="K589" t="s">
        <v>23</v>
      </c>
      <c r="L589" t="s">
        <v>42</v>
      </c>
      <c r="M589" t="s">
        <v>25</v>
      </c>
      <c r="O589" t="s">
        <v>26</v>
      </c>
      <c r="P589" t="s">
        <v>27</v>
      </c>
      <c r="Q589" t="s">
        <v>54</v>
      </c>
      <c r="R589" t="s">
        <v>54</v>
      </c>
    </row>
    <row r="590" spans="1:18" x14ac:dyDescent="0.25">
      <c r="A590" t="s">
        <v>37</v>
      </c>
      <c r="B590">
        <v>230035</v>
      </c>
      <c r="C590" t="s">
        <v>20</v>
      </c>
      <c r="D590" t="s">
        <v>279</v>
      </c>
      <c r="E590" t="s">
        <v>73</v>
      </c>
      <c r="F590">
        <v>2</v>
      </c>
      <c r="G590" s="89">
        <v>44280</v>
      </c>
      <c r="H590">
        <v>44291</v>
      </c>
      <c r="I590">
        <v>44293</v>
      </c>
      <c r="K590" t="s">
        <v>23</v>
      </c>
      <c r="L590" t="s">
        <v>34</v>
      </c>
      <c r="M590" t="s">
        <v>25</v>
      </c>
      <c r="N590">
        <v>1</v>
      </c>
      <c r="O590" t="s">
        <v>26</v>
      </c>
      <c r="Q590" t="s">
        <v>54</v>
      </c>
      <c r="R590" t="s">
        <v>54</v>
      </c>
    </row>
    <row r="591" spans="1:18" x14ac:dyDescent="0.25">
      <c r="A591" t="s">
        <v>68</v>
      </c>
      <c r="B591">
        <v>230329</v>
      </c>
      <c r="C591" t="s">
        <v>20</v>
      </c>
      <c r="D591" t="s">
        <v>280</v>
      </c>
      <c r="E591" t="s">
        <v>44</v>
      </c>
      <c r="F591">
        <v>2</v>
      </c>
      <c r="G591" s="89">
        <v>44281</v>
      </c>
      <c r="H591">
        <v>44292</v>
      </c>
      <c r="I591">
        <v>44292</v>
      </c>
      <c r="K591" t="s">
        <v>23</v>
      </c>
      <c r="L591" t="s">
        <v>42</v>
      </c>
      <c r="M591" t="s">
        <v>25</v>
      </c>
      <c r="O591" t="s">
        <v>27</v>
      </c>
      <c r="Q591" t="s">
        <v>29</v>
      </c>
      <c r="R591" t="s">
        <v>54</v>
      </c>
    </row>
    <row r="592" spans="1:18" x14ac:dyDescent="0.25">
      <c r="A592" t="s">
        <v>231</v>
      </c>
      <c r="B592">
        <v>231112</v>
      </c>
      <c r="C592" t="s">
        <v>31</v>
      </c>
      <c r="D592" t="s">
        <v>232</v>
      </c>
      <c r="E592" t="s">
        <v>80</v>
      </c>
      <c r="F592">
        <v>1</v>
      </c>
      <c r="G592" s="89">
        <v>44286</v>
      </c>
      <c r="H592">
        <v>44291</v>
      </c>
      <c r="I592">
        <v>44291</v>
      </c>
      <c r="K592" t="s">
        <v>23</v>
      </c>
      <c r="L592" t="s">
        <v>58</v>
      </c>
      <c r="M592" t="s">
        <v>80</v>
      </c>
      <c r="O592" t="s">
        <v>26</v>
      </c>
      <c r="P592" t="s">
        <v>27</v>
      </c>
      <c r="Q592" t="s">
        <v>29</v>
      </c>
      <c r="R592" t="s">
        <v>281</v>
      </c>
    </row>
    <row r="593" spans="1:18" x14ac:dyDescent="0.25">
      <c r="A593" t="s">
        <v>71</v>
      </c>
      <c r="B593">
        <v>231245</v>
      </c>
      <c r="C593" t="s">
        <v>31</v>
      </c>
      <c r="D593" t="s">
        <v>233</v>
      </c>
      <c r="E593" t="s">
        <v>45</v>
      </c>
      <c r="F593">
        <v>1</v>
      </c>
      <c r="G593" s="89">
        <v>44286</v>
      </c>
      <c r="H593">
        <v>44293</v>
      </c>
      <c r="I593">
        <v>44293</v>
      </c>
      <c r="K593" t="s">
        <v>23</v>
      </c>
      <c r="L593" t="s">
        <v>34</v>
      </c>
      <c r="M593" t="s">
        <v>25</v>
      </c>
      <c r="N593">
        <v>1</v>
      </c>
      <c r="O593" t="s">
        <v>26</v>
      </c>
      <c r="P593" t="s">
        <v>27</v>
      </c>
      <c r="Q593" t="s">
        <v>29</v>
      </c>
      <c r="R593" t="s">
        <v>54</v>
      </c>
    </row>
    <row r="594" spans="1:18" x14ac:dyDescent="0.25">
      <c r="A594" t="s">
        <v>71</v>
      </c>
      <c r="B594">
        <v>231245</v>
      </c>
      <c r="C594" t="s">
        <v>31</v>
      </c>
      <c r="D594" t="s">
        <v>233</v>
      </c>
      <c r="E594" t="s">
        <v>94</v>
      </c>
      <c r="F594">
        <v>1</v>
      </c>
      <c r="G594" s="89">
        <v>44286</v>
      </c>
      <c r="H594">
        <v>44293</v>
      </c>
      <c r="I594">
        <v>44293</v>
      </c>
      <c r="K594" t="s">
        <v>23</v>
      </c>
      <c r="L594" t="s">
        <v>34</v>
      </c>
      <c r="M594" t="s">
        <v>25</v>
      </c>
      <c r="N594">
        <v>1</v>
      </c>
      <c r="O594" t="s">
        <v>26</v>
      </c>
      <c r="P594" t="s">
        <v>27</v>
      </c>
      <c r="Q594" t="s">
        <v>29</v>
      </c>
      <c r="R594" t="s">
        <v>54</v>
      </c>
    </row>
    <row r="595" spans="1:18" x14ac:dyDescent="0.25">
      <c r="A595" t="s">
        <v>71</v>
      </c>
      <c r="B595">
        <v>231245</v>
      </c>
      <c r="C595" t="s">
        <v>31</v>
      </c>
      <c r="D595" t="s">
        <v>233</v>
      </c>
      <c r="E595" t="s">
        <v>90</v>
      </c>
      <c r="F595">
        <v>4</v>
      </c>
      <c r="G595" s="89">
        <v>44286</v>
      </c>
      <c r="H595">
        <v>44293</v>
      </c>
      <c r="I595">
        <v>44293</v>
      </c>
      <c r="K595" t="s">
        <v>23</v>
      </c>
      <c r="L595" t="s">
        <v>34</v>
      </c>
      <c r="M595" t="s">
        <v>25</v>
      </c>
      <c r="N595">
        <v>1</v>
      </c>
      <c r="O595" t="s">
        <v>26</v>
      </c>
      <c r="P595" t="s">
        <v>27</v>
      </c>
      <c r="Q595" t="s">
        <v>29</v>
      </c>
      <c r="R595" t="s">
        <v>54</v>
      </c>
    </row>
    <row r="596" spans="1:18" x14ac:dyDescent="0.25">
      <c r="A596" t="s">
        <v>71</v>
      </c>
      <c r="B596">
        <v>231245</v>
      </c>
      <c r="C596" t="s">
        <v>31</v>
      </c>
      <c r="D596" t="s">
        <v>233</v>
      </c>
      <c r="E596" t="s">
        <v>33</v>
      </c>
      <c r="F596">
        <v>1</v>
      </c>
      <c r="G596" s="89">
        <v>44286</v>
      </c>
      <c r="H596">
        <v>44293</v>
      </c>
      <c r="I596">
        <v>44293</v>
      </c>
      <c r="K596" t="s">
        <v>23</v>
      </c>
      <c r="L596" t="s">
        <v>34</v>
      </c>
      <c r="M596" t="s">
        <v>25</v>
      </c>
      <c r="O596" t="s">
        <v>26</v>
      </c>
      <c r="P596" t="s">
        <v>27</v>
      </c>
      <c r="Q596" t="s">
        <v>29</v>
      </c>
      <c r="R596" t="s">
        <v>54</v>
      </c>
    </row>
    <row r="597" spans="1:18" x14ac:dyDescent="0.25">
      <c r="A597" t="s">
        <v>71</v>
      </c>
      <c r="B597">
        <v>231245</v>
      </c>
      <c r="C597" t="s">
        <v>31</v>
      </c>
      <c r="D597" t="s">
        <v>233</v>
      </c>
      <c r="E597" t="s">
        <v>35</v>
      </c>
      <c r="F597">
        <v>1</v>
      </c>
      <c r="G597" s="89">
        <v>44286</v>
      </c>
      <c r="H597">
        <v>44293</v>
      </c>
      <c r="I597">
        <v>44293</v>
      </c>
      <c r="K597" t="s">
        <v>23</v>
      </c>
      <c r="L597" t="s">
        <v>34</v>
      </c>
      <c r="M597" t="s">
        <v>25</v>
      </c>
      <c r="O597" t="s">
        <v>26</v>
      </c>
      <c r="P597" t="s">
        <v>27</v>
      </c>
      <c r="Q597" t="s">
        <v>29</v>
      </c>
      <c r="R597" t="s">
        <v>54</v>
      </c>
    </row>
    <row r="598" spans="1:18" x14ac:dyDescent="0.25">
      <c r="A598" t="s">
        <v>71</v>
      </c>
      <c r="B598">
        <v>231245</v>
      </c>
      <c r="C598" t="s">
        <v>31</v>
      </c>
      <c r="D598" t="s">
        <v>233</v>
      </c>
      <c r="E598" t="s">
        <v>44</v>
      </c>
      <c r="F598">
        <v>2</v>
      </c>
      <c r="G598" s="89">
        <v>44286</v>
      </c>
      <c r="H598">
        <v>44293</v>
      </c>
      <c r="I598">
        <v>44293</v>
      </c>
      <c r="K598" t="s">
        <v>23</v>
      </c>
      <c r="L598" t="s">
        <v>34</v>
      </c>
      <c r="M598" t="s">
        <v>25</v>
      </c>
      <c r="N598">
        <v>5</v>
      </c>
      <c r="O598" t="s">
        <v>26</v>
      </c>
      <c r="P598" t="s">
        <v>27</v>
      </c>
      <c r="Q598" t="s">
        <v>29</v>
      </c>
      <c r="R598" t="s">
        <v>54</v>
      </c>
    </row>
    <row r="599" spans="1:18" x14ac:dyDescent="0.25">
      <c r="A599" t="s">
        <v>113</v>
      </c>
      <c r="B599">
        <v>231260</v>
      </c>
      <c r="C599" t="s">
        <v>20</v>
      </c>
      <c r="D599" t="s">
        <v>282</v>
      </c>
      <c r="E599" t="s">
        <v>73</v>
      </c>
      <c r="F599">
        <v>1</v>
      </c>
      <c r="G599" s="89">
        <v>44286</v>
      </c>
      <c r="H599">
        <v>44292</v>
      </c>
      <c r="I599">
        <v>44292</v>
      </c>
      <c r="K599" t="s">
        <v>23</v>
      </c>
      <c r="L599" t="s">
        <v>58</v>
      </c>
      <c r="M599" t="s">
        <v>25</v>
      </c>
      <c r="O599" t="s">
        <v>26</v>
      </c>
      <c r="Q599" t="s">
        <v>29</v>
      </c>
      <c r="R599" t="s">
        <v>28</v>
      </c>
    </row>
    <row r="600" spans="1:18" x14ac:dyDescent="0.25">
      <c r="A600" t="s">
        <v>68</v>
      </c>
      <c r="B600">
        <v>231492</v>
      </c>
      <c r="C600" t="s">
        <v>31</v>
      </c>
      <c r="D600" t="s">
        <v>234</v>
      </c>
      <c r="E600" t="s">
        <v>33</v>
      </c>
      <c r="F600">
        <v>1</v>
      </c>
      <c r="G600" s="89">
        <v>44287</v>
      </c>
      <c r="H600">
        <v>44293</v>
      </c>
      <c r="I600">
        <v>44293</v>
      </c>
      <c r="K600" t="s">
        <v>23</v>
      </c>
      <c r="L600" t="s">
        <v>34</v>
      </c>
      <c r="M600" t="s">
        <v>25</v>
      </c>
      <c r="O600" t="s">
        <v>26</v>
      </c>
      <c r="P600" t="s">
        <v>27</v>
      </c>
      <c r="Q600" t="s">
        <v>29</v>
      </c>
      <c r="R600" t="s">
        <v>54</v>
      </c>
    </row>
    <row r="601" spans="1:18" x14ac:dyDescent="0.25">
      <c r="A601" t="s">
        <v>68</v>
      </c>
      <c r="B601">
        <v>231492</v>
      </c>
      <c r="C601" t="s">
        <v>31</v>
      </c>
      <c r="D601" t="s">
        <v>234</v>
      </c>
      <c r="E601" t="s">
        <v>36</v>
      </c>
      <c r="F601">
        <v>4</v>
      </c>
      <c r="G601" s="89">
        <v>44287</v>
      </c>
      <c r="H601">
        <v>44293</v>
      </c>
      <c r="I601">
        <v>44293</v>
      </c>
      <c r="K601" t="s">
        <v>23</v>
      </c>
      <c r="L601" t="s">
        <v>34</v>
      </c>
      <c r="M601" t="s">
        <v>25</v>
      </c>
      <c r="O601" t="s">
        <v>26</v>
      </c>
      <c r="P601" t="s">
        <v>27</v>
      </c>
      <c r="Q601" t="s">
        <v>29</v>
      </c>
      <c r="R601" t="s">
        <v>54</v>
      </c>
    </row>
    <row r="602" spans="1:18" x14ac:dyDescent="0.25">
      <c r="A602" t="s">
        <v>68</v>
      </c>
      <c r="B602">
        <v>231492</v>
      </c>
      <c r="C602" t="s">
        <v>31</v>
      </c>
      <c r="D602" t="s">
        <v>234</v>
      </c>
      <c r="E602" t="s">
        <v>49</v>
      </c>
      <c r="F602">
        <v>1</v>
      </c>
      <c r="G602" s="89">
        <v>44287</v>
      </c>
      <c r="H602">
        <v>44293</v>
      </c>
      <c r="I602">
        <v>44293</v>
      </c>
      <c r="K602" t="s">
        <v>23</v>
      </c>
      <c r="L602" t="s">
        <v>34</v>
      </c>
      <c r="M602" t="s">
        <v>25</v>
      </c>
      <c r="O602" t="s">
        <v>26</v>
      </c>
      <c r="P602" t="s">
        <v>27</v>
      </c>
      <c r="Q602" t="s">
        <v>29</v>
      </c>
      <c r="R602" t="s">
        <v>54</v>
      </c>
    </row>
    <row r="603" spans="1:18" x14ac:dyDescent="0.25">
      <c r="A603" t="s">
        <v>68</v>
      </c>
      <c r="B603">
        <v>231492</v>
      </c>
      <c r="C603" t="s">
        <v>31</v>
      </c>
      <c r="D603" t="s">
        <v>234</v>
      </c>
      <c r="E603" t="s">
        <v>35</v>
      </c>
      <c r="F603">
        <v>1</v>
      </c>
      <c r="G603" s="89">
        <v>44287</v>
      </c>
      <c r="H603">
        <v>44293</v>
      </c>
      <c r="I603">
        <v>44293</v>
      </c>
      <c r="K603" t="s">
        <v>23</v>
      </c>
      <c r="L603" t="s">
        <v>34</v>
      </c>
      <c r="M603" t="s">
        <v>25</v>
      </c>
      <c r="O603" t="s">
        <v>26</v>
      </c>
      <c r="P603" t="s">
        <v>27</v>
      </c>
      <c r="Q603" t="s">
        <v>29</v>
      </c>
      <c r="R603" t="s">
        <v>54</v>
      </c>
    </row>
    <row r="604" spans="1:18" x14ac:dyDescent="0.25">
      <c r="A604" t="s">
        <v>68</v>
      </c>
      <c r="B604">
        <v>231492</v>
      </c>
      <c r="C604" t="s">
        <v>31</v>
      </c>
      <c r="D604" t="s">
        <v>234</v>
      </c>
      <c r="E604" t="s">
        <v>44</v>
      </c>
      <c r="F604">
        <v>1</v>
      </c>
      <c r="G604" s="89">
        <v>44287</v>
      </c>
      <c r="H604">
        <v>44293</v>
      </c>
      <c r="I604">
        <v>44293</v>
      </c>
      <c r="K604" t="s">
        <v>23</v>
      </c>
      <c r="L604" t="s">
        <v>34</v>
      </c>
      <c r="M604" t="s">
        <v>25</v>
      </c>
      <c r="O604" t="s">
        <v>26</v>
      </c>
      <c r="P604" t="s">
        <v>27</v>
      </c>
      <c r="Q604" t="s">
        <v>29</v>
      </c>
      <c r="R604" t="s">
        <v>54</v>
      </c>
    </row>
    <row r="605" spans="1:18" x14ac:dyDescent="0.25">
      <c r="A605" t="s">
        <v>145</v>
      </c>
      <c r="B605">
        <v>230590</v>
      </c>
      <c r="C605" t="s">
        <v>20</v>
      </c>
      <c r="D605" t="s">
        <v>283</v>
      </c>
      <c r="E605" t="s">
        <v>73</v>
      </c>
      <c r="F605">
        <v>1</v>
      </c>
      <c r="G605" s="89">
        <v>44284</v>
      </c>
      <c r="H605">
        <v>44293</v>
      </c>
      <c r="I605">
        <v>44293</v>
      </c>
      <c r="K605" t="s">
        <v>23</v>
      </c>
      <c r="L605" t="s">
        <v>42</v>
      </c>
      <c r="M605" t="s">
        <v>25</v>
      </c>
      <c r="O605" t="s">
        <v>27</v>
      </c>
      <c r="Q605" t="s">
        <v>29</v>
      </c>
      <c r="R605" t="s">
        <v>54</v>
      </c>
    </row>
    <row r="606" spans="1:18" x14ac:dyDescent="0.25">
      <c r="A606" t="s">
        <v>40</v>
      </c>
      <c r="B606" t="s">
        <v>96</v>
      </c>
      <c r="C606" t="s">
        <v>31</v>
      </c>
      <c r="D606" t="s">
        <v>285</v>
      </c>
      <c r="E606" t="s">
        <v>286</v>
      </c>
      <c r="F606">
        <v>1</v>
      </c>
      <c r="G606" s="89">
        <v>44293</v>
      </c>
      <c r="H606">
        <v>44294</v>
      </c>
      <c r="I606">
        <v>44294</v>
      </c>
      <c r="K606" t="s">
        <v>23</v>
      </c>
      <c r="L606" t="s">
        <v>34</v>
      </c>
      <c r="M606" t="s">
        <v>25</v>
      </c>
      <c r="O606" t="s">
        <v>26</v>
      </c>
      <c r="P606" t="s">
        <v>27</v>
      </c>
      <c r="Q606" t="s">
        <v>54</v>
      </c>
      <c r="R606" t="s">
        <v>54</v>
      </c>
    </row>
    <row r="607" spans="1:18" x14ac:dyDescent="0.25">
      <c r="A607" t="s">
        <v>40</v>
      </c>
      <c r="B607" t="s">
        <v>96</v>
      </c>
      <c r="C607" t="s">
        <v>31</v>
      </c>
      <c r="D607" t="s">
        <v>285</v>
      </c>
      <c r="E607" t="s">
        <v>45</v>
      </c>
      <c r="F607">
        <v>1</v>
      </c>
      <c r="G607" s="89">
        <v>44293</v>
      </c>
      <c r="H607">
        <v>44294</v>
      </c>
      <c r="I607">
        <v>44294</v>
      </c>
      <c r="K607" t="s">
        <v>23</v>
      </c>
      <c r="L607" t="s">
        <v>34</v>
      </c>
      <c r="M607" t="s">
        <v>25</v>
      </c>
      <c r="O607" t="s">
        <v>26</v>
      </c>
      <c r="P607" t="s">
        <v>27</v>
      </c>
      <c r="Q607" t="s">
        <v>54</v>
      </c>
      <c r="R607" t="s">
        <v>54</v>
      </c>
    </row>
    <row r="608" spans="1:18" x14ac:dyDescent="0.25">
      <c r="A608" t="s">
        <v>40</v>
      </c>
      <c r="B608" t="s">
        <v>96</v>
      </c>
      <c r="C608" t="s">
        <v>31</v>
      </c>
      <c r="D608" t="s">
        <v>285</v>
      </c>
      <c r="E608" t="s">
        <v>287</v>
      </c>
      <c r="F608">
        <v>1</v>
      </c>
      <c r="G608" s="89">
        <v>44293</v>
      </c>
      <c r="H608">
        <v>44294</v>
      </c>
      <c r="I608">
        <v>44294</v>
      </c>
      <c r="K608" t="s">
        <v>23</v>
      </c>
      <c r="L608" t="s">
        <v>34</v>
      </c>
      <c r="M608" t="s">
        <v>25</v>
      </c>
      <c r="O608" t="s">
        <v>26</v>
      </c>
      <c r="P608" t="s">
        <v>27</v>
      </c>
      <c r="Q608" t="s">
        <v>54</v>
      </c>
      <c r="R608" t="s">
        <v>54</v>
      </c>
    </row>
    <row r="609" spans="1:18" x14ac:dyDescent="0.25">
      <c r="A609" t="s">
        <v>40</v>
      </c>
      <c r="B609" t="s">
        <v>96</v>
      </c>
      <c r="C609" t="s">
        <v>31</v>
      </c>
      <c r="D609" t="s">
        <v>285</v>
      </c>
      <c r="E609" t="s">
        <v>63</v>
      </c>
      <c r="F609">
        <v>3</v>
      </c>
      <c r="G609" s="89">
        <v>44293</v>
      </c>
      <c r="H609">
        <v>44294</v>
      </c>
      <c r="I609">
        <v>44294</v>
      </c>
      <c r="K609" t="s">
        <v>23</v>
      </c>
      <c r="L609" t="s">
        <v>34</v>
      </c>
      <c r="M609" t="s">
        <v>25</v>
      </c>
      <c r="O609" t="s">
        <v>26</v>
      </c>
      <c r="P609" t="s">
        <v>27</v>
      </c>
      <c r="Q609" t="s">
        <v>54</v>
      </c>
      <c r="R609" t="s">
        <v>54</v>
      </c>
    </row>
    <row r="610" spans="1:18" x14ac:dyDescent="0.25">
      <c r="A610" t="s">
        <v>47</v>
      </c>
      <c r="B610">
        <v>232103</v>
      </c>
      <c r="C610" t="s">
        <v>20</v>
      </c>
      <c r="D610" t="s">
        <v>288</v>
      </c>
      <c r="E610" t="s">
        <v>94</v>
      </c>
      <c r="F610">
        <v>2</v>
      </c>
      <c r="G610" s="89">
        <v>44293</v>
      </c>
      <c r="H610">
        <v>44298</v>
      </c>
      <c r="I610">
        <v>44299</v>
      </c>
      <c r="K610" t="s">
        <v>23</v>
      </c>
      <c r="L610" t="s">
        <v>34</v>
      </c>
      <c r="M610" t="s">
        <v>25</v>
      </c>
      <c r="N610">
        <v>1</v>
      </c>
      <c r="O610" t="s">
        <v>26</v>
      </c>
      <c r="Q610" t="s">
        <v>29</v>
      </c>
      <c r="R610" t="s">
        <v>54</v>
      </c>
    </row>
    <row r="611" spans="1:18" x14ac:dyDescent="0.25">
      <c r="A611" t="s">
        <v>30</v>
      </c>
      <c r="B611">
        <v>232064</v>
      </c>
      <c r="C611" t="s">
        <v>20</v>
      </c>
      <c r="D611" t="s">
        <v>289</v>
      </c>
      <c r="E611" t="s">
        <v>290</v>
      </c>
      <c r="F611">
        <v>1</v>
      </c>
      <c r="G611" s="89">
        <v>44293</v>
      </c>
      <c r="H611">
        <v>44299</v>
      </c>
      <c r="I611">
        <v>44300</v>
      </c>
      <c r="K611" t="s">
        <v>23</v>
      </c>
      <c r="L611" t="s">
        <v>34</v>
      </c>
      <c r="M611" t="s">
        <v>25</v>
      </c>
      <c r="N611">
        <v>1</v>
      </c>
      <c r="O611" t="s">
        <v>26</v>
      </c>
      <c r="Q611" t="s">
        <v>29</v>
      </c>
      <c r="R611" t="s">
        <v>54</v>
      </c>
    </row>
    <row r="612" spans="1:18" x14ac:dyDescent="0.25">
      <c r="A612" t="s">
        <v>178</v>
      </c>
      <c r="B612">
        <v>232076</v>
      </c>
      <c r="C612" t="s">
        <v>31</v>
      </c>
      <c r="D612" t="s">
        <v>291</v>
      </c>
      <c r="E612" t="s">
        <v>33</v>
      </c>
      <c r="F612">
        <v>1</v>
      </c>
      <c r="G612" s="89">
        <v>44293</v>
      </c>
      <c r="H612">
        <v>44300</v>
      </c>
      <c r="I612">
        <v>44300</v>
      </c>
      <c r="K612" t="s">
        <v>23</v>
      </c>
      <c r="L612" t="s">
        <v>34</v>
      </c>
      <c r="M612" t="s">
        <v>25</v>
      </c>
      <c r="O612" t="s">
        <v>26</v>
      </c>
      <c r="P612" t="s">
        <v>26</v>
      </c>
      <c r="Q612" t="s">
        <v>54</v>
      </c>
      <c r="R612" t="s">
        <v>28</v>
      </c>
    </row>
    <row r="613" spans="1:18" x14ac:dyDescent="0.25">
      <c r="A613" t="s">
        <v>178</v>
      </c>
      <c r="B613">
        <v>232076</v>
      </c>
      <c r="C613" t="s">
        <v>31</v>
      </c>
      <c r="D613" t="s">
        <v>291</v>
      </c>
      <c r="E613" t="s">
        <v>90</v>
      </c>
      <c r="F613">
        <v>2</v>
      </c>
      <c r="G613" s="89">
        <v>44293</v>
      </c>
      <c r="H613">
        <v>44300</v>
      </c>
      <c r="I613">
        <v>44300</v>
      </c>
      <c r="K613" t="s">
        <v>23</v>
      </c>
      <c r="L613" t="s">
        <v>34</v>
      </c>
      <c r="M613" t="s">
        <v>25</v>
      </c>
      <c r="O613" t="s">
        <v>26</v>
      </c>
      <c r="P613" t="s">
        <v>26</v>
      </c>
      <c r="Q613" t="s">
        <v>54</v>
      </c>
      <c r="R613" t="s">
        <v>28</v>
      </c>
    </row>
    <row r="614" spans="1:18" x14ac:dyDescent="0.25">
      <c r="A614" t="s">
        <v>178</v>
      </c>
      <c r="B614">
        <v>232076</v>
      </c>
      <c r="C614" t="s">
        <v>31</v>
      </c>
      <c r="D614" t="s">
        <v>291</v>
      </c>
      <c r="E614" t="s">
        <v>36</v>
      </c>
      <c r="F614">
        <v>5</v>
      </c>
      <c r="G614" s="89">
        <v>44293</v>
      </c>
      <c r="H614">
        <v>44300</v>
      </c>
      <c r="I614">
        <v>44300</v>
      </c>
      <c r="K614" t="s">
        <v>23</v>
      </c>
      <c r="L614" t="s">
        <v>34</v>
      </c>
      <c r="M614" t="s">
        <v>25</v>
      </c>
      <c r="N614">
        <v>1</v>
      </c>
      <c r="O614" t="s">
        <v>26</v>
      </c>
      <c r="P614" t="s">
        <v>26</v>
      </c>
      <c r="Q614" t="s">
        <v>54</v>
      </c>
      <c r="R614" t="s">
        <v>28</v>
      </c>
    </row>
    <row r="615" spans="1:18" x14ac:dyDescent="0.25">
      <c r="A615" t="s">
        <v>178</v>
      </c>
      <c r="B615">
        <v>232076</v>
      </c>
      <c r="C615" t="s">
        <v>31</v>
      </c>
      <c r="D615" t="s">
        <v>291</v>
      </c>
      <c r="E615" t="s">
        <v>44</v>
      </c>
      <c r="F615">
        <v>2</v>
      </c>
      <c r="G615" s="89">
        <v>44293</v>
      </c>
      <c r="H615">
        <v>44300</v>
      </c>
      <c r="I615">
        <v>44300</v>
      </c>
      <c r="K615" t="s">
        <v>23</v>
      </c>
      <c r="L615" t="s">
        <v>34</v>
      </c>
      <c r="M615" t="s">
        <v>25</v>
      </c>
      <c r="N615">
        <v>1</v>
      </c>
      <c r="O615" t="s">
        <v>26</v>
      </c>
      <c r="P615" t="s">
        <v>26</v>
      </c>
      <c r="Q615" t="s">
        <v>54</v>
      </c>
      <c r="R615" t="s">
        <v>28</v>
      </c>
    </row>
    <row r="616" spans="1:18" x14ac:dyDescent="0.25">
      <c r="A616" t="s">
        <v>178</v>
      </c>
      <c r="B616">
        <v>232076</v>
      </c>
      <c r="C616" t="s">
        <v>31</v>
      </c>
      <c r="D616" t="s">
        <v>291</v>
      </c>
      <c r="E616" t="s">
        <v>39</v>
      </c>
      <c r="F616">
        <v>5</v>
      </c>
      <c r="G616" s="89">
        <v>44293</v>
      </c>
      <c r="H616">
        <v>44300</v>
      </c>
      <c r="I616">
        <v>44300</v>
      </c>
      <c r="K616" t="s">
        <v>23</v>
      </c>
      <c r="L616" t="s">
        <v>34</v>
      </c>
      <c r="M616" t="s">
        <v>25</v>
      </c>
      <c r="O616" t="s">
        <v>26</v>
      </c>
      <c r="P616" t="s">
        <v>26</v>
      </c>
      <c r="Q616" t="s">
        <v>54</v>
      </c>
      <c r="R616" t="s">
        <v>28</v>
      </c>
    </row>
    <row r="617" spans="1:18" x14ac:dyDescent="0.25">
      <c r="A617" t="s">
        <v>178</v>
      </c>
      <c r="B617">
        <v>232076</v>
      </c>
      <c r="C617" t="s">
        <v>31</v>
      </c>
      <c r="D617" t="s">
        <v>291</v>
      </c>
      <c r="E617" t="s">
        <v>292</v>
      </c>
      <c r="F617">
        <v>5</v>
      </c>
      <c r="G617" s="89">
        <v>44293</v>
      </c>
      <c r="H617">
        <v>44300</v>
      </c>
      <c r="I617">
        <v>44300</v>
      </c>
      <c r="J617" t="s">
        <v>293</v>
      </c>
      <c r="K617" t="s">
        <v>23</v>
      </c>
      <c r="L617" t="s">
        <v>34</v>
      </c>
      <c r="M617" t="s">
        <v>25</v>
      </c>
      <c r="O617" t="s">
        <v>26</v>
      </c>
      <c r="P617" t="s">
        <v>26</v>
      </c>
      <c r="Q617" t="s">
        <v>54</v>
      </c>
      <c r="R617" t="s">
        <v>28</v>
      </c>
    </row>
    <row r="618" spans="1:18" x14ac:dyDescent="0.25">
      <c r="A618" t="s">
        <v>19</v>
      </c>
      <c r="B618">
        <v>208701</v>
      </c>
      <c r="C618" t="s">
        <v>20</v>
      </c>
      <c r="D618" t="s">
        <v>100</v>
      </c>
      <c r="E618" t="s">
        <v>33</v>
      </c>
      <c r="F618">
        <v>10</v>
      </c>
      <c r="G618" s="89">
        <v>44180</v>
      </c>
      <c r="H618">
        <v>44194</v>
      </c>
      <c r="I618">
        <v>44183</v>
      </c>
      <c r="K618" t="s">
        <v>23</v>
      </c>
      <c r="L618" t="s">
        <v>24</v>
      </c>
      <c r="M618" t="s">
        <v>25</v>
      </c>
      <c r="N618">
        <v>0</v>
      </c>
      <c r="O618" t="s">
        <v>26</v>
      </c>
      <c r="Q618" t="s">
        <v>29</v>
      </c>
      <c r="R618" t="s">
        <v>74</v>
      </c>
    </row>
    <row r="619" spans="1:18" x14ac:dyDescent="0.25">
      <c r="A619" t="s">
        <v>19</v>
      </c>
      <c r="B619">
        <v>208701</v>
      </c>
      <c r="C619" t="s">
        <v>20</v>
      </c>
      <c r="D619" t="s">
        <v>100</v>
      </c>
      <c r="E619" t="s">
        <v>294</v>
      </c>
      <c r="F619">
        <v>1</v>
      </c>
      <c r="G619" s="89">
        <v>44180</v>
      </c>
      <c r="H619">
        <v>44194</v>
      </c>
      <c r="I619">
        <v>44183</v>
      </c>
      <c r="K619" t="s">
        <v>23</v>
      </c>
      <c r="L619" t="s">
        <v>24</v>
      </c>
      <c r="M619" t="s">
        <v>25</v>
      </c>
      <c r="N619">
        <v>0</v>
      </c>
      <c r="O619" t="s">
        <v>26</v>
      </c>
      <c r="Q619" t="s">
        <v>29</v>
      </c>
      <c r="R619" t="s">
        <v>74</v>
      </c>
    </row>
    <row r="620" spans="1:18" x14ac:dyDescent="0.25">
      <c r="A620" t="s">
        <v>19</v>
      </c>
      <c r="B620">
        <v>208701</v>
      </c>
      <c r="C620" t="s">
        <v>20</v>
      </c>
      <c r="D620" t="s">
        <v>100</v>
      </c>
      <c r="E620" t="s">
        <v>109</v>
      </c>
      <c r="F620">
        <v>1</v>
      </c>
      <c r="G620" s="89">
        <v>44180</v>
      </c>
      <c r="H620">
        <v>44194</v>
      </c>
      <c r="I620">
        <v>44183</v>
      </c>
      <c r="K620" t="s">
        <v>23</v>
      </c>
      <c r="L620" t="s">
        <v>24</v>
      </c>
      <c r="M620" t="s">
        <v>25</v>
      </c>
      <c r="N620">
        <v>0</v>
      </c>
      <c r="O620" t="s">
        <v>26</v>
      </c>
      <c r="Q620" t="s">
        <v>29</v>
      </c>
      <c r="R620" t="s">
        <v>74</v>
      </c>
    </row>
    <row r="621" spans="1:18" x14ac:dyDescent="0.25">
      <c r="A621" t="s">
        <v>19</v>
      </c>
      <c r="B621">
        <v>208701</v>
      </c>
      <c r="C621" t="s">
        <v>20</v>
      </c>
      <c r="D621" t="s">
        <v>100</v>
      </c>
      <c r="E621" t="s">
        <v>35</v>
      </c>
      <c r="F621">
        <v>1</v>
      </c>
      <c r="G621" s="89">
        <v>44180</v>
      </c>
      <c r="H621">
        <v>44194</v>
      </c>
      <c r="I621">
        <v>44183</v>
      </c>
      <c r="K621" t="s">
        <v>23</v>
      </c>
      <c r="L621" t="s">
        <v>24</v>
      </c>
      <c r="M621" t="s">
        <v>25</v>
      </c>
      <c r="N621">
        <v>0</v>
      </c>
      <c r="O621" t="s">
        <v>26</v>
      </c>
      <c r="Q621" t="s">
        <v>29</v>
      </c>
      <c r="R621" t="s">
        <v>74</v>
      </c>
    </row>
    <row r="622" spans="1:18" x14ac:dyDescent="0.25">
      <c r="A622" t="s">
        <v>19</v>
      </c>
      <c r="B622">
        <v>208701</v>
      </c>
      <c r="C622" t="s">
        <v>20</v>
      </c>
      <c r="D622" t="s">
        <v>100</v>
      </c>
      <c r="E622" t="s">
        <v>45</v>
      </c>
      <c r="F622">
        <v>1</v>
      </c>
      <c r="G622" s="89">
        <v>44180</v>
      </c>
      <c r="H622">
        <v>44194</v>
      </c>
      <c r="I622">
        <v>44183</v>
      </c>
      <c r="K622" t="s">
        <v>23</v>
      </c>
      <c r="L622" t="s">
        <v>24</v>
      </c>
      <c r="M622" t="s">
        <v>25</v>
      </c>
      <c r="N622">
        <v>0</v>
      </c>
      <c r="O622" t="s">
        <v>26</v>
      </c>
      <c r="Q622" t="s">
        <v>29</v>
      </c>
      <c r="R622" t="s">
        <v>74</v>
      </c>
    </row>
    <row r="623" spans="1:18" x14ac:dyDescent="0.25">
      <c r="A623" t="s">
        <v>19</v>
      </c>
      <c r="B623">
        <v>208701</v>
      </c>
      <c r="C623" t="s">
        <v>20</v>
      </c>
      <c r="D623" t="s">
        <v>100</v>
      </c>
      <c r="E623" t="s">
        <v>44</v>
      </c>
      <c r="F623">
        <v>2</v>
      </c>
      <c r="G623" s="89">
        <v>44180</v>
      </c>
      <c r="H623">
        <v>44194</v>
      </c>
      <c r="I623">
        <v>44183</v>
      </c>
      <c r="K623" t="s">
        <v>23</v>
      </c>
      <c r="L623" t="s">
        <v>24</v>
      </c>
      <c r="M623" t="s">
        <v>25</v>
      </c>
      <c r="N623">
        <v>1</v>
      </c>
      <c r="O623" t="s">
        <v>26</v>
      </c>
      <c r="Q623" t="s">
        <v>29</v>
      </c>
      <c r="R623" t="s">
        <v>74</v>
      </c>
    </row>
    <row r="624" spans="1:18" x14ac:dyDescent="0.25">
      <c r="A624" t="s">
        <v>37</v>
      </c>
      <c r="B624">
        <v>231938</v>
      </c>
      <c r="C624" t="s">
        <v>20</v>
      </c>
      <c r="D624" t="s">
        <v>295</v>
      </c>
      <c r="E624" t="s">
        <v>44</v>
      </c>
      <c r="F624">
        <v>1</v>
      </c>
      <c r="G624" s="89">
        <v>44292</v>
      </c>
      <c r="H624">
        <v>44301</v>
      </c>
      <c r="I624">
        <v>44301</v>
      </c>
      <c r="K624" t="s">
        <v>23</v>
      </c>
      <c r="L624" t="s">
        <v>42</v>
      </c>
      <c r="M624" t="s">
        <v>25</v>
      </c>
      <c r="O624" t="s">
        <v>27</v>
      </c>
      <c r="Q624" t="s">
        <v>29</v>
      </c>
      <c r="R624" t="s">
        <v>54</v>
      </c>
    </row>
    <row r="625" spans="1:18" x14ac:dyDescent="0.25">
      <c r="A625" t="s">
        <v>37</v>
      </c>
      <c r="B625">
        <v>231943</v>
      </c>
      <c r="C625" t="s">
        <v>20</v>
      </c>
      <c r="D625" t="s">
        <v>296</v>
      </c>
      <c r="E625" t="s">
        <v>297</v>
      </c>
      <c r="F625">
        <v>1</v>
      </c>
      <c r="G625" s="89">
        <v>44292</v>
      </c>
      <c r="H625">
        <v>44305</v>
      </c>
      <c r="I625">
        <v>44314</v>
      </c>
      <c r="K625" t="s">
        <v>23</v>
      </c>
      <c r="L625" t="s">
        <v>42</v>
      </c>
      <c r="M625" t="s">
        <v>25</v>
      </c>
      <c r="N625">
        <v>2</v>
      </c>
      <c r="O625" t="s">
        <v>27</v>
      </c>
      <c r="Q625" t="s">
        <v>29</v>
      </c>
    </row>
    <row r="626" spans="1:18" x14ac:dyDescent="0.25">
      <c r="A626" t="s">
        <v>113</v>
      </c>
      <c r="B626" t="s">
        <v>96</v>
      </c>
      <c r="C626" t="s">
        <v>31</v>
      </c>
      <c r="D626" t="s">
        <v>298</v>
      </c>
      <c r="E626" t="s">
        <v>43</v>
      </c>
      <c r="F626">
        <v>3</v>
      </c>
      <c r="G626" s="89">
        <v>44290</v>
      </c>
      <c r="H626">
        <v>44295</v>
      </c>
      <c r="I626">
        <v>44295</v>
      </c>
      <c r="K626" t="s">
        <v>23</v>
      </c>
      <c r="L626" t="s">
        <v>24</v>
      </c>
      <c r="M626" t="s">
        <v>25</v>
      </c>
      <c r="O626" t="s">
        <v>26</v>
      </c>
      <c r="P626" t="s">
        <v>27</v>
      </c>
      <c r="Q626" t="s">
        <v>54</v>
      </c>
      <c r="R626" t="s">
        <v>54</v>
      </c>
    </row>
    <row r="627" spans="1:18" x14ac:dyDescent="0.25">
      <c r="A627" t="s">
        <v>40</v>
      </c>
      <c r="B627" t="s">
        <v>96</v>
      </c>
      <c r="C627" t="s">
        <v>31</v>
      </c>
      <c r="D627" t="s">
        <v>299</v>
      </c>
      <c r="E627" t="s">
        <v>63</v>
      </c>
      <c r="F627">
        <v>2</v>
      </c>
      <c r="G627" s="89">
        <v>44291</v>
      </c>
      <c r="H627">
        <v>44292</v>
      </c>
      <c r="I627">
        <v>44292</v>
      </c>
      <c r="K627" t="s">
        <v>23</v>
      </c>
      <c r="L627" t="s">
        <v>42</v>
      </c>
      <c r="M627" t="s">
        <v>25</v>
      </c>
      <c r="N627">
        <v>8</v>
      </c>
      <c r="O627" t="s">
        <v>26</v>
      </c>
      <c r="P627" t="s">
        <v>27</v>
      </c>
      <c r="Q627" t="s">
        <v>54</v>
      </c>
      <c r="R627" t="s">
        <v>54</v>
      </c>
    </row>
    <row r="628" spans="1:18" x14ac:dyDescent="0.25">
      <c r="A628" t="s">
        <v>19</v>
      </c>
      <c r="B628">
        <v>232692</v>
      </c>
      <c r="C628" t="s">
        <v>31</v>
      </c>
      <c r="D628" t="s">
        <v>303</v>
      </c>
      <c r="E628" t="s">
        <v>80</v>
      </c>
      <c r="F628">
        <v>1</v>
      </c>
      <c r="G628" s="89">
        <v>44299</v>
      </c>
      <c r="H628">
        <v>44307</v>
      </c>
      <c r="I628">
        <v>44315</v>
      </c>
      <c r="K628" t="s">
        <v>23</v>
      </c>
      <c r="L628" t="s">
        <v>42</v>
      </c>
      <c r="M628" t="s">
        <v>80</v>
      </c>
      <c r="O628" t="s">
        <v>27</v>
      </c>
      <c r="P628" t="s">
        <v>27</v>
      </c>
      <c r="Q628" t="s">
        <v>29</v>
      </c>
      <c r="R628" t="s">
        <v>54</v>
      </c>
    </row>
    <row r="629" spans="1:18" x14ac:dyDescent="0.25">
      <c r="A629" t="s">
        <v>40</v>
      </c>
      <c r="B629" t="s">
        <v>304</v>
      </c>
      <c r="C629" t="s">
        <v>31</v>
      </c>
      <c r="D629" t="s">
        <v>305</v>
      </c>
      <c r="E629" t="s">
        <v>35</v>
      </c>
      <c r="F629">
        <v>1</v>
      </c>
      <c r="G629" s="89">
        <v>44301</v>
      </c>
      <c r="H629">
        <v>44313</v>
      </c>
      <c r="I629">
        <v>44313</v>
      </c>
      <c r="K629" t="s">
        <v>23</v>
      </c>
      <c r="L629" t="s">
        <v>42</v>
      </c>
      <c r="M629" t="s">
        <v>25</v>
      </c>
      <c r="O629" t="s">
        <v>27</v>
      </c>
      <c r="P629" t="s">
        <v>27</v>
      </c>
      <c r="Q629" t="s">
        <v>29</v>
      </c>
      <c r="R629" t="s">
        <v>54</v>
      </c>
    </row>
    <row r="630" spans="1:18" x14ac:dyDescent="0.25">
      <c r="A630" t="s">
        <v>40</v>
      </c>
      <c r="B630" t="s">
        <v>96</v>
      </c>
      <c r="C630" t="s">
        <v>31</v>
      </c>
      <c r="D630" t="s">
        <v>306</v>
      </c>
      <c r="E630" t="s">
        <v>63</v>
      </c>
      <c r="F630">
        <v>13</v>
      </c>
      <c r="G630" s="89">
        <v>44302</v>
      </c>
      <c r="H630">
        <v>44306</v>
      </c>
      <c r="I630">
        <v>44306</v>
      </c>
      <c r="K630" t="s">
        <v>23</v>
      </c>
      <c r="L630" t="s">
        <v>42</v>
      </c>
      <c r="M630" t="s">
        <v>25</v>
      </c>
      <c r="N630">
        <v>8</v>
      </c>
      <c r="O630" t="s">
        <v>27</v>
      </c>
      <c r="P630" t="s">
        <v>27</v>
      </c>
      <c r="Q630" t="s">
        <v>54</v>
      </c>
      <c r="R630" t="s">
        <v>54</v>
      </c>
    </row>
    <row r="631" spans="1:18" x14ac:dyDescent="0.25">
      <c r="A631" t="s">
        <v>40</v>
      </c>
      <c r="B631" t="s">
        <v>96</v>
      </c>
      <c r="C631" t="s">
        <v>31</v>
      </c>
      <c r="D631" t="s">
        <v>306</v>
      </c>
      <c r="E631" t="s">
        <v>67</v>
      </c>
      <c r="F631">
        <v>1</v>
      </c>
      <c r="G631" s="89">
        <v>44302</v>
      </c>
      <c r="H631">
        <v>44306</v>
      </c>
      <c r="I631">
        <v>44306</v>
      </c>
      <c r="K631" t="s">
        <v>23</v>
      </c>
      <c r="L631" t="s">
        <v>42</v>
      </c>
      <c r="M631" t="s">
        <v>25</v>
      </c>
      <c r="N631">
        <v>3</v>
      </c>
      <c r="O631" t="s">
        <v>27</v>
      </c>
      <c r="P631" t="s">
        <v>27</v>
      </c>
      <c r="Q631" t="s">
        <v>54</v>
      </c>
      <c r="R631" t="s">
        <v>54</v>
      </c>
    </row>
    <row r="632" spans="1:18" x14ac:dyDescent="0.25">
      <c r="A632" t="s">
        <v>40</v>
      </c>
      <c r="B632" t="s">
        <v>96</v>
      </c>
      <c r="C632" t="s">
        <v>31</v>
      </c>
      <c r="D632" t="s">
        <v>306</v>
      </c>
      <c r="E632" t="s">
        <v>89</v>
      </c>
      <c r="F632">
        <v>2</v>
      </c>
      <c r="G632" s="89">
        <v>44302</v>
      </c>
      <c r="H632">
        <v>44306</v>
      </c>
      <c r="I632">
        <v>44306</v>
      </c>
      <c r="K632" t="s">
        <v>23</v>
      </c>
      <c r="L632" t="s">
        <v>42</v>
      </c>
      <c r="M632" t="s">
        <v>25</v>
      </c>
      <c r="N632">
        <v>1</v>
      </c>
      <c r="O632" t="s">
        <v>27</v>
      </c>
      <c r="P632" t="s">
        <v>27</v>
      </c>
      <c r="Q632" t="s">
        <v>54</v>
      </c>
      <c r="R632" t="s">
        <v>54</v>
      </c>
    </row>
    <row r="633" spans="1:18" x14ac:dyDescent="0.25">
      <c r="A633" t="s">
        <v>68</v>
      </c>
      <c r="B633" t="s">
        <v>309</v>
      </c>
      <c r="C633" t="s">
        <v>31</v>
      </c>
      <c r="D633" t="s">
        <v>310</v>
      </c>
      <c r="E633" t="s">
        <v>49</v>
      </c>
      <c r="F633">
        <v>1</v>
      </c>
      <c r="G633" s="89">
        <v>44302</v>
      </c>
      <c r="H633">
        <v>44313</v>
      </c>
      <c r="I633">
        <v>44313</v>
      </c>
      <c r="K633" t="s">
        <v>23</v>
      </c>
      <c r="L633" t="s">
        <v>42</v>
      </c>
      <c r="O633" t="s">
        <v>27</v>
      </c>
      <c r="P633" t="s">
        <v>27</v>
      </c>
      <c r="Q633" t="s">
        <v>28</v>
      </c>
      <c r="R633" t="s">
        <v>54</v>
      </c>
    </row>
    <row r="634" spans="1:18" x14ac:dyDescent="0.25">
      <c r="A634" t="s">
        <v>68</v>
      </c>
      <c r="B634" t="s">
        <v>309</v>
      </c>
      <c r="C634" t="s">
        <v>31</v>
      </c>
      <c r="D634" t="s">
        <v>310</v>
      </c>
      <c r="E634" t="s">
        <v>33</v>
      </c>
      <c r="F634">
        <v>1</v>
      </c>
      <c r="G634" s="89">
        <v>44302</v>
      </c>
      <c r="H634">
        <v>44313</v>
      </c>
      <c r="I634">
        <v>44313</v>
      </c>
      <c r="K634" t="s">
        <v>23</v>
      </c>
      <c r="L634" t="s">
        <v>42</v>
      </c>
      <c r="O634" t="s">
        <v>27</v>
      </c>
      <c r="P634" t="s">
        <v>27</v>
      </c>
      <c r="Q634" t="s">
        <v>28</v>
      </c>
      <c r="R634" t="s">
        <v>54</v>
      </c>
    </row>
    <row r="635" spans="1:18" x14ac:dyDescent="0.25">
      <c r="A635" t="s">
        <v>68</v>
      </c>
      <c r="B635" t="s">
        <v>309</v>
      </c>
      <c r="C635" t="s">
        <v>31</v>
      </c>
      <c r="D635" t="s">
        <v>310</v>
      </c>
      <c r="E635" t="s">
        <v>36</v>
      </c>
      <c r="F635">
        <v>2</v>
      </c>
      <c r="G635" s="89">
        <v>44302</v>
      </c>
      <c r="H635">
        <v>44313</v>
      </c>
      <c r="I635">
        <v>44313</v>
      </c>
      <c r="K635" t="s">
        <v>23</v>
      </c>
      <c r="L635" t="s">
        <v>42</v>
      </c>
      <c r="O635" t="s">
        <v>27</v>
      </c>
      <c r="P635" t="s">
        <v>27</v>
      </c>
      <c r="Q635" t="s">
        <v>28</v>
      </c>
      <c r="R635" t="s">
        <v>54</v>
      </c>
    </row>
    <row r="636" spans="1:18" x14ac:dyDescent="0.25">
      <c r="A636" t="s">
        <v>68</v>
      </c>
      <c r="B636" t="s">
        <v>309</v>
      </c>
      <c r="C636" t="s">
        <v>31</v>
      </c>
      <c r="D636" t="s">
        <v>310</v>
      </c>
      <c r="E636" t="s">
        <v>44</v>
      </c>
      <c r="F636">
        <v>1</v>
      </c>
      <c r="G636" s="89">
        <v>44302</v>
      </c>
      <c r="H636">
        <v>44313</v>
      </c>
      <c r="I636">
        <v>44313</v>
      </c>
      <c r="K636" t="s">
        <v>23</v>
      </c>
      <c r="L636" t="s">
        <v>42</v>
      </c>
      <c r="O636" t="s">
        <v>27</v>
      </c>
      <c r="P636" t="s">
        <v>27</v>
      </c>
      <c r="Q636" t="s">
        <v>28</v>
      </c>
      <c r="R636" t="s">
        <v>54</v>
      </c>
    </row>
    <row r="637" spans="1:18" x14ac:dyDescent="0.25">
      <c r="A637" t="s">
        <v>68</v>
      </c>
      <c r="B637" t="s">
        <v>309</v>
      </c>
      <c r="C637" t="s">
        <v>31</v>
      </c>
      <c r="D637" t="s">
        <v>310</v>
      </c>
      <c r="E637" t="s">
        <v>35</v>
      </c>
      <c r="F637">
        <v>1</v>
      </c>
      <c r="G637" s="89">
        <v>44302</v>
      </c>
      <c r="H637">
        <v>44313</v>
      </c>
      <c r="I637">
        <v>44313</v>
      </c>
      <c r="K637" t="s">
        <v>23</v>
      </c>
      <c r="L637" t="s">
        <v>42</v>
      </c>
      <c r="O637" t="s">
        <v>27</v>
      </c>
      <c r="P637" t="s">
        <v>27</v>
      </c>
      <c r="Q637" t="s">
        <v>28</v>
      </c>
      <c r="R637" t="s">
        <v>54</v>
      </c>
    </row>
    <row r="638" spans="1:18" x14ac:dyDescent="0.25">
      <c r="A638" t="s">
        <v>19</v>
      </c>
      <c r="B638">
        <v>232692</v>
      </c>
      <c r="C638" t="s">
        <v>31</v>
      </c>
      <c r="D638" t="s">
        <v>303</v>
      </c>
      <c r="E638" t="s">
        <v>80</v>
      </c>
      <c r="F638">
        <v>1</v>
      </c>
      <c r="G638" s="89">
        <v>44299</v>
      </c>
      <c r="H638">
        <v>44313</v>
      </c>
      <c r="I638">
        <v>44313</v>
      </c>
      <c r="J638" t="s">
        <v>311</v>
      </c>
      <c r="K638" t="s">
        <v>23</v>
      </c>
      <c r="L638" t="s">
        <v>42</v>
      </c>
      <c r="M638" t="s">
        <v>25</v>
      </c>
      <c r="O638" t="s">
        <v>27</v>
      </c>
      <c r="P638" t="s">
        <v>27</v>
      </c>
      <c r="Q638" t="s">
        <v>29</v>
      </c>
      <c r="R638" t="s">
        <v>29</v>
      </c>
    </row>
    <row r="639" spans="1:18" x14ac:dyDescent="0.25">
      <c r="A639" t="s">
        <v>47</v>
      </c>
      <c r="B639" t="s">
        <v>312</v>
      </c>
      <c r="C639" t="s">
        <v>31</v>
      </c>
      <c r="D639" t="s">
        <v>313</v>
      </c>
      <c r="E639" t="s">
        <v>35</v>
      </c>
      <c r="F639">
        <v>1</v>
      </c>
      <c r="G639" s="89">
        <v>44300</v>
      </c>
      <c r="H639">
        <v>44312</v>
      </c>
      <c r="I639">
        <v>44312</v>
      </c>
      <c r="K639" t="s">
        <v>23</v>
      </c>
      <c r="L639" t="s">
        <v>24</v>
      </c>
      <c r="M639" t="s">
        <v>25</v>
      </c>
      <c r="O639" t="s">
        <v>26</v>
      </c>
      <c r="P639" t="s">
        <v>27</v>
      </c>
      <c r="Q639" t="s">
        <v>28</v>
      </c>
    </row>
    <row r="640" spans="1:18" x14ac:dyDescent="0.25">
      <c r="A640" t="s">
        <v>47</v>
      </c>
      <c r="B640" t="s">
        <v>312</v>
      </c>
      <c r="C640" t="s">
        <v>31</v>
      </c>
      <c r="D640" t="s">
        <v>313</v>
      </c>
      <c r="E640" t="s">
        <v>314</v>
      </c>
      <c r="F640">
        <v>1</v>
      </c>
      <c r="G640" s="89">
        <v>44300</v>
      </c>
      <c r="H640">
        <v>44312</v>
      </c>
      <c r="I640">
        <v>44312</v>
      </c>
      <c r="K640" t="s">
        <v>23</v>
      </c>
      <c r="L640" t="s">
        <v>24</v>
      </c>
      <c r="M640" t="s">
        <v>25</v>
      </c>
      <c r="O640" t="s">
        <v>26</v>
      </c>
      <c r="P640" t="s">
        <v>27</v>
      </c>
      <c r="Q640" t="s">
        <v>28</v>
      </c>
    </row>
    <row r="641" spans="1:18" x14ac:dyDescent="0.25">
      <c r="A641" t="s">
        <v>68</v>
      </c>
      <c r="B641" t="s">
        <v>315</v>
      </c>
      <c r="C641" t="s">
        <v>20</v>
      </c>
      <c r="D641" t="s">
        <v>316</v>
      </c>
      <c r="E641" t="s">
        <v>73</v>
      </c>
      <c r="F641">
        <v>9</v>
      </c>
      <c r="G641" s="89">
        <v>44302</v>
      </c>
      <c r="H641">
        <v>44312</v>
      </c>
      <c r="I641">
        <v>44313</v>
      </c>
      <c r="K641" t="s">
        <v>23</v>
      </c>
      <c r="L641" t="s">
        <v>58</v>
      </c>
      <c r="M641" t="s">
        <v>25</v>
      </c>
      <c r="O641" t="s">
        <v>26</v>
      </c>
      <c r="Q641" t="s">
        <v>29</v>
      </c>
      <c r="R641" t="s">
        <v>54</v>
      </c>
    </row>
    <row r="642" spans="1:18" x14ac:dyDescent="0.25">
      <c r="A642" t="s">
        <v>95</v>
      </c>
      <c r="B642" t="s">
        <v>96</v>
      </c>
      <c r="C642" t="s">
        <v>31</v>
      </c>
      <c r="D642" t="s">
        <v>317</v>
      </c>
      <c r="E642" t="s">
        <v>35</v>
      </c>
      <c r="F642">
        <v>2</v>
      </c>
      <c r="G642" s="89">
        <v>44312</v>
      </c>
      <c r="H642">
        <v>44312</v>
      </c>
      <c r="I642">
        <v>44312</v>
      </c>
      <c r="K642" t="s">
        <v>23</v>
      </c>
      <c r="L642" t="s">
        <v>24</v>
      </c>
      <c r="M642" t="s">
        <v>25</v>
      </c>
      <c r="N642">
        <v>2</v>
      </c>
      <c r="O642" t="s">
        <v>27</v>
      </c>
      <c r="P642" t="s">
        <v>27</v>
      </c>
      <c r="Q642" t="s">
        <v>54</v>
      </c>
      <c r="R642" t="s">
        <v>54</v>
      </c>
    </row>
    <row r="643" spans="1:18" x14ac:dyDescent="0.25">
      <c r="A643" t="s">
        <v>95</v>
      </c>
      <c r="B643" t="s">
        <v>96</v>
      </c>
      <c r="C643" t="s">
        <v>31</v>
      </c>
      <c r="D643" t="s">
        <v>317</v>
      </c>
      <c r="E643" t="s">
        <v>33</v>
      </c>
      <c r="F643">
        <v>2</v>
      </c>
      <c r="G643" s="89">
        <v>44312</v>
      </c>
      <c r="H643">
        <v>44312</v>
      </c>
      <c r="I643">
        <v>44312</v>
      </c>
      <c r="K643" t="s">
        <v>23</v>
      </c>
      <c r="L643" t="s">
        <v>24</v>
      </c>
      <c r="M643" t="s">
        <v>25</v>
      </c>
      <c r="N643">
        <v>2</v>
      </c>
      <c r="O643" t="s">
        <v>27</v>
      </c>
      <c r="P643" t="s">
        <v>27</v>
      </c>
      <c r="Q643" t="s">
        <v>54</v>
      </c>
      <c r="R643" t="s">
        <v>54</v>
      </c>
    </row>
    <row r="644" spans="1:18" x14ac:dyDescent="0.25">
      <c r="A644" t="s">
        <v>37</v>
      </c>
      <c r="B644" t="s">
        <v>318</v>
      </c>
      <c r="C644" t="s">
        <v>20</v>
      </c>
      <c r="D644" t="s">
        <v>319</v>
      </c>
      <c r="E644" t="s">
        <v>44</v>
      </c>
      <c r="F644">
        <v>1</v>
      </c>
      <c r="G644" s="89">
        <v>44306</v>
      </c>
      <c r="H644">
        <v>44309</v>
      </c>
      <c r="I644">
        <v>44312</v>
      </c>
      <c r="K644" t="s">
        <v>23</v>
      </c>
      <c r="L644" t="s">
        <v>34</v>
      </c>
      <c r="M644" t="s">
        <v>25</v>
      </c>
      <c r="N644">
        <v>1</v>
      </c>
      <c r="O644" t="s">
        <v>26</v>
      </c>
      <c r="Q644" t="s">
        <v>29</v>
      </c>
      <c r="R644" t="s">
        <v>54</v>
      </c>
    </row>
    <row r="645" spans="1:18" x14ac:dyDescent="0.25">
      <c r="A645" t="s">
        <v>37</v>
      </c>
      <c r="B645" t="s">
        <v>318</v>
      </c>
      <c r="C645" t="s">
        <v>20</v>
      </c>
      <c r="D645" t="s">
        <v>319</v>
      </c>
      <c r="E645" t="s">
        <v>35</v>
      </c>
      <c r="F645">
        <v>1</v>
      </c>
      <c r="G645" s="89">
        <v>44306</v>
      </c>
      <c r="H645">
        <v>44309</v>
      </c>
      <c r="I645">
        <v>44312</v>
      </c>
      <c r="K645" t="s">
        <v>23</v>
      </c>
      <c r="L645" t="s">
        <v>34</v>
      </c>
      <c r="M645" t="s">
        <v>25</v>
      </c>
      <c r="N645">
        <v>1</v>
      </c>
      <c r="O645" t="s">
        <v>26</v>
      </c>
      <c r="Q645" t="s">
        <v>29</v>
      </c>
      <c r="R645" t="s">
        <v>54</v>
      </c>
    </row>
    <row r="646" spans="1:18" x14ac:dyDescent="0.25">
      <c r="A646" t="s">
        <v>37</v>
      </c>
      <c r="B646" t="s">
        <v>318</v>
      </c>
      <c r="C646" t="s">
        <v>20</v>
      </c>
      <c r="D646" t="s">
        <v>319</v>
      </c>
      <c r="E646" t="s">
        <v>49</v>
      </c>
      <c r="F646">
        <v>1</v>
      </c>
      <c r="G646" s="89">
        <v>44306</v>
      </c>
      <c r="H646">
        <v>44309</v>
      </c>
      <c r="I646">
        <v>44312</v>
      </c>
      <c r="K646" t="s">
        <v>23</v>
      </c>
      <c r="L646" t="s">
        <v>34</v>
      </c>
      <c r="M646" t="s">
        <v>25</v>
      </c>
      <c r="N646">
        <v>1</v>
      </c>
      <c r="O646" t="s">
        <v>26</v>
      </c>
      <c r="Q646" t="s">
        <v>29</v>
      </c>
      <c r="R646" t="s">
        <v>54</v>
      </c>
    </row>
    <row r="647" spans="1:18" x14ac:dyDescent="0.25">
      <c r="A647" t="s">
        <v>37</v>
      </c>
      <c r="B647" t="s">
        <v>318</v>
      </c>
      <c r="C647" t="s">
        <v>20</v>
      </c>
      <c r="D647" t="s">
        <v>319</v>
      </c>
      <c r="E647" t="s">
        <v>33</v>
      </c>
      <c r="F647">
        <v>1</v>
      </c>
      <c r="G647" s="89">
        <v>44306</v>
      </c>
      <c r="H647">
        <v>44309</v>
      </c>
      <c r="I647">
        <v>44312</v>
      </c>
      <c r="K647" t="s">
        <v>23</v>
      </c>
      <c r="L647" t="s">
        <v>34</v>
      </c>
      <c r="M647" t="s">
        <v>25</v>
      </c>
      <c r="N647">
        <v>1</v>
      </c>
      <c r="O647" t="s">
        <v>26</v>
      </c>
      <c r="Q647" t="s">
        <v>29</v>
      </c>
      <c r="R647" t="s">
        <v>54</v>
      </c>
    </row>
    <row r="648" spans="1:18" x14ac:dyDescent="0.25">
      <c r="A648" t="s">
        <v>37</v>
      </c>
      <c r="B648" t="s">
        <v>318</v>
      </c>
      <c r="C648" t="s">
        <v>20</v>
      </c>
      <c r="D648" t="s">
        <v>319</v>
      </c>
      <c r="E648" t="s">
        <v>36</v>
      </c>
      <c r="F648">
        <v>3</v>
      </c>
      <c r="G648" s="89">
        <v>44306</v>
      </c>
      <c r="H648">
        <v>44309</v>
      </c>
      <c r="I648">
        <v>44312</v>
      </c>
      <c r="K648" t="s">
        <v>23</v>
      </c>
      <c r="L648" t="s">
        <v>34</v>
      </c>
      <c r="M648" t="s">
        <v>25</v>
      </c>
      <c r="N648">
        <v>1</v>
      </c>
      <c r="O648" t="s">
        <v>26</v>
      </c>
      <c r="Q648" t="s">
        <v>29</v>
      </c>
      <c r="R648" t="s">
        <v>54</v>
      </c>
    </row>
    <row r="649" spans="1:18" x14ac:dyDescent="0.25">
      <c r="A649" t="s">
        <v>37</v>
      </c>
      <c r="B649" t="s">
        <v>320</v>
      </c>
      <c r="C649" t="s">
        <v>20</v>
      </c>
      <c r="D649" t="s">
        <v>321</v>
      </c>
      <c r="E649" t="s">
        <v>35</v>
      </c>
      <c r="F649">
        <v>1</v>
      </c>
      <c r="G649" s="89">
        <v>44302</v>
      </c>
      <c r="H649">
        <v>44308</v>
      </c>
      <c r="I649">
        <v>44309</v>
      </c>
      <c r="K649" t="s">
        <v>23</v>
      </c>
      <c r="L649" t="s">
        <v>24</v>
      </c>
      <c r="M649" t="s">
        <v>25</v>
      </c>
      <c r="O649" t="s">
        <v>27</v>
      </c>
      <c r="Q649" t="s">
        <v>54</v>
      </c>
      <c r="R649" t="s">
        <v>54</v>
      </c>
    </row>
    <row r="650" spans="1:18" x14ac:dyDescent="0.25">
      <c r="A650" t="s">
        <v>37</v>
      </c>
      <c r="B650" t="s">
        <v>320</v>
      </c>
      <c r="C650" t="s">
        <v>20</v>
      </c>
      <c r="D650" t="s">
        <v>321</v>
      </c>
      <c r="E650" t="s">
        <v>49</v>
      </c>
      <c r="F650">
        <v>1</v>
      </c>
      <c r="G650" s="89">
        <v>44302</v>
      </c>
      <c r="H650">
        <v>44308</v>
      </c>
      <c r="I650">
        <v>44309</v>
      </c>
      <c r="K650" t="s">
        <v>23</v>
      </c>
      <c r="L650" t="s">
        <v>24</v>
      </c>
      <c r="M650" t="s">
        <v>25</v>
      </c>
      <c r="O650" t="s">
        <v>27</v>
      </c>
      <c r="Q650" t="s">
        <v>54</v>
      </c>
      <c r="R650" t="s">
        <v>54</v>
      </c>
    </row>
    <row r="651" spans="1:18" x14ac:dyDescent="0.25">
      <c r="A651" t="s">
        <v>37</v>
      </c>
      <c r="B651" t="s">
        <v>320</v>
      </c>
      <c r="C651" t="s">
        <v>20</v>
      </c>
      <c r="D651" t="s">
        <v>321</v>
      </c>
      <c r="E651" t="s">
        <v>33</v>
      </c>
      <c r="F651">
        <v>1</v>
      </c>
      <c r="G651" s="89">
        <v>44302</v>
      </c>
      <c r="H651">
        <v>44308</v>
      </c>
      <c r="I651">
        <v>44309</v>
      </c>
      <c r="K651" t="s">
        <v>23</v>
      </c>
      <c r="L651" t="s">
        <v>24</v>
      </c>
      <c r="M651" t="s">
        <v>25</v>
      </c>
      <c r="O651" t="s">
        <v>27</v>
      </c>
      <c r="Q651" t="s">
        <v>54</v>
      </c>
      <c r="R651" t="s">
        <v>54</v>
      </c>
    </row>
    <row r="652" spans="1:18" x14ac:dyDescent="0.25">
      <c r="A652" t="s">
        <v>40</v>
      </c>
      <c r="B652" t="s">
        <v>322</v>
      </c>
      <c r="C652" t="s">
        <v>20</v>
      </c>
      <c r="D652" t="s">
        <v>323</v>
      </c>
      <c r="E652" t="s">
        <v>35</v>
      </c>
      <c r="F652">
        <v>1</v>
      </c>
      <c r="G652" s="89">
        <v>44313</v>
      </c>
      <c r="H652">
        <v>44315</v>
      </c>
      <c r="K652" t="s">
        <v>23</v>
      </c>
      <c r="L652" t="s">
        <v>24</v>
      </c>
      <c r="M652" t="s">
        <v>25</v>
      </c>
      <c r="N652">
        <v>1</v>
      </c>
      <c r="O652" t="s">
        <v>27</v>
      </c>
      <c r="Q652" t="s">
        <v>29</v>
      </c>
      <c r="R652" t="s">
        <v>29</v>
      </c>
    </row>
    <row r="653" spans="1:18" x14ac:dyDescent="0.25">
      <c r="A653" t="s">
        <v>40</v>
      </c>
      <c r="B653" t="s">
        <v>322</v>
      </c>
      <c r="C653" t="s">
        <v>20</v>
      </c>
      <c r="D653" t="s">
        <v>323</v>
      </c>
      <c r="E653" t="s">
        <v>33</v>
      </c>
      <c r="F653">
        <v>1</v>
      </c>
      <c r="G653" s="89">
        <v>44313</v>
      </c>
      <c r="H653">
        <v>44315</v>
      </c>
      <c r="K653" t="s">
        <v>23</v>
      </c>
      <c r="L653" t="s">
        <v>24</v>
      </c>
      <c r="M653" t="s">
        <v>25</v>
      </c>
      <c r="N653">
        <v>1</v>
      </c>
      <c r="O653" t="s">
        <v>27</v>
      </c>
      <c r="Q653" t="s">
        <v>54</v>
      </c>
      <c r="R653" t="s">
        <v>54</v>
      </c>
    </row>
    <row r="654" spans="1:18" x14ac:dyDescent="0.25">
      <c r="A654" t="s">
        <v>30</v>
      </c>
      <c r="B654" t="s">
        <v>324</v>
      </c>
      <c r="C654" t="s">
        <v>31</v>
      </c>
      <c r="D654" t="s">
        <v>325</v>
      </c>
      <c r="E654" t="s">
        <v>49</v>
      </c>
      <c r="F654">
        <v>1</v>
      </c>
      <c r="G654" s="89">
        <v>44309</v>
      </c>
      <c r="H654">
        <v>44314</v>
      </c>
      <c r="I654">
        <v>44314</v>
      </c>
      <c r="K654" t="s">
        <v>23</v>
      </c>
      <c r="L654" t="s">
        <v>24</v>
      </c>
      <c r="M654" t="s">
        <v>25</v>
      </c>
      <c r="O654" t="s">
        <v>26</v>
      </c>
      <c r="P654" t="s">
        <v>27</v>
      </c>
      <c r="Q654" t="s">
        <v>54</v>
      </c>
      <c r="R654" t="s">
        <v>54</v>
      </c>
    </row>
    <row r="655" spans="1:18" x14ac:dyDescent="0.25">
      <c r="A655" t="s">
        <v>30</v>
      </c>
      <c r="B655" t="s">
        <v>324</v>
      </c>
      <c r="C655" t="s">
        <v>31</v>
      </c>
      <c r="D655" t="s">
        <v>325</v>
      </c>
      <c r="E655" t="s">
        <v>33</v>
      </c>
      <c r="F655">
        <v>1</v>
      </c>
      <c r="G655" s="89">
        <v>44309</v>
      </c>
      <c r="H655">
        <v>44314</v>
      </c>
      <c r="I655">
        <v>44314</v>
      </c>
      <c r="K655" t="s">
        <v>23</v>
      </c>
      <c r="L655" t="s">
        <v>24</v>
      </c>
      <c r="M655" t="s">
        <v>25</v>
      </c>
      <c r="O655" t="s">
        <v>26</v>
      </c>
      <c r="P655" t="s">
        <v>27</v>
      </c>
      <c r="Q655" t="s">
        <v>54</v>
      </c>
      <c r="R655" t="s">
        <v>54</v>
      </c>
    </row>
    <row r="656" spans="1:18" x14ac:dyDescent="0.25">
      <c r="A656" t="s">
        <v>30</v>
      </c>
      <c r="B656" t="s">
        <v>324</v>
      </c>
      <c r="C656" t="s">
        <v>31</v>
      </c>
      <c r="D656" t="s">
        <v>325</v>
      </c>
      <c r="E656" t="s">
        <v>36</v>
      </c>
      <c r="F656">
        <v>2</v>
      </c>
      <c r="G656" s="89">
        <v>44309</v>
      </c>
      <c r="H656">
        <v>44314</v>
      </c>
      <c r="I656">
        <v>44314</v>
      </c>
      <c r="K656" t="s">
        <v>23</v>
      </c>
      <c r="L656" t="s">
        <v>24</v>
      </c>
      <c r="M656" t="s">
        <v>25</v>
      </c>
      <c r="O656" t="s">
        <v>26</v>
      </c>
      <c r="P656" t="s">
        <v>27</v>
      </c>
      <c r="Q656" t="s">
        <v>54</v>
      </c>
      <c r="R656" t="s">
        <v>54</v>
      </c>
    </row>
    <row r="657" spans="1:18" x14ac:dyDescent="0.25">
      <c r="A657" t="s">
        <v>178</v>
      </c>
      <c r="B657" t="s">
        <v>334</v>
      </c>
      <c r="C657" t="s">
        <v>31</v>
      </c>
      <c r="D657" t="s">
        <v>335</v>
      </c>
      <c r="E657" t="s">
        <v>35</v>
      </c>
      <c r="F657">
        <v>1</v>
      </c>
      <c r="G657" s="89">
        <v>44309</v>
      </c>
      <c r="H657">
        <v>44316</v>
      </c>
      <c r="I657">
        <v>44315</v>
      </c>
      <c r="K657" t="s">
        <v>23</v>
      </c>
      <c r="L657" t="s">
        <v>24</v>
      </c>
      <c r="M657" t="s">
        <v>25</v>
      </c>
      <c r="O657" t="s">
        <v>26</v>
      </c>
      <c r="P657" t="s">
        <v>26</v>
      </c>
      <c r="Q657" t="s">
        <v>54</v>
      </c>
      <c r="R657" t="s">
        <v>54</v>
      </c>
    </row>
    <row r="658" spans="1:18" x14ac:dyDescent="0.25">
      <c r="A658" t="s">
        <v>178</v>
      </c>
      <c r="B658" t="s">
        <v>334</v>
      </c>
      <c r="C658" t="s">
        <v>31</v>
      </c>
      <c r="D658" t="s">
        <v>335</v>
      </c>
      <c r="E658" t="s">
        <v>49</v>
      </c>
      <c r="F658">
        <v>1</v>
      </c>
      <c r="G658" s="89">
        <v>44309</v>
      </c>
      <c r="H658">
        <v>44316</v>
      </c>
      <c r="I658">
        <v>44315</v>
      </c>
      <c r="K658" t="s">
        <v>23</v>
      </c>
      <c r="L658" t="s">
        <v>24</v>
      </c>
      <c r="M658" t="s">
        <v>25</v>
      </c>
      <c r="O658" t="s">
        <v>26</v>
      </c>
      <c r="P658" t="s">
        <v>26</v>
      </c>
      <c r="Q658" t="s">
        <v>54</v>
      </c>
      <c r="R658" t="s">
        <v>54</v>
      </c>
    </row>
    <row r="659" spans="1:18" x14ac:dyDescent="0.25">
      <c r="A659" t="s">
        <v>178</v>
      </c>
      <c r="B659" t="s">
        <v>334</v>
      </c>
      <c r="C659" t="s">
        <v>31</v>
      </c>
      <c r="D659" t="s">
        <v>335</v>
      </c>
      <c r="E659" t="s">
        <v>33</v>
      </c>
      <c r="F659">
        <v>1</v>
      </c>
      <c r="G659" s="89">
        <v>44309</v>
      </c>
      <c r="H659">
        <v>44316</v>
      </c>
      <c r="I659">
        <v>44315</v>
      </c>
      <c r="K659" t="s">
        <v>23</v>
      </c>
      <c r="L659" t="s">
        <v>24</v>
      </c>
      <c r="M659" t="s">
        <v>25</v>
      </c>
      <c r="O659" t="s">
        <v>26</v>
      </c>
      <c r="P659" t="s">
        <v>26</v>
      </c>
      <c r="Q659" t="s">
        <v>54</v>
      </c>
      <c r="R659" t="s">
        <v>54</v>
      </c>
    </row>
    <row r="660" spans="1:18" x14ac:dyDescent="0.25">
      <c r="A660" t="s">
        <v>178</v>
      </c>
      <c r="B660" t="s">
        <v>334</v>
      </c>
      <c r="C660" t="s">
        <v>31</v>
      </c>
      <c r="D660" t="s">
        <v>335</v>
      </c>
      <c r="E660" t="s">
        <v>36</v>
      </c>
      <c r="F660">
        <v>2</v>
      </c>
      <c r="G660" s="89">
        <v>44309</v>
      </c>
      <c r="H660">
        <v>44316</v>
      </c>
      <c r="I660">
        <v>44315</v>
      </c>
      <c r="K660" t="s">
        <v>23</v>
      </c>
      <c r="L660" t="s">
        <v>24</v>
      </c>
      <c r="M660" t="s">
        <v>25</v>
      </c>
      <c r="O660" t="s">
        <v>26</v>
      </c>
      <c r="P660" t="s">
        <v>26</v>
      </c>
      <c r="Q660" t="s">
        <v>54</v>
      </c>
      <c r="R660" t="s">
        <v>54</v>
      </c>
    </row>
    <row r="661" spans="1:18" x14ac:dyDescent="0.25">
      <c r="A661" t="s">
        <v>95</v>
      </c>
      <c r="B661" t="s">
        <v>96</v>
      </c>
      <c r="C661" t="s">
        <v>31</v>
      </c>
      <c r="D661" t="s">
        <v>337</v>
      </c>
      <c r="E661" t="s">
        <v>35</v>
      </c>
      <c r="F661">
        <v>1</v>
      </c>
      <c r="G661" s="89">
        <v>44316</v>
      </c>
      <c r="H661">
        <v>44316</v>
      </c>
      <c r="I661">
        <v>44316</v>
      </c>
      <c r="K661" t="s">
        <v>23</v>
      </c>
      <c r="L661" t="s">
        <v>24</v>
      </c>
      <c r="O661" t="s">
        <v>26</v>
      </c>
      <c r="P661" t="s">
        <v>27</v>
      </c>
      <c r="Q661" t="s">
        <v>29</v>
      </c>
      <c r="R661" t="s">
        <v>29</v>
      </c>
    </row>
    <row r="662" spans="1:18" x14ac:dyDescent="0.25">
      <c r="A662" t="s">
        <v>71</v>
      </c>
      <c r="B662" t="s">
        <v>96</v>
      </c>
      <c r="C662" t="s">
        <v>31</v>
      </c>
      <c r="D662" t="s">
        <v>338</v>
      </c>
      <c r="E662" t="s">
        <v>49</v>
      </c>
      <c r="F662">
        <v>2</v>
      </c>
      <c r="G662" s="89">
        <v>44316</v>
      </c>
      <c r="H662">
        <v>44316</v>
      </c>
      <c r="I662">
        <v>44316</v>
      </c>
      <c r="J662" t="s">
        <v>339</v>
      </c>
      <c r="K662" t="s">
        <v>23</v>
      </c>
      <c r="L662" t="s">
        <v>58</v>
      </c>
      <c r="M662" t="s">
        <v>25</v>
      </c>
      <c r="O662" t="s">
        <v>26</v>
      </c>
      <c r="P662" t="s">
        <v>27</v>
      </c>
      <c r="Q662" t="s">
        <v>29</v>
      </c>
      <c r="R662" t="s">
        <v>54</v>
      </c>
    </row>
  </sheetData>
  <autoFilter ref="A1:S77" xr:uid="{9315A99F-A63F-4C8E-A4EB-18167E96161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5"/>
  <sheetViews>
    <sheetView workbookViewId="0">
      <selection activeCell="G8" sqref="G8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5" t="s">
        <v>0</v>
      </c>
      <c r="B1" s="6" t="s">
        <v>2</v>
      </c>
      <c r="C1" s="6" t="s">
        <v>4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340</v>
      </c>
      <c r="I1" s="6" t="s">
        <v>16</v>
      </c>
      <c r="J1" s="7" t="s">
        <v>341</v>
      </c>
    </row>
    <row r="2" spans="1:10" x14ac:dyDescent="0.25">
      <c r="A2" s="1" t="s">
        <v>342</v>
      </c>
      <c r="B2" t="s">
        <v>31</v>
      </c>
      <c r="C2" t="s">
        <v>217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281</v>
      </c>
      <c r="J2" t="s">
        <v>281</v>
      </c>
    </row>
    <row r="3" spans="1:10" ht="15" customHeight="1" x14ac:dyDescent="0.25">
      <c r="A3" s="1" t="s">
        <v>40</v>
      </c>
      <c r="B3" t="s">
        <v>20</v>
      </c>
      <c r="C3" t="s">
        <v>22</v>
      </c>
      <c r="E3" s="2" t="s">
        <v>214</v>
      </c>
      <c r="F3" s="1" t="s">
        <v>42</v>
      </c>
      <c r="G3" s="1" t="s">
        <v>80</v>
      </c>
      <c r="H3" s="1" t="s">
        <v>27</v>
      </c>
      <c r="I3" t="s">
        <v>74</v>
      </c>
      <c r="J3" t="s">
        <v>74</v>
      </c>
    </row>
    <row r="4" spans="1:10" ht="15" customHeight="1" x14ac:dyDescent="0.25">
      <c r="A4" s="1" t="s">
        <v>95</v>
      </c>
      <c r="B4" t="s">
        <v>343</v>
      </c>
      <c r="C4" t="s">
        <v>67</v>
      </c>
      <c r="E4" s="1" t="s">
        <v>219</v>
      </c>
      <c r="F4" t="s">
        <v>34</v>
      </c>
      <c r="G4" s="1" t="s">
        <v>107</v>
      </c>
      <c r="I4" t="s">
        <v>28</v>
      </c>
      <c r="J4" t="s">
        <v>28</v>
      </c>
    </row>
    <row r="5" spans="1:10" ht="15" customHeight="1" x14ac:dyDescent="0.25">
      <c r="A5" s="1" t="s">
        <v>231</v>
      </c>
      <c r="B5" s="1" t="s">
        <v>344</v>
      </c>
      <c r="C5" t="s">
        <v>345</v>
      </c>
      <c r="E5" s="4" t="s">
        <v>218</v>
      </c>
      <c r="F5" s="1" t="s">
        <v>346</v>
      </c>
      <c r="G5" s="1" t="s">
        <v>347</v>
      </c>
      <c r="H5" s="1"/>
      <c r="I5" t="s">
        <v>29</v>
      </c>
      <c r="J5" t="s">
        <v>29</v>
      </c>
    </row>
    <row r="6" spans="1:10" ht="15" customHeight="1" x14ac:dyDescent="0.25">
      <c r="A6" s="1" t="s">
        <v>77</v>
      </c>
      <c r="B6" t="s">
        <v>348</v>
      </c>
      <c r="C6" t="s">
        <v>198</v>
      </c>
      <c r="E6" s="8" t="s">
        <v>216</v>
      </c>
      <c r="F6" s="1" t="s">
        <v>58</v>
      </c>
      <c r="G6" s="1" t="s">
        <v>349</v>
      </c>
      <c r="H6" s="1"/>
      <c r="I6" t="s">
        <v>54</v>
      </c>
      <c r="J6" t="s">
        <v>54</v>
      </c>
    </row>
    <row r="7" spans="1:10" ht="15" customHeight="1" x14ac:dyDescent="0.25">
      <c r="A7" s="1" t="s">
        <v>235</v>
      </c>
      <c r="B7" t="s">
        <v>64</v>
      </c>
      <c r="C7" t="s">
        <v>350</v>
      </c>
      <c r="F7" s="1" t="s">
        <v>80</v>
      </c>
      <c r="G7" s="1" t="s">
        <v>351</v>
      </c>
      <c r="H7" s="1"/>
    </row>
    <row r="8" spans="1:10" ht="15" customHeight="1" x14ac:dyDescent="0.25">
      <c r="A8" s="1" t="s">
        <v>133</v>
      </c>
      <c r="B8" t="s">
        <v>352</v>
      </c>
      <c r="C8" t="s">
        <v>39</v>
      </c>
      <c r="D8" s="1"/>
      <c r="G8" s="1" t="s">
        <v>353</v>
      </c>
      <c r="H8" s="1"/>
    </row>
    <row r="9" spans="1:10" ht="15" customHeight="1" x14ac:dyDescent="0.25">
      <c r="A9" s="1" t="s">
        <v>71</v>
      </c>
      <c r="B9" t="s">
        <v>354</v>
      </c>
      <c r="C9" t="s">
        <v>43</v>
      </c>
      <c r="D9" s="1"/>
      <c r="H9" s="1"/>
    </row>
    <row r="10" spans="1:10" ht="15" customHeight="1" x14ac:dyDescent="0.25">
      <c r="A10" s="1" t="s">
        <v>47</v>
      </c>
      <c r="B10" s="1" t="s">
        <v>355</v>
      </c>
      <c r="C10" t="s">
        <v>356</v>
      </c>
      <c r="D10" s="1"/>
      <c r="H10" s="1"/>
    </row>
    <row r="11" spans="1:10" ht="15" customHeight="1" x14ac:dyDescent="0.25">
      <c r="A11" s="1" t="s">
        <v>357</v>
      </c>
      <c r="B11" t="s">
        <v>358</v>
      </c>
      <c r="C11" t="s">
        <v>359</v>
      </c>
      <c r="D11" s="1"/>
      <c r="G11" s="1"/>
      <c r="H11" s="1"/>
    </row>
    <row r="12" spans="1:10" ht="15" customHeight="1" x14ac:dyDescent="0.25">
      <c r="A12" s="1" t="s">
        <v>55</v>
      </c>
      <c r="B12" t="s">
        <v>360</v>
      </c>
      <c r="C12" t="s">
        <v>361</v>
      </c>
      <c r="D12" s="1"/>
      <c r="G12" s="1"/>
      <c r="H12" s="1"/>
    </row>
    <row r="13" spans="1:10" ht="15" customHeight="1" x14ac:dyDescent="0.25">
      <c r="A13" s="1" t="s">
        <v>129</v>
      </c>
      <c r="B13" t="s">
        <v>362</v>
      </c>
      <c r="C13" t="s">
        <v>225</v>
      </c>
      <c r="D13" s="1"/>
      <c r="G13" s="1"/>
      <c r="H13" s="1"/>
    </row>
    <row r="14" spans="1:10" ht="15" customHeight="1" x14ac:dyDescent="0.25">
      <c r="A14" s="1" t="s">
        <v>363</v>
      </c>
      <c r="B14" t="s">
        <v>364</v>
      </c>
      <c r="C14" t="s">
        <v>73</v>
      </c>
      <c r="D14" s="1"/>
      <c r="G14" s="1"/>
      <c r="H14" s="1"/>
    </row>
    <row r="15" spans="1:10" ht="15" customHeight="1" x14ac:dyDescent="0.25">
      <c r="A15" s="1" t="s">
        <v>145</v>
      </c>
      <c r="B15" t="s">
        <v>56</v>
      </c>
      <c r="C15" t="s">
        <v>365</v>
      </c>
      <c r="D15" s="1"/>
      <c r="H15" s="1"/>
    </row>
    <row r="16" spans="1:10" ht="15" customHeight="1" x14ac:dyDescent="0.25">
      <c r="A16" s="1" t="s">
        <v>19</v>
      </c>
      <c r="C16" t="s">
        <v>366</v>
      </c>
      <c r="D16" s="1"/>
      <c r="H16" s="1"/>
    </row>
    <row r="17" spans="1:8" ht="15" customHeight="1" x14ac:dyDescent="0.25">
      <c r="A17" s="1" t="s">
        <v>367</v>
      </c>
      <c r="B17" s="1"/>
      <c r="C17" t="s">
        <v>147</v>
      </c>
      <c r="D17" s="1"/>
      <c r="H17" s="1"/>
    </row>
    <row r="18" spans="1:8" ht="15" customHeight="1" x14ac:dyDescent="0.25">
      <c r="A18" s="1" t="s">
        <v>59</v>
      </c>
      <c r="B18" s="1"/>
      <c r="C18" t="s">
        <v>368</v>
      </c>
      <c r="D18" s="1"/>
      <c r="H18" s="1"/>
    </row>
    <row r="19" spans="1:8" ht="15" customHeight="1" x14ac:dyDescent="0.25">
      <c r="A19" s="1" t="s">
        <v>68</v>
      </c>
      <c r="B19" s="1"/>
      <c r="C19" t="s">
        <v>44</v>
      </c>
      <c r="D19" s="1"/>
      <c r="H19" s="1"/>
    </row>
    <row r="20" spans="1:8" ht="15" customHeight="1" x14ac:dyDescent="0.25">
      <c r="A20" s="1" t="s">
        <v>30</v>
      </c>
      <c r="B20" s="1"/>
      <c r="C20" t="s">
        <v>210</v>
      </c>
      <c r="D20" s="1"/>
    </row>
    <row r="21" spans="1:8" ht="15" customHeight="1" x14ac:dyDescent="0.25">
      <c r="A21" s="1" t="s">
        <v>178</v>
      </c>
      <c r="B21" s="1"/>
      <c r="C21" t="s">
        <v>61</v>
      </c>
      <c r="D21" s="1"/>
    </row>
    <row r="22" spans="1:8" ht="15" customHeight="1" x14ac:dyDescent="0.25">
      <c r="A22" s="1" t="s">
        <v>113</v>
      </c>
      <c r="B22" s="1"/>
      <c r="C22" t="s">
        <v>369</v>
      </c>
      <c r="D22" s="1"/>
    </row>
    <row r="23" spans="1:8" ht="15" customHeight="1" x14ac:dyDescent="0.25">
      <c r="A23" s="1" t="s">
        <v>243</v>
      </c>
      <c r="B23" s="1"/>
      <c r="C23" t="s">
        <v>370</v>
      </c>
      <c r="D23" s="1"/>
    </row>
    <row r="24" spans="1:8" ht="15" customHeight="1" x14ac:dyDescent="0.25">
      <c r="A24" s="1" t="s">
        <v>37</v>
      </c>
      <c r="B24" s="1"/>
      <c r="C24" t="s">
        <v>371</v>
      </c>
    </row>
    <row r="25" spans="1:8" ht="15" customHeight="1" x14ac:dyDescent="0.25">
      <c r="A25" s="1" t="s">
        <v>372</v>
      </c>
      <c r="B25" s="1"/>
      <c r="C25" t="s">
        <v>373</v>
      </c>
    </row>
    <row r="26" spans="1:8" ht="15" customHeight="1" x14ac:dyDescent="0.25">
      <c r="A26" s="1"/>
      <c r="B26" s="1"/>
      <c r="C26" t="s">
        <v>374</v>
      </c>
    </row>
    <row r="27" spans="1:8" ht="15" customHeight="1" x14ac:dyDescent="0.25">
      <c r="A27" s="1"/>
      <c r="B27" s="1"/>
      <c r="C27" t="s">
        <v>375</v>
      </c>
    </row>
    <row r="28" spans="1:8" ht="15" customHeight="1" x14ac:dyDescent="0.25">
      <c r="A28" s="1"/>
      <c r="B28" s="1"/>
      <c r="C28" t="s">
        <v>35</v>
      </c>
    </row>
    <row r="29" spans="1:8" ht="15" customHeight="1" x14ac:dyDescent="0.25">
      <c r="A29" s="1"/>
      <c r="B29" s="1"/>
      <c r="C29" t="s">
        <v>376</v>
      </c>
    </row>
    <row r="30" spans="1:8" ht="15" customHeight="1" x14ac:dyDescent="0.25">
      <c r="A30" s="1"/>
      <c r="B30" s="1"/>
      <c r="C30" t="s">
        <v>377</v>
      </c>
    </row>
    <row r="31" spans="1:8" ht="15" customHeight="1" x14ac:dyDescent="0.25">
      <c r="A31" s="1"/>
      <c r="B31" s="1"/>
      <c r="C31" t="s">
        <v>378</v>
      </c>
    </row>
    <row r="32" spans="1:8" ht="15" customHeight="1" x14ac:dyDescent="0.25">
      <c r="A32" s="1"/>
      <c r="B32" s="1"/>
      <c r="C32" t="s">
        <v>45</v>
      </c>
    </row>
    <row r="33" spans="1:4" ht="15" customHeight="1" x14ac:dyDescent="0.25">
      <c r="A33" s="1"/>
      <c r="B33" s="1"/>
      <c r="C33" t="s">
        <v>62</v>
      </c>
    </row>
    <row r="34" spans="1:4" ht="15" customHeight="1" x14ac:dyDescent="0.25">
      <c r="A34" s="1"/>
      <c r="B34" s="1"/>
      <c r="C34" t="s">
        <v>379</v>
      </c>
    </row>
    <row r="35" spans="1:4" ht="15" customHeight="1" x14ac:dyDescent="0.25">
      <c r="A35" s="1"/>
      <c r="B35" s="1"/>
      <c r="C35" t="s">
        <v>81</v>
      </c>
    </row>
    <row r="36" spans="1:4" ht="15" customHeight="1" x14ac:dyDescent="0.25">
      <c r="A36" s="1"/>
      <c r="B36" s="1"/>
      <c r="C36" t="s">
        <v>117</v>
      </c>
    </row>
    <row r="37" spans="1:4" ht="15" customHeight="1" x14ac:dyDescent="0.25">
      <c r="A37" s="1"/>
      <c r="B37" s="1"/>
      <c r="C37" t="s">
        <v>83</v>
      </c>
      <c r="D37" s="1"/>
    </row>
    <row r="38" spans="1:4" ht="15" customHeight="1" x14ac:dyDescent="0.25">
      <c r="A38" s="1"/>
      <c r="B38" s="1"/>
      <c r="C38" t="s">
        <v>182</v>
      </c>
      <c r="D38" s="1"/>
    </row>
    <row r="39" spans="1:4" ht="15" customHeight="1" x14ac:dyDescent="0.25">
      <c r="A39" s="1"/>
      <c r="B39" s="1"/>
      <c r="C39" t="s">
        <v>93</v>
      </c>
      <c r="D39" s="1"/>
    </row>
    <row r="40" spans="1:4" ht="15" customHeight="1" x14ac:dyDescent="0.25">
      <c r="A40" s="1"/>
      <c r="B40" s="1"/>
      <c r="C40" t="s">
        <v>131</v>
      </c>
      <c r="D40" s="1"/>
    </row>
    <row r="41" spans="1:4" ht="15" customHeight="1" x14ac:dyDescent="0.25">
      <c r="A41" s="1"/>
      <c r="B41" s="1"/>
      <c r="C41" t="s">
        <v>172</v>
      </c>
      <c r="D41" s="1"/>
    </row>
    <row r="42" spans="1:4" ht="15" customHeight="1" x14ac:dyDescent="0.25">
      <c r="A42" s="1"/>
      <c r="B42" s="1"/>
      <c r="C42" t="s">
        <v>380</v>
      </c>
      <c r="D42" s="1"/>
    </row>
    <row r="43" spans="1:4" ht="15" customHeight="1" x14ac:dyDescent="0.25">
      <c r="A43" s="1"/>
      <c r="B43" s="1"/>
      <c r="C43" t="s">
        <v>381</v>
      </c>
      <c r="D43" s="1"/>
    </row>
    <row r="44" spans="1:4" ht="15" customHeight="1" x14ac:dyDescent="0.25">
      <c r="A44" s="1"/>
      <c r="B44" s="1"/>
      <c r="C44" t="s">
        <v>382</v>
      </c>
      <c r="D44" s="1"/>
    </row>
    <row r="45" spans="1:4" ht="15" customHeight="1" x14ac:dyDescent="0.25">
      <c r="A45" s="1"/>
      <c r="B45" s="1"/>
      <c r="C45" t="s">
        <v>383</v>
      </c>
      <c r="D45" s="1"/>
    </row>
    <row r="46" spans="1:4" x14ac:dyDescent="0.25">
      <c r="A46" s="1"/>
      <c r="B46" s="1"/>
      <c r="C46" t="s">
        <v>63</v>
      </c>
      <c r="D46" s="1"/>
    </row>
    <row r="47" spans="1:4" x14ac:dyDescent="0.25">
      <c r="C47" t="s">
        <v>384</v>
      </c>
    </row>
    <row r="48" spans="1:4" x14ac:dyDescent="0.25">
      <c r="C48" t="s">
        <v>385</v>
      </c>
    </row>
    <row r="49" spans="3:3" x14ac:dyDescent="0.25">
      <c r="C49" t="s">
        <v>140</v>
      </c>
    </row>
    <row r="50" spans="3:3" x14ac:dyDescent="0.25">
      <c r="C50" t="s">
        <v>294</v>
      </c>
    </row>
    <row r="51" spans="3:3" x14ac:dyDescent="0.25">
      <c r="C51" t="s">
        <v>290</v>
      </c>
    </row>
    <row r="52" spans="3:3" x14ac:dyDescent="0.25">
      <c r="C52" t="s">
        <v>386</v>
      </c>
    </row>
    <row r="53" spans="3:3" x14ac:dyDescent="0.25">
      <c r="C53" t="s">
        <v>167</v>
      </c>
    </row>
    <row r="54" spans="3:3" x14ac:dyDescent="0.25">
      <c r="C54" t="s">
        <v>387</v>
      </c>
    </row>
    <row r="55" spans="3:3" x14ac:dyDescent="0.25">
      <c r="C55" t="s">
        <v>82</v>
      </c>
    </row>
    <row r="56" spans="3:3" x14ac:dyDescent="0.25">
      <c r="C56" t="s">
        <v>65</v>
      </c>
    </row>
    <row r="57" spans="3:3" x14ac:dyDescent="0.25">
      <c r="C57" t="s">
        <v>106</v>
      </c>
    </row>
    <row r="58" spans="3:3" x14ac:dyDescent="0.25">
      <c r="C58" t="s">
        <v>142</v>
      </c>
    </row>
    <row r="59" spans="3:3" x14ac:dyDescent="0.25">
      <c r="C59" t="s">
        <v>388</v>
      </c>
    </row>
    <row r="60" spans="3:3" x14ac:dyDescent="0.25">
      <c r="C60" t="s">
        <v>228</v>
      </c>
    </row>
    <row r="61" spans="3:3" x14ac:dyDescent="0.25">
      <c r="C61" t="s">
        <v>90</v>
      </c>
    </row>
    <row r="62" spans="3:3" x14ac:dyDescent="0.25">
      <c r="C62" t="s">
        <v>49</v>
      </c>
    </row>
    <row r="63" spans="3:3" x14ac:dyDescent="0.25">
      <c r="C63" t="s">
        <v>76</v>
      </c>
    </row>
    <row r="64" spans="3:3" x14ac:dyDescent="0.25">
      <c r="C64" t="s">
        <v>33</v>
      </c>
    </row>
    <row r="65" spans="3:3" x14ac:dyDescent="0.25">
      <c r="C65" t="s">
        <v>297</v>
      </c>
    </row>
    <row r="66" spans="3:3" x14ac:dyDescent="0.25">
      <c r="C66" t="s">
        <v>152</v>
      </c>
    </row>
    <row r="67" spans="3:3" x14ac:dyDescent="0.25">
      <c r="C67" t="s">
        <v>347</v>
      </c>
    </row>
    <row r="68" spans="3:3" x14ac:dyDescent="0.25">
      <c r="C68" t="s">
        <v>314</v>
      </c>
    </row>
    <row r="69" spans="3:3" x14ac:dyDescent="0.25">
      <c r="C69" t="s">
        <v>389</v>
      </c>
    </row>
    <row r="70" spans="3:3" x14ac:dyDescent="0.25">
      <c r="C70" t="s">
        <v>390</v>
      </c>
    </row>
    <row r="71" spans="3:3" x14ac:dyDescent="0.25">
      <c r="C71" t="s">
        <v>391</v>
      </c>
    </row>
    <row r="72" spans="3:3" x14ac:dyDescent="0.25">
      <c r="C72" t="s">
        <v>89</v>
      </c>
    </row>
    <row r="73" spans="3:3" x14ac:dyDescent="0.25">
      <c r="C73" t="s">
        <v>46</v>
      </c>
    </row>
    <row r="74" spans="3:3" x14ac:dyDescent="0.25">
      <c r="C74" t="s">
        <v>156</v>
      </c>
    </row>
    <row r="75" spans="3:3" x14ac:dyDescent="0.25">
      <c r="C75" t="s">
        <v>36</v>
      </c>
    </row>
    <row r="76" spans="3:3" x14ac:dyDescent="0.25">
      <c r="C76" t="s">
        <v>392</v>
      </c>
    </row>
    <row r="77" spans="3:3" x14ac:dyDescent="0.25">
      <c r="C77" t="s">
        <v>393</v>
      </c>
    </row>
    <row r="78" spans="3:3" x14ac:dyDescent="0.25">
      <c r="C78" t="s">
        <v>287</v>
      </c>
    </row>
    <row r="79" spans="3:3" x14ac:dyDescent="0.25">
      <c r="C79" t="s">
        <v>286</v>
      </c>
    </row>
    <row r="80" spans="3:3" x14ac:dyDescent="0.25">
      <c r="C80" t="s">
        <v>94</v>
      </c>
    </row>
    <row r="81" spans="3:3" x14ac:dyDescent="0.25">
      <c r="C81" t="s">
        <v>80</v>
      </c>
    </row>
    <row r="82" spans="3:3" x14ac:dyDescent="0.25">
      <c r="C82" t="s">
        <v>394</v>
      </c>
    </row>
    <row r="83" spans="3:3" x14ac:dyDescent="0.25">
      <c r="C83" t="s">
        <v>292</v>
      </c>
    </row>
    <row r="84" spans="3:3" x14ac:dyDescent="0.25">
      <c r="C84" t="s">
        <v>109</v>
      </c>
    </row>
    <row r="85" spans="3:3" x14ac:dyDescent="0.25">
      <c r="C85" t="s">
        <v>395</v>
      </c>
    </row>
  </sheetData>
  <sortState xmlns:xlrd2="http://schemas.microsoft.com/office/spreadsheetml/2017/richdata2" ref="C2:C84">
    <sortCondition ref="C8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88FA4-9414-4484-97B0-AEAEAB792851}">
  <sheetPr codeName="Planilha7"/>
  <dimension ref="A1:AB122"/>
  <sheetViews>
    <sheetView topLeftCell="A91" zoomScale="85" zoomScaleNormal="85" workbookViewId="0">
      <selection activeCell="S12" sqref="S12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8.42578125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9" width="12.7109375" bestFit="1" customWidth="1"/>
    <col min="20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9.28515625" bestFit="1" customWidth="1"/>
  </cols>
  <sheetData>
    <row r="1" spans="1:28" ht="23.25" x14ac:dyDescent="0.25">
      <c r="A1" s="78" t="s">
        <v>396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</row>
    <row r="2" spans="1:28" x14ac:dyDescent="0.25">
      <c r="A2" s="32" t="s">
        <v>397</v>
      </c>
      <c r="B2" s="32" t="s">
        <v>398</v>
      </c>
      <c r="C2" s="32" t="s">
        <v>399</v>
      </c>
      <c r="D2" s="32" t="s">
        <v>400</v>
      </c>
      <c r="E2" s="32" t="s">
        <v>401</v>
      </c>
      <c r="F2" s="32" t="s">
        <v>402</v>
      </c>
      <c r="G2" s="32" t="s">
        <v>403</v>
      </c>
      <c r="H2" s="32" t="s">
        <v>404</v>
      </c>
      <c r="I2" s="32" t="s">
        <v>405</v>
      </c>
      <c r="J2" s="32" t="s">
        <v>406</v>
      </c>
      <c r="K2" s="32" t="s">
        <v>407</v>
      </c>
      <c r="L2" s="32" t="s">
        <v>408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</row>
    <row r="3" spans="1:28" x14ac:dyDescent="0.25">
      <c r="A3" s="34" t="s">
        <v>409</v>
      </c>
      <c r="B3" s="34" t="s">
        <v>410</v>
      </c>
      <c r="C3" s="34" t="s">
        <v>411</v>
      </c>
      <c r="D3" s="34" t="s">
        <v>412</v>
      </c>
      <c r="E3" s="34" t="s">
        <v>413</v>
      </c>
      <c r="F3" s="34" t="s">
        <v>414</v>
      </c>
      <c r="G3" s="34" t="s">
        <v>415</v>
      </c>
      <c r="H3" s="34" t="s">
        <v>416</v>
      </c>
      <c r="I3" s="34" t="s">
        <v>417</v>
      </c>
      <c r="J3" s="34" t="s">
        <v>418</v>
      </c>
      <c r="K3" s="34" t="s">
        <v>419</v>
      </c>
      <c r="L3" s="34" t="s">
        <v>420</v>
      </c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</row>
    <row r="4" spans="1:28" x14ac:dyDescent="0.25">
      <c r="A4" s="34" t="s">
        <v>421</v>
      </c>
      <c r="B4" s="34" t="s">
        <v>422</v>
      </c>
      <c r="C4" s="34" t="s">
        <v>423</v>
      </c>
      <c r="D4" s="34" t="s">
        <v>424</v>
      </c>
      <c r="E4" s="34" t="s">
        <v>425</v>
      </c>
      <c r="F4" s="34" t="s">
        <v>426</v>
      </c>
      <c r="G4" s="34" t="s">
        <v>427</v>
      </c>
      <c r="H4" s="34" t="s">
        <v>428</v>
      </c>
      <c r="I4" s="34" t="s">
        <v>429</v>
      </c>
      <c r="J4" s="34" t="s">
        <v>430</v>
      </c>
      <c r="K4" s="34" t="s">
        <v>431</v>
      </c>
      <c r="L4" s="34" t="s">
        <v>432</v>
      </c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</row>
    <row r="5" spans="1:28" x14ac:dyDescent="0.2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2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</row>
    <row r="7" spans="1:28" ht="15.75" x14ac:dyDescent="0.25">
      <c r="A7" s="79" t="s">
        <v>433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80"/>
      <c r="N7" s="81" t="s">
        <v>434</v>
      </c>
      <c r="O7" s="81"/>
      <c r="P7" s="81" t="s">
        <v>435</v>
      </c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37"/>
    </row>
    <row r="8" spans="1:28" ht="15.75" x14ac:dyDescent="0.25">
      <c r="A8" s="58" t="s">
        <v>436</v>
      </c>
      <c r="B8" s="58" t="s">
        <v>437</v>
      </c>
      <c r="C8" s="58" t="s">
        <v>438</v>
      </c>
      <c r="D8" s="58" t="s">
        <v>439</v>
      </c>
      <c r="E8" s="58" t="s">
        <v>440</v>
      </c>
      <c r="F8" s="58" t="s">
        <v>441</v>
      </c>
      <c r="G8" s="58" t="s">
        <v>442</v>
      </c>
      <c r="H8" s="58" t="s">
        <v>443</v>
      </c>
      <c r="I8" s="58" t="s">
        <v>444</v>
      </c>
      <c r="J8" s="58" t="s">
        <v>445</v>
      </c>
      <c r="K8" s="58" t="s">
        <v>446</v>
      </c>
      <c r="L8" s="58" t="s">
        <v>447</v>
      </c>
      <c r="M8" s="58" t="s">
        <v>448</v>
      </c>
      <c r="N8" s="58" t="s">
        <v>449</v>
      </c>
      <c r="O8" s="58" t="s">
        <v>450</v>
      </c>
      <c r="P8" s="58" t="s">
        <v>437</v>
      </c>
      <c r="Q8" s="58" t="s">
        <v>438</v>
      </c>
      <c r="R8" s="58" t="s">
        <v>439</v>
      </c>
      <c r="S8" s="58" t="s">
        <v>440</v>
      </c>
      <c r="T8" s="58" t="s">
        <v>441</v>
      </c>
      <c r="U8" s="58" t="s">
        <v>442</v>
      </c>
      <c r="V8" s="58" t="s">
        <v>443</v>
      </c>
      <c r="W8" s="58" t="s">
        <v>444</v>
      </c>
      <c r="X8" s="58" t="s">
        <v>445</v>
      </c>
      <c r="Y8" s="58" t="s">
        <v>446</v>
      </c>
      <c r="Z8" s="58" t="s">
        <v>447</v>
      </c>
      <c r="AA8" s="58" t="s">
        <v>448</v>
      </c>
      <c r="AB8" s="37"/>
    </row>
    <row r="9" spans="1:28" x14ac:dyDescent="0.25">
      <c r="A9" s="59" t="s">
        <v>217</v>
      </c>
      <c r="B9" s="30">
        <f>SUMIFS(CONSOLIDADO!$F:$F,CONSOLIDADO!$E:$E,$A9,CONSOLIDADO!$I:$I,A$3,CONSOLIDADO!$I:$I,A$4,CONSOLIDADO!$K:$K,"&lt;&gt;NOVO")</f>
        <v>0</v>
      </c>
      <c r="C9" s="30">
        <f>SUMIFS(CONSOLIDADO!$F:$F,CONSOLIDADO!$E:$E,$A9,CONSOLIDADO!$I:$I,B$3,CONSOLIDADO!$I:$I,B$4,CONSOLIDADO!$K:$K,"&lt;&gt;NOVO")</f>
        <v>0</v>
      </c>
      <c r="D9" s="30">
        <f>SUMIFS(CONSOLIDADO!$F:$F,CONSOLIDADO!$E:$E,$A9,CONSOLIDADO!$I:$I,C$3,CONSOLIDADO!$I:$I,C$4,CONSOLIDADO!$K:$K,"&lt;&gt;NOVO")</f>
        <v>0</v>
      </c>
      <c r="E9" s="30">
        <f>SUMIFS(CONSOLIDADO!$F:$F,CONSOLIDADO!$E:$E,$A9,CONSOLIDADO!$I:$I,D$3,CONSOLIDADO!$I:$I,D$4,CONSOLIDADO!$K:$K,"&lt;&gt;NOVO")</f>
        <v>8</v>
      </c>
      <c r="F9" s="30">
        <f>SUMIFS(CONSOLIDADO!$F:$F,CONSOLIDADO!$E:$E,$A9,CONSOLIDADO!$I:$I,E$3,CONSOLIDADO!$I:$I,E$4,CONSOLIDADO!$K:$K,"&lt;&gt;NOVO")</f>
        <v>0</v>
      </c>
      <c r="G9" s="30">
        <f>SUMIFS(CONSOLIDADO!$F:$F,CONSOLIDADO!$E:$E,$A9,CONSOLIDADO!$I:$I,F$3,CONSOLIDADO!$I:$I,F$4,CONSOLIDADO!$K:$K,"&lt;&gt;NOVO")</f>
        <v>0</v>
      </c>
      <c r="H9" s="30">
        <f>SUMIFS(CONSOLIDADO!$F:$F,CONSOLIDADO!$E:$E,$A9,CONSOLIDADO!$I:$I,G$3,CONSOLIDADO!$I:$I,G$4,CONSOLIDADO!$K:$K,"&lt;&gt;NOVO")</f>
        <v>0</v>
      </c>
      <c r="I9" s="30">
        <f>SUMIFS(CONSOLIDADO!$F:$F,CONSOLIDADO!$E:$E,$A9,CONSOLIDADO!$I:$I,H$3,CONSOLIDADO!$I:$I,H$4,CONSOLIDADO!$K:$K,"&lt;&gt;NOVO")</f>
        <v>0</v>
      </c>
      <c r="J9" s="30">
        <f>SUMIFS(CONSOLIDADO!$F:$F,CONSOLIDADO!$E:$E,$A9,CONSOLIDADO!$I:$I,I$3,CONSOLIDADO!$I:$I,I$4,CONSOLIDADO!$K:$K,"&lt;&gt;NOVO")</f>
        <v>0</v>
      </c>
      <c r="K9" s="30">
        <f>SUMIFS(CONSOLIDADO!$F:$F,CONSOLIDADO!$E:$E,$A9,CONSOLIDADO!$I:$I,J$3,CONSOLIDADO!$I:$I,J$4,CONSOLIDADO!$K:$K,"&lt;&gt;NOVO")</f>
        <v>0</v>
      </c>
      <c r="L9" s="30">
        <f>SUMIFS(CONSOLIDADO!$F:$F,CONSOLIDADO!$E:$E,$A9,CONSOLIDADO!$I:$I,K$3,CONSOLIDADO!$I:$I,K$4,CONSOLIDADO!$K:$K,"&lt;&gt;NOVO")</f>
        <v>0</v>
      </c>
      <c r="M9" s="30">
        <f>SUMIFS(CONSOLIDADO!$F:$F,CONSOLIDADO!$E:$E,$A9,CONSOLIDADO!$I:$I,L$3,CONSOLIDADO!$I:$I,L$4,CONSOLIDADO!$K:$K,"&lt;&gt;NOVO")</f>
        <v>0</v>
      </c>
      <c r="N9" s="30">
        <v>652.09</v>
      </c>
      <c r="O9" s="60">
        <v>0.8</v>
      </c>
      <c r="P9" s="61">
        <f>B9*($N9*(1-$O9))</f>
        <v>0</v>
      </c>
      <c r="Q9" s="61">
        <f t="shared" ref="Q9:AA24" si="0">C9*($N9*(1-$O9))</f>
        <v>0</v>
      </c>
      <c r="R9" s="61">
        <f t="shared" si="0"/>
        <v>0</v>
      </c>
      <c r="S9" s="61">
        <f t="shared" si="0"/>
        <v>1043.3439999999998</v>
      </c>
      <c r="T9" s="61">
        <f t="shared" si="0"/>
        <v>0</v>
      </c>
      <c r="U9" s="61">
        <f t="shared" si="0"/>
        <v>0</v>
      </c>
      <c r="V9" s="61">
        <f t="shared" si="0"/>
        <v>0</v>
      </c>
      <c r="W9" s="61">
        <f t="shared" si="0"/>
        <v>0</v>
      </c>
      <c r="X9" s="61">
        <f t="shared" si="0"/>
        <v>0</v>
      </c>
      <c r="Y9" s="61">
        <f t="shared" si="0"/>
        <v>0</v>
      </c>
      <c r="Z9" s="61">
        <f t="shared" si="0"/>
        <v>0</v>
      </c>
      <c r="AA9" s="61">
        <f t="shared" si="0"/>
        <v>0</v>
      </c>
      <c r="AB9" s="37"/>
    </row>
    <row r="10" spans="1:28" x14ac:dyDescent="0.25">
      <c r="A10" s="59" t="s">
        <v>22</v>
      </c>
      <c r="B10" s="30">
        <f>SUMIFS(CONSOLIDADO!$F:$F,CONSOLIDADO!$E:$E,$A10,CONSOLIDADO!$I:$I,A$3,CONSOLIDADO!$I:$I,A$4,CONSOLIDADO!$K:$K,"&lt;&gt;NOVO")</f>
        <v>4</v>
      </c>
      <c r="C10" s="30">
        <f>SUMIFS(CONSOLIDADO!$F:$F,CONSOLIDADO!$E:$E,$A10,CONSOLIDADO!$I:$I,B$3,CONSOLIDADO!$I:$I,B$4,CONSOLIDADO!$K:$K,"&lt;&gt;NOVO")</f>
        <v>1</v>
      </c>
      <c r="D10" s="30">
        <f>SUMIFS(CONSOLIDADO!$F:$F,CONSOLIDADO!$E:$E,$A10,CONSOLIDADO!$I:$I,C$3,CONSOLIDADO!$I:$I,C$4,CONSOLIDADO!$K:$K,"&lt;&gt;NOVO")</f>
        <v>9</v>
      </c>
      <c r="E10" s="30">
        <f>SUMIFS(CONSOLIDADO!$F:$F,CONSOLIDADO!$E:$E,$A10,CONSOLIDADO!$I:$I,D$3,CONSOLIDADO!$I:$I,D$4,CONSOLIDADO!$K:$K,"&lt;&gt;NOVO")</f>
        <v>0</v>
      </c>
      <c r="F10" s="30">
        <f>SUMIFS(CONSOLIDADO!$F:$F,CONSOLIDADO!$E:$E,$A10,CONSOLIDADO!$I:$I,E$3,CONSOLIDADO!$I:$I,E$4,CONSOLIDADO!$K:$K,"&lt;&gt;NOVO")</f>
        <v>0</v>
      </c>
      <c r="G10" s="30">
        <f>SUMIFS(CONSOLIDADO!$F:$F,CONSOLIDADO!$E:$E,$A10,CONSOLIDADO!$I:$I,F$3,CONSOLIDADO!$I:$I,F$4,CONSOLIDADO!$K:$K,"&lt;&gt;NOVO")</f>
        <v>0</v>
      </c>
      <c r="H10" s="30">
        <f>SUMIFS(CONSOLIDADO!$F:$F,CONSOLIDADO!$E:$E,$A10,CONSOLIDADO!$I:$I,G$3,CONSOLIDADO!$I:$I,G$4,CONSOLIDADO!$K:$K,"&lt;&gt;NOVO")</f>
        <v>0</v>
      </c>
      <c r="I10" s="30">
        <f>SUMIFS(CONSOLIDADO!$F:$F,CONSOLIDADO!$E:$E,$A10,CONSOLIDADO!$I:$I,H$3,CONSOLIDADO!$I:$I,H$4,CONSOLIDADO!$K:$K,"&lt;&gt;NOVO")</f>
        <v>0</v>
      </c>
      <c r="J10" s="30">
        <f>SUMIFS(CONSOLIDADO!$F:$F,CONSOLIDADO!$E:$E,$A10,CONSOLIDADO!$I:$I,I$3,CONSOLIDADO!$I:$I,I$4,CONSOLIDADO!$K:$K,"&lt;&gt;NOVO")</f>
        <v>0</v>
      </c>
      <c r="K10" s="30">
        <f>SUMIFS(CONSOLIDADO!$F:$F,CONSOLIDADO!$E:$E,$A10,CONSOLIDADO!$I:$I,J$3,CONSOLIDADO!$I:$I,J$4,CONSOLIDADO!$K:$K,"&lt;&gt;NOVO")</f>
        <v>0</v>
      </c>
      <c r="L10" s="30">
        <f>SUMIFS(CONSOLIDADO!$F:$F,CONSOLIDADO!$E:$E,$A10,CONSOLIDADO!$I:$I,K$3,CONSOLIDADO!$I:$I,K$4,CONSOLIDADO!$K:$K,"&lt;&gt;NOVO")</f>
        <v>0</v>
      </c>
      <c r="M10" s="30">
        <f>SUMIFS(CONSOLIDADO!$F:$F,CONSOLIDADO!$E:$E,$A10,CONSOLIDADO!$I:$I,L$3,CONSOLIDADO!$I:$I,L$4,CONSOLIDADO!$K:$K,"&lt;&gt;NOVO")</f>
        <v>0</v>
      </c>
      <c r="N10" s="30">
        <v>982.59</v>
      </c>
      <c r="O10" s="60">
        <v>0.8</v>
      </c>
      <c r="P10" s="61">
        <f t="shared" ref="P10:AA44" si="1">B10*($N10*(1-$O10))</f>
        <v>786.07199999999989</v>
      </c>
      <c r="Q10" s="61">
        <f t="shared" si="0"/>
        <v>196.51799999999997</v>
      </c>
      <c r="R10" s="61">
        <f t="shared" si="0"/>
        <v>1768.6619999999998</v>
      </c>
      <c r="S10" s="61">
        <f t="shared" si="0"/>
        <v>0</v>
      </c>
      <c r="T10" s="61">
        <f t="shared" si="0"/>
        <v>0</v>
      </c>
      <c r="U10" s="61">
        <f t="shared" si="0"/>
        <v>0</v>
      </c>
      <c r="V10" s="61">
        <f t="shared" si="0"/>
        <v>0</v>
      </c>
      <c r="W10" s="61">
        <f t="shared" si="0"/>
        <v>0</v>
      </c>
      <c r="X10" s="61">
        <f t="shared" si="0"/>
        <v>0</v>
      </c>
      <c r="Y10" s="61">
        <f t="shared" si="0"/>
        <v>0</v>
      </c>
      <c r="Z10" s="61">
        <f t="shared" si="0"/>
        <v>0</v>
      </c>
      <c r="AA10" s="61">
        <f t="shared" si="0"/>
        <v>0</v>
      </c>
      <c r="AB10" s="37"/>
    </row>
    <row r="11" spans="1:28" x14ac:dyDescent="0.25">
      <c r="A11" s="59" t="s">
        <v>67</v>
      </c>
      <c r="B11" s="30">
        <f>SUMIFS(CONSOLIDADO!$F:$F,CONSOLIDADO!$E:$E,$A11,CONSOLIDADO!$I:$I,A$3,CONSOLIDADO!$I:$I,A$4,CONSOLIDADO!$K:$K,"&lt;&gt;NOVO")</f>
        <v>14</v>
      </c>
      <c r="C11" s="30">
        <f>SUMIFS(CONSOLIDADO!$F:$F,CONSOLIDADO!$E:$E,$A11,CONSOLIDADO!$I:$I,B$3,CONSOLIDADO!$I:$I,B$4,CONSOLIDADO!$K:$K,"&lt;&gt;NOVO")</f>
        <v>3</v>
      </c>
      <c r="D11" s="30">
        <f>SUMIFS(CONSOLIDADO!$F:$F,CONSOLIDADO!$E:$E,$A11,CONSOLIDADO!$I:$I,C$3,CONSOLIDADO!$I:$I,C$4,CONSOLIDADO!$K:$K,"&lt;&gt;NOVO")</f>
        <v>2</v>
      </c>
      <c r="E11" s="30">
        <f>SUMIFS(CONSOLIDADO!$F:$F,CONSOLIDADO!$E:$E,$A11,CONSOLIDADO!$I:$I,D$3,CONSOLIDADO!$I:$I,D$4,CONSOLIDADO!$K:$K,"&lt;&gt;NOVO")</f>
        <v>4</v>
      </c>
      <c r="F11" s="30">
        <f>SUMIFS(CONSOLIDADO!$F:$F,CONSOLIDADO!$E:$E,$A11,CONSOLIDADO!$I:$I,E$3,CONSOLIDADO!$I:$I,E$4,CONSOLIDADO!$K:$K,"&lt;&gt;NOVO")</f>
        <v>0</v>
      </c>
      <c r="G11" s="30">
        <f>SUMIFS(CONSOLIDADO!$F:$F,CONSOLIDADO!$E:$E,$A11,CONSOLIDADO!$I:$I,F$3,CONSOLIDADO!$I:$I,F$4,CONSOLIDADO!$K:$K,"&lt;&gt;NOVO")</f>
        <v>0</v>
      </c>
      <c r="H11" s="30">
        <f>SUMIFS(CONSOLIDADO!$F:$F,CONSOLIDADO!$E:$E,$A11,CONSOLIDADO!$I:$I,G$3,CONSOLIDADO!$I:$I,G$4,CONSOLIDADO!$K:$K,"&lt;&gt;NOVO")</f>
        <v>0</v>
      </c>
      <c r="I11" s="30">
        <f>SUMIFS(CONSOLIDADO!$F:$F,CONSOLIDADO!$E:$E,$A11,CONSOLIDADO!$I:$I,H$3,CONSOLIDADO!$I:$I,H$4,CONSOLIDADO!$K:$K,"&lt;&gt;NOVO")</f>
        <v>0</v>
      </c>
      <c r="J11" s="30">
        <f>SUMIFS(CONSOLIDADO!$F:$F,CONSOLIDADO!$E:$E,$A11,CONSOLIDADO!$I:$I,I$3,CONSOLIDADO!$I:$I,I$4,CONSOLIDADO!$K:$K,"&lt;&gt;NOVO")</f>
        <v>0</v>
      </c>
      <c r="K11" s="30">
        <f>SUMIFS(CONSOLIDADO!$F:$F,CONSOLIDADO!$E:$E,$A11,CONSOLIDADO!$I:$I,J$3,CONSOLIDADO!$I:$I,J$4,CONSOLIDADO!$K:$K,"&lt;&gt;NOVO")</f>
        <v>0</v>
      </c>
      <c r="L11" s="30">
        <f>SUMIFS(CONSOLIDADO!$F:$F,CONSOLIDADO!$E:$E,$A11,CONSOLIDADO!$I:$I,K$3,CONSOLIDADO!$I:$I,K$4,CONSOLIDADO!$K:$K,"&lt;&gt;NOVO")</f>
        <v>0</v>
      </c>
      <c r="M11" s="30">
        <f>SUMIFS(CONSOLIDADO!$F:$F,CONSOLIDADO!$E:$E,$A11,CONSOLIDADO!$I:$I,L$3,CONSOLIDADO!$I:$I,L$4,CONSOLIDADO!$K:$K,"&lt;&gt;NOVO")</f>
        <v>0</v>
      </c>
      <c r="N11" s="30">
        <v>1000</v>
      </c>
      <c r="O11" s="60">
        <v>0.8</v>
      </c>
      <c r="P11" s="61">
        <f t="shared" si="1"/>
        <v>2799.9999999999991</v>
      </c>
      <c r="Q11" s="61">
        <f t="shared" si="0"/>
        <v>599.99999999999977</v>
      </c>
      <c r="R11" s="61">
        <f t="shared" si="0"/>
        <v>399.99999999999989</v>
      </c>
      <c r="S11" s="61">
        <f t="shared" si="0"/>
        <v>799.99999999999977</v>
      </c>
      <c r="T11" s="61">
        <f t="shared" si="0"/>
        <v>0</v>
      </c>
      <c r="U11" s="61">
        <f t="shared" si="0"/>
        <v>0</v>
      </c>
      <c r="V11" s="61">
        <f t="shared" si="0"/>
        <v>0</v>
      </c>
      <c r="W11" s="61">
        <f t="shared" si="0"/>
        <v>0</v>
      </c>
      <c r="X11" s="61">
        <f t="shared" si="0"/>
        <v>0</v>
      </c>
      <c r="Y11" s="61">
        <f t="shared" si="0"/>
        <v>0</v>
      </c>
      <c r="Z11" s="61">
        <f t="shared" si="0"/>
        <v>0</v>
      </c>
      <c r="AA11" s="61">
        <f t="shared" si="0"/>
        <v>0</v>
      </c>
      <c r="AB11" s="37"/>
    </row>
    <row r="12" spans="1:28" x14ac:dyDescent="0.25">
      <c r="A12" s="59" t="s">
        <v>345</v>
      </c>
      <c r="B12" s="30">
        <f>SUMIFS(CONSOLIDADO!$F:$F,CONSOLIDADO!$E:$E,$A12,CONSOLIDADO!$I:$I,A$3,CONSOLIDADO!$I:$I,A$4,CONSOLIDADO!$K:$K,"&lt;&gt;NOVO")</f>
        <v>0</v>
      </c>
      <c r="C12" s="30">
        <f>SUMIFS(CONSOLIDADO!$F:$F,CONSOLIDADO!$E:$E,$A12,CONSOLIDADO!$I:$I,B$3,CONSOLIDADO!$I:$I,B$4,CONSOLIDADO!$K:$K,"&lt;&gt;NOVO")</f>
        <v>0</v>
      </c>
      <c r="D12" s="30">
        <f>SUMIFS(CONSOLIDADO!$F:$F,CONSOLIDADO!$E:$E,$A12,CONSOLIDADO!$I:$I,C$3,CONSOLIDADO!$I:$I,C$4,CONSOLIDADO!$K:$K,"&lt;&gt;NOVO")</f>
        <v>0</v>
      </c>
      <c r="E12" s="30">
        <f>SUMIFS(CONSOLIDADO!$F:$F,CONSOLIDADO!$E:$E,$A12,CONSOLIDADO!$I:$I,D$3,CONSOLIDADO!$I:$I,D$4,CONSOLIDADO!$K:$K,"&lt;&gt;NOVO")</f>
        <v>0</v>
      </c>
      <c r="F12" s="30">
        <f>SUMIFS(CONSOLIDADO!$F:$F,CONSOLIDADO!$E:$E,$A12,CONSOLIDADO!$I:$I,E$3,CONSOLIDADO!$I:$I,E$4,CONSOLIDADO!$K:$K,"&lt;&gt;NOVO")</f>
        <v>0</v>
      </c>
      <c r="G12" s="30">
        <f>SUMIFS(CONSOLIDADO!$F:$F,CONSOLIDADO!$E:$E,$A12,CONSOLIDADO!$I:$I,F$3,CONSOLIDADO!$I:$I,F$4,CONSOLIDADO!$K:$K,"&lt;&gt;NOVO")</f>
        <v>0</v>
      </c>
      <c r="H12" s="30">
        <f>SUMIFS(CONSOLIDADO!$F:$F,CONSOLIDADO!$E:$E,$A12,CONSOLIDADO!$I:$I,G$3,CONSOLIDADO!$I:$I,G$4,CONSOLIDADO!$K:$K,"&lt;&gt;NOVO")</f>
        <v>0</v>
      </c>
      <c r="I12" s="30">
        <f>SUMIFS(CONSOLIDADO!$F:$F,CONSOLIDADO!$E:$E,$A12,CONSOLIDADO!$I:$I,H$3,CONSOLIDADO!$I:$I,H$4,CONSOLIDADO!$K:$K,"&lt;&gt;NOVO")</f>
        <v>0</v>
      </c>
      <c r="J12" s="30">
        <f>SUMIFS(CONSOLIDADO!$F:$F,CONSOLIDADO!$E:$E,$A12,CONSOLIDADO!$I:$I,I$3,CONSOLIDADO!$I:$I,I$4,CONSOLIDADO!$K:$K,"&lt;&gt;NOVO")</f>
        <v>0</v>
      </c>
      <c r="K12" s="30">
        <f>SUMIFS(CONSOLIDADO!$F:$F,CONSOLIDADO!$E:$E,$A12,CONSOLIDADO!$I:$I,J$3,CONSOLIDADO!$I:$I,J$4,CONSOLIDADO!$K:$K,"&lt;&gt;NOVO")</f>
        <v>0</v>
      </c>
      <c r="L12" s="30">
        <f>SUMIFS(CONSOLIDADO!$F:$F,CONSOLIDADO!$E:$E,$A12,CONSOLIDADO!$I:$I,K$3,CONSOLIDADO!$I:$I,K$4,CONSOLIDADO!$K:$K,"&lt;&gt;NOVO")</f>
        <v>0</v>
      </c>
      <c r="M12" s="30">
        <f>SUMIFS(CONSOLIDADO!$F:$F,CONSOLIDADO!$E:$E,$A12,CONSOLIDADO!$I:$I,L$3,CONSOLIDADO!$I:$I,L$4,CONSOLIDADO!$K:$K,"&lt;&gt;NOVO")</f>
        <v>0</v>
      </c>
      <c r="N12" s="30">
        <v>1000</v>
      </c>
      <c r="O12" s="60">
        <v>0.8</v>
      </c>
      <c r="P12" s="61">
        <f t="shared" si="1"/>
        <v>0</v>
      </c>
      <c r="Q12" s="61">
        <f t="shared" si="0"/>
        <v>0</v>
      </c>
      <c r="R12" s="61">
        <f t="shared" si="0"/>
        <v>0</v>
      </c>
      <c r="S12" s="61">
        <f t="shared" si="0"/>
        <v>0</v>
      </c>
      <c r="T12" s="61">
        <f t="shared" si="0"/>
        <v>0</v>
      </c>
      <c r="U12" s="61">
        <f t="shared" si="0"/>
        <v>0</v>
      </c>
      <c r="V12" s="61">
        <f t="shared" si="0"/>
        <v>0</v>
      </c>
      <c r="W12" s="61">
        <f t="shared" si="0"/>
        <v>0</v>
      </c>
      <c r="X12" s="61">
        <f t="shared" si="0"/>
        <v>0</v>
      </c>
      <c r="Y12" s="61">
        <f t="shared" si="0"/>
        <v>0</v>
      </c>
      <c r="Z12" s="61">
        <f t="shared" si="0"/>
        <v>0</v>
      </c>
      <c r="AA12" s="61">
        <f t="shared" si="0"/>
        <v>0</v>
      </c>
      <c r="AB12" s="37"/>
    </row>
    <row r="13" spans="1:28" x14ac:dyDescent="0.25">
      <c r="A13" s="59" t="s">
        <v>198</v>
      </c>
      <c r="B13" s="30">
        <f>SUMIFS(CONSOLIDADO!$F:$F,CONSOLIDADO!$E:$E,$A13,CONSOLIDADO!$I:$I,A$3,CONSOLIDADO!$I:$I,A$4,CONSOLIDADO!$K:$K,"&lt;&gt;NOVO")</f>
        <v>0</v>
      </c>
      <c r="C13" s="30">
        <f>SUMIFS(CONSOLIDADO!$F:$F,CONSOLIDADO!$E:$E,$A13,CONSOLIDADO!$I:$I,B$3,CONSOLIDADO!$I:$I,B$4,CONSOLIDADO!$K:$K,"&lt;&gt;NOVO")</f>
        <v>0</v>
      </c>
      <c r="D13" s="30">
        <f>SUMIFS(CONSOLIDADO!$F:$F,CONSOLIDADO!$E:$E,$A13,CONSOLIDADO!$I:$I,C$3,CONSOLIDADO!$I:$I,C$4,CONSOLIDADO!$K:$K,"&lt;&gt;NOVO")</f>
        <v>2</v>
      </c>
      <c r="E13" s="30">
        <f>SUMIFS(CONSOLIDADO!$F:$F,CONSOLIDADO!$E:$E,$A13,CONSOLIDADO!$I:$I,D$3,CONSOLIDADO!$I:$I,D$4,CONSOLIDADO!$K:$K,"&lt;&gt;NOVO")</f>
        <v>0</v>
      </c>
      <c r="F13" s="30">
        <f>SUMIFS(CONSOLIDADO!$F:$F,CONSOLIDADO!$E:$E,$A13,CONSOLIDADO!$I:$I,E$3,CONSOLIDADO!$I:$I,E$4,CONSOLIDADO!$K:$K,"&lt;&gt;NOVO")</f>
        <v>0</v>
      </c>
      <c r="G13" s="30">
        <f>SUMIFS(CONSOLIDADO!$F:$F,CONSOLIDADO!$E:$E,$A13,CONSOLIDADO!$I:$I,F$3,CONSOLIDADO!$I:$I,F$4,CONSOLIDADO!$K:$K,"&lt;&gt;NOVO")</f>
        <v>0</v>
      </c>
      <c r="H13" s="30">
        <f>SUMIFS(CONSOLIDADO!$F:$F,CONSOLIDADO!$E:$E,$A13,CONSOLIDADO!$I:$I,G$3,CONSOLIDADO!$I:$I,G$4,CONSOLIDADO!$K:$K,"&lt;&gt;NOVO")</f>
        <v>0</v>
      </c>
      <c r="I13" s="30">
        <f>SUMIFS(CONSOLIDADO!$F:$F,CONSOLIDADO!$E:$E,$A13,CONSOLIDADO!$I:$I,H$3,CONSOLIDADO!$I:$I,H$4,CONSOLIDADO!$K:$K,"&lt;&gt;NOVO")</f>
        <v>0</v>
      </c>
      <c r="J13" s="30">
        <f>SUMIFS(CONSOLIDADO!$F:$F,CONSOLIDADO!$E:$E,$A13,CONSOLIDADO!$I:$I,I$3,CONSOLIDADO!$I:$I,I$4,CONSOLIDADO!$K:$K,"&lt;&gt;NOVO")</f>
        <v>0</v>
      </c>
      <c r="K13" s="30">
        <f>SUMIFS(CONSOLIDADO!$F:$F,CONSOLIDADO!$E:$E,$A13,CONSOLIDADO!$I:$I,J$3,CONSOLIDADO!$I:$I,J$4,CONSOLIDADO!$K:$K,"&lt;&gt;NOVO")</f>
        <v>0</v>
      </c>
      <c r="L13" s="30">
        <f>SUMIFS(CONSOLIDADO!$F:$F,CONSOLIDADO!$E:$E,$A13,CONSOLIDADO!$I:$I,K$3,CONSOLIDADO!$I:$I,K$4,CONSOLIDADO!$K:$K,"&lt;&gt;NOVO")</f>
        <v>0</v>
      </c>
      <c r="M13" s="30">
        <f>SUMIFS(CONSOLIDADO!$F:$F,CONSOLIDADO!$E:$E,$A13,CONSOLIDADO!$I:$I,L$3,CONSOLIDADO!$I:$I,L$4,CONSOLIDADO!$K:$K,"&lt;&gt;NOVO")</f>
        <v>0</v>
      </c>
      <c r="N13" s="30">
        <v>932.53</v>
      </c>
      <c r="O13" s="60">
        <v>0.8</v>
      </c>
      <c r="P13" s="61">
        <f t="shared" si="1"/>
        <v>0</v>
      </c>
      <c r="Q13" s="61">
        <f t="shared" si="0"/>
        <v>0</v>
      </c>
      <c r="R13" s="61">
        <f t="shared" si="0"/>
        <v>373.01199999999989</v>
      </c>
      <c r="S13" s="61">
        <f t="shared" si="0"/>
        <v>0</v>
      </c>
      <c r="T13" s="61">
        <f t="shared" si="0"/>
        <v>0</v>
      </c>
      <c r="U13" s="61">
        <f t="shared" si="0"/>
        <v>0</v>
      </c>
      <c r="V13" s="61">
        <f t="shared" si="0"/>
        <v>0</v>
      </c>
      <c r="W13" s="61">
        <f t="shared" si="0"/>
        <v>0</v>
      </c>
      <c r="X13" s="61">
        <f t="shared" si="0"/>
        <v>0</v>
      </c>
      <c r="Y13" s="61">
        <f t="shared" si="0"/>
        <v>0</v>
      </c>
      <c r="Z13" s="61">
        <f t="shared" si="0"/>
        <v>0</v>
      </c>
      <c r="AA13" s="61">
        <f t="shared" si="0"/>
        <v>0</v>
      </c>
      <c r="AB13" s="37"/>
    </row>
    <row r="14" spans="1:28" x14ac:dyDescent="0.25">
      <c r="A14" t="s">
        <v>350</v>
      </c>
      <c r="B14" s="30">
        <f>SUMIFS(CONSOLIDADO!$F:$F,CONSOLIDADO!$E:$E,$A14,CONSOLIDADO!$I:$I,A$3,CONSOLIDADO!$I:$I,A$4,CONSOLIDADO!$K:$K,"&lt;&gt;NOVO")</f>
        <v>0</v>
      </c>
      <c r="C14" s="30">
        <f>SUMIFS(CONSOLIDADO!$F:$F,CONSOLIDADO!$E:$E,$A14,CONSOLIDADO!$I:$I,B$3,CONSOLIDADO!$I:$I,B$4,CONSOLIDADO!$K:$K,"&lt;&gt;NOVO")</f>
        <v>0</v>
      </c>
      <c r="D14" s="30">
        <f>SUMIFS(CONSOLIDADO!$F:$F,CONSOLIDADO!$E:$E,$A14,CONSOLIDADO!$I:$I,C$3,CONSOLIDADO!$I:$I,C$4,CONSOLIDADO!$K:$K,"&lt;&gt;NOVO")</f>
        <v>0</v>
      </c>
      <c r="E14" s="30">
        <f>SUMIFS(CONSOLIDADO!$F:$F,CONSOLIDADO!$E:$E,$A14,CONSOLIDADO!$I:$I,D$3,CONSOLIDADO!$I:$I,D$4,CONSOLIDADO!$K:$K,"&lt;&gt;NOVO")</f>
        <v>0</v>
      </c>
      <c r="F14" s="30">
        <f>SUMIFS(CONSOLIDADO!$F:$F,CONSOLIDADO!$E:$E,$A14,CONSOLIDADO!$I:$I,E$3,CONSOLIDADO!$I:$I,E$4,CONSOLIDADO!$K:$K,"&lt;&gt;NOVO")</f>
        <v>0</v>
      </c>
      <c r="G14" s="30">
        <f>SUMIFS(CONSOLIDADO!$F:$F,CONSOLIDADO!$E:$E,$A14,CONSOLIDADO!$I:$I,F$3,CONSOLIDADO!$I:$I,F$4,CONSOLIDADO!$K:$K,"&lt;&gt;NOVO")</f>
        <v>0</v>
      </c>
      <c r="H14" s="30">
        <f>SUMIFS(CONSOLIDADO!$F:$F,CONSOLIDADO!$E:$E,$A14,CONSOLIDADO!$I:$I,G$3,CONSOLIDADO!$I:$I,G$4,CONSOLIDADO!$K:$K,"&lt;&gt;NOVO")</f>
        <v>0</v>
      </c>
      <c r="I14" s="30">
        <f>SUMIFS(CONSOLIDADO!$F:$F,CONSOLIDADO!$E:$E,$A14,CONSOLIDADO!$I:$I,H$3,CONSOLIDADO!$I:$I,H$4,CONSOLIDADO!$K:$K,"&lt;&gt;NOVO")</f>
        <v>0</v>
      </c>
      <c r="J14" s="30">
        <f>SUMIFS(CONSOLIDADO!$F:$F,CONSOLIDADO!$E:$E,$A14,CONSOLIDADO!$I:$I,I$3,CONSOLIDADO!$I:$I,I$4,CONSOLIDADO!$K:$K,"&lt;&gt;NOVO")</f>
        <v>0</v>
      </c>
      <c r="K14" s="30">
        <f>SUMIFS(CONSOLIDADO!$F:$F,CONSOLIDADO!$E:$E,$A14,CONSOLIDADO!$I:$I,J$3,CONSOLIDADO!$I:$I,J$4,CONSOLIDADO!$K:$K,"&lt;&gt;NOVO")</f>
        <v>0</v>
      </c>
      <c r="L14" s="30">
        <f>SUMIFS(CONSOLIDADO!$F:$F,CONSOLIDADO!$E:$E,$A14,CONSOLIDADO!$I:$I,K$3,CONSOLIDADO!$I:$I,K$4,CONSOLIDADO!$K:$K,"&lt;&gt;NOVO")</f>
        <v>0</v>
      </c>
      <c r="M14" s="30">
        <f>SUMIFS(CONSOLIDADO!$F:$F,CONSOLIDADO!$E:$E,$A14,CONSOLIDADO!$I:$I,L$3,CONSOLIDADO!$I:$I,L$4,CONSOLIDADO!$K:$K,"&lt;&gt;NOVO")</f>
        <v>0</v>
      </c>
      <c r="N14" s="30">
        <v>1000</v>
      </c>
      <c r="O14" s="60">
        <v>0.8</v>
      </c>
      <c r="P14" s="61">
        <f t="shared" si="1"/>
        <v>0</v>
      </c>
      <c r="Q14" s="61">
        <f t="shared" si="0"/>
        <v>0</v>
      </c>
      <c r="R14" s="61">
        <f t="shared" si="0"/>
        <v>0</v>
      </c>
      <c r="S14" s="61">
        <f t="shared" si="0"/>
        <v>0</v>
      </c>
      <c r="T14" s="61">
        <f t="shared" si="0"/>
        <v>0</v>
      </c>
      <c r="U14" s="61">
        <f t="shared" si="0"/>
        <v>0</v>
      </c>
      <c r="V14" s="61">
        <f t="shared" si="0"/>
        <v>0</v>
      </c>
      <c r="W14" s="61">
        <f t="shared" si="0"/>
        <v>0</v>
      </c>
      <c r="X14" s="61">
        <f t="shared" si="0"/>
        <v>0</v>
      </c>
      <c r="Y14" s="61">
        <f t="shared" si="0"/>
        <v>0</v>
      </c>
      <c r="Z14" s="61">
        <f t="shared" si="0"/>
        <v>0</v>
      </c>
      <c r="AA14" s="61">
        <f t="shared" si="0"/>
        <v>0</v>
      </c>
      <c r="AB14" s="37"/>
    </row>
    <row r="15" spans="1:28" x14ac:dyDescent="0.25">
      <c r="A15" s="59" t="s">
        <v>39</v>
      </c>
      <c r="B15" s="30">
        <f>SUMIFS(CONSOLIDADO!$F:$F,CONSOLIDADO!$E:$E,$A15,CONSOLIDADO!$I:$I,A$3,CONSOLIDADO!$I:$I,A$4,CONSOLIDADO!$K:$K,"&lt;&gt;NOVO")</f>
        <v>1</v>
      </c>
      <c r="C15" s="30">
        <f>SUMIFS(CONSOLIDADO!$F:$F,CONSOLIDADO!$E:$E,$A15,CONSOLIDADO!$I:$I,B$3,CONSOLIDADO!$I:$I,B$4,CONSOLIDADO!$K:$K,"&lt;&gt;NOVO")</f>
        <v>13</v>
      </c>
      <c r="D15" s="30">
        <f>SUMIFS(CONSOLIDADO!$F:$F,CONSOLIDADO!$E:$E,$A15,CONSOLIDADO!$I:$I,C$3,CONSOLIDADO!$I:$I,C$4,CONSOLIDADO!$K:$K,"&lt;&gt;NOVO")</f>
        <v>5</v>
      </c>
      <c r="E15" s="30">
        <f>SUMIFS(CONSOLIDADO!$F:$F,CONSOLIDADO!$E:$E,$A15,CONSOLIDADO!$I:$I,D$3,CONSOLIDADO!$I:$I,D$4,CONSOLIDADO!$K:$K,"&lt;&gt;NOVO")</f>
        <v>12</v>
      </c>
      <c r="F15" s="30">
        <f>SUMIFS(CONSOLIDADO!$F:$F,CONSOLIDADO!$E:$E,$A15,CONSOLIDADO!$I:$I,E$3,CONSOLIDADO!$I:$I,E$4,CONSOLIDADO!$K:$K,"&lt;&gt;NOVO")</f>
        <v>0</v>
      </c>
      <c r="G15" s="30">
        <f>SUMIFS(CONSOLIDADO!$F:$F,CONSOLIDADO!$E:$E,$A15,CONSOLIDADO!$I:$I,F$3,CONSOLIDADO!$I:$I,F$4,CONSOLIDADO!$K:$K,"&lt;&gt;NOVO")</f>
        <v>0</v>
      </c>
      <c r="H15" s="30">
        <f>SUMIFS(CONSOLIDADO!$F:$F,CONSOLIDADO!$E:$E,$A15,CONSOLIDADO!$I:$I,G$3,CONSOLIDADO!$I:$I,G$4,CONSOLIDADO!$K:$K,"&lt;&gt;NOVO")</f>
        <v>0</v>
      </c>
      <c r="I15" s="30">
        <f>SUMIFS(CONSOLIDADO!$F:$F,CONSOLIDADO!$E:$E,$A15,CONSOLIDADO!$I:$I,H$3,CONSOLIDADO!$I:$I,H$4,CONSOLIDADO!$K:$K,"&lt;&gt;NOVO")</f>
        <v>0</v>
      </c>
      <c r="J15" s="30">
        <f>SUMIFS(CONSOLIDADO!$F:$F,CONSOLIDADO!$E:$E,$A15,CONSOLIDADO!$I:$I,I$3,CONSOLIDADO!$I:$I,I$4,CONSOLIDADO!$K:$K,"&lt;&gt;NOVO")</f>
        <v>0</v>
      </c>
      <c r="K15" s="30">
        <f>SUMIFS(CONSOLIDADO!$F:$F,CONSOLIDADO!$E:$E,$A15,CONSOLIDADO!$I:$I,J$3,CONSOLIDADO!$I:$I,J$4,CONSOLIDADO!$K:$K,"&lt;&gt;NOVO")</f>
        <v>0</v>
      </c>
      <c r="L15" s="30">
        <f>SUMIFS(CONSOLIDADO!$F:$F,CONSOLIDADO!$E:$E,$A15,CONSOLIDADO!$I:$I,K$3,CONSOLIDADO!$I:$I,K$4,CONSOLIDADO!$K:$K,"&lt;&gt;NOVO")</f>
        <v>0</v>
      </c>
      <c r="M15" s="30">
        <f>SUMIFS(CONSOLIDADO!$F:$F,CONSOLIDADO!$E:$E,$A15,CONSOLIDADO!$I:$I,L$3,CONSOLIDADO!$I:$I,L$4,CONSOLIDADO!$K:$K,"&lt;&gt;NOVO")</f>
        <v>0</v>
      </c>
      <c r="N15" s="30">
        <v>1075.51</v>
      </c>
      <c r="O15" s="60">
        <v>0.8</v>
      </c>
      <c r="P15" s="61">
        <f t="shared" si="1"/>
        <v>215.10199999999995</v>
      </c>
      <c r="Q15" s="61">
        <f t="shared" si="0"/>
        <v>2796.3259999999991</v>
      </c>
      <c r="R15" s="61">
        <f t="shared" si="0"/>
        <v>1075.5099999999998</v>
      </c>
      <c r="S15" s="61">
        <f t="shared" si="0"/>
        <v>2581.2239999999993</v>
      </c>
      <c r="T15" s="61">
        <f t="shared" si="0"/>
        <v>0</v>
      </c>
      <c r="U15" s="61">
        <f t="shared" si="0"/>
        <v>0</v>
      </c>
      <c r="V15" s="61">
        <f t="shared" si="0"/>
        <v>0</v>
      </c>
      <c r="W15" s="61">
        <f t="shared" si="0"/>
        <v>0</v>
      </c>
      <c r="X15" s="61">
        <f t="shared" si="0"/>
        <v>0</v>
      </c>
      <c r="Y15" s="61">
        <f t="shared" si="0"/>
        <v>0</v>
      </c>
      <c r="Z15" s="61">
        <f t="shared" si="0"/>
        <v>0</v>
      </c>
      <c r="AA15" s="61">
        <f t="shared" si="0"/>
        <v>0</v>
      </c>
      <c r="AB15" s="37"/>
    </row>
    <row r="16" spans="1:28" x14ac:dyDescent="0.25">
      <c r="A16" s="59" t="s">
        <v>43</v>
      </c>
      <c r="B16" s="30">
        <f>SUMIFS(CONSOLIDADO!$F:$F,CONSOLIDADO!$E:$E,$A16,CONSOLIDADO!$I:$I,A$3,CONSOLIDADO!$I:$I,A$4,CONSOLIDADO!$K:$K,"&lt;&gt;NOVO")</f>
        <v>3</v>
      </c>
      <c r="C16" s="30">
        <f>SUMIFS(CONSOLIDADO!$F:$F,CONSOLIDADO!$E:$E,$A16,CONSOLIDADO!$I:$I,B$3,CONSOLIDADO!$I:$I,B$4,CONSOLIDADO!$K:$K,"&lt;&gt;NOVO")</f>
        <v>5</v>
      </c>
      <c r="D16" s="30">
        <f>SUMIFS(CONSOLIDADO!$F:$F,CONSOLIDADO!$E:$E,$A16,CONSOLIDADO!$I:$I,C$3,CONSOLIDADO!$I:$I,C$4,CONSOLIDADO!$K:$K,"&lt;&gt;NOVO")</f>
        <v>21</v>
      </c>
      <c r="E16" s="30">
        <f>SUMIFS(CONSOLIDADO!$F:$F,CONSOLIDADO!$E:$E,$A16,CONSOLIDADO!$I:$I,D$3,CONSOLIDADO!$I:$I,D$4,CONSOLIDADO!$K:$K,"&lt;&gt;NOVO")</f>
        <v>6</v>
      </c>
      <c r="F16" s="30">
        <f>SUMIFS(CONSOLIDADO!$F:$F,CONSOLIDADO!$E:$E,$A16,CONSOLIDADO!$I:$I,E$3,CONSOLIDADO!$I:$I,E$4,CONSOLIDADO!$K:$K,"&lt;&gt;NOVO")</f>
        <v>0</v>
      </c>
      <c r="G16" s="30">
        <f>SUMIFS(CONSOLIDADO!$F:$F,CONSOLIDADO!$E:$E,$A16,CONSOLIDADO!$I:$I,F$3,CONSOLIDADO!$I:$I,F$4,CONSOLIDADO!$K:$K,"&lt;&gt;NOVO")</f>
        <v>0</v>
      </c>
      <c r="H16" s="30">
        <f>SUMIFS(CONSOLIDADO!$F:$F,CONSOLIDADO!$E:$E,$A16,CONSOLIDADO!$I:$I,G$3,CONSOLIDADO!$I:$I,G$4,CONSOLIDADO!$K:$K,"&lt;&gt;NOVO")</f>
        <v>0</v>
      </c>
      <c r="I16" s="30">
        <f>SUMIFS(CONSOLIDADO!$F:$F,CONSOLIDADO!$E:$E,$A16,CONSOLIDADO!$I:$I,H$3,CONSOLIDADO!$I:$I,H$4,CONSOLIDADO!$K:$K,"&lt;&gt;NOVO")</f>
        <v>0</v>
      </c>
      <c r="J16" s="30">
        <f>SUMIFS(CONSOLIDADO!$F:$F,CONSOLIDADO!$E:$E,$A16,CONSOLIDADO!$I:$I,I$3,CONSOLIDADO!$I:$I,I$4,CONSOLIDADO!$K:$K,"&lt;&gt;NOVO")</f>
        <v>0</v>
      </c>
      <c r="K16" s="30">
        <f>SUMIFS(CONSOLIDADO!$F:$F,CONSOLIDADO!$E:$E,$A16,CONSOLIDADO!$I:$I,J$3,CONSOLIDADO!$I:$I,J$4,CONSOLIDADO!$K:$K,"&lt;&gt;NOVO")</f>
        <v>0</v>
      </c>
      <c r="L16" s="30">
        <f>SUMIFS(CONSOLIDADO!$F:$F,CONSOLIDADO!$E:$E,$A16,CONSOLIDADO!$I:$I,K$3,CONSOLIDADO!$I:$I,K$4,CONSOLIDADO!$K:$K,"&lt;&gt;NOVO")</f>
        <v>0</v>
      </c>
      <c r="M16" s="30">
        <f>SUMIFS(CONSOLIDADO!$F:$F,CONSOLIDADO!$E:$E,$A16,CONSOLIDADO!$I:$I,L$3,CONSOLIDADO!$I:$I,L$4,CONSOLIDADO!$K:$K,"&lt;&gt;NOVO")</f>
        <v>0</v>
      </c>
      <c r="N16" s="30">
        <v>675.51</v>
      </c>
      <c r="O16" s="60">
        <v>0.8</v>
      </c>
      <c r="P16" s="61">
        <f t="shared" si="1"/>
        <v>405.30599999999993</v>
      </c>
      <c r="Q16" s="61">
        <f t="shared" si="0"/>
        <v>675.50999999999988</v>
      </c>
      <c r="R16" s="61">
        <f t="shared" si="0"/>
        <v>2837.1419999999994</v>
      </c>
      <c r="S16" s="61">
        <f t="shared" si="0"/>
        <v>810.61199999999985</v>
      </c>
      <c r="T16" s="61">
        <f t="shared" si="0"/>
        <v>0</v>
      </c>
      <c r="U16" s="61">
        <f t="shared" si="0"/>
        <v>0</v>
      </c>
      <c r="V16" s="61">
        <f t="shared" si="0"/>
        <v>0</v>
      </c>
      <c r="W16" s="61">
        <f t="shared" si="0"/>
        <v>0</v>
      </c>
      <c r="X16" s="61">
        <f t="shared" si="0"/>
        <v>0</v>
      </c>
      <c r="Y16" s="61">
        <f t="shared" si="0"/>
        <v>0</v>
      </c>
      <c r="Z16" s="61">
        <f t="shared" si="0"/>
        <v>0</v>
      </c>
      <c r="AA16" s="61">
        <f t="shared" si="0"/>
        <v>0</v>
      </c>
      <c r="AB16" s="37"/>
    </row>
    <row r="17" spans="1:28" x14ac:dyDescent="0.25">
      <c r="A17" s="59" t="s">
        <v>359</v>
      </c>
      <c r="B17" s="30">
        <f>SUMIFS(CONSOLIDADO!$F:$F,CONSOLIDADO!$E:$E,$A17,CONSOLIDADO!$I:$I,A$3,CONSOLIDADO!$I:$I,A$4,CONSOLIDADO!$K:$K,"&lt;&gt;NOVO")</f>
        <v>0</v>
      </c>
      <c r="C17" s="30">
        <f>SUMIFS(CONSOLIDADO!$F:$F,CONSOLIDADO!$E:$E,$A17,CONSOLIDADO!$I:$I,B$3,CONSOLIDADO!$I:$I,B$4,CONSOLIDADO!$K:$K,"&lt;&gt;NOVO")</f>
        <v>0</v>
      </c>
      <c r="D17" s="30">
        <f>SUMIFS(CONSOLIDADO!$F:$F,CONSOLIDADO!$E:$E,$A17,CONSOLIDADO!$I:$I,C$3,CONSOLIDADO!$I:$I,C$4,CONSOLIDADO!$K:$K,"&lt;&gt;NOVO")</f>
        <v>0</v>
      </c>
      <c r="E17" s="30">
        <f>SUMIFS(CONSOLIDADO!$F:$F,CONSOLIDADO!$E:$E,$A17,CONSOLIDADO!$I:$I,D$3,CONSOLIDADO!$I:$I,D$4,CONSOLIDADO!$K:$K,"&lt;&gt;NOVO")</f>
        <v>0</v>
      </c>
      <c r="F17" s="30">
        <f>SUMIFS(CONSOLIDADO!$F:$F,CONSOLIDADO!$E:$E,$A17,CONSOLIDADO!$I:$I,E$3,CONSOLIDADO!$I:$I,E$4,CONSOLIDADO!$K:$K,"&lt;&gt;NOVO")</f>
        <v>0</v>
      </c>
      <c r="G17" s="30">
        <f>SUMIFS(CONSOLIDADO!$F:$F,CONSOLIDADO!$E:$E,$A17,CONSOLIDADO!$I:$I,F$3,CONSOLIDADO!$I:$I,F$4,CONSOLIDADO!$K:$K,"&lt;&gt;NOVO")</f>
        <v>0</v>
      </c>
      <c r="H17" s="30">
        <f>SUMIFS(CONSOLIDADO!$F:$F,CONSOLIDADO!$E:$E,$A17,CONSOLIDADO!$I:$I,G$3,CONSOLIDADO!$I:$I,G$4,CONSOLIDADO!$K:$K,"&lt;&gt;NOVO")</f>
        <v>0</v>
      </c>
      <c r="I17" s="30">
        <f>SUMIFS(CONSOLIDADO!$F:$F,CONSOLIDADO!$E:$E,$A17,CONSOLIDADO!$I:$I,H$3,CONSOLIDADO!$I:$I,H$4,CONSOLIDADO!$K:$K,"&lt;&gt;NOVO")</f>
        <v>0</v>
      </c>
      <c r="J17" s="30">
        <f>SUMIFS(CONSOLIDADO!$F:$F,CONSOLIDADO!$E:$E,$A17,CONSOLIDADO!$I:$I,I$3,CONSOLIDADO!$I:$I,I$4,CONSOLIDADO!$K:$K,"&lt;&gt;NOVO")</f>
        <v>0</v>
      </c>
      <c r="K17" s="30">
        <f>SUMIFS(CONSOLIDADO!$F:$F,CONSOLIDADO!$E:$E,$A17,CONSOLIDADO!$I:$I,J$3,CONSOLIDADO!$I:$I,J$4,CONSOLIDADO!$K:$K,"&lt;&gt;NOVO")</f>
        <v>0</v>
      </c>
      <c r="L17" s="30">
        <f>SUMIFS(CONSOLIDADO!$F:$F,CONSOLIDADO!$E:$E,$A17,CONSOLIDADO!$I:$I,K$3,CONSOLIDADO!$I:$I,K$4,CONSOLIDADO!$K:$K,"&lt;&gt;NOVO")</f>
        <v>0</v>
      </c>
      <c r="M17" s="30">
        <f>SUMIFS(CONSOLIDADO!$F:$F,CONSOLIDADO!$E:$E,$A17,CONSOLIDADO!$I:$I,L$3,CONSOLIDADO!$I:$I,L$4,CONSOLIDADO!$K:$K,"&lt;&gt;NOVO")</f>
        <v>0</v>
      </c>
      <c r="N17" s="30">
        <v>1075.51</v>
      </c>
      <c r="O17" s="60">
        <v>0.8</v>
      </c>
      <c r="P17" s="61">
        <f t="shared" si="1"/>
        <v>0</v>
      </c>
      <c r="Q17" s="61">
        <f t="shared" si="0"/>
        <v>0</v>
      </c>
      <c r="R17" s="61">
        <f t="shared" si="0"/>
        <v>0</v>
      </c>
      <c r="S17" s="61">
        <f t="shared" si="0"/>
        <v>0</v>
      </c>
      <c r="T17" s="61">
        <f t="shared" si="0"/>
        <v>0</v>
      </c>
      <c r="U17" s="61">
        <f t="shared" si="0"/>
        <v>0</v>
      </c>
      <c r="V17" s="61">
        <f t="shared" si="0"/>
        <v>0</v>
      </c>
      <c r="W17" s="61">
        <f t="shared" si="0"/>
        <v>0</v>
      </c>
      <c r="X17" s="61">
        <f t="shared" si="0"/>
        <v>0</v>
      </c>
      <c r="Y17" s="61">
        <f t="shared" si="0"/>
        <v>0</v>
      </c>
      <c r="Z17" s="61">
        <f t="shared" si="0"/>
        <v>0</v>
      </c>
      <c r="AA17" s="61">
        <f t="shared" si="0"/>
        <v>0</v>
      </c>
      <c r="AB17" s="37"/>
    </row>
    <row r="18" spans="1:28" x14ac:dyDescent="0.25">
      <c r="A18" t="s">
        <v>356</v>
      </c>
      <c r="B18" s="30">
        <f>SUMIFS(CONSOLIDADO!$F:$F,CONSOLIDADO!$E:$E,$A18,CONSOLIDADO!$I:$I,A$3,CONSOLIDADO!$I:$I,A$4,CONSOLIDADO!$K:$K,"&lt;&gt;NOVO")</f>
        <v>0</v>
      </c>
      <c r="C18" s="30">
        <f>SUMIFS(CONSOLIDADO!$F:$F,CONSOLIDADO!$E:$E,$A18,CONSOLIDADO!$I:$I,B$3,CONSOLIDADO!$I:$I,B$4,CONSOLIDADO!$K:$K,"&lt;&gt;NOVO")</f>
        <v>0</v>
      </c>
      <c r="D18" s="30">
        <f>SUMIFS(CONSOLIDADO!$F:$F,CONSOLIDADO!$E:$E,$A18,CONSOLIDADO!$I:$I,C$3,CONSOLIDADO!$I:$I,C$4,CONSOLIDADO!$K:$K,"&lt;&gt;NOVO")</f>
        <v>0</v>
      </c>
      <c r="E18" s="30">
        <f>SUMIFS(CONSOLIDADO!$F:$F,CONSOLIDADO!$E:$E,$A18,CONSOLIDADO!$I:$I,D$3,CONSOLIDADO!$I:$I,D$4,CONSOLIDADO!$K:$K,"&lt;&gt;NOVO")</f>
        <v>0</v>
      </c>
      <c r="F18" s="30">
        <f>SUMIFS(CONSOLIDADO!$F:$F,CONSOLIDADO!$E:$E,$A18,CONSOLIDADO!$I:$I,E$3,CONSOLIDADO!$I:$I,E$4,CONSOLIDADO!$K:$K,"&lt;&gt;NOVO")</f>
        <v>0</v>
      </c>
      <c r="G18" s="30">
        <f>SUMIFS(CONSOLIDADO!$F:$F,CONSOLIDADO!$E:$E,$A18,CONSOLIDADO!$I:$I,F$3,CONSOLIDADO!$I:$I,F$4,CONSOLIDADO!$K:$K,"&lt;&gt;NOVO")</f>
        <v>0</v>
      </c>
      <c r="H18" s="30">
        <f>SUMIFS(CONSOLIDADO!$F:$F,CONSOLIDADO!$E:$E,$A18,CONSOLIDADO!$I:$I,G$3,CONSOLIDADO!$I:$I,G$4,CONSOLIDADO!$K:$K,"&lt;&gt;NOVO")</f>
        <v>0</v>
      </c>
      <c r="I18" s="30">
        <f>SUMIFS(CONSOLIDADO!$F:$F,CONSOLIDADO!$E:$E,$A18,CONSOLIDADO!$I:$I,H$3,CONSOLIDADO!$I:$I,H$4,CONSOLIDADO!$K:$K,"&lt;&gt;NOVO")</f>
        <v>0</v>
      </c>
      <c r="J18" s="30">
        <f>SUMIFS(CONSOLIDADO!$F:$F,CONSOLIDADO!$E:$E,$A18,CONSOLIDADO!$I:$I,I$3,CONSOLIDADO!$I:$I,I$4,CONSOLIDADO!$K:$K,"&lt;&gt;NOVO")</f>
        <v>0</v>
      </c>
      <c r="K18" s="30">
        <f>SUMIFS(CONSOLIDADO!$F:$F,CONSOLIDADO!$E:$E,$A18,CONSOLIDADO!$I:$I,J$3,CONSOLIDADO!$I:$I,J$4,CONSOLIDADO!$K:$K,"&lt;&gt;NOVO")</f>
        <v>0</v>
      </c>
      <c r="L18" s="30">
        <f>SUMIFS(CONSOLIDADO!$F:$F,CONSOLIDADO!$E:$E,$A18,CONSOLIDADO!$I:$I,K$3,CONSOLIDADO!$I:$I,K$4,CONSOLIDADO!$K:$K,"&lt;&gt;NOVO")</f>
        <v>0</v>
      </c>
      <c r="M18" s="30">
        <f>SUMIFS(CONSOLIDADO!$F:$F,CONSOLIDADO!$E:$E,$A18,CONSOLIDADO!$I:$I,L$3,CONSOLIDADO!$I:$I,L$4,CONSOLIDADO!$K:$K,"&lt;&gt;NOVO")</f>
        <v>0</v>
      </c>
      <c r="N18" s="30">
        <v>1075.51</v>
      </c>
      <c r="O18" s="60">
        <v>0.8</v>
      </c>
      <c r="P18" s="61">
        <f t="shared" si="1"/>
        <v>0</v>
      </c>
      <c r="Q18" s="61">
        <f t="shared" si="0"/>
        <v>0</v>
      </c>
      <c r="R18" s="61">
        <f t="shared" si="0"/>
        <v>0</v>
      </c>
      <c r="S18" s="61">
        <f t="shared" si="0"/>
        <v>0</v>
      </c>
      <c r="T18" s="61">
        <f t="shared" si="0"/>
        <v>0</v>
      </c>
      <c r="U18" s="61">
        <f t="shared" si="0"/>
        <v>0</v>
      </c>
      <c r="V18" s="61">
        <f t="shared" si="0"/>
        <v>0</v>
      </c>
      <c r="W18" s="61">
        <f t="shared" si="0"/>
        <v>0</v>
      </c>
      <c r="X18" s="61">
        <f t="shared" si="0"/>
        <v>0</v>
      </c>
      <c r="Y18" s="61">
        <f t="shared" si="0"/>
        <v>0</v>
      </c>
      <c r="Z18" s="61">
        <f t="shared" si="0"/>
        <v>0</v>
      </c>
      <c r="AA18" s="61">
        <f t="shared" si="0"/>
        <v>0</v>
      </c>
      <c r="AB18" s="37"/>
    </row>
    <row r="19" spans="1:28" x14ac:dyDescent="0.25">
      <c r="A19" s="59" t="s">
        <v>361</v>
      </c>
      <c r="B19" s="30">
        <f>SUMIFS(CONSOLIDADO!$F:$F,CONSOLIDADO!$E:$E,$A19,CONSOLIDADO!$I:$I,A$3,CONSOLIDADO!$I:$I,A$4,CONSOLIDADO!$K:$K,"&lt;&gt;NOVO")</f>
        <v>0</v>
      </c>
      <c r="C19" s="30">
        <f>SUMIFS(CONSOLIDADO!$F:$F,CONSOLIDADO!$E:$E,$A19,CONSOLIDADO!$I:$I,B$3,CONSOLIDADO!$I:$I,B$4,CONSOLIDADO!$K:$K,"&lt;&gt;NOVO")</f>
        <v>0</v>
      </c>
      <c r="D19" s="30">
        <f>SUMIFS(CONSOLIDADO!$F:$F,CONSOLIDADO!$E:$E,$A19,CONSOLIDADO!$I:$I,C$3,CONSOLIDADO!$I:$I,C$4,CONSOLIDADO!$K:$K,"&lt;&gt;NOVO")</f>
        <v>0</v>
      </c>
      <c r="E19" s="30">
        <f>SUMIFS(CONSOLIDADO!$F:$F,CONSOLIDADO!$E:$E,$A19,CONSOLIDADO!$I:$I,D$3,CONSOLIDADO!$I:$I,D$4,CONSOLIDADO!$K:$K,"&lt;&gt;NOVO")</f>
        <v>0</v>
      </c>
      <c r="F19" s="30">
        <f>SUMIFS(CONSOLIDADO!$F:$F,CONSOLIDADO!$E:$E,$A19,CONSOLIDADO!$I:$I,E$3,CONSOLIDADO!$I:$I,E$4,CONSOLIDADO!$K:$K,"&lt;&gt;NOVO")</f>
        <v>0</v>
      </c>
      <c r="G19" s="30">
        <f>SUMIFS(CONSOLIDADO!$F:$F,CONSOLIDADO!$E:$E,$A19,CONSOLIDADO!$I:$I,F$3,CONSOLIDADO!$I:$I,F$4,CONSOLIDADO!$K:$K,"&lt;&gt;NOVO")</f>
        <v>0</v>
      </c>
      <c r="H19" s="30">
        <f>SUMIFS(CONSOLIDADO!$F:$F,CONSOLIDADO!$E:$E,$A19,CONSOLIDADO!$I:$I,G$3,CONSOLIDADO!$I:$I,G$4,CONSOLIDADO!$K:$K,"&lt;&gt;NOVO")</f>
        <v>0</v>
      </c>
      <c r="I19" s="30">
        <f>SUMIFS(CONSOLIDADO!$F:$F,CONSOLIDADO!$E:$E,$A19,CONSOLIDADO!$I:$I,H$3,CONSOLIDADO!$I:$I,H$4,CONSOLIDADO!$K:$K,"&lt;&gt;NOVO")</f>
        <v>0</v>
      </c>
      <c r="J19" s="30">
        <f>SUMIFS(CONSOLIDADO!$F:$F,CONSOLIDADO!$E:$E,$A19,CONSOLIDADO!$I:$I,I$3,CONSOLIDADO!$I:$I,I$4,CONSOLIDADO!$K:$K,"&lt;&gt;NOVO")</f>
        <v>0</v>
      </c>
      <c r="K19" s="30">
        <f>SUMIFS(CONSOLIDADO!$F:$F,CONSOLIDADO!$E:$E,$A19,CONSOLIDADO!$I:$I,J$3,CONSOLIDADO!$I:$I,J$4,CONSOLIDADO!$K:$K,"&lt;&gt;NOVO")</f>
        <v>0</v>
      </c>
      <c r="L19" s="30">
        <f>SUMIFS(CONSOLIDADO!$F:$F,CONSOLIDADO!$E:$E,$A19,CONSOLIDADO!$I:$I,K$3,CONSOLIDADO!$I:$I,K$4,CONSOLIDADO!$K:$K,"&lt;&gt;NOVO")</f>
        <v>0</v>
      </c>
      <c r="M19" s="30">
        <f>SUMIFS(CONSOLIDADO!$F:$F,CONSOLIDADO!$E:$E,$A19,CONSOLIDADO!$I:$I,L$3,CONSOLIDADO!$I:$I,L$4,CONSOLIDADO!$K:$K,"&lt;&gt;NOVO")</f>
        <v>0</v>
      </c>
      <c r="N19" s="30">
        <v>653.75</v>
      </c>
      <c r="O19" s="60">
        <v>0.8</v>
      </c>
      <c r="P19" s="61">
        <f t="shared" si="1"/>
        <v>0</v>
      </c>
      <c r="Q19" s="61">
        <f t="shared" si="0"/>
        <v>0</v>
      </c>
      <c r="R19" s="61">
        <f t="shared" si="0"/>
        <v>0</v>
      </c>
      <c r="S19" s="61">
        <f t="shared" si="0"/>
        <v>0</v>
      </c>
      <c r="T19" s="61">
        <f t="shared" si="0"/>
        <v>0</v>
      </c>
      <c r="U19" s="61">
        <f t="shared" si="0"/>
        <v>0</v>
      </c>
      <c r="V19" s="61">
        <f t="shared" si="0"/>
        <v>0</v>
      </c>
      <c r="W19" s="61">
        <f t="shared" si="0"/>
        <v>0</v>
      </c>
      <c r="X19" s="61">
        <f t="shared" si="0"/>
        <v>0</v>
      </c>
      <c r="Y19" s="61">
        <f t="shared" si="0"/>
        <v>0</v>
      </c>
      <c r="Z19" s="61">
        <f t="shared" si="0"/>
        <v>0</v>
      </c>
      <c r="AA19" s="61">
        <f t="shared" si="0"/>
        <v>0</v>
      </c>
      <c r="AB19" s="37"/>
    </row>
    <row r="20" spans="1:28" x14ac:dyDescent="0.25">
      <c r="A20" t="s">
        <v>451</v>
      </c>
      <c r="B20" s="30">
        <f>SUMIFS(CONSOLIDADO!$F:$F,CONSOLIDADO!$E:$E,$A20,CONSOLIDADO!$I:$I,A$3,CONSOLIDADO!$I:$I,A$4,CONSOLIDADO!$K:$K,"&lt;&gt;NOVO")</f>
        <v>0</v>
      </c>
      <c r="C20" s="30">
        <f>SUMIFS(CONSOLIDADO!$F:$F,CONSOLIDADO!$E:$E,$A20,CONSOLIDADO!$I:$I,B$3,CONSOLIDADO!$I:$I,B$4,CONSOLIDADO!$K:$K,"&lt;&gt;NOVO")</f>
        <v>0</v>
      </c>
      <c r="D20" s="30">
        <f>SUMIFS(CONSOLIDADO!$F:$F,CONSOLIDADO!$E:$E,$A20,CONSOLIDADO!$I:$I,C$3,CONSOLIDADO!$I:$I,C$4,CONSOLIDADO!$K:$K,"&lt;&gt;NOVO")</f>
        <v>0</v>
      </c>
      <c r="E20" s="30">
        <f>SUMIFS(CONSOLIDADO!$F:$F,CONSOLIDADO!$E:$E,$A20,CONSOLIDADO!$I:$I,D$3,CONSOLIDADO!$I:$I,D$4,CONSOLIDADO!$K:$K,"&lt;&gt;NOVO")</f>
        <v>0</v>
      </c>
      <c r="F20" s="30">
        <f>SUMIFS(CONSOLIDADO!$F:$F,CONSOLIDADO!$E:$E,$A20,CONSOLIDADO!$I:$I,E$3,CONSOLIDADO!$I:$I,E$4,CONSOLIDADO!$K:$K,"&lt;&gt;NOVO")</f>
        <v>0</v>
      </c>
      <c r="G20" s="30">
        <f>SUMIFS(CONSOLIDADO!$F:$F,CONSOLIDADO!$E:$E,$A20,CONSOLIDADO!$I:$I,F$3,CONSOLIDADO!$I:$I,F$4,CONSOLIDADO!$K:$K,"&lt;&gt;NOVO")</f>
        <v>0</v>
      </c>
      <c r="H20" s="30">
        <f>SUMIFS(CONSOLIDADO!$F:$F,CONSOLIDADO!$E:$E,$A20,CONSOLIDADO!$I:$I,G$3,CONSOLIDADO!$I:$I,G$4,CONSOLIDADO!$K:$K,"&lt;&gt;NOVO")</f>
        <v>0</v>
      </c>
      <c r="I20" s="30">
        <f>SUMIFS(CONSOLIDADO!$F:$F,CONSOLIDADO!$E:$E,$A20,CONSOLIDADO!$I:$I,H$3,CONSOLIDADO!$I:$I,H$4,CONSOLIDADO!$K:$K,"&lt;&gt;NOVO")</f>
        <v>0</v>
      </c>
      <c r="J20" s="30">
        <f>SUMIFS(CONSOLIDADO!$F:$F,CONSOLIDADO!$E:$E,$A20,CONSOLIDADO!$I:$I,I$3,CONSOLIDADO!$I:$I,I$4,CONSOLIDADO!$K:$K,"&lt;&gt;NOVO")</f>
        <v>0</v>
      </c>
      <c r="K20" s="30">
        <f>SUMIFS(CONSOLIDADO!$F:$F,CONSOLIDADO!$E:$E,$A20,CONSOLIDADO!$I:$I,J$3,CONSOLIDADO!$I:$I,J$4,CONSOLIDADO!$K:$K,"&lt;&gt;NOVO")</f>
        <v>0</v>
      </c>
      <c r="L20" s="30">
        <f>SUMIFS(CONSOLIDADO!$F:$F,CONSOLIDADO!$E:$E,$A20,CONSOLIDADO!$I:$I,K$3,CONSOLIDADO!$I:$I,K$4,CONSOLIDADO!$K:$K,"&lt;&gt;NOVO")</f>
        <v>0</v>
      </c>
      <c r="M20" s="30">
        <f>SUMIFS(CONSOLIDADO!$F:$F,CONSOLIDADO!$E:$E,$A20,CONSOLIDADO!$I:$I,L$3,CONSOLIDADO!$I:$I,L$4,CONSOLIDADO!$K:$K,"&lt;&gt;NOVO")</f>
        <v>0</v>
      </c>
      <c r="N20" s="30">
        <v>2340.21</v>
      </c>
      <c r="O20" s="60">
        <v>0.8</v>
      </c>
      <c r="P20" s="61">
        <f t="shared" si="1"/>
        <v>0</v>
      </c>
      <c r="Q20" s="61">
        <f t="shared" si="0"/>
        <v>0</v>
      </c>
      <c r="R20" s="61">
        <f t="shared" si="0"/>
        <v>0</v>
      </c>
      <c r="S20" s="61">
        <f t="shared" si="0"/>
        <v>0</v>
      </c>
      <c r="T20" s="61">
        <f t="shared" si="0"/>
        <v>0</v>
      </c>
      <c r="U20" s="61">
        <f t="shared" si="0"/>
        <v>0</v>
      </c>
      <c r="V20" s="61">
        <f t="shared" si="0"/>
        <v>0</v>
      </c>
      <c r="W20" s="61">
        <f t="shared" si="0"/>
        <v>0</v>
      </c>
      <c r="X20" s="61">
        <f t="shared" si="0"/>
        <v>0</v>
      </c>
      <c r="Y20" s="61">
        <f t="shared" si="0"/>
        <v>0</v>
      </c>
      <c r="Z20" s="61">
        <f t="shared" si="0"/>
        <v>0</v>
      </c>
      <c r="AA20" s="61">
        <f t="shared" si="0"/>
        <v>0</v>
      </c>
      <c r="AB20" s="37"/>
    </row>
    <row r="21" spans="1:28" x14ac:dyDescent="0.25">
      <c r="A21" s="59" t="s">
        <v>225</v>
      </c>
      <c r="B21" s="30">
        <f>SUMIFS(CONSOLIDADO!$F:$F,CONSOLIDADO!$E:$E,$A21,CONSOLIDADO!$I:$I,A$3,CONSOLIDADO!$I:$I,A$4,CONSOLIDADO!$K:$K,"&lt;&gt;NOVO")</f>
        <v>0</v>
      </c>
      <c r="C21" s="30">
        <f>SUMIFS(CONSOLIDADO!$F:$F,CONSOLIDADO!$E:$E,$A21,CONSOLIDADO!$I:$I,B$3,CONSOLIDADO!$I:$I,B$4,CONSOLIDADO!$K:$K,"&lt;&gt;NOVO")</f>
        <v>0</v>
      </c>
      <c r="D21" s="30">
        <f>SUMIFS(CONSOLIDADO!$F:$F,CONSOLIDADO!$E:$E,$A21,CONSOLIDADO!$I:$I,C$3,CONSOLIDADO!$I:$I,C$4,CONSOLIDADO!$K:$K,"&lt;&gt;NOVO")</f>
        <v>2</v>
      </c>
      <c r="E21" s="30">
        <f>SUMIFS(CONSOLIDADO!$F:$F,CONSOLIDADO!$E:$E,$A21,CONSOLIDADO!$I:$I,D$3,CONSOLIDADO!$I:$I,D$4,CONSOLIDADO!$K:$K,"&lt;&gt;NOVO")</f>
        <v>12</v>
      </c>
      <c r="F21" s="30">
        <f>SUMIFS(CONSOLIDADO!$F:$F,CONSOLIDADO!$E:$E,$A21,CONSOLIDADO!$I:$I,E$3,CONSOLIDADO!$I:$I,E$4,CONSOLIDADO!$K:$K,"&lt;&gt;NOVO")</f>
        <v>0</v>
      </c>
      <c r="G21" s="30">
        <f>SUMIFS(CONSOLIDADO!$F:$F,CONSOLIDADO!$E:$E,$A21,CONSOLIDADO!$I:$I,F$3,CONSOLIDADO!$I:$I,F$4,CONSOLIDADO!$K:$K,"&lt;&gt;NOVO")</f>
        <v>0</v>
      </c>
      <c r="H21" s="30">
        <f>SUMIFS(CONSOLIDADO!$F:$F,CONSOLIDADO!$E:$E,$A21,CONSOLIDADO!$I:$I,G$3,CONSOLIDADO!$I:$I,G$4,CONSOLIDADO!$K:$K,"&lt;&gt;NOVO")</f>
        <v>0</v>
      </c>
      <c r="I21" s="30">
        <f>SUMIFS(CONSOLIDADO!$F:$F,CONSOLIDADO!$E:$E,$A21,CONSOLIDADO!$I:$I,H$3,CONSOLIDADO!$I:$I,H$4,CONSOLIDADO!$K:$K,"&lt;&gt;NOVO")</f>
        <v>0</v>
      </c>
      <c r="J21" s="30">
        <f>SUMIFS(CONSOLIDADO!$F:$F,CONSOLIDADO!$E:$E,$A21,CONSOLIDADO!$I:$I,I$3,CONSOLIDADO!$I:$I,I$4,CONSOLIDADO!$K:$K,"&lt;&gt;NOVO")</f>
        <v>0</v>
      </c>
      <c r="K21" s="30">
        <f>SUMIFS(CONSOLIDADO!$F:$F,CONSOLIDADO!$E:$E,$A21,CONSOLIDADO!$I:$I,J$3,CONSOLIDADO!$I:$I,J$4,CONSOLIDADO!$K:$K,"&lt;&gt;NOVO")</f>
        <v>0</v>
      </c>
      <c r="L21" s="30">
        <f>SUMIFS(CONSOLIDADO!$F:$F,CONSOLIDADO!$E:$E,$A21,CONSOLIDADO!$I:$I,K$3,CONSOLIDADO!$I:$I,K$4,CONSOLIDADO!$K:$K,"&lt;&gt;NOVO")</f>
        <v>0</v>
      </c>
      <c r="M21" s="30">
        <f>SUMIFS(CONSOLIDADO!$F:$F,CONSOLIDADO!$E:$E,$A21,CONSOLIDADO!$I:$I,L$3,CONSOLIDADO!$I:$I,L$4,CONSOLIDADO!$K:$K,"&lt;&gt;NOVO")</f>
        <v>0</v>
      </c>
      <c r="N21" s="30">
        <v>653.75</v>
      </c>
      <c r="O21" s="60">
        <v>0.8</v>
      </c>
      <c r="P21" s="61">
        <f t="shared" si="1"/>
        <v>0</v>
      </c>
      <c r="Q21" s="61">
        <f t="shared" si="0"/>
        <v>0</v>
      </c>
      <c r="R21" s="61">
        <f t="shared" si="0"/>
        <v>261.49999999999994</v>
      </c>
      <c r="S21" s="61">
        <f t="shared" si="0"/>
        <v>1568.9999999999995</v>
      </c>
      <c r="T21" s="61">
        <f t="shared" si="0"/>
        <v>0</v>
      </c>
      <c r="U21" s="61">
        <f t="shared" si="0"/>
        <v>0</v>
      </c>
      <c r="V21" s="61">
        <f t="shared" si="0"/>
        <v>0</v>
      </c>
      <c r="W21" s="61">
        <f t="shared" si="0"/>
        <v>0</v>
      </c>
      <c r="X21" s="61">
        <f t="shared" si="0"/>
        <v>0</v>
      </c>
      <c r="Y21" s="61">
        <f t="shared" si="0"/>
        <v>0</v>
      </c>
      <c r="Z21" s="61">
        <f t="shared" si="0"/>
        <v>0</v>
      </c>
      <c r="AA21" s="61">
        <f t="shared" si="0"/>
        <v>0</v>
      </c>
      <c r="AB21" s="37"/>
    </row>
    <row r="22" spans="1:28" x14ac:dyDescent="0.25">
      <c r="A22" s="59" t="s">
        <v>73</v>
      </c>
      <c r="B22" s="30">
        <f>SUMIFS(CONSOLIDADO!$F:$F,CONSOLIDADO!$E:$E,$A22,CONSOLIDADO!$I:$I,A$3,CONSOLIDADO!$I:$I,A$4,CONSOLIDADO!$K:$K,"&lt;&gt;NOVO")</f>
        <v>1</v>
      </c>
      <c r="C22" s="30">
        <f>SUMIFS(CONSOLIDADO!$F:$F,CONSOLIDADO!$E:$E,$A22,CONSOLIDADO!$I:$I,B$3,CONSOLIDADO!$I:$I,B$4,CONSOLIDADO!$K:$K,"&lt;&gt;NOVO")</f>
        <v>6</v>
      </c>
      <c r="D22" s="30">
        <f>SUMIFS(CONSOLIDADO!$F:$F,CONSOLIDADO!$E:$E,$A22,CONSOLIDADO!$I:$I,C$3,CONSOLIDADO!$I:$I,C$4,CONSOLIDADO!$K:$K,"&lt;&gt;NOVO")</f>
        <v>8</v>
      </c>
      <c r="E22" s="30">
        <f>SUMIFS(CONSOLIDADO!$F:$F,CONSOLIDADO!$E:$E,$A22,CONSOLIDADO!$I:$I,D$3,CONSOLIDADO!$I:$I,D$4,CONSOLIDADO!$K:$K,"&lt;&gt;NOVO")</f>
        <v>26</v>
      </c>
      <c r="F22" s="30">
        <f>SUMIFS(CONSOLIDADO!$F:$F,CONSOLIDADO!$E:$E,$A22,CONSOLIDADO!$I:$I,E$3,CONSOLIDADO!$I:$I,E$4,CONSOLIDADO!$K:$K,"&lt;&gt;NOVO")</f>
        <v>0</v>
      </c>
      <c r="G22" s="30">
        <f>SUMIFS(CONSOLIDADO!$F:$F,CONSOLIDADO!$E:$E,$A22,CONSOLIDADO!$I:$I,F$3,CONSOLIDADO!$I:$I,F$4,CONSOLIDADO!$K:$K,"&lt;&gt;NOVO")</f>
        <v>0</v>
      </c>
      <c r="H22" s="30">
        <f>SUMIFS(CONSOLIDADO!$F:$F,CONSOLIDADO!$E:$E,$A22,CONSOLIDADO!$I:$I,G$3,CONSOLIDADO!$I:$I,G$4,CONSOLIDADO!$K:$K,"&lt;&gt;NOVO")</f>
        <v>0</v>
      </c>
      <c r="I22" s="30">
        <f>SUMIFS(CONSOLIDADO!$F:$F,CONSOLIDADO!$E:$E,$A22,CONSOLIDADO!$I:$I,H$3,CONSOLIDADO!$I:$I,H$4,CONSOLIDADO!$K:$K,"&lt;&gt;NOVO")</f>
        <v>0</v>
      </c>
      <c r="J22" s="30">
        <f>SUMIFS(CONSOLIDADO!$F:$F,CONSOLIDADO!$E:$E,$A22,CONSOLIDADO!$I:$I,I$3,CONSOLIDADO!$I:$I,I$4,CONSOLIDADO!$K:$K,"&lt;&gt;NOVO")</f>
        <v>0</v>
      </c>
      <c r="K22" s="30">
        <f>SUMIFS(CONSOLIDADO!$F:$F,CONSOLIDADO!$E:$E,$A22,CONSOLIDADO!$I:$I,J$3,CONSOLIDADO!$I:$I,J$4,CONSOLIDADO!$K:$K,"&lt;&gt;NOVO")</f>
        <v>0</v>
      </c>
      <c r="L22" s="30">
        <f>SUMIFS(CONSOLIDADO!$F:$F,CONSOLIDADO!$E:$E,$A22,CONSOLIDADO!$I:$I,K$3,CONSOLIDADO!$I:$I,K$4,CONSOLIDADO!$K:$K,"&lt;&gt;NOVO")</f>
        <v>0</v>
      </c>
      <c r="M22" s="30">
        <f>SUMIFS(CONSOLIDADO!$F:$F,CONSOLIDADO!$E:$E,$A22,CONSOLIDADO!$I:$I,L$3,CONSOLIDADO!$I:$I,L$4,CONSOLIDADO!$K:$K,"&lt;&gt;NOVO")</f>
        <v>0</v>
      </c>
      <c r="N22" s="30">
        <v>2340.21</v>
      </c>
      <c r="O22" s="60">
        <v>0.8</v>
      </c>
      <c r="P22" s="61">
        <f t="shared" si="1"/>
        <v>468.04199999999992</v>
      </c>
      <c r="Q22" s="61">
        <f t="shared" si="0"/>
        <v>2808.2519999999995</v>
      </c>
      <c r="R22" s="61">
        <f t="shared" si="0"/>
        <v>3744.3359999999993</v>
      </c>
      <c r="S22" s="61">
        <f t="shared" si="0"/>
        <v>12169.091999999997</v>
      </c>
      <c r="T22" s="61">
        <f t="shared" si="0"/>
        <v>0</v>
      </c>
      <c r="U22" s="61">
        <f t="shared" si="0"/>
        <v>0</v>
      </c>
      <c r="V22" s="61">
        <f t="shared" si="0"/>
        <v>0</v>
      </c>
      <c r="W22" s="61">
        <f t="shared" si="0"/>
        <v>0</v>
      </c>
      <c r="X22" s="61">
        <f t="shared" si="0"/>
        <v>0</v>
      </c>
      <c r="Y22" s="61">
        <f t="shared" si="0"/>
        <v>0</v>
      </c>
      <c r="Z22" s="61">
        <f t="shared" si="0"/>
        <v>0</v>
      </c>
      <c r="AA22" s="61">
        <f t="shared" si="0"/>
        <v>0</v>
      </c>
      <c r="AB22" s="37"/>
    </row>
    <row r="23" spans="1:28" x14ac:dyDescent="0.25">
      <c r="A23" s="59" t="s">
        <v>365</v>
      </c>
      <c r="B23" s="30">
        <f>SUMIFS(CONSOLIDADO!$F:$F,CONSOLIDADO!$E:$E,$A23,CONSOLIDADO!$I:$I,A$3,CONSOLIDADO!$I:$I,A$4,CONSOLIDADO!$K:$K,"&lt;&gt;NOVO")</f>
        <v>0</v>
      </c>
      <c r="C23" s="30">
        <f>SUMIFS(CONSOLIDADO!$F:$F,CONSOLIDADO!$E:$E,$A23,CONSOLIDADO!$I:$I,B$3,CONSOLIDADO!$I:$I,B$4,CONSOLIDADO!$K:$K,"&lt;&gt;NOVO")</f>
        <v>0</v>
      </c>
      <c r="D23" s="30">
        <f>SUMIFS(CONSOLIDADO!$F:$F,CONSOLIDADO!$E:$E,$A23,CONSOLIDADO!$I:$I,C$3,CONSOLIDADO!$I:$I,C$4,CONSOLIDADO!$K:$K,"&lt;&gt;NOVO")</f>
        <v>0</v>
      </c>
      <c r="E23" s="30">
        <f>SUMIFS(CONSOLIDADO!$F:$F,CONSOLIDADO!$E:$E,$A23,CONSOLIDADO!$I:$I,D$3,CONSOLIDADO!$I:$I,D$4,CONSOLIDADO!$K:$K,"&lt;&gt;NOVO")</f>
        <v>0</v>
      </c>
      <c r="F23" s="30">
        <f>SUMIFS(CONSOLIDADO!$F:$F,CONSOLIDADO!$E:$E,$A23,CONSOLIDADO!$I:$I,E$3,CONSOLIDADO!$I:$I,E$4,CONSOLIDADO!$K:$K,"&lt;&gt;NOVO")</f>
        <v>0</v>
      </c>
      <c r="G23" s="30">
        <f>SUMIFS(CONSOLIDADO!$F:$F,CONSOLIDADO!$E:$E,$A23,CONSOLIDADO!$I:$I,F$3,CONSOLIDADO!$I:$I,F$4,CONSOLIDADO!$K:$K,"&lt;&gt;NOVO")</f>
        <v>0</v>
      </c>
      <c r="H23" s="30">
        <f>SUMIFS(CONSOLIDADO!$F:$F,CONSOLIDADO!$E:$E,$A23,CONSOLIDADO!$I:$I,G$3,CONSOLIDADO!$I:$I,G$4,CONSOLIDADO!$K:$K,"&lt;&gt;NOVO")</f>
        <v>0</v>
      </c>
      <c r="I23" s="30">
        <f>SUMIFS(CONSOLIDADO!$F:$F,CONSOLIDADO!$E:$E,$A23,CONSOLIDADO!$I:$I,H$3,CONSOLIDADO!$I:$I,H$4,CONSOLIDADO!$K:$K,"&lt;&gt;NOVO")</f>
        <v>0</v>
      </c>
      <c r="J23" s="30">
        <f>SUMIFS(CONSOLIDADO!$F:$F,CONSOLIDADO!$E:$E,$A23,CONSOLIDADO!$I:$I,I$3,CONSOLIDADO!$I:$I,I$4,CONSOLIDADO!$K:$K,"&lt;&gt;NOVO")</f>
        <v>0</v>
      </c>
      <c r="K23" s="30">
        <f>SUMIFS(CONSOLIDADO!$F:$F,CONSOLIDADO!$E:$E,$A23,CONSOLIDADO!$I:$I,J$3,CONSOLIDADO!$I:$I,J$4,CONSOLIDADO!$K:$K,"&lt;&gt;NOVO")</f>
        <v>0</v>
      </c>
      <c r="L23" s="30">
        <f>SUMIFS(CONSOLIDADO!$F:$F,CONSOLIDADO!$E:$E,$A23,CONSOLIDADO!$I:$I,K$3,CONSOLIDADO!$I:$I,K$4,CONSOLIDADO!$K:$K,"&lt;&gt;NOVO")</f>
        <v>0</v>
      </c>
      <c r="M23" s="30">
        <f>SUMIFS(CONSOLIDADO!$F:$F,CONSOLIDADO!$E:$E,$A23,CONSOLIDADO!$I:$I,L$3,CONSOLIDADO!$I:$I,L$4,CONSOLIDADO!$K:$K,"&lt;&gt;NOVO")</f>
        <v>0</v>
      </c>
      <c r="N23" s="30">
        <v>465.63</v>
      </c>
      <c r="O23" s="60">
        <v>0.8</v>
      </c>
      <c r="P23" s="61">
        <f t="shared" si="1"/>
        <v>0</v>
      </c>
      <c r="Q23" s="61">
        <f t="shared" si="0"/>
        <v>0</v>
      </c>
      <c r="R23" s="61">
        <f t="shared" si="0"/>
        <v>0</v>
      </c>
      <c r="S23" s="61">
        <f t="shared" si="0"/>
        <v>0</v>
      </c>
      <c r="T23" s="61">
        <f t="shared" si="0"/>
        <v>0</v>
      </c>
      <c r="U23" s="61">
        <f t="shared" si="0"/>
        <v>0</v>
      </c>
      <c r="V23" s="61">
        <f t="shared" si="0"/>
        <v>0</v>
      </c>
      <c r="W23" s="61">
        <f t="shared" si="0"/>
        <v>0</v>
      </c>
      <c r="X23" s="61">
        <f t="shared" si="0"/>
        <v>0</v>
      </c>
      <c r="Y23" s="61">
        <f t="shared" si="0"/>
        <v>0</v>
      </c>
      <c r="Z23" s="61">
        <f t="shared" si="0"/>
        <v>0</v>
      </c>
      <c r="AA23" s="61">
        <f t="shared" si="0"/>
        <v>0</v>
      </c>
      <c r="AB23" s="37"/>
    </row>
    <row r="24" spans="1:28" x14ac:dyDescent="0.25">
      <c r="A24" s="59" t="s">
        <v>366</v>
      </c>
      <c r="B24" s="30">
        <f>SUMIFS(CONSOLIDADO!$F:$F,CONSOLIDADO!$E:$E,$A24,CONSOLIDADO!$I:$I,A$3,CONSOLIDADO!$I:$I,A$4,CONSOLIDADO!$K:$K,"&lt;&gt;NOVO")</f>
        <v>0</v>
      </c>
      <c r="C24" s="30">
        <f>SUMIFS(CONSOLIDADO!$F:$F,CONSOLIDADO!$E:$E,$A24,CONSOLIDADO!$I:$I,B$3,CONSOLIDADO!$I:$I,B$4,CONSOLIDADO!$K:$K,"&lt;&gt;NOVO")</f>
        <v>0</v>
      </c>
      <c r="D24" s="30">
        <f>SUMIFS(CONSOLIDADO!$F:$F,CONSOLIDADO!$E:$E,$A24,CONSOLIDADO!$I:$I,C$3,CONSOLIDADO!$I:$I,C$4,CONSOLIDADO!$K:$K,"&lt;&gt;NOVO")</f>
        <v>0</v>
      </c>
      <c r="E24" s="30">
        <f>SUMIFS(CONSOLIDADO!$F:$F,CONSOLIDADO!$E:$E,$A24,CONSOLIDADO!$I:$I,D$3,CONSOLIDADO!$I:$I,D$4,CONSOLIDADO!$K:$K,"&lt;&gt;NOVO")</f>
        <v>0</v>
      </c>
      <c r="F24" s="30">
        <f>SUMIFS(CONSOLIDADO!$F:$F,CONSOLIDADO!$E:$E,$A24,CONSOLIDADO!$I:$I,E$3,CONSOLIDADO!$I:$I,E$4,CONSOLIDADO!$K:$K,"&lt;&gt;NOVO")</f>
        <v>0</v>
      </c>
      <c r="G24" s="30">
        <f>SUMIFS(CONSOLIDADO!$F:$F,CONSOLIDADO!$E:$E,$A24,CONSOLIDADO!$I:$I,F$3,CONSOLIDADO!$I:$I,F$4,CONSOLIDADO!$K:$K,"&lt;&gt;NOVO")</f>
        <v>0</v>
      </c>
      <c r="H24" s="30">
        <f>SUMIFS(CONSOLIDADO!$F:$F,CONSOLIDADO!$E:$E,$A24,CONSOLIDADO!$I:$I,G$3,CONSOLIDADO!$I:$I,G$4,CONSOLIDADO!$K:$K,"&lt;&gt;NOVO")</f>
        <v>0</v>
      </c>
      <c r="I24" s="30">
        <f>SUMIFS(CONSOLIDADO!$F:$F,CONSOLIDADO!$E:$E,$A24,CONSOLIDADO!$I:$I,H$3,CONSOLIDADO!$I:$I,H$4,CONSOLIDADO!$K:$K,"&lt;&gt;NOVO")</f>
        <v>0</v>
      </c>
      <c r="J24" s="30">
        <f>SUMIFS(CONSOLIDADO!$F:$F,CONSOLIDADO!$E:$E,$A24,CONSOLIDADO!$I:$I,I$3,CONSOLIDADO!$I:$I,I$4,CONSOLIDADO!$K:$K,"&lt;&gt;NOVO")</f>
        <v>0</v>
      </c>
      <c r="K24" s="30">
        <f>SUMIFS(CONSOLIDADO!$F:$F,CONSOLIDADO!$E:$E,$A24,CONSOLIDADO!$I:$I,J$3,CONSOLIDADO!$I:$I,J$4,CONSOLIDADO!$K:$K,"&lt;&gt;NOVO")</f>
        <v>0</v>
      </c>
      <c r="L24" s="30">
        <f>SUMIFS(CONSOLIDADO!$F:$F,CONSOLIDADO!$E:$E,$A24,CONSOLIDADO!$I:$I,K$3,CONSOLIDADO!$I:$I,K$4,CONSOLIDADO!$K:$K,"&lt;&gt;NOVO")</f>
        <v>0</v>
      </c>
      <c r="M24" s="30">
        <f>SUMIFS(CONSOLIDADO!$F:$F,CONSOLIDADO!$E:$E,$A24,CONSOLIDADO!$I:$I,L$3,CONSOLIDADO!$I:$I,L$4,CONSOLIDADO!$K:$K,"&lt;&gt;NOVO")</f>
        <v>0</v>
      </c>
      <c r="N24" s="30">
        <v>653.75</v>
      </c>
      <c r="O24" s="60">
        <v>0.8</v>
      </c>
      <c r="P24" s="61">
        <f t="shared" si="1"/>
        <v>0</v>
      </c>
      <c r="Q24" s="61">
        <f t="shared" si="0"/>
        <v>0</v>
      </c>
      <c r="R24" s="61">
        <f t="shared" si="0"/>
        <v>0</v>
      </c>
      <c r="S24" s="61">
        <f t="shared" si="0"/>
        <v>0</v>
      </c>
      <c r="T24" s="61">
        <f t="shared" si="0"/>
        <v>0</v>
      </c>
      <c r="U24" s="61">
        <f t="shared" si="0"/>
        <v>0</v>
      </c>
      <c r="V24" s="61">
        <f t="shared" si="0"/>
        <v>0</v>
      </c>
      <c r="W24" s="61">
        <f t="shared" si="0"/>
        <v>0</v>
      </c>
      <c r="X24" s="61">
        <f t="shared" si="0"/>
        <v>0</v>
      </c>
      <c r="Y24" s="61">
        <f t="shared" si="0"/>
        <v>0</v>
      </c>
      <c r="Z24" s="61">
        <f t="shared" si="0"/>
        <v>0</v>
      </c>
      <c r="AA24" s="61">
        <f t="shared" si="0"/>
        <v>0</v>
      </c>
      <c r="AB24" s="37"/>
    </row>
    <row r="25" spans="1:28" x14ac:dyDescent="0.25">
      <c r="A25" s="59" t="s">
        <v>147</v>
      </c>
      <c r="B25" s="30">
        <f>SUMIFS(CONSOLIDADO!$F:$F,CONSOLIDADO!$E:$E,$A25,CONSOLIDADO!$I:$I,A$3,CONSOLIDADO!$I:$I,A$4,CONSOLIDADO!$K:$K,"&lt;&gt;NOVO")</f>
        <v>0</v>
      </c>
      <c r="C25" s="30">
        <f>SUMIFS(CONSOLIDADO!$F:$F,CONSOLIDADO!$E:$E,$A25,CONSOLIDADO!$I:$I,B$3,CONSOLIDADO!$I:$I,B$4,CONSOLIDADO!$K:$K,"&lt;&gt;NOVO")</f>
        <v>2</v>
      </c>
      <c r="D25" s="30">
        <f>SUMIFS(CONSOLIDADO!$F:$F,CONSOLIDADO!$E:$E,$A25,CONSOLIDADO!$I:$I,C$3,CONSOLIDADO!$I:$I,C$4,CONSOLIDADO!$K:$K,"&lt;&gt;NOVO")</f>
        <v>0</v>
      </c>
      <c r="E25" s="30">
        <f>SUMIFS(CONSOLIDADO!$F:$F,CONSOLIDADO!$E:$E,$A25,CONSOLIDADO!$I:$I,D$3,CONSOLIDADO!$I:$I,D$4,CONSOLIDADO!$K:$K,"&lt;&gt;NOVO")</f>
        <v>0</v>
      </c>
      <c r="F25" s="30">
        <f>SUMIFS(CONSOLIDADO!$F:$F,CONSOLIDADO!$E:$E,$A25,CONSOLIDADO!$I:$I,E$3,CONSOLIDADO!$I:$I,E$4,CONSOLIDADO!$K:$K,"&lt;&gt;NOVO")</f>
        <v>0</v>
      </c>
      <c r="G25" s="30">
        <f>SUMIFS(CONSOLIDADO!$F:$F,CONSOLIDADO!$E:$E,$A25,CONSOLIDADO!$I:$I,F$3,CONSOLIDADO!$I:$I,F$4,CONSOLIDADO!$K:$K,"&lt;&gt;NOVO")</f>
        <v>0</v>
      </c>
      <c r="H25" s="30">
        <f>SUMIFS(CONSOLIDADO!$F:$F,CONSOLIDADO!$E:$E,$A25,CONSOLIDADO!$I:$I,G$3,CONSOLIDADO!$I:$I,G$4,CONSOLIDADO!$K:$K,"&lt;&gt;NOVO")</f>
        <v>0</v>
      </c>
      <c r="I25" s="30">
        <f>SUMIFS(CONSOLIDADO!$F:$F,CONSOLIDADO!$E:$E,$A25,CONSOLIDADO!$I:$I,H$3,CONSOLIDADO!$I:$I,H$4,CONSOLIDADO!$K:$K,"&lt;&gt;NOVO")</f>
        <v>0</v>
      </c>
      <c r="J25" s="30">
        <f>SUMIFS(CONSOLIDADO!$F:$F,CONSOLIDADO!$E:$E,$A25,CONSOLIDADO!$I:$I,I$3,CONSOLIDADO!$I:$I,I$4,CONSOLIDADO!$K:$K,"&lt;&gt;NOVO")</f>
        <v>0</v>
      </c>
      <c r="K25" s="30">
        <f>SUMIFS(CONSOLIDADO!$F:$F,CONSOLIDADO!$E:$E,$A25,CONSOLIDADO!$I:$I,J$3,CONSOLIDADO!$I:$I,J$4,CONSOLIDADO!$K:$K,"&lt;&gt;NOVO")</f>
        <v>0</v>
      </c>
      <c r="L25" s="30">
        <f>SUMIFS(CONSOLIDADO!$F:$F,CONSOLIDADO!$E:$E,$A25,CONSOLIDADO!$I:$I,K$3,CONSOLIDADO!$I:$I,K$4,CONSOLIDADO!$K:$K,"&lt;&gt;NOVO")</f>
        <v>0</v>
      </c>
      <c r="M25" s="30">
        <f>SUMIFS(CONSOLIDADO!$F:$F,CONSOLIDADO!$E:$E,$A25,CONSOLIDADO!$I:$I,L$3,CONSOLIDADO!$I:$I,L$4,CONSOLIDADO!$K:$K,"&lt;&gt;NOVO")</f>
        <v>0</v>
      </c>
      <c r="N25" s="30">
        <v>373.89</v>
      </c>
      <c r="O25" s="60">
        <v>0.8</v>
      </c>
      <c r="P25" s="61">
        <f t="shared" si="1"/>
        <v>0</v>
      </c>
      <c r="Q25" s="61">
        <f t="shared" si="1"/>
        <v>149.55599999999995</v>
      </c>
      <c r="R25" s="61">
        <f t="shared" si="1"/>
        <v>0</v>
      </c>
      <c r="S25" s="61">
        <f t="shared" si="1"/>
        <v>0</v>
      </c>
      <c r="T25" s="61">
        <f t="shared" si="1"/>
        <v>0</v>
      </c>
      <c r="U25" s="61">
        <f t="shared" si="1"/>
        <v>0</v>
      </c>
      <c r="V25" s="61">
        <f t="shared" si="1"/>
        <v>0</v>
      </c>
      <c r="W25" s="61">
        <f t="shared" si="1"/>
        <v>0</v>
      </c>
      <c r="X25" s="61">
        <f t="shared" si="1"/>
        <v>0</v>
      </c>
      <c r="Y25" s="61">
        <f t="shared" si="1"/>
        <v>0</v>
      </c>
      <c r="Z25" s="61">
        <f t="shared" si="1"/>
        <v>0</v>
      </c>
      <c r="AA25" s="61">
        <f t="shared" si="1"/>
        <v>0</v>
      </c>
      <c r="AB25" s="37"/>
    </row>
    <row r="26" spans="1:28" x14ac:dyDescent="0.25">
      <c r="A26" s="59" t="s">
        <v>368</v>
      </c>
      <c r="B26" s="30">
        <f>SUMIFS(CONSOLIDADO!$F:$F,CONSOLIDADO!$E:$E,$A26,CONSOLIDADO!$I:$I,A$3,CONSOLIDADO!$I:$I,A$4,CONSOLIDADO!$K:$K,"&lt;&gt;NOVO")</f>
        <v>0</v>
      </c>
      <c r="C26" s="30">
        <f>SUMIFS(CONSOLIDADO!$F:$F,CONSOLIDADO!$E:$E,$A26,CONSOLIDADO!$I:$I,B$3,CONSOLIDADO!$I:$I,B$4,CONSOLIDADO!$K:$K,"&lt;&gt;NOVO")</f>
        <v>0</v>
      </c>
      <c r="D26" s="30">
        <f>SUMIFS(CONSOLIDADO!$F:$F,CONSOLIDADO!$E:$E,$A26,CONSOLIDADO!$I:$I,C$3,CONSOLIDADO!$I:$I,C$4,CONSOLIDADO!$K:$K,"&lt;&gt;NOVO")</f>
        <v>0</v>
      </c>
      <c r="E26" s="30">
        <f>SUMIFS(CONSOLIDADO!$F:$F,CONSOLIDADO!$E:$E,$A26,CONSOLIDADO!$I:$I,D$3,CONSOLIDADO!$I:$I,D$4,CONSOLIDADO!$K:$K,"&lt;&gt;NOVO")</f>
        <v>0</v>
      </c>
      <c r="F26" s="30">
        <f>SUMIFS(CONSOLIDADO!$F:$F,CONSOLIDADO!$E:$E,$A26,CONSOLIDADO!$I:$I,E$3,CONSOLIDADO!$I:$I,E$4,CONSOLIDADO!$K:$K,"&lt;&gt;NOVO")</f>
        <v>0</v>
      </c>
      <c r="G26" s="30">
        <f>SUMIFS(CONSOLIDADO!$F:$F,CONSOLIDADO!$E:$E,$A26,CONSOLIDADO!$I:$I,F$3,CONSOLIDADO!$I:$I,F$4,CONSOLIDADO!$K:$K,"&lt;&gt;NOVO")</f>
        <v>0</v>
      </c>
      <c r="H26" s="30">
        <f>SUMIFS(CONSOLIDADO!$F:$F,CONSOLIDADO!$E:$E,$A26,CONSOLIDADO!$I:$I,G$3,CONSOLIDADO!$I:$I,G$4,CONSOLIDADO!$K:$K,"&lt;&gt;NOVO")</f>
        <v>0</v>
      </c>
      <c r="I26" s="30">
        <f>SUMIFS(CONSOLIDADO!$F:$F,CONSOLIDADO!$E:$E,$A26,CONSOLIDADO!$I:$I,H$3,CONSOLIDADO!$I:$I,H$4,CONSOLIDADO!$K:$K,"&lt;&gt;NOVO")</f>
        <v>0</v>
      </c>
      <c r="J26" s="30">
        <f>SUMIFS(CONSOLIDADO!$F:$F,CONSOLIDADO!$E:$E,$A26,CONSOLIDADO!$I:$I,I$3,CONSOLIDADO!$I:$I,I$4,CONSOLIDADO!$K:$K,"&lt;&gt;NOVO")</f>
        <v>0</v>
      </c>
      <c r="K26" s="30">
        <f>SUMIFS(CONSOLIDADO!$F:$F,CONSOLIDADO!$E:$E,$A26,CONSOLIDADO!$I:$I,J$3,CONSOLIDADO!$I:$I,J$4,CONSOLIDADO!$K:$K,"&lt;&gt;NOVO")</f>
        <v>0</v>
      </c>
      <c r="L26" s="30">
        <f>SUMIFS(CONSOLIDADO!$F:$F,CONSOLIDADO!$E:$E,$A26,CONSOLIDADO!$I:$I,K$3,CONSOLIDADO!$I:$I,K$4,CONSOLIDADO!$K:$K,"&lt;&gt;NOVO")</f>
        <v>0</v>
      </c>
      <c r="M26" s="30">
        <f>SUMIFS(CONSOLIDADO!$F:$F,CONSOLIDADO!$E:$E,$A26,CONSOLIDADO!$I:$I,L$3,CONSOLIDADO!$I:$I,L$4,CONSOLIDADO!$K:$K,"&lt;&gt;NOVO")</f>
        <v>0</v>
      </c>
      <c r="N26" s="30">
        <v>259.27</v>
      </c>
      <c r="O26" s="60">
        <v>0.8</v>
      </c>
      <c r="P26" s="61">
        <f t="shared" si="1"/>
        <v>0</v>
      </c>
      <c r="Q26" s="61">
        <f t="shared" si="1"/>
        <v>0</v>
      </c>
      <c r="R26" s="61">
        <f t="shared" si="1"/>
        <v>0</v>
      </c>
      <c r="S26" s="61">
        <f t="shared" si="1"/>
        <v>0</v>
      </c>
      <c r="T26" s="61">
        <f t="shared" si="1"/>
        <v>0</v>
      </c>
      <c r="U26" s="61">
        <f t="shared" si="1"/>
        <v>0</v>
      </c>
      <c r="V26" s="61">
        <f t="shared" si="1"/>
        <v>0</v>
      </c>
      <c r="W26" s="61">
        <f t="shared" si="1"/>
        <v>0</v>
      </c>
      <c r="X26" s="61">
        <f t="shared" si="1"/>
        <v>0</v>
      </c>
      <c r="Y26" s="61">
        <f t="shared" si="1"/>
        <v>0</v>
      </c>
      <c r="Z26" s="61">
        <f t="shared" si="1"/>
        <v>0</v>
      </c>
      <c r="AA26" s="61">
        <f t="shared" si="1"/>
        <v>0</v>
      </c>
      <c r="AB26" s="37"/>
    </row>
    <row r="27" spans="1:28" x14ac:dyDescent="0.25">
      <c r="A27" s="59" t="s">
        <v>44</v>
      </c>
      <c r="B27" s="30">
        <f>SUMIFS(CONSOLIDADO!$F:$F,CONSOLIDADO!$E:$E,$A27,CONSOLIDADO!$I:$I,A$3,CONSOLIDADO!$I:$I,A$4,CONSOLIDADO!$K:$K,"&lt;&gt;NOVO")</f>
        <v>7</v>
      </c>
      <c r="C27" s="30">
        <f>SUMIFS(CONSOLIDADO!$F:$F,CONSOLIDADO!$E:$E,$A27,CONSOLIDADO!$I:$I,B$3,CONSOLIDADO!$I:$I,B$4,CONSOLIDADO!$K:$K,"&lt;&gt;NOVO")</f>
        <v>20</v>
      </c>
      <c r="D27" s="30">
        <f>SUMIFS(CONSOLIDADO!$F:$F,CONSOLIDADO!$E:$E,$A27,CONSOLIDADO!$I:$I,C$3,CONSOLIDADO!$I:$I,C$4,CONSOLIDADO!$K:$K,"&lt;&gt;NOVO")</f>
        <v>24</v>
      </c>
      <c r="E27" s="30">
        <f>SUMIFS(CONSOLIDADO!$F:$F,CONSOLIDADO!$E:$E,$A27,CONSOLIDADO!$I:$I,D$3,CONSOLIDADO!$I:$I,D$4,CONSOLIDADO!$K:$K,"&lt;&gt;NOVO")</f>
        <v>26</v>
      </c>
      <c r="F27" s="30">
        <f>SUMIFS(CONSOLIDADO!$F:$F,CONSOLIDADO!$E:$E,$A27,CONSOLIDADO!$I:$I,E$3,CONSOLIDADO!$I:$I,E$4,CONSOLIDADO!$K:$K,"&lt;&gt;NOVO")</f>
        <v>0</v>
      </c>
      <c r="G27" s="30">
        <f>SUMIFS(CONSOLIDADO!$F:$F,CONSOLIDADO!$E:$E,$A27,CONSOLIDADO!$I:$I,F$3,CONSOLIDADO!$I:$I,F$4,CONSOLIDADO!$K:$K,"&lt;&gt;NOVO")</f>
        <v>0</v>
      </c>
      <c r="H27" s="30">
        <f>SUMIFS(CONSOLIDADO!$F:$F,CONSOLIDADO!$E:$E,$A27,CONSOLIDADO!$I:$I,G$3,CONSOLIDADO!$I:$I,G$4,CONSOLIDADO!$K:$K,"&lt;&gt;NOVO")</f>
        <v>0</v>
      </c>
      <c r="I27" s="30">
        <f>SUMIFS(CONSOLIDADO!$F:$F,CONSOLIDADO!$E:$E,$A27,CONSOLIDADO!$I:$I,H$3,CONSOLIDADO!$I:$I,H$4,CONSOLIDADO!$K:$K,"&lt;&gt;NOVO")</f>
        <v>0</v>
      </c>
      <c r="J27" s="30">
        <f>SUMIFS(CONSOLIDADO!$F:$F,CONSOLIDADO!$E:$E,$A27,CONSOLIDADO!$I:$I,I$3,CONSOLIDADO!$I:$I,I$4,CONSOLIDADO!$K:$K,"&lt;&gt;NOVO")</f>
        <v>0</v>
      </c>
      <c r="K27" s="30">
        <f>SUMIFS(CONSOLIDADO!$F:$F,CONSOLIDADO!$E:$E,$A27,CONSOLIDADO!$I:$I,J$3,CONSOLIDADO!$I:$I,J$4,CONSOLIDADO!$K:$K,"&lt;&gt;NOVO")</f>
        <v>0</v>
      </c>
      <c r="L27" s="30">
        <f>SUMIFS(CONSOLIDADO!$F:$F,CONSOLIDADO!$E:$E,$A27,CONSOLIDADO!$I:$I,K$3,CONSOLIDADO!$I:$I,K$4,CONSOLIDADO!$K:$K,"&lt;&gt;NOVO")</f>
        <v>0</v>
      </c>
      <c r="M27" s="30">
        <f>SUMIFS(CONSOLIDADO!$F:$F,CONSOLIDADO!$E:$E,$A27,CONSOLIDADO!$I:$I,L$3,CONSOLIDADO!$I:$I,L$4,CONSOLIDADO!$K:$K,"&lt;&gt;NOVO")</f>
        <v>0</v>
      </c>
      <c r="N27" s="30">
        <v>3260.49</v>
      </c>
      <c r="O27" s="60">
        <v>0.8</v>
      </c>
      <c r="P27" s="61">
        <f t="shared" si="1"/>
        <v>4564.6859999999988</v>
      </c>
      <c r="Q27" s="61">
        <f t="shared" si="1"/>
        <v>13041.959999999997</v>
      </c>
      <c r="R27" s="61">
        <f t="shared" si="1"/>
        <v>15650.351999999995</v>
      </c>
      <c r="S27" s="61">
        <f t="shared" si="1"/>
        <v>16954.547999999995</v>
      </c>
      <c r="T27" s="61">
        <f t="shared" si="1"/>
        <v>0</v>
      </c>
      <c r="U27" s="61">
        <f t="shared" si="1"/>
        <v>0</v>
      </c>
      <c r="V27" s="61">
        <f t="shared" si="1"/>
        <v>0</v>
      </c>
      <c r="W27" s="61">
        <f t="shared" si="1"/>
        <v>0</v>
      </c>
      <c r="X27" s="61">
        <f t="shared" si="1"/>
        <v>0</v>
      </c>
      <c r="Y27" s="61">
        <f t="shared" si="1"/>
        <v>0</v>
      </c>
      <c r="Z27" s="61">
        <f t="shared" si="1"/>
        <v>0</v>
      </c>
      <c r="AA27" s="61">
        <f t="shared" si="1"/>
        <v>0</v>
      </c>
      <c r="AB27" s="37"/>
    </row>
    <row r="28" spans="1:28" x14ac:dyDescent="0.25">
      <c r="A28" t="s">
        <v>210</v>
      </c>
      <c r="B28" s="30">
        <f>SUMIFS(CONSOLIDADO!$F:$F,CONSOLIDADO!$E:$E,$A28,CONSOLIDADO!$I:$I,A$3,CONSOLIDADO!$I:$I,A$4,CONSOLIDADO!$K:$K,"&lt;&gt;NOVO")</f>
        <v>0</v>
      </c>
      <c r="C28" s="30">
        <f>SUMIFS(CONSOLIDADO!$F:$F,CONSOLIDADO!$E:$E,$A28,CONSOLIDADO!$I:$I,B$3,CONSOLIDADO!$I:$I,B$4,CONSOLIDADO!$K:$K,"&lt;&gt;NOVO")</f>
        <v>0</v>
      </c>
      <c r="D28" s="30">
        <f>SUMIFS(CONSOLIDADO!$F:$F,CONSOLIDADO!$E:$E,$A28,CONSOLIDADO!$I:$I,C$3,CONSOLIDADO!$I:$I,C$4,CONSOLIDADO!$K:$K,"&lt;&gt;NOVO")</f>
        <v>9</v>
      </c>
      <c r="E28" s="30">
        <f>SUMIFS(CONSOLIDADO!$F:$F,CONSOLIDADO!$E:$E,$A28,CONSOLIDADO!$I:$I,D$3,CONSOLIDADO!$I:$I,D$4,CONSOLIDADO!$K:$K,"&lt;&gt;NOVO")</f>
        <v>0</v>
      </c>
      <c r="F28" s="30">
        <f>SUMIFS(CONSOLIDADO!$F:$F,CONSOLIDADO!$E:$E,$A28,CONSOLIDADO!$I:$I,E$3,CONSOLIDADO!$I:$I,E$4,CONSOLIDADO!$K:$K,"&lt;&gt;NOVO")</f>
        <v>0</v>
      </c>
      <c r="G28" s="30">
        <f>SUMIFS(CONSOLIDADO!$F:$F,CONSOLIDADO!$E:$E,$A28,CONSOLIDADO!$I:$I,F$3,CONSOLIDADO!$I:$I,F$4,CONSOLIDADO!$K:$K,"&lt;&gt;NOVO")</f>
        <v>0</v>
      </c>
      <c r="H28" s="30">
        <f>SUMIFS(CONSOLIDADO!$F:$F,CONSOLIDADO!$E:$E,$A28,CONSOLIDADO!$I:$I,G$3,CONSOLIDADO!$I:$I,G$4,CONSOLIDADO!$K:$K,"&lt;&gt;NOVO")</f>
        <v>0</v>
      </c>
      <c r="I28" s="30">
        <f>SUMIFS(CONSOLIDADO!$F:$F,CONSOLIDADO!$E:$E,$A28,CONSOLIDADO!$I:$I,H$3,CONSOLIDADO!$I:$I,H$4,CONSOLIDADO!$K:$K,"&lt;&gt;NOVO")</f>
        <v>0</v>
      </c>
      <c r="J28" s="30">
        <f>SUMIFS(CONSOLIDADO!$F:$F,CONSOLIDADO!$E:$E,$A28,CONSOLIDADO!$I:$I,I$3,CONSOLIDADO!$I:$I,I$4,CONSOLIDADO!$K:$K,"&lt;&gt;NOVO")</f>
        <v>0</v>
      </c>
      <c r="K28" s="30">
        <f>SUMIFS(CONSOLIDADO!$F:$F,CONSOLIDADO!$E:$E,$A28,CONSOLIDADO!$I:$I,J$3,CONSOLIDADO!$I:$I,J$4,CONSOLIDADO!$K:$K,"&lt;&gt;NOVO")</f>
        <v>0</v>
      </c>
      <c r="L28" s="30">
        <f>SUMIFS(CONSOLIDADO!$F:$F,CONSOLIDADO!$E:$E,$A28,CONSOLIDADO!$I:$I,K$3,CONSOLIDADO!$I:$I,K$4,CONSOLIDADO!$K:$K,"&lt;&gt;NOVO")</f>
        <v>0</v>
      </c>
      <c r="M28" s="30">
        <f>SUMIFS(CONSOLIDADO!$F:$F,CONSOLIDADO!$E:$E,$A28,CONSOLIDADO!$I:$I,L$3,CONSOLIDADO!$I:$I,L$4,CONSOLIDADO!$K:$K,"&lt;&gt;NOVO")</f>
        <v>0</v>
      </c>
      <c r="N28" s="30">
        <v>671</v>
      </c>
      <c r="O28" s="60">
        <v>0.8</v>
      </c>
      <c r="P28" s="61">
        <f t="shared" si="1"/>
        <v>0</v>
      </c>
      <c r="Q28" s="61">
        <f t="shared" si="1"/>
        <v>0</v>
      </c>
      <c r="R28" s="61">
        <f t="shared" si="1"/>
        <v>1207.7999999999997</v>
      </c>
      <c r="S28" s="61">
        <f t="shared" si="1"/>
        <v>0</v>
      </c>
      <c r="T28" s="61">
        <f t="shared" si="1"/>
        <v>0</v>
      </c>
      <c r="U28" s="61">
        <f t="shared" si="1"/>
        <v>0</v>
      </c>
      <c r="V28" s="61">
        <f t="shared" si="1"/>
        <v>0</v>
      </c>
      <c r="W28" s="61">
        <f t="shared" si="1"/>
        <v>0</v>
      </c>
      <c r="X28" s="61">
        <f t="shared" si="1"/>
        <v>0</v>
      </c>
      <c r="Y28" s="61">
        <f t="shared" si="1"/>
        <v>0</v>
      </c>
      <c r="Z28" s="61">
        <f t="shared" si="1"/>
        <v>0</v>
      </c>
      <c r="AA28" s="61">
        <f t="shared" si="1"/>
        <v>0</v>
      </c>
      <c r="AB28" s="37"/>
    </row>
    <row r="29" spans="1:28" x14ac:dyDescent="0.25">
      <c r="A29" s="59" t="s">
        <v>61</v>
      </c>
      <c r="B29" s="30">
        <f>SUMIFS(CONSOLIDADO!$F:$F,CONSOLIDADO!$E:$E,$A29,CONSOLIDADO!$I:$I,A$3,CONSOLIDADO!$I:$I,A$4,CONSOLIDADO!$K:$K,"&lt;&gt;NOVO")</f>
        <v>0</v>
      </c>
      <c r="C29" s="30">
        <f>SUMIFS(CONSOLIDADO!$F:$F,CONSOLIDADO!$E:$E,$A29,CONSOLIDADO!$I:$I,B$3,CONSOLIDADO!$I:$I,B$4,CONSOLIDADO!$K:$K,"&lt;&gt;NOVO")</f>
        <v>0</v>
      </c>
      <c r="D29" s="30">
        <f>SUMIFS(CONSOLIDADO!$F:$F,CONSOLIDADO!$E:$E,$A29,CONSOLIDADO!$I:$I,C$3,CONSOLIDADO!$I:$I,C$4,CONSOLIDADO!$K:$K,"&lt;&gt;NOVO")</f>
        <v>0</v>
      </c>
      <c r="E29" s="30">
        <f>SUMIFS(CONSOLIDADO!$F:$F,CONSOLIDADO!$E:$E,$A29,CONSOLIDADO!$I:$I,D$3,CONSOLIDADO!$I:$I,D$4,CONSOLIDADO!$K:$K,"&lt;&gt;NOVO")</f>
        <v>0</v>
      </c>
      <c r="F29" s="30">
        <f>SUMIFS(CONSOLIDADO!$F:$F,CONSOLIDADO!$E:$E,$A29,CONSOLIDADO!$I:$I,E$3,CONSOLIDADO!$I:$I,E$4,CONSOLIDADO!$K:$K,"&lt;&gt;NOVO")</f>
        <v>0</v>
      </c>
      <c r="G29" s="30">
        <f>SUMIFS(CONSOLIDADO!$F:$F,CONSOLIDADO!$E:$E,$A29,CONSOLIDADO!$I:$I,F$3,CONSOLIDADO!$I:$I,F$4,CONSOLIDADO!$K:$K,"&lt;&gt;NOVO")</f>
        <v>0</v>
      </c>
      <c r="H29" s="30">
        <f>SUMIFS(CONSOLIDADO!$F:$F,CONSOLIDADO!$E:$E,$A29,CONSOLIDADO!$I:$I,G$3,CONSOLIDADO!$I:$I,G$4,CONSOLIDADO!$K:$K,"&lt;&gt;NOVO")</f>
        <v>0</v>
      </c>
      <c r="I29" s="30">
        <f>SUMIFS(CONSOLIDADO!$F:$F,CONSOLIDADO!$E:$E,$A29,CONSOLIDADO!$I:$I,H$3,CONSOLIDADO!$I:$I,H$4,CONSOLIDADO!$K:$K,"&lt;&gt;NOVO")</f>
        <v>0</v>
      </c>
      <c r="J29" s="30">
        <f>SUMIFS(CONSOLIDADO!$F:$F,CONSOLIDADO!$E:$E,$A29,CONSOLIDADO!$I:$I,I$3,CONSOLIDADO!$I:$I,I$4,CONSOLIDADO!$K:$K,"&lt;&gt;NOVO")</f>
        <v>0</v>
      </c>
      <c r="K29" s="30">
        <f>SUMIFS(CONSOLIDADO!$F:$F,CONSOLIDADO!$E:$E,$A29,CONSOLIDADO!$I:$I,J$3,CONSOLIDADO!$I:$I,J$4,CONSOLIDADO!$K:$K,"&lt;&gt;NOVO")</f>
        <v>0</v>
      </c>
      <c r="L29" s="30">
        <f>SUMIFS(CONSOLIDADO!$F:$F,CONSOLIDADO!$E:$E,$A29,CONSOLIDADO!$I:$I,K$3,CONSOLIDADO!$I:$I,K$4,CONSOLIDADO!$K:$K,"&lt;&gt;NOVO")</f>
        <v>0</v>
      </c>
      <c r="M29" s="30">
        <f>SUMIFS(CONSOLIDADO!$F:$F,CONSOLIDADO!$E:$E,$A29,CONSOLIDADO!$I:$I,L$3,CONSOLIDADO!$I:$I,L$4,CONSOLIDADO!$K:$K,"&lt;&gt;NOVO")</f>
        <v>0</v>
      </c>
      <c r="N29" s="30">
        <v>671</v>
      </c>
      <c r="O29" s="60">
        <v>0.8</v>
      </c>
      <c r="P29" s="61">
        <f t="shared" si="1"/>
        <v>0</v>
      </c>
      <c r="Q29" s="61">
        <f t="shared" si="1"/>
        <v>0</v>
      </c>
      <c r="R29" s="61">
        <f t="shared" si="1"/>
        <v>0</v>
      </c>
      <c r="S29" s="61">
        <f t="shared" si="1"/>
        <v>0</v>
      </c>
      <c r="T29" s="61">
        <f t="shared" si="1"/>
        <v>0</v>
      </c>
      <c r="U29" s="61">
        <f t="shared" si="1"/>
        <v>0</v>
      </c>
      <c r="V29" s="61">
        <f t="shared" si="1"/>
        <v>0</v>
      </c>
      <c r="W29" s="61">
        <f t="shared" si="1"/>
        <v>0</v>
      </c>
      <c r="X29" s="61">
        <f t="shared" si="1"/>
        <v>0</v>
      </c>
      <c r="Y29" s="61">
        <f t="shared" si="1"/>
        <v>0</v>
      </c>
      <c r="Z29" s="61">
        <f t="shared" si="1"/>
        <v>0</v>
      </c>
      <c r="AA29" s="61">
        <f t="shared" si="1"/>
        <v>0</v>
      </c>
      <c r="AB29" s="37"/>
    </row>
    <row r="30" spans="1:28" x14ac:dyDescent="0.25">
      <c r="A30" t="s">
        <v>369</v>
      </c>
      <c r="B30" s="30">
        <f>SUMIFS(CONSOLIDADO!$F:$F,CONSOLIDADO!$E:$E,$A30,CONSOLIDADO!$I:$I,A$3,CONSOLIDADO!$I:$I,A$4,CONSOLIDADO!$K:$K,"&lt;&gt;NOVO")</f>
        <v>0</v>
      </c>
      <c r="C30" s="30">
        <f>SUMIFS(CONSOLIDADO!$F:$F,CONSOLIDADO!$E:$E,$A30,CONSOLIDADO!$I:$I,B$3,CONSOLIDADO!$I:$I,B$4,CONSOLIDADO!$K:$K,"&lt;&gt;NOVO")</f>
        <v>0</v>
      </c>
      <c r="D30" s="30">
        <f>SUMIFS(CONSOLIDADO!$F:$F,CONSOLIDADO!$E:$E,$A30,CONSOLIDADO!$I:$I,C$3,CONSOLIDADO!$I:$I,C$4,CONSOLIDADO!$K:$K,"&lt;&gt;NOVO")</f>
        <v>0</v>
      </c>
      <c r="E30" s="30">
        <f>SUMIFS(CONSOLIDADO!$F:$F,CONSOLIDADO!$E:$E,$A30,CONSOLIDADO!$I:$I,D$3,CONSOLIDADO!$I:$I,D$4,CONSOLIDADO!$K:$K,"&lt;&gt;NOVO")</f>
        <v>0</v>
      </c>
      <c r="F30" s="30">
        <f>SUMIFS(CONSOLIDADO!$F:$F,CONSOLIDADO!$E:$E,$A30,CONSOLIDADO!$I:$I,E$3,CONSOLIDADO!$I:$I,E$4,CONSOLIDADO!$K:$K,"&lt;&gt;NOVO")</f>
        <v>0</v>
      </c>
      <c r="G30" s="30">
        <f>SUMIFS(CONSOLIDADO!$F:$F,CONSOLIDADO!$E:$E,$A30,CONSOLIDADO!$I:$I,F$3,CONSOLIDADO!$I:$I,F$4,CONSOLIDADO!$K:$K,"&lt;&gt;NOVO")</f>
        <v>0</v>
      </c>
      <c r="H30" s="30">
        <f>SUMIFS(CONSOLIDADO!$F:$F,CONSOLIDADO!$E:$E,$A30,CONSOLIDADO!$I:$I,G$3,CONSOLIDADO!$I:$I,G$4,CONSOLIDADO!$K:$K,"&lt;&gt;NOVO")</f>
        <v>0</v>
      </c>
      <c r="I30" s="30">
        <f>SUMIFS(CONSOLIDADO!$F:$F,CONSOLIDADO!$E:$E,$A30,CONSOLIDADO!$I:$I,H$3,CONSOLIDADO!$I:$I,H$4,CONSOLIDADO!$K:$K,"&lt;&gt;NOVO")</f>
        <v>0</v>
      </c>
      <c r="J30" s="30">
        <f>SUMIFS(CONSOLIDADO!$F:$F,CONSOLIDADO!$E:$E,$A30,CONSOLIDADO!$I:$I,I$3,CONSOLIDADO!$I:$I,I$4,CONSOLIDADO!$K:$K,"&lt;&gt;NOVO")</f>
        <v>0</v>
      </c>
      <c r="K30" s="30">
        <f>SUMIFS(CONSOLIDADO!$F:$F,CONSOLIDADO!$E:$E,$A30,CONSOLIDADO!$I:$I,J$3,CONSOLIDADO!$I:$I,J$4,CONSOLIDADO!$K:$K,"&lt;&gt;NOVO")</f>
        <v>0</v>
      </c>
      <c r="L30" s="30">
        <f>SUMIFS(CONSOLIDADO!$F:$F,CONSOLIDADO!$E:$E,$A30,CONSOLIDADO!$I:$I,K$3,CONSOLIDADO!$I:$I,K$4,CONSOLIDADO!$K:$K,"&lt;&gt;NOVO")</f>
        <v>0</v>
      </c>
      <c r="M30" s="30">
        <f>SUMIFS(CONSOLIDADO!$F:$F,CONSOLIDADO!$E:$E,$A30,CONSOLIDADO!$I:$I,L$3,CONSOLIDADO!$I:$I,L$4,CONSOLIDADO!$K:$K,"&lt;&gt;NOVO")</f>
        <v>0</v>
      </c>
      <c r="N30" s="30">
        <v>653.75</v>
      </c>
      <c r="O30" s="60">
        <v>0.8</v>
      </c>
      <c r="P30" s="61">
        <f t="shared" si="1"/>
        <v>0</v>
      </c>
      <c r="Q30" s="61">
        <f t="shared" si="1"/>
        <v>0</v>
      </c>
      <c r="R30" s="61">
        <f t="shared" si="1"/>
        <v>0</v>
      </c>
      <c r="S30" s="61">
        <f t="shared" si="1"/>
        <v>0</v>
      </c>
      <c r="T30" s="61">
        <f t="shared" si="1"/>
        <v>0</v>
      </c>
      <c r="U30" s="61">
        <f t="shared" si="1"/>
        <v>0</v>
      </c>
      <c r="V30" s="61">
        <f t="shared" si="1"/>
        <v>0</v>
      </c>
      <c r="W30" s="61">
        <f t="shared" si="1"/>
        <v>0</v>
      </c>
      <c r="X30" s="61">
        <f t="shared" si="1"/>
        <v>0</v>
      </c>
      <c r="Y30" s="61">
        <f t="shared" si="1"/>
        <v>0</v>
      </c>
      <c r="Z30" s="61">
        <f t="shared" si="1"/>
        <v>0</v>
      </c>
      <c r="AA30" s="61">
        <f t="shared" si="1"/>
        <v>0</v>
      </c>
      <c r="AB30" s="37"/>
    </row>
    <row r="31" spans="1:28" x14ac:dyDescent="0.25">
      <c r="A31" s="59" t="s">
        <v>452</v>
      </c>
      <c r="B31" s="30">
        <f>SUMIFS(CONSOLIDADO!$F:$F,CONSOLIDADO!$E:$E,$A31,CONSOLIDADO!$I:$I,A$3,CONSOLIDADO!$I:$I,A$4,CONSOLIDADO!$K:$K,"&lt;&gt;NOVO")</f>
        <v>0</v>
      </c>
      <c r="C31" s="30">
        <f>SUMIFS(CONSOLIDADO!$F:$F,CONSOLIDADO!$E:$E,$A31,CONSOLIDADO!$I:$I,B$3,CONSOLIDADO!$I:$I,B$4,CONSOLIDADO!$K:$K,"&lt;&gt;NOVO")</f>
        <v>0</v>
      </c>
      <c r="D31" s="30">
        <f>SUMIFS(CONSOLIDADO!$F:$F,CONSOLIDADO!$E:$E,$A31,CONSOLIDADO!$I:$I,C$3,CONSOLIDADO!$I:$I,C$4,CONSOLIDADO!$K:$K,"&lt;&gt;NOVO")</f>
        <v>0</v>
      </c>
      <c r="E31" s="30">
        <f>SUMIFS(CONSOLIDADO!$F:$F,CONSOLIDADO!$E:$E,$A31,CONSOLIDADO!$I:$I,D$3,CONSOLIDADO!$I:$I,D$4,CONSOLIDADO!$K:$K,"&lt;&gt;NOVO")</f>
        <v>0</v>
      </c>
      <c r="F31" s="30">
        <f>SUMIFS(CONSOLIDADO!$F:$F,CONSOLIDADO!$E:$E,$A31,CONSOLIDADO!$I:$I,E$3,CONSOLIDADO!$I:$I,E$4,CONSOLIDADO!$K:$K,"&lt;&gt;NOVO")</f>
        <v>0</v>
      </c>
      <c r="G31" s="30">
        <f>SUMIFS(CONSOLIDADO!$F:$F,CONSOLIDADO!$E:$E,$A31,CONSOLIDADO!$I:$I,F$3,CONSOLIDADO!$I:$I,F$4,CONSOLIDADO!$K:$K,"&lt;&gt;NOVO")</f>
        <v>0</v>
      </c>
      <c r="H31" s="30">
        <f>SUMIFS(CONSOLIDADO!$F:$F,CONSOLIDADO!$E:$E,$A31,CONSOLIDADO!$I:$I,G$3,CONSOLIDADO!$I:$I,G$4,CONSOLIDADO!$K:$K,"&lt;&gt;NOVO")</f>
        <v>0</v>
      </c>
      <c r="I31" s="30">
        <f>SUMIFS(CONSOLIDADO!$F:$F,CONSOLIDADO!$E:$E,$A31,CONSOLIDADO!$I:$I,H$3,CONSOLIDADO!$I:$I,H$4,CONSOLIDADO!$K:$K,"&lt;&gt;NOVO")</f>
        <v>0</v>
      </c>
      <c r="J31" s="30">
        <f>SUMIFS(CONSOLIDADO!$F:$F,CONSOLIDADO!$E:$E,$A31,CONSOLIDADO!$I:$I,I$3,CONSOLIDADO!$I:$I,I$4,CONSOLIDADO!$K:$K,"&lt;&gt;NOVO")</f>
        <v>0</v>
      </c>
      <c r="K31" s="30">
        <f>SUMIFS(CONSOLIDADO!$F:$F,CONSOLIDADO!$E:$E,$A31,CONSOLIDADO!$I:$I,J$3,CONSOLIDADO!$I:$I,J$4,CONSOLIDADO!$K:$K,"&lt;&gt;NOVO")</f>
        <v>0</v>
      </c>
      <c r="L31" s="30">
        <f>SUMIFS(CONSOLIDADO!$F:$F,CONSOLIDADO!$E:$E,$A31,CONSOLIDADO!$I:$I,K$3,CONSOLIDADO!$I:$I,K$4,CONSOLIDADO!$K:$K,"&lt;&gt;NOVO")</f>
        <v>0</v>
      </c>
      <c r="M31" s="30">
        <f>SUMIFS(CONSOLIDADO!$F:$F,CONSOLIDADO!$E:$E,$A31,CONSOLIDADO!$I:$I,L$3,CONSOLIDADO!$I:$I,L$4,CONSOLIDADO!$K:$K,"&lt;&gt;NOVO")</f>
        <v>0</v>
      </c>
      <c r="N31" s="30">
        <v>5590.69</v>
      </c>
      <c r="O31" s="60">
        <v>0.8</v>
      </c>
      <c r="P31" s="61">
        <f t="shared" si="1"/>
        <v>0</v>
      </c>
      <c r="Q31" s="61">
        <f t="shared" si="1"/>
        <v>0</v>
      </c>
      <c r="R31" s="61">
        <f t="shared" si="1"/>
        <v>0</v>
      </c>
      <c r="S31" s="61">
        <f t="shared" si="1"/>
        <v>0</v>
      </c>
      <c r="T31" s="61">
        <f t="shared" si="1"/>
        <v>0</v>
      </c>
      <c r="U31" s="61">
        <f t="shared" si="1"/>
        <v>0</v>
      </c>
      <c r="V31" s="61">
        <f t="shared" si="1"/>
        <v>0</v>
      </c>
      <c r="W31" s="61">
        <f t="shared" si="1"/>
        <v>0</v>
      </c>
      <c r="X31" s="61">
        <f t="shared" si="1"/>
        <v>0</v>
      </c>
      <c r="Y31" s="61">
        <f t="shared" si="1"/>
        <v>0</v>
      </c>
      <c r="Z31" s="61">
        <f t="shared" si="1"/>
        <v>0</v>
      </c>
      <c r="AA31" s="61">
        <f t="shared" si="1"/>
        <v>0</v>
      </c>
      <c r="AB31" s="37"/>
    </row>
    <row r="32" spans="1:28" x14ac:dyDescent="0.25">
      <c r="A32" s="59" t="s">
        <v>370</v>
      </c>
      <c r="B32" s="30">
        <f>SUMIFS(CONSOLIDADO!$F:$F,CONSOLIDADO!$E:$E,$A32,CONSOLIDADO!$I:$I,A$3,CONSOLIDADO!$I:$I,A$4,CONSOLIDADO!$K:$K,"&lt;&gt;NOVO")</f>
        <v>0</v>
      </c>
      <c r="C32" s="30">
        <f>SUMIFS(CONSOLIDADO!$F:$F,CONSOLIDADO!$E:$E,$A32,CONSOLIDADO!$I:$I,B$3,CONSOLIDADO!$I:$I,B$4,CONSOLIDADO!$K:$K,"&lt;&gt;NOVO")</f>
        <v>0</v>
      </c>
      <c r="D32" s="30">
        <f>SUMIFS(CONSOLIDADO!$F:$F,CONSOLIDADO!$E:$E,$A32,CONSOLIDADO!$I:$I,C$3,CONSOLIDADO!$I:$I,C$4,CONSOLIDADO!$K:$K,"&lt;&gt;NOVO")</f>
        <v>0</v>
      </c>
      <c r="E32" s="30">
        <f>SUMIFS(CONSOLIDADO!$F:$F,CONSOLIDADO!$E:$E,$A32,CONSOLIDADO!$I:$I,D$3,CONSOLIDADO!$I:$I,D$4,CONSOLIDADO!$K:$K,"&lt;&gt;NOVO")</f>
        <v>0</v>
      </c>
      <c r="F32" s="30">
        <f>SUMIFS(CONSOLIDADO!$F:$F,CONSOLIDADO!$E:$E,$A32,CONSOLIDADO!$I:$I,E$3,CONSOLIDADO!$I:$I,E$4,CONSOLIDADO!$K:$K,"&lt;&gt;NOVO")</f>
        <v>0</v>
      </c>
      <c r="G32" s="30">
        <f>SUMIFS(CONSOLIDADO!$F:$F,CONSOLIDADO!$E:$E,$A32,CONSOLIDADO!$I:$I,F$3,CONSOLIDADO!$I:$I,F$4,CONSOLIDADO!$K:$K,"&lt;&gt;NOVO")</f>
        <v>0</v>
      </c>
      <c r="H32" s="30">
        <f>SUMIFS(CONSOLIDADO!$F:$F,CONSOLIDADO!$E:$E,$A32,CONSOLIDADO!$I:$I,G$3,CONSOLIDADO!$I:$I,G$4,CONSOLIDADO!$K:$K,"&lt;&gt;NOVO")</f>
        <v>0</v>
      </c>
      <c r="I32" s="30">
        <f>SUMIFS(CONSOLIDADO!$F:$F,CONSOLIDADO!$E:$E,$A32,CONSOLIDADO!$I:$I,H$3,CONSOLIDADO!$I:$I,H$4,CONSOLIDADO!$K:$K,"&lt;&gt;NOVO")</f>
        <v>0</v>
      </c>
      <c r="J32" s="30">
        <f>SUMIFS(CONSOLIDADO!$F:$F,CONSOLIDADO!$E:$E,$A32,CONSOLIDADO!$I:$I,I$3,CONSOLIDADO!$I:$I,I$4,CONSOLIDADO!$K:$K,"&lt;&gt;NOVO")</f>
        <v>0</v>
      </c>
      <c r="K32" s="30">
        <f>SUMIFS(CONSOLIDADO!$F:$F,CONSOLIDADO!$E:$E,$A32,CONSOLIDADO!$I:$I,J$3,CONSOLIDADO!$I:$I,J$4,CONSOLIDADO!$K:$K,"&lt;&gt;NOVO")</f>
        <v>0</v>
      </c>
      <c r="L32" s="30">
        <f>SUMIFS(CONSOLIDADO!$F:$F,CONSOLIDADO!$E:$E,$A32,CONSOLIDADO!$I:$I,K$3,CONSOLIDADO!$I:$I,K$4,CONSOLIDADO!$K:$K,"&lt;&gt;NOVO")</f>
        <v>0</v>
      </c>
      <c r="M32" s="30">
        <f>SUMIFS(CONSOLIDADO!$F:$F,CONSOLIDADO!$E:$E,$A32,CONSOLIDADO!$I:$I,L$3,CONSOLIDADO!$I:$I,L$4,CONSOLIDADO!$K:$K,"&lt;&gt;NOVO")</f>
        <v>0</v>
      </c>
      <c r="N32" s="30">
        <v>557.51</v>
      </c>
      <c r="O32" s="60">
        <v>0.8</v>
      </c>
      <c r="P32" s="61">
        <f t="shared" si="1"/>
        <v>0</v>
      </c>
      <c r="Q32" s="61">
        <f t="shared" si="1"/>
        <v>0</v>
      </c>
      <c r="R32" s="61">
        <f t="shared" si="1"/>
        <v>0</v>
      </c>
      <c r="S32" s="61">
        <f t="shared" si="1"/>
        <v>0</v>
      </c>
      <c r="T32" s="61">
        <f t="shared" si="1"/>
        <v>0</v>
      </c>
      <c r="U32" s="61">
        <f t="shared" si="1"/>
        <v>0</v>
      </c>
      <c r="V32" s="61">
        <f t="shared" si="1"/>
        <v>0</v>
      </c>
      <c r="W32" s="61">
        <f t="shared" si="1"/>
        <v>0</v>
      </c>
      <c r="X32" s="61">
        <f t="shared" si="1"/>
        <v>0</v>
      </c>
      <c r="Y32" s="61">
        <f t="shared" si="1"/>
        <v>0</v>
      </c>
      <c r="Z32" s="61">
        <f t="shared" si="1"/>
        <v>0</v>
      </c>
      <c r="AA32" s="61">
        <f t="shared" si="1"/>
        <v>0</v>
      </c>
      <c r="AB32" s="37"/>
    </row>
    <row r="33" spans="1:28" x14ac:dyDescent="0.25">
      <c r="A33" s="59" t="s">
        <v>371</v>
      </c>
      <c r="B33" s="30">
        <f>SUMIFS(CONSOLIDADO!$F:$F,CONSOLIDADO!$E:$E,$A33,CONSOLIDADO!$I:$I,A$3,CONSOLIDADO!$I:$I,A$4,CONSOLIDADO!$K:$K,"&lt;&gt;NOVO")</f>
        <v>0</v>
      </c>
      <c r="C33" s="30">
        <f>SUMIFS(CONSOLIDADO!$F:$F,CONSOLIDADO!$E:$E,$A33,CONSOLIDADO!$I:$I,B$3,CONSOLIDADO!$I:$I,B$4,CONSOLIDADO!$K:$K,"&lt;&gt;NOVO")</f>
        <v>0</v>
      </c>
      <c r="D33" s="30">
        <f>SUMIFS(CONSOLIDADO!$F:$F,CONSOLIDADO!$E:$E,$A33,CONSOLIDADO!$I:$I,C$3,CONSOLIDADO!$I:$I,C$4,CONSOLIDADO!$K:$K,"&lt;&gt;NOVO")</f>
        <v>0</v>
      </c>
      <c r="E33" s="30">
        <f>SUMIFS(CONSOLIDADO!$F:$F,CONSOLIDADO!$E:$E,$A33,CONSOLIDADO!$I:$I,D$3,CONSOLIDADO!$I:$I,D$4,CONSOLIDADO!$K:$K,"&lt;&gt;NOVO")</f>
        <v>0</v>
      </c>
      <c r="F33" s="30">
        <f>SUMIFS(CONSOLIDADO!$F:$F,CONSOLIDADO!$E:$E,$A33,CONSOLIDADO!$I:$I,E$3,CONSOLIDADO!$I:$I,E$4,CONSOLIDADO!$K:$K,"&lt;&gt;NOVO")</f>
        <v>0</v>
      </c>
      <c r="G33" s="30">
        <f>SUMIFS(CONSOLIDADO!$F:$F,CONSOLIDADO!$E:$E,$A33,CONSOLIDADO!$I:$I,F$3,CONSOLIDADO!$I:$I,F$4,CONSOLIDADO!$K:$K,"&lt;&gt;NOVO")</f>
        <v>0</v>
      </c>
      <c r="H33" s="30">
        <f>SUMIFS(CONSOLIDADO!$F:$F,CONSOLIDADO!$E:$E,$A33,CONSOLIDADO!$I:$I,G$3,CONSOLIDADO!$I:$I,G$4,CONSOLIDADO!$K:$K,"&lt;&gt;NOVO")</f>
        <v>0</v>
      </c>
      <c r="I33" s="30">
        <f>SUMIFS(CONSOLIDADO!$F:$F,CONSOLIDADO!$E:$E,$A33,CONSOLIDADO!$I:$I,H$3,CONSOLIDADO!$I:$I,H$4,CONSOLIDADO!$K:$K,"&lt;&gt;NOVO")</f>
        <v>0</v>
      </c>
      <c r="J33" s="30">
        <f>SUMIFS(CONSOLIDADO!$F:$F,CONSOLIDADO!$E:$E,$A33,CONSOLIDADO!$I:$I,I$3,CONSOLIDADO!$I:$I,I$4,CONSOLIDADO!$K:$K,"&lt;&gt;NOVO")</f>
        <v>0</v>
      </c>
      <c r="K33" s="30">
        <f>SUMIFS(CONSOLIDADO!$F:$F,CONSOLIDADO!$E:$E,$A33,CONSOLIDADO!$I:$I,J$3,CONSOLIDADO!$I:$I,J$4,CONSOLIDADO!$K:$K,"&lt;&gt;NOVO")</f>
        <v>0</v>
      </c>
      <c r="L33" s="30">
        <f>SUMIFS(CONSOLIDADO!$F:$F,CONSOLIDADO!$E:$E,$A33,CONSOLIDADO!$I:$I,K$3,CONSOLIDADO!$I:$I,K$4,CONSOLIDADO!$K:$K,"&lt;&gt;NOVO")</f>
        <v>0</v>
      </c>
      <c r="M33" s="30">
        <f>SUMIFS(CONSOLIDADO!$F:$F,CONSOLIDADO!$E:$E,$A33,CONSOLIDADO!$I:$I,L$3,CONSOLIDADO!$I:$I,L$4,CONSOLIDADO!$K:$K,"&lt;&gt;NOVO")</f>
        <v>0</v>
      </c>
      <c r="N33" s="30">
        <v>1115.02</v>
      </c>
      <c r="O33" s="60">
        <v>0.8</v>
      </c>
      <c r="P33" s="61">
        <f t="shared" si="1"/>
        <v>0</v>
      </c>
      <c r="Q33" s="61">
        <f t="shared" si="1"/>
        <v>0</v>
      </c>
      <c r="R33" s="61">
        <f t="shared" si="1"/>
        <v>0</v>
      </c>
      <c r="S33" s="61">
        <f t="shared" si="1"/>
        <v>0</v>
      </c>
      <c r="T33" s="61">
        <f t="shared" si="1"/>
        <v>0</v>
      </c>
      <c r="U33" s="61">
        <f t="shared" si="1"/>
        <v>0</v>
      </c>
      <c r="V33" s="61">
        <f t="shared" si="1"/>
        <v>0</v>
      </c>
      <c r="W33" s="61">
        <f t="shared" si="1"/>
        <v>0</v>
      </c>
      <c r="X33" s="61">
        <f t="shared" si="1"/>
        <v>0</v>
      </c>
      <c r="Y33" s="61">
        <f t="shared" si="1"/>
        <v>0</v>
      </c>
      <c r="Z33" s="61">
        <f t="shared" si="1"/>
        <v>0</v>
      </c>
      <c r="AA33" s="61">
        <f t="shared" si="1"/>
        <v>0</v>
      </c>
      <c r="AB33" s="37"/>
    </row>
    <row r="34" spans="1:28" x14ac:dyDescent="0.25">
      <c r="A34" s="59" t="s">
        <v>373</v>
      </c>
      <c r="B34" s="30">
        <f>SUMIFS(CONSOLIDADO!$F:$F,CONSOLIDADO!$E:$E,$A34,CONSOLIDADO!$I:$I,A$3,CONSOLIDADO!$I:$I,A$4,CONSOLIDADO!$K:$K,"&lt;&gt;NOVO")</f>
        <v>0</v>
      </c>
      <c r="C34" s="30">
        <f>SUMIFS(CONSOLIDADO!$F:$F,CONSOLIDADO!$E:$E,$A34,CONSOLIDADO!$I:$I,B$3,CONSOLIDADO!$I:$I,B$4,CONSOLIDADO!$K:$K,"&lt;&gt;NOVO")</f>
        <v>0</v>
      </c>
      <c r="D34" s="30">
        <f>SUMIFS(CONSOLIDADO!$F:$F,CONSOLIDADO!$E:$E,$A34,CONSOLIDADO!$I:$I,C$3,CONSOLIDADO!$I:$I,C$4,CONSOLIDADO!$K:$K,"&lt;&gt;NOVO")</f>
        <v>0</v>
      </c>
      <c r="E34" s="30">
        <f>SUMIFS(CONSOLIDADO!$F:$F,CONSOLIDADO!$E:$E,$A34,CONSOLIDADO!$I:$I,D$3,CONSOLIDADO!$I:$I,D$4,CONSOLIDADO!$K:$K,"&lt;&gt;NOVO")</f>
        <v>0</v>
      </c>
      <c r="F34" s="30">
        <f>SUMIFS(CONSOLIDADO!$F:$F,CONSOLIDADO!$E:$E,$A34,CONSOLIDADO!$I:$I,E$3,CONSOLIDADO!$I:$I,E$4,CONSOLIDADO!$K:$K,"&lt;&gt;NOVO")</f>
        <v>0</v>
      </c>
      <c r="G34" s="30">
        <f>SUMIFS(CONSOLIDADO!$F:$F,CONSOLIDADO!$E:$E,$A34,CONSOLIDADO!$I:$I,F$3,CONSOLIDADO!$I:$I,F$4,CONSOLIDADO!$K:$K,"&lt;&gt;NOVO")</f>
        <v>0</v>
      </c>
      <c r="H34" s="30">
        <f>SUMIFS(CONSOLIDADO!$F:$F,CONSOLIDADO!$E:$E,$A34,CONSOLIDADO!$I:$I,G$3,CONSOLIDADO!$I:$I,G$4,CONSOLIDADO!$K:$K,"&lt;&gt;NOVO")</f>
        <v>0</v>
      </c>
      <c r="I34" s="30">
        <f>SUMIFS(CONSOLIDADO!$F:$F,CONSOLIDADO!$E:$E,$A34,CONSOLIDADO!$I:$I,H$3,CONSOLIDADO!$I:$I,H$4,CONSOLIDADO!$K:$K,"&lt;&gt;NOVO")</f>
        <v>0</v>
      </c>
      <c r="J34" s="30">
        <f>SUMIFS(CONSOLIDADO!$F:$F,CONSOLIDADO!$E:$E,$A34,CONSOLIDADO!$I:$I,I$3,CONSOLIDADO!$I:$I,I$4,CONSOLIDADO!$K:$K,"&lt;&gt;NOVO")</f>
        <v>0</v>
      </c>
      <c r="K34" s="30">
        <f>SUMIFS(CONSOLIDADO!$F:$F,CONSOLIDADO!$E:$E,$A34,CONSOLIDADO!$I:$I,J$3,CONSOLIDADO!$I:$I,J$4,CONSOLIDADO!$K:$K,"&lt;&gt;NOVO")</f>
        <v>0</v>
      </c>
      <c r="L34" s="30">
        <f>SUMIFS(CONSOLIDADO!$F:$F,CONSOLIDADO!$E:$E,$A34,CONSOLIDADO!$I:$I,K$3,CONSOLIDADO!$I:$I,K$4,CONSOLIDADO!$K:$K,"&lt;&gt;NOVO")</f>
        <v>0</v>
      </c>
      <c r="M34" s="30">
        <f>SUMIFS(CONSOLIDADO!$F:$F,CONSOLIDADO!$E:$E,$A34,CONSOLIDADO!$I:$I,L$3,CONSOLIDADO!$I:$I,L$4,CONSOLIDADO!$K:$K,"&lt;&gt;NOVO")</f>
        <v>0</v>
      </c>
      <c r="N34" s="30">
        <v>373.89</v>
      </c>
      <c r="O34" s="60">
        <v>0.8</v>
      </c>
      <c r="P34" s="61">
        <f t="shared" si="1"/>
        <v>0</v>
      </c>
      <c r="Q34" s="61">
        <f t="shared" si="1"/>
        <v>0</v>
      </c>
      <c r="R34" s="61">
        <f t="shared" si="1"/>
        <v>0</v>
      </c>
      <c r="S34" s="61">
        <f t="shared" si="1"/>
        <v>0</v>
      </c>
      <c r="T34" s="61">
        <f t="shared" si="1"/>
        <v>0</v>
      </c>
      <c r="U34" s="61">
        <f t="shared" si="1"/>
        <v>0</v>
      </c>
      <c r="V34" s="61">
        <f t="shared" si="1"/>
        <v>0</v>
      </c>
      <c r="W34" s="61">
        <f t="shared" si="1"/>
        <v>0</v>
      </c>
      <c r="X34" s="61">
        <f t="shared" si="1"/>
        <v>0</v>
      </c>
      <c r="Y34" s="61">
        <f t="shared" si="1"/>
        <v>0</v>
      </c>
      <c r="Z34" s="61">
        <f t="shared" si="1"/>
        <v>0</v>
      </c>
      <c r="AA34" s="61">
        <f t="shared" si="1"/>
        <v>0</v>
      </c>
      <c r="AB34" s="37"/>
    </row>
    <row r="35" spans="1:28" x14ac:dyDescent="0.25">
      <c r="A35" s="59" t="s">
        <v>374</v>
      </c>
      <c r="B35" s="30">
        <f>SUMIFS(CONSOLIDADO!$F:$F,CONSOLIDADO!$E:$E,$A35,CONSOLIDADO!$I:$I,A$3,CONSOLIDADO!$I:$I,A$4,CONSOLIDADO!$K:$K,"&lt;&gt;NOVO")</f>
        <v>0</v>
      </c>
      <c r="C35" s="30">
        <f>SUMIFS(CONSOLIDADO!$F:$F,CONSOLIDADO!$E:$E,$A35,CONSOLIDADO!$I:$I,B$3,CONSOLIDADO!$I:$I,B$4,CONSOLIDADO!$K:$K,"&lt;&gt;NOVO")</f>
        <v>0</v>
      </c>
      <c r="D35" s="30">
        <f>SUMIFS(CONSOLIDADO!$F:$F,CONSOLIDADO!$E:$E,$A35,CONSOLIDADO!$I:$I,C$3,CONSOLIDADO!$I:$I,C$4,CONSOLIDADO!$K:$K,"&lt;&gt;NOVO")</f>
        <v>0</v>
      </c>
      <c r="E35" s="30">
        <f>SUMIFS(CONSOLIDADO!$F:$F,CONSOLIDADO!$E:$E,$A35,CONSOLIDADO!$I:$I,D$3,CONSOLIDADO!$I:$I,D$4,CONSOLIDADO!$K:$K,"&lt;&gt;NOVO")</f>
        <v>0</v>
      </c>
      <c r="F35" s="30">
        <f>SUMIFS(CONSOLIDADO!$F:$F,CONSOLIDADO!$E:$E,$A35,CONSOLIDADO!$I:$I,E$3,CONSOLIDADO!$I:$I,E$4,CONSOLIDADO!$K:$K,"&lt;&gt;NOVO")</f>
        <v>0</v>
      </c>
      <c r="G35" s="30">
        <f>SUMIFS(CONSOLIDADO!$F:$F,CONSOLIDADO!$E:$E,$A35,CONSOLIDADO!$I:$I,F$3,CONSOLIDADO!$I:$I,F$4,CONSOLIDADO!$K:$K,"&lt;&gt;NOVO")</f>
        <v>0</v>
      </c>
      <c r="H35" s="30">
        <f>SUMIFS(CONSOLIDADO!$F:$F,CONSOLIDADO!$E:$E,$A35,CONSOLIDADO!$I:$I,G$3,CONSOLIDADO!$I:$I,G$4,CONSOLIDADO!$K:$K,"&lt;&gt;NOVO")</f>
        <v>0</v>
      </c>
      <c r="I35" s="30">
        <f>SUMIFS(CONSOLIDADO!$F:$F,CONSOLIDADO!$E:$E,$A35,CONSOLIDADO!$I:$I,H$3,CONSOLIDADO!$I:$I,H$4,CONSOLIDADO!$K:$K,"&lt;&gt;NOVO")</f>
        <v>0</v>
      </c>
      <c r="J35" s="30">
        <f>SUMIFS(CONSOLIDADO!$F:$F,CONSOLIDADO!$E:$E,$A35,CONSOLIDADO!$I:$I,I$3,CONSOLIDADO!$I:$I,I$4,CONSOLIDADO!$K:$K,"&lt;&gt;NOVO")</f>
        <v>0</v>
      </c>
      <c r="K35" s="30">
        <f>SUMIFS(CONSOLIDADO!$F:$F,CONSOLIDADO!$E:$E,$A35,CONSOLIDADO!$I:$I,J$3,CONSOLIDADO!$I:$I,J$4,CONSOLIDADO!$K:$K,"&lt;&gt;NOVO")</f>
        <v>0</v>
      </c>
      <c r="L35" s="30">
        <f>SUMIFS(CONSOLIDADO!$F:$F,CONSOLIDADO!$E:$E,$A35,CONSOLIDADO!$I:$I,K$3,CONSOLIDADO!$I:$I,K$4,CONSOLIDADO!$K:$K,"&lt;&gt;NOVO")</f>
        <v>0</v>
      </c>
      <c r="M35" s="30">
        <f>SUMIFS(CONSOLIDADO!$F:$F,CONSOLIDADO!$E:$E,$A35,CONSOLIDADO!$I:$I,L$3,CONSOLIDADO!$I:$I,L$4,CONSOLIDADO!$K:$K,"&lt;&gt;NOVO")</f>
        <v>0</v>
      </c>
      <c r="N35" s="30">
        <v>373.89</v>
      </c>
      <c r="O35" s="60">
        <v>0.8</v>
      </c>
      <c r="P35" s="61">
        <f t="shared" si="1"/>
        <v>0</v>
      </c>
      <c r="Q35" s="61">
        <f t="shared" si="1"/>
        <v>0</v>
      </c>
      <c r="R35" s="61">
        <f t="shared" si="1"/>
        <v>0</v>
      </c>
      <c r="S35" s="61">
        <f t="shared" si="1"/>
        <v>0</v>
      </c>
      <c r="T35" s="61">
        <f t="shared" si="1"/>
        <v>0</v>
      </c>
      <c r="U35" s="61">
        <f t="shared" si="1"/>
        <v>0</v>
      </c>
      <c r="V35" s="61">
        <f t="shared" si="1"/>
        <v>0</v>
      </c>
      <c r="W35" s="61">
        <f t="shared" si="1"/>
        <v>0</v>
      </c>
      <c r="X35" s="61">
        <f t="shared" si="1"/>
        <v>0</v>
      </c>
      <c r="Y35" s="61">
        <f t="shared" si="1"/>
        <v>0</v>
      </c>
      <c r="Z35" s="61">
        <f t="shared" si="1"/>
        <v>0</v>
      </c>
      <c r="AA35" s="61">
        <f t="shared" si="1"/>
        <v>0</v>
      </c>
      <c r="AB35" s="37"/>
    </row>
    <row r="36" spans="1:28" x14ac:dyDescent="0.25">
      <c r="A36" s="59" t="s">
        <v>453</v>
      </c>
      <c r="B36" s="30">
        <f>SUMIFS(CONSOLIDADO!$F:$F,CONSOLIDADO!$E:$E,$A36,CONSOLIDADO!$I:$I,A$3,CONSOLIDADO!$I:$I,A$4,CONSOLIDADO!$K:$K,"&lt;&gt;NOVO")</f>
        <v>0</v>
      </c>
      <c r="C36" s="30">
        <f>SUMIFS(CONSOLIDADO!$F:$F,CONSOLIDADO!$E:$E,$A36,CONSOLIDADO!$I:$I,B$3,CONSOLIDADO!$I:$I,B$4,CONSOLIDADO!$K:$K,"&lt;&gt;NOVO")</f>
        <v>0</v>
      </c>
      <c r="D36" s="30">
        <f>SUMIFS(CONSOLIDADO!$F:$F,CONSOLIDADO!$E:$E,$A36,CONSOLIDADO!$I:$I,C$3,CONSOLIDADO!$I:$I,C$4,CONSOLIDADO!$K:$K,"&lt;&gt;NOVO")</f>
        <v>0</v>
      </c>
      <c r="E36" s="30">
        <f>SUMIFS(CONSOLIDADO!$F:$F,CONSOLIDADO!$E:$E,$A36,CONSOLIDADO!$I:$I,D$3,CONSOLIDADO!$I:$I,D$4,CONSOLIDADO!$K:$K,"&lt;&gt;NOVO")</f>
        <v>0</v>
      </c>
      <c r="F36" s="30">
        <f>SUMIFS(CONSOLIDADO!$F:$F,CONSOLIDADO!$E:$E,$A36,CONSOLIDADO!$I:$I,E$3,CONSOLIDADO!$I:$I,E$4,CONSOLIDADO!$K:$K,"&lt;&gt;NOVO")</f>
        <v>0</v>
      </c>
      <c r="G36" s="30">
        <f>SUMIFS(CONSOLIDADO!$F:$F,CONSOLIDADO!$E:$E,$A36,CONSOLIDADO!$I:$I,F$3,CONSOLIDADO!$I:$I,F$4,CONSOLIDADO!$K:$K,"&lt;&gt;NOVO")</f>
        <v>0</v>
      </c>
      <c r="H36" s="30">
        <f>SUMIFS(CONSOLIDADO!$F:$F,CONSOLIDADO!$E:$E,$A36,CONSOLIDADO!$I:$I,G$3,CONSOLIDADO!$I:$I,G$4,CONSOLIDADO!$K:$K,"&lt;&gt;NOVO")</f>
        <v>0</v>
      </c>
      <c r="I36" s="30">
        <f>SUMIFS(CONSOLIDADO!$F:$F,CONSOLIDADO!$E:$E,$A36,CONSOLIDADO!$I:$I,H$3,CONSOLIDADO!$I:$I,H$4,CONSOLIDADO!$K:$K,"&lt;&gt;NOVO")</f>
        <v>0</v>
      </c>
      <c r="J36" s="30">
        <f>SUMIFS(CONSOLIDADO!$F:$F,CONSOLIDADO!$E:$E,$A36,CONSOLIDADO!$I:$I,I$3,CONSOLIDADO!$I:$I,I$4,CONSOLIDADO!$K:$K,"&lt;&gt;NOVO")</f>
        <v>0</v>
      </c>
      <c r="K36" s="30">
        <f>SUMIFS(CONSOLIDADO!$F:$F,CONSOLIDADO!$E:$E,$A36,CONSOLIDADO!$I:$I,J$3,CONSOLIDADO!$I:$I,J$4,CONSOLIDADO!$K:$K,"&lt;&gt;NOVO")</f>
        <v>0</v>
      </c>
      <c r="L36" s="30">
        <f>SUMIFS(CONSOLIDADO!$F:$F,CONSOLIDADO!$E:$E,$A36,CONSOLIDADO!$I:$I,K$3,CONSOLIDADO!$I:$I,K$4,CONSOLIDADO!$K:$K,"&lt;&gt;NOVO")</f>
        <v>0</v>
      </c>
      <c r="M36" s="30">
        <f>SUMIFS(CONSOLIDADO!$F:$F,CONSOLIDADO!$E:$E,$A36,CONSOLIDADO!$I:$I,L$3,CONSOLIDADO!$I:$I,L$4,CONSOLIDADO!$K:$K,"&lt;&gt;NOVO")</f>
        <v>0</v>
      </c>
      <c r="N36" s="30">
        <v>2888.26</v>
      </c>
      <c r="O36" s="60">
        <v>0.8</v>
      </c>
      <c r="P36" s="61">
        <f t="shared" si="1"/>
        <v>0</v>
      </c>
      <c r="Q36" s="61">
        <f t="shared" si="1"/>
        <v>0</v>
      </c>
      <c r="R36" s="61">
        <f t="shared" si="1"/>
        <v>0</v>
      </c>
      <c r="S36" s="61">
        <f t="shared" si="1"/>
        <v>0</v>
      </c>
      <c r="T36" s="61">
        <f t="shared" si="1"/>
        <v>0</v>
      </c>
      <c r="U36" s="61">
        <f t="shared" si="1"/>
        <v>0</v>
      </c>
      <c r="V36" s="61">
        <f t="shared" si="1"/>
        <v>0</v>
      </c>
      <c r="W36" s="61">
        <f t="shared" si="1"/>
        <v>0</v>
      </c>
      <c r="X36" s="61">
        <f t="shared" si="1"/>
        <v>0</v>
      </c>
      <c r="Y36" s="61">
        <f t="shared" si="1"/>
        <v>0</v>
      </c>
      <c r="Z36" s="61">
        <f t="shared" si="1"/>
        <v>0</v>
      </c>
      <c r="AA36" s="61">
        <f t="shared" si="1"/>
        <v>0</v>
      </c>
      <c r="AB36" s="37"/>
    </row>
    <row r="37" spans="1:28" x14ac:dyDescent="0.25">
      <c r="A37" s="59" t="s">
        <v>454</v>
      </c>
      <c r="B37" s="30">
        <f>SUMIFS(CONSOLIDADO!$F:$F,CONSOLIDADO!$E:$E,$A37,CONSOLIDADO!$I:$I,A$3,CONSOLIDADO!$I:$I,A$4,CONSOLIDADO!$K:$K,"&lt;&gt;NOVO")</f>
        <v>0</v>
      </c>
      <c r="C37" s="30">
        <f>SUMIFS(CONSOLIDADO!$F:$F,CONSOLIDADO!$E:$E,$A37,CONSOLIDADO!$I:$I,B$3,CONSOLIDADO!$I:$I,B$4,CONSOLIDADO!$K:$K,"&lt;&gt;NOVO")</f>
        <v>0</v>
      </c>
      <c r="D37" s="30">
        <f>SUMIFS(CONSOLIDADO!$F:$F,CONSOLIDADO!$E:$E,$A37,CONSOLIDADO!$I:$I,C$3,CONSOLIDADO!$I:$I,C$4,CONSOLIDADO!$K:$K,"&lt;&gt;NOVO")</f>
        <v>0</v>
      </c>
      <c r="E37" s="30">
        <f>SUMIFS(CONSOLIDADO!$F:$F,CONSOLIDADO!$E:$E,$A37,CONSOLIDADO!$I:$I,D$3,CONSOLIDADO!$I:$I,D$4,CONSOLIDADO!$K:$K,"&lt;&gt;NOVO")</f>
        <v>0</v>
      </c>
      <c r="F37" s="30">
        <f>SUMIFS(CONSOLIDADO!$F:$F,CONSOLIDADO!$E:$E,$A37,CONSOLIDADO!$I:$I,E$3,CONSOLIDADO!$I:$I,E$4,CONSOLIDADO!$K:$K,"&lt;&gt;NOVO")</f>
        <v>0</v>
      </c>
      <c r="G37" s="30">
        <f>SUMIFS(CONSOLIDADO!$F:$F,CONSOLIDADO!$E:$E,$A37,CONSOLIDADO!$I:$I,F$3,CONSOLIDADO!$I:$I,F$4,CONSOLIDADO!$K:$K,"&lt;&gt;NOVO")</f>
        <v>0</v>
      </c>
      <c r="H37" s="30">
        <f>SUMIFS(CONSOLIDADO!$F:$F,CONSOLIDADO!$E:$E,$A37,CONSOLIDADO!$I:$I,G$3,CONSOLIDADO!$I:$I,G$4,CONSOLIDADO!$K:$K,"&lt;&gt;NOVO")</f>
        <v>0</v>
      </c>
      <c r="I37" s="30">
        <f>SUMIFS(CONSOLIDADO!$F:$F,CONSOLIDADO!$E:$E,$A37,CONSOLIDADO!$I:$I,H$3,CONSOLIDADO!$I:$I,H$4,CONSOLIDADO!$K:$K,"&lt;&gt;NOVO")</f>
        <v>0</v>
      </c>
      <c r="J37" s="30">
        <f>SUMIFS(CONSOLIDADO!$F:$F,CONSOLIDADO!$E:$E,$A37,CONSOLIDADO!$I:$I,I$3,CONSOLIDADO!$I:$I,I$4,CONSOLIDADO!$K:$K,"&lt;&gt;NOVO")</f>
        <v>0</v>
      </c>
      <c r="K37" s="30">
        <f>SUMIFS(CONSOLIDADO!$F:$F,CONSOLIDADO!$E:$E,$A37,CONSOLIDADO!$I:$I,J$3,CONSOLIDADO!$I:$I,J$4,CONSOLIDADO!$K:$K,"&lt;&gt;NOVO")</f>
        <v>0</v>
      </c>
      <c r="L37" s="30">
        <f>SUMIFS(CONSOLIDADO!$F:$F,CONSOLIDADO!$E:$E,$A37,CONSOLIDADO!$I:$I,K$3,CONSOLIDADO!$I:$I,K$4,CONSOLIDADO!$K:$K,"&lt;&gt;NOVO")</f>
        <v>0</v>
      </c>
      <c r="M37" s="30">
        <f>SUMIFS(CONSOLIDADO!$F:$F,CONSOLIDADO!$E:$E,$A37,CONSOLIDADO!$I:$I,L$3,CONSOLIDADO!$I:$I,L$4,CONSOLIDADO!$K:$K,"&lt;&gt;NOVO")</f>
        <v>0</v>
      </c>
      <c r="N37" s="30">
        <v>2888.26</v>
      </c>
      <c r="O37" s="60">
        <v>0.8</v>
      </c>
      <c r="P37" s="61">
        <f t="shared" si="1"/>
        <v>0</v>
      </c>
      <c r="Q37" s="61">
        <f t="shared" si="1"/>
        <v>0</v>
      </c>
      <c r="R37" s="61">
        <f t="shared" si="1"/>
        <v>0</v>
      </c>
      <c r="S37" s="61">
        <f t="shared" si="1"/>
        <v>0</v>
      </c>
      <c r="T37" s="61">
        <f t="shared" si="1"/>
        <v>0</v>
      </c>
      <c r="U37" s="61">
        <f t="shared" si="1"/>
        <v>0</v>
      </c>
      <c r="V37" s="61">
        <f t="shared" si="1"/>
        <v>0</v>
      </c>
      <c r="W37" s="61">
        <f t="shared" si="1"/>
        <v>0</v>
      </c>
      <c r="X37" s="61">
        <f t="shared" si="1"/>
        <v>0</v>
      </c>
      <c r="Y37" s="61">
        <f t="shared" si="1"/>
        <v>0</v>
      </c>
      <c r="Z37" s="61">
        <f t="shared" si="1"/>
        <v>0</v>
      </c>
      <c r="AA37" s="61">
        <f t="shared" si="1"/>
        <v>0</v>
      </c>
      <c r="AB37" s="37"/>
    </row>
    <row r="38" spans="1:28" x14ac:dyDescent="0.25">
      <c r="A38" s="59" t="s">
        <v>35</v>
      </c>
      <c r="B38" s="30">
        <f>SUMIFS(CONSOLIDADO!$F:$F,CONSOLIDADO!$E:$E,$A38,CONSOLIDADO!$I:$I,A$3,CONSOLIDADO!$I:$I,A$4,CONSOLIDADO!$K:$K,"&lt;&gt;NOVO")</f>
        <v>59</v>
      </c>
      <c r="C38" s="30">
        <f>SUMIFS(CONSOLIDADO!$F:$F,CONSOLIDADO!$E:$E,$A38,CONSOLIDADO!$I:$I,B$3,CONSOLIDADO!$I:$I,B$4,CONSOLIDADO!$K:$K,"&lt;&gt;NOVO")</f>
        <v>29</v>
      </c>
      <c r="D38" s="30">
        <f>SUMIFS(CONSOLIDADO!$F:$F,CONSOLIDADO!$E:$E,$A38,CONSOLIDADO!$I:$I,C$3,CONSOLIDADO!$I:$I,C$4,CONSOLIDADO!$K:$K,"&lt;&gt;NOVO")</f>
        <v>61</v>
      </c>
      <c r="E38" s="30">
        <f>SUMIFS(CONSOLIDADO!$F:$F,CONSOLIDADO!$E:$E,$A38,CONSOLIDADO!$I:$I,D$3,CONSOLIDADO!$I:$I,D$4,CONSOLIDADO!$K:$K,"&lt;&gt;NOVO")</f>
        <v>54</v>
      </c>
      <c r="F38" s="30">
        <f>SUMIFS(CONSOLIDADO!$F:$F,CONSOLIDADO!$E:$E,$A38,CONSOLIDADO!$I:$I,E$3,CONSOLIDADO!$I:$I,E$4,CONSOLIDADO!$K:$K,"&lt;&gt;NOVO")</f>
        <v>0</v>
      </c>
      <c r="G38" s="30">
        <f>SUMIFS(CONSOLIDADO!$F:$F,CONSOLIDADO!$E:$E,$A38,CONSOLIDADO!$I:$I,F$3,CONSOLIDADO!$I:$I,F$4,CONSOLIDADO!$K:$K,"&lt;&gt;NOVO")</f>
        <v>0</v>
      </c>
      <c r="H38" s="30">
        <f>SUMIFS(CONSOLIDADO!$F:$F,CONSOLIDADO!$E:$E,$A38,CONSOLIDADO!$I:$I,G$3,CONSOLIDADO!$I:$I,G$4,CONSOLIDADO!$K:$K,"&lt;&gt;NOVO")</f>
        <v>0</v>
      </c>
      <c r="I38" s="30">
        <f>SUMIFS(CONSOLIDADO!$F:$F,CONSOLIDADO!$E:$E,$A38,CONSOLIDADO!$I:$I,H$3,CONSOLIDADO!$I:$I,H$4,CONSOLIDADO!$K:$K,"&lt;&gt;NOVO")</f>
        <v>0</v>
      </c>
      <c r="J38" s="30">
        <f>SUMIFS(CONSOLIDADO!$F:$F,CONSOLIDADO!$E:$E,$A38,CONSOLIDADO!$I:$I,I$3,CONSOLIDADO!$I:$I,I$4,CONSOLIDADO!$K:$K,"&lt;&gt;NOVO")</f>
        <v>0</v>
      </c>
      <c r="K38" s="30">
        <f>SUMIFS(CONSOLIDADO!$F:$F,CONSOLIDADO!$E:$E,$A38,CONSOLIDADO!$I:$I,J$3,CONSOLIDADO!$I:$I,J$4,CONSOLIDADO!$K:$K,"&lt;&gt;NOVO")</f>
        <v>0</v>
      </c>
      <c r="L38" s="30">
        <f>SUMIFS(CONSOLIDADO!$F:$F,CONSOLIDADO!$E:$E,$A38,CONSOLIDADO!$I:$I,K$3,CONSOLIDADO!$I:$I,K$4,CONSOLIDADO!$K:$K,"&lt;&gt;NOVO")</f>
        <v>0</v>
      </c>
      <c r="M38" s="30">
        <f>SUMIFS(CONSOLIDADO!$F:$F,CONSOLIDADO!$E:$E,$A38,CONSOLIDADO!$I:$I,L$3,CONSOLIDADO!$I:$I,L$4,CONSOLIDADO!$K:$K,"&lt;&gt;NOVO")</f>
        <v>0</v>
      </c>
      <c r="N38" s="30">
        <v>2000</v>
      </c>
      <c r="O38" s="60">
        <v>0.8</v>
      </c>
      <c r="P38" s="61">
        <f t="shared" si="1"/>
        <v>23599.999999999993</v>
      </c>
      <c r="Q38" s="61">
        <f t="shared" si="1"/>
        <v>11599.999999999996</v>
      </c>
      <c r="R38" s="61">
        <f t="shared" si="1"/>
        <v>24399.999999999993</v>
      </c>
      <c r="S38" s="61">
        <f t="shared" si="1"/>
        <v>21599.999999999993</v>
      </c>
      <c r="T38" s="61">
        <f t="shared" si="1"/>
        <v>0</v>
      </c>
      <c r="U38" s="61">
        <f t="shared" si="1"/>
        <v>0</v>
      </c>
      <c r="V38" s="61">
        <f t="shared" si="1"/>
        <v>0</v>
      </c>
      <c r="W38" s="61">
        <f t="shared" si="1"/>
        <v>0</v>
      </c>
      <c r="X38" s="61">
        <f t="shared" si="1"/>
        <v>0</v>
      </c>
      <c r="Y38" s="61">
        <f t="shared" si="1"/>
        <v>0</v>
      </c>
      <c r="Z38" s="61">
        <f t="shared" si="1"/>
        <v>0</v>
      </c>
      <c r="AA38" s="61">
        <f t="shared" si="1"/>
        <v>0</v>
      </c>
      <c r="AB38" s="37"/>
    </row>
    <row r="39" spans="1:28" x14ac:dyDescent="0.25">
      <c r="A39" s="59" t="s">
        <v>376</v>
      </c>
      <c r="B39" s="30">
        <f>SUMIFS(CONSOLIDADO!$F:$F,CONSOLIDADO!$E:$E,$A39,CONSOLIDADO!$I:$I,A$3,CONSOLIDADO!$I:$I,A$4,CONSOLIDADO!$K:$K,"&lt;&gt;NOVO")</f>
        <v>0</v>
      </c>
      <c r="C39" s="30">
        <f>SUMIFS(CONSOLIDADO!$F:$F,CONSOLIDADO!$E:$E,$A39,CONSOLIDADO!$I:$I,B$3,CONSOLIDADO!$I:$I,B$4,CONSOLIDADO!$K:$K,"&lt;&gt;NOVO")</f>
        <v>0</v>
      </c>
      <c r="D39" s="30">
        <f>SUMIFS(CONSOLIDADO!$F:$F,CONSOLIDADO!$E:$E,$A39,CONSOLIDADO!$I:$I,C$3,CONSOLIDADO!$I:$I,C$4,CONSOLIDADO!$K:$K,"&lt;&gt;NOVO")</f>
        <v>0</v>
      </c>
      <c r="E39" s="30">
        <f>SUMIFS(CONSOLIDADO!$F:$F,CONSOLIDADO!$E:$E,$A39,CONSOLIDADO!$I:$I,D$3,CONSOLIDADO!$I:$I,D$4,CONSOLIDADO!$K:$K,"&lt;&gt;NOVO")</f>
        <v>0</v>
      </c>
      <c r="F39" s="30">
        <f>SUMIFS(CONSOLIDADO!$F:$F,CONSOLIDADO!$E:$E,$A39,CONSOLIDADO!$I:$I,E$3,CONSOLIDADO!$I:$I,E$4,CONSOLIDADO!$K:$K,"&lt;&gt;NOVO")</f>
        <v>0</v>
      </c>
      <c r="G39" s="30">
        <f>SUMIFS(CONSOLIDADO!$F:$F,CONSOLIDADO!$E:$E,$A39,CONSOLIDADO!$I:$I,F$3,CONSOLIDADO!$I:$I,F$4,CONSOLIDADO!$K:$K,"&lt;&gt;NOVO")</f>
        <v>0</v>
      </c>
      <c r="H39" s="30">
        <f>SUMIFS(CONSOLIDADO!$F:$F,CONSOLIDADO!$E:$E,$A39,CONSOLIDADO!$I:$I,G$3,CONSOLIDADO!$I:$I,G$4,CONSOLIDADO!$K:$K,"&lt;&gt;NOVO")</f>
        <v>0</v>
      </c>
      <c r="I39" s="30">
        <f>SUMIFS(CONSOLIDADO!$F:$F,CONSOLIDADO!$E:$E,$A39,CONSOLIDADO!$I:$I,H$3,CONSOLIDADO!$I:$I,H$4,CONSOLIDADO!$K:$K,"&lt;&gt;NOVO")</f>
        <v>0</v>
      </c>
      <c r="J39" s="30">
        <f>SUMIFS(CONSOLIDADO!$F:$F,CONSOLIDADO!$E:$E,$A39,CONSOLIDADO!$I:$I,I$3,CONSOLIDADO!$I:$I,I$4,CONSOLIDADO!$K:$K,"&lt;&gt;NOVO")</f>
        <v>0</v>
      </c>
      <c r="K39" s="30">
        <f>SUMIFS(CONSOLIDADO!$F:$F,CONSOLIDADO!$E:$E,$A39,CONSOLIDADO!$I:$I,J$3,CONSOLIDADO!$I:$I,J$4,CONSOLIDADO!$K:$K,"&lt;&gt;NOVO")</f>
        <v>0</v>
      </c>
      <c r="L39" s="30">
        <f>SUMIFS(CONSOLIDADO!$F:$F,CONSOLIDADO!$E:$E,$A39,CONSOLIDADO!$I:$I,K$3,CONSOLIDADO!$I:$I,K$4,CONSOLIDADO!$K:$K,"&lt;&gt;NOVO")</f>
        <v>0</v>
      </c>
      <c r="M39" s="30">
        <f>SUMIFS(CONSOLIDADO!$F:$F,CONSOLIDADO!$E:$E,$A39,CONSOLIDADO!$I:$I,L$3,CONSOLIDADO!$I:$I,L$4,CONSOLIDADO!$K:$K,"&lt;&gt;NOVO")</f>
        <v>0</v>
      </c>
      <c r="N39" s="30">
        <v>465.15</v>
      </c>
      <c r="O39" s="60">
        <v>0.8</v>
      </c>
      <c r="P39" s="61">
        <f t="shared" si="1"/>
        <v>0</v>
      </c>
      <c r="Q39" s="61">
        <f t="shared" si="1"/>
        <v>0</v>
      </c>
      <c r="R39" s="61">
        <f t="shared" si="1"/>
        <v>0</v>
      </c>
      <c r="S39" s="61">
        <f t="shared" si="1"/>
        <v>0</v>
      </c>
      <c r="T39" s="61">
        <f t="shared" si="1"/>
        <v>0</v>
      </c>
      <c r="U39" s="61">
        <f t="shared" si="1"/>
        <v>0</v>
      </c>
      <c r="V39" s="61">
        <f t="shared" si="1"/>
        <v>0</v>
      </c>
      <c r="W39" s="61">
        <f t="shared" si="1"/>
        <v>0</v>
      </c>
      <c r="X39" s="61">
        <f t="shared" si="1"/>
        <v>0</v>
      </c>
      <c r="Y39" s="61">
        <f t="shared" si="1"/>
        <v>0</v>
      </c>
      <c r="Z39" s="61">
        <f t="shared" si="1"/>
        <v>0</v>
      </c>
      <c r="AA39" s="61">
        <f t="shared" si="1"/>
        <v>0</v>
      </c>
      <c r="AB39" s="37"/>
    </row>
    <row r="40" spans="1:28" x14ac:dyDescent="0.25">
      <c r="A40" t="s">
        <v>377</v>
      </c>
      <c r="B40" s="30">
        <f>SUMIFS(CONSOLIDADO!$F:$F,CONSOLIDADO!$E:$E,$A40,CONSOLIDADO!$I:$I,A$3,CONSOLIDADO!$I:$I,A$4,CONSOLIDADO!$K:$K,"&lt;&gt;NOVO")</f>
        <v>0</v>
      </c>
      <c r="C40" s="30">
        <f>SUMIFS(CONSOLIDADO!$F:$F,CONSOLIDADO!$E:$E,$A40,CONSOLIDADO!$I:$I,B$3,CONSOLIDADO!$I:$I,B$4,CONSOLIDADO!$K:$K,"&lt;&gt;NOVO")</f>
        <v>0</v>
      </c>
      <c r="D40" s="30">
        <f>SUMIFS(CONSOLIDADO!$F:$F,CONSOLIDADO!$E:$E,$A40,CONSOLIDADO!$I:$I,C$3,CONSOLIDADO!$I:$I,C$4,CONSOLIDADO!$K:$K,"&lt;&gt;NOVO")</f>
        <v>0</v>
      </c>
      <c r="E40" s="30">
        <f>SUMIFS(CONSOLIDADO!$F:$F,CONSOLIDADO!$E:$E,$A40,CONSOLIDADO!$I:$I,D$3,CONSOLIDADO!$I:$I,D$4,CONSOLIDADO!$K:$K,"&lt;&gt;NOVO")</f>
        <v>0</v>
      </c>
      <c r="F40" s="30">
        <f>SUMIFS(CONSOLIDADO!$F:$F,CONSOLIDADO!$E:$E,$A40,CONSOLIDADO!$I:$I,E$3,CONSOLIDADO!$I:$I,E$4,CONSOLIDADO!$K:$K,"&lt;&gt;NOVO")</f>
        <v>0</v>
      </c>
      <c r="G40" s="30">
        <f>SUMIFS(CONSOLIDADO!$F:$F,CONSOLIDADO!$E:$E,$A40,CONSOLIDADO!$I:$I,F$3,CONSOLIDADO!$I:$I,F$4,CONSOLIDADO!$K:$K,"&lt;&gt;NOVO")</f>
        <v>0</v>
      </c>
      <c r="H40" s="30">
        <f>SUMIFS(CONSOLIDADO!$F:$F,CONSOLIDADO!$E:$E,$A40,CONSOLIDADO!$I:$I,G$3,CONSOLIDADO!$I:$I,G$4,CONSOLIDADO!$K:$K,"&lt;&gt;NOVO")</f>
        <v>0</v>
      </c>
      <c r="I40" s="30">
        <f>SUMIFS(CONSOLIDADO!$F:$F,CONSOLIDADO!$E:$E,$A40,CONSOLIDADO!$I:$I,H$3,CONSOLIDADO!$I:$I,H$4,CONSOLIDADO!$K:$K,"&lt;&gt;NOVO")</f>
        <v>0</v>
      </c>
      <c r="J40" s="30">
        <f>SUMIFS(CONSOLIDADO!$F:$F,CONSOLIDADO!$E:$E,$A40,CONSOLIDADO!$I:$I,I$3,CONSOLIDADO!$I:$I,I$4,CONSOLIDADO!$K:$K,"&lt;&gt;NOVO")</f>
        <v>0</v>
      </c>
      <c r="K40" s="30">
        <f>SUMIFS(CONSOLIDADO!$F:$F,CONSOLIDADO!$E:$E,$A40,CONSOLIDADO!$I:$I,J$3,CONSOLIDADO!$I:$I,J$4,CONSOLIDADO!$K:$K,"&lt;&gt;NOVO")</f>
        <v>0</v>
      </c>
      <c r="L40" s="30">
        <f>SUMIFS(CONSOLIDADO!$F:$F,CONSOLIDADO!$E:$E,$A40,CONSOLIDADO!$I:$I,K$3,CONSOLIDADO!$I:$I,K$4,CONSOLIDADO!$K:$K,"&lt;&gt;NOVO")</f>
        <v>0</v>
      </c>
      <c r="M40" s="30">
        <f>SUMIFS(CONSOLIDADO!$F:$F,CONSOLIDADO!$E:$E,$A40,CONSOLIDADO!$I:$I,L$3,CONSOLIDADO!$I:$I,L$4,CONSOLIDADO!$K:$K,"&lt;&gt;NOVO")</f>
        <v>0</v>
      </c>
      <c r="N40" s="30">
        <v>1115.02</v>
      </c>
      <c r="O40" s="60">
        <v>0.8</v>
      </c>
      <c r="P40" s="61">
        <f t="shared" si="1"/>
        <v>0</v>
      </c>
      <c r="Q40" s="61">
        <f t="shared" si="1"/>
        <v>0</v>
      </c>
      <c r="R40" s="61">
        <f t="shared" si="1"/>
        <v>0</v>
      </c>
      <c r="S40" s="61">
        <f t="shared" si="1"/>
        <v>0</v>
      </c>
      <c r="T40" s="61">
        <f t="shared" si="1"/>
        <v>0</v>
      </c>
      <c r="U40" s="61">
        <f t="shared" si="1"/>
        <v>0</v>
      </c>
      <c r="V40" s="61">
        <f t="shared" si="1"/>
        <v>0</v>
      </c>
      <c r="W40" s="61">
        <f t="shared" si="1"/>
        <v>0</v>
      </c>
      <c r="X40" s="61">
        <f t="shared" si="1"/>
        <v>0</v>
      </c>
      <c r="Y40" s="61">
        <f t="shared" si="1"/>
        <v>0</v>
      </c>
      <c r="Z40" s="61">
        <f t="shared" si="1"/>
        <v>0</v>
      </c>
      <c r="AA40" s="61">
        <f t="shared" si="1"/>
        <v>0</v>
      </c>
      <c r="AB40" s="37"/>
    </row>
    <row r="41" spans="1:28" x14ac:dyDescent="0.25">
      <c r="A41" s="59" t="s">
        <v>378</v>
      </c>
      <c r="B41" s="30">
        <f>SUMIFS(CONSOLIDADO!$F:$F,CONSOLIDADO!$E:$E,$A41,CONSOLIDADO!$I:$I,A$3,CONSOLIDADO!$I:$I,A$4,CONSOLIDADO!$K:$K,"&lt;&gt;NOVO")</f>
        <v>0</v>
      </c>
      <c r="C41" s="30">
        <f>SUMIFS(CONSOLIDADO!$F:$F,CONSOLIDADO!$E:$E,$A41,CONSOLIDADO!$I:$I,B$3,CONSOLIDADO!$I:$I,B$4,CONSOLIDADO!$K:$K,"&lt;&gt;NOVO")</f>
        <v>0</v>
      </c>
      <c r="D41" s="30">
        <f>SUMIFS(CONSOLIDADO!$F:$F,CONSOLIDADO!$E:$E,$A41,CONSOLIDADO!$I:$I,C$3,CONSOLIDADO!$I:$I,C$4,CONSOLIDADO!$K:$K,"&lt;&gt;NOVO")</f>
        <v>0</v>
      </c>
      <c r="E41" s="30">
        <f>SUMIFS(CONSOLIDADO!$F:$F,CONSOLIDADO!$E:$E,$A41,CONSOLIDADO!$I:$I,D$3,CONSOLIDADO!$I:$I,D$4,CONSOLIDADO!$K:$K,"&lt;&gt;NOVO")</f>
        <v>0</v>
      </c>
      <c r="F41" s="30">
        <f>SUMIFS(CONSOLIDADO!$F:$F,CONSOLIDADO!$E:$E,$A41,CONSOLIDADO!$I:$I,E$3,CONSOLIDADO!$I:$I,E$4,CONSOLIDADO!$K:$K,"&lt;&gt;NOVO")</f>
        <v>0</v>
      </c>
      <c r="G41" s="30">
        <f>SUMIFS(CONSOLIDADO!$F:$F,CONSOLIDADO!$E:$E,$A41,CONSOLIDADO!$I:$I,F$3,CONSOLIDADO!$I:$I,F$4,CONSOLIDADO!$K:$K,"&lt;&gt;NOVO")</f>
        <v>0</v>
      </c>
      <c r="H41" s="30">
        <f>SUMIFS(CONSOLIDADO!$F:$F,CONSOLIDADO!$E:$E,$A41,CONSOLIDADO!$I:$I,G$3,CONSOLIDADO!$I:$I,G$4,CONSOLIDADO!$K:$K,"&lt;&gt;NOVO")</f>
        <v>0</v>
      </c>
      <c r="I41" s="30">
        <f>SUMIFS(CONSOLIDADO!$F:$F,CONSOLIDADO!$E:$E,$A41,CONSOLIDADO!$I:$I,H$3,CONSOLIDADO!$I:$I,H$4,CONSOLIDADO!$K:$K,"&lt;&gt;NOVO")</f>
        <v>0</v>
      </c>
      <c r="J41" s="30">
        <f>SUMIFS(CONSOLIDADO!$F:$F,CONSOLIDADO!$E:$E,$A41,CONSOLIDADO!$I:$I,I$3,CONSOLIDADO!$I:$I,I$4,CONSOLIDADO!$K:$K,"&lt;&gt;NOVO")</f>
        <v>0</v>
      </c>
      <c r="K41" s="30">
        <f>SUMIFS(CONSOLIDADO!$F:$F,CONSOLIDADO!$E:$E,$A41,CONSOLIDADO!$I:$I,J$3,CONSOLIDADO!$I:$I,J$4,CONSOLIDADO!$K:$K,"&lt;&gt;NOVO")</f>
        <v>0</v>
      </c>
      <c r="L41" s="30">
        <f>SUMIFS(CONSOLIDADO!$F:$F,CONSOLIDADO!$E:$E,$A41,CONSOLIDADO!$I:$I,K$3,CONSOLIDADO!$I:$I,K$4,CONSOLIDADO!$K:$K,"&lt;&gt;NOVO")</f>
        <v>0</v>
      </c>
      <c r="M41" s="30">
        <f>SUMIFS(CONSOLIDADO!$F:$F,CONSOLIDADO!$E:$E,$A41,CONSOLIDADO!$I:$I,L$3,CONSOLIDADO!$I:$I,L$4,CONSOLIDADO!$K:$K,"&lt;&gt;NOVO")</f>
        <v>0</v>
      </c>
      <c r="N41" s="30">
        <v>746.68</v>
      </c>
      <c r="O41" s="60">
        <v>0.8</v>
      </c>
      <c r="P41" s="61">
        <f t="shared" si="1"/>
        <v>0</v>
      </c>
      <c r="Q41" s="61">
        <f t="shared" si="1"/>
        <v>0</v>
      </c>
      <c r="R41" s="61">
        <f t="shared" si="1"/>
        <v>0</v>
      </c>
      <c r="S41" s="61">
        <f t="shared" si="1"/>
        <v>0</v>
      </c>
      <c r="T41" s="61">
        <f t="shared" si="1"/>
        <v>0</v>
      </c>
      <c r="U41" s="61">
        <f t="shared" si="1"/>
        <v>0</v>
      </c>
      <c r="V41" s="61">
        <f t="shared" si="1"/>
        <v>0</v>
      </c>
      <c r="W41" s="61">
        <f t="shared" si="1"/>
        <v>0</v>
      </c>
      <c r="X41" s="61">
        <f t="shared" si="1"/>
        <v>0</v>
      </c>
      <c r="Y41" s="61">
        <f t="shared" si="1"/>
        <v>0</v>
      </c>
      <c r="Z41" s="61">
        <f t="shared" si="1"/>
        <v>0</v>
      </c>
      <c r="AA41" s="61">
        <f t="shared" si="1"/>
        <v>0</v>
      </c>
      <c r="AB41" s="37"/>
    </row>
    <row r="42" spans="1:28" x14ac:dyDescent="0.25">
      <c r="A42" s="59" t="s">
        <v>45</v>
      </c>
      <c r="B42" s="30">
        <f>SUMIFS(CONSOLIDADO!$F:$F,CONSOLIDADO!$E:$E,$A42,CONSOLIDADO!$I:$I,A$3,CONSOLIDADO!$I:$I,A$4,CONSOLIDADO!$K:$K,"&lt;&gt;NOVO")</f>
        <v>1</v>
      </c>
      <c r="C42" s="30">
        <f>SUMIFS(CONSOLIDADO!$F:$F,CONSOLIDADO!$E:$E,$A42,CONSOLIDADO!$I:$I,B$3,CONSOLIDADO!$I:$I,B$4,CONSOLIDADO!$K:$K,"&lt;&gt;NOVO")</f>
        <v>4</v>
      </c>
      <c r="D42" s="30">
        <f>SUMIFS(CONSOLIDADO!$F:$F,CONSOLIDADO!$E:$E,$A42,CONSOLIDADO!$I:$I,C$3,CONSOLIDADO!$I:$I,C$4,CONSOLIDADO!$K:$K,"&lt;&gt;NOVO")</f>
        <v>4</v>
      </c>
      <c r="E42" s="30">
        <f>SUMIFS(CONSOLIDADO!$F:$F,CONSOLIDADO!$E:$E,$A42,CONSOLIDADO!$I:$I,D$3,CONSOLIDADO!$I:$I,D$4,CONSOLIDADO!$K:$K,"&lt;&gt;NOVO")</f>
        <v>6</v>
      </c>
      <c r="F42" s="30">
        <f>SUMIFS(CONSOLIDADO!$F:$F,CONSOLIDADO!$E:$E,$A42,CONSOLIDADO!$I:$I,E$3,CONSOLIDADO!$I:$I,E$4,CONSOLIDADO!$K:$K,"&lt;&gt;NOVO")</f>
        <v>0</v>
      </c>
      <c r="G42" s="30">
        <f>SUMIFS(CONSOLIDADO!$F:$F,CONSOLIDADO!$E:$E,$A42,CONSOLIDADO!$I:$I,F$3,CONSOLIDADO!$I:$I,F$4,CONSOLIDADO!$K:$K,"&lt;&gt;NOVO")</f>
        <v>0</v>
      </c>
      <c r="H42" s="30">
        <f>SUMIFS(CONSOLIDADO!$F:$F,CONSOLIDADO!$E:$E,$A42,CONSOLIDADO!$I:$I,G$3,CONSOLIDADO!$I:$I,G$4,CONSOLIDADO!$K:$K,"&lt;&gt;NOVO")</f>
        <v>0</v>
      </c>
      <c r="I42" s="30">
        <f>SUMIFS(CONSOLIDADO!$F:$F,CONSOLIDADO!$E:$E,$A42,CONSOLIDADO!$I:$I,H$3,CONSOLIDADO!$I:$I,H$4,CONSOLIDADO!$K:$K,"&lt;&gt;NOVO")</f>
        <v>0</v>
      </c>
      <c r="J42" s="30">
        <f>SUMIFS(CONSOLIDADO!$F:$F,CONSOLIDADO!$E:$E,$A42,CONSOLIDADO!$I:$I,I$3,CONSOLIDADO!$I:$I,I$4,CONSOLIDADO!$K:$K,"&lt;&gt;NOVO")</f>
        <v>0</v>
      </c>
      <c r="K42" s="30">
        <f>SUMIFS(CONSOLIDADO!$F:$F,CONSOLIDADO!$E:$E,$A42,CONSOLIDADO!$I:$I,J$3,CONSOLIDADO!$I:$I,J$4,CONSOLIDADO!$K:$K,"&lt;&gt;NOVO")</f>
        <v>0</v>
      </c>
      <c r="L42" s="30">
        <f>SUMIFS(CONSOLIDADO!$F:$F,CONSOLIDADO!$E:$E,$A42,CONSOLIDADO!$I:$I,K$3,CONSOLIDADO!$I:$I,K$4,CONSOLIDADO!$K:$K,"&lt;&gt;NOVO")</f>
        <v>0</v>
      </c>
      <c r="M42" s="30">
        <f>SUMIFS(CONSOLIDADO!$F:$F,CONSOLIDADO!$E:$E,$A42,CONSOLIDADO!$I:$I,L$3,CONSOLIDADO!$I:$I,L$4,CONSOLIDADO!$K:$K,"&lt;&gt;NOVO")</f>
        <v>0</v>
      </c>
      <c r="N42" s="30">
        <v>653.20000000000005</v>
      </c>
      <c r="O42" s="60">
        <v>0.8</v>
      </c>
      <c r="P42" s="61">
        <f t="shared" si="1"/>
        <v>130.63999999999999</v>
      </c>
      <c r="Q42" s="61">
        <f t="shared" si="1"/>
        <v>522.55999999999995</v>
      </c>
      <c r="R42" s="61">
        <f t="shared" si="1"/>
        <v>522.55999999999995</v>
      </c>
      <c r="S42" s="61">
        <f t="shared" si="1"/>
        <v>783.83999999999992</v>
      </c>
      <c r="T42" s="61">
        <f t="shared" si="1"/>
        <v>0</v>
      </c>
      <c r="U42" s="61">
        <f t="shared" si="1"/>
        <v>0</v>
      </c>
      <c r="V42" s="61">
        <f t="shared" si="1"/>
        <v>0</v>
      </c>
      <c r="W42" s="61">
        <f t="shared" si="1"/>
        <v>0</v>
      </c>
      <c r="X42" s="61">
        <f t="shared" si="1"/>
        <v>0</v>
      </c>
      <c r="Y42" s="61">
        <f t="shared" si="1"/>
        <v>0</v>
      </c>
      <c r="Z42" s="61">
        <f t="shared" si="1"/>
        <v>0</v>
      </c>
      <c r="AA42" s="61">
        <f t="shared" si="1"/>
        <v>0</v>
      </c>
      <c r="AB42" s="37"/>
    </row>
    <row r="43" spans="1:28" x14ac:dyDescent="0.25">
      <c r="A43" s="59" t="s">
        <v>62</v>
      </c>
      <c r="B43" s="30">
        <f>SUMIFS(CONSOLIDADO!$F:$F,CONSOLIDADO!$E:$E,$A43,CONSOLIDADO!$I:$I,A$3,CONSOLIDADO!$I:$I,A$4,CONSOLIDADO!$K:$K,"&lt;&gt;NOVO")</f>
        <v>3</v>
      </c>
      <c r="C43" s="30">
        <f>SUMIFS(CONSOLIDADO!$F:$F,CONSOLIDADO!$E:$E,$A43,CONSOLIDADO!$I:$I,B$3,CONSOLIDADO!$I:$I,B$4,CONSOLIDADO!$K:$K,"&lt;&gt;NOVO")</f>
        <v>4</v>
      </c>
      <c r="D43" s="30">
        <f>SUMIFS(CONSOLIDADO!$F:$F,CONSOLIDADO!$E:$E,$A43,CONSOLIDADO!$I:$I,C$3,CONSOLIDADO!$I:$I,C$4,CONSOLIDADO!$K:$K,"&lt;&gt;NOVO")</f>
        <v>1</v>
      </c>
      <c r="E43" s="30">
        <f>SUMIFS(CONSOLIDADO!$F:$F,CONSOLIDADO!$E:$E,$A43,CONSOLIDADO!$I:$I,D$3,CONSOLIDADO!$I:$I,D$4,CONSOLIDADO!$K:$K,"&lt;&gt;NOVO")</f>
        <v>0</v>
      </c>
      <c r="F43" s="30">
        <f>SUMIFS(CONSOLIDADO!$F:$F,CONSOLIDADO!$E:$E,$A43,CONSOLIDADO!$I:$I,E$3,CONSOLIDADO!$I:$I,E$4,CONSOLIDADO!$K:$K,"&lt;&gt;NOVO")</f>
        <v>0</v>
      </c>
      <c r="G43" s="30">
        <f>SUMIFS(CONSOLIDADO!$F:$F,CONSOLIDADO!$E:$E,$A43,CONSOLIDADO!$I:$I,F$3,CONSOLIDADO!$I:$I,F$4,CONSOLIDADO!$K:$K,"&lt;&gt;NOVO")</f>
        <v>0</v>
      </c>
      <c r="H43" s="30">
        <f>SUMIFS(CONSOLIDADO!$F:$F,CONSOLIDADO!$E:$E,$A43,CONSOLIDADO!$I:$I,G$3,CONSOLIDADO!$I:$I,G$4,CONSOLIDADO!$K:$K,"&lt;&gt;NOVO")</f>
        <v>0</v>
      </c>
      <c r="I43" s="30">
        <f>SUMIFS(CONSOLIDADO!$F:$F,CONSOLIDADO!$E:$E,$A43,CONSOLIDADO!$I:$I,H$3,CONSOLIDADO!$I:$I,H$4,CONSOLIDADO!$K:$K,"&lt;&gt;NOVO")</f>
        <v>0</v>
      </c>
      <c r="J43" s="30">
        <f>SUMIFS(CONSOLIDADO!$F:$F,CONSOLIDADO!$E:$E,$A43,CONSOLIDADO!$I:$I,I$3,CONSOLIDADO!$I:$I,I$4,CONSOLIDADO!$K:$K,"&lt;&gt;NOVO")</f>
        <v>0</v>
      </c>
      <c r="K43" s="30">
        <f>SUMIFS(CONSOLIDADO!$F:$F,CONSOLIDADO!$E:$E,$A43,CONSOLIDADO!$I:$I,J$3,CONSOLIDADO!$I:$I,J$4,CONSOLIDADO!$K:$K,"&lt;&gt;NOVO")</f>
        <v>0</v>
      </c>
      <c r="L43" s="30">
        <f>SUMIFS(CONSOLIDADO!$F:$F,CONSOLIDADO!$E:$E,$A43,CONSOLIDADO!$I:$I,K$3,CONSOLIDADO!$I:$I,K$4,CONSOLIDADO!$K:$K,"&lt;&gt;NOVO")</f>
        <v>0</v>
      </c>
      <c r="M43" s="30">
        <f>SUMIFS(CONSOLIDADO!$F:$F,CONSOLIDADO!$E:$E,$A43,CONSOLIDADO!$I:$I,L$3,CONSOLIDADO!$I:$I,L$4,CONSOLIDADO!$K:$K,"&lt;&gt;NOVO")</f>
        <v>0</v>
      </c>
      <c r="N43" s="30">
        <v>1791.6</v>
      </c>
      <c r="O43" s="60">
        <v>0.8</v>
      </c>
      <c r="P43" s="61">
        <f t="shared" si="1"/>
        <v>1074.9599999999996</v>
      </c>
      <c r="Q43" s="61">
        <f t="shared" si="1"/>
        <v>1433.2799999999995</v>
      </c>
      <c r="R43" s="61">
        <f t="shared" si="1"/>
        <v>358.31999999999988</v>
      </c>
      <c r="S43" s="61">
        <f t="shared" si="1"/>
        <v>0</v>
      </c>
      <c r="T43" s="61">
        <f t="shared" si="1"/>
        <v>0</v>
      </c>
      <c r="U43" s="61">
        <f t="shared" si="1"/>
        <v>0</v>
      </c>
      <c r="V43" s="61">
        <f t="shared" si="1"/>
        <v>0</v>
      </c>
      <c r="W43" s="61">
        <f t="shared" si="1"/>
        <v>0</v>
      </c>
      <c r="X43" s="61">
        <f t="shared" si="1"/>
        <v>0</v>
      </c>
      <c r="Y43" s="61">
        <f t="shared" si="1"/>
        <v>0</v>
      </c>
      <c r="Z43" s="61">
        <f t="shared" si="1"/>
        <v>0</v>
      </c>
      <c r="AA43" s="61">
        <f t="shared" si="1"/>
        <v>0</v>
      </c>
      <c r="AB43" s="37"/>
    </row>
    <row r="44" spans="1:28" x14ac:dyDescent="0.25">
      <c r="A44" s="59" t="s">
        <v>379</v>
      </c>
      <c r="B44" s="30">
        <f>SUMIFS(CONSOLIDADO!$F:$F,CONSOLIDADO!$E:$E,$A44,CONSOLIDADO!$I:$I,A$3,CONSOLIDADO!$I:$I,A$4,CONSOLIDADO!$K:$K,"&lt;&gt;NOVO")</f>
        <v>0</v>
      </c>
      <c r="C44" s="30">
        <f>SUMIFS(CONSOLIDADO!$F:$F,CONSOLIDADO!$E:$E,$A44,CONSOLIDADO!$I:$I,B$3,CONSOLIDADO!$I:$I,B$4,CONSOLIDADO!$K:$K,"&lt;&gt;NOVO")</f>
        <v>0</v>
      </c>
      <c r="D44" s="30">
        <f>SUMIFS(CONSOLIDADO!$F:$F,CONSOLIDADO!$E:$E,$A44,CONSOLIDADO!$I:$I,C$3,CONSOLIDADO!$I:$I,C$4,CONSOLIDADO!$K:$K,"&lt;&gt;NOVO")</f>
        <v>0</v>
      </c>
      <c r="E44" s="30">
        <f>SUMIFS(CONSOLIDADO!$F:$F,CONSOLIDADO!$E:$E,$A44,CONSOLIDADO!$I:$I,D$3,CONSOLIDADO!$I:$I,D$4,CONSOLIDADO!$K:$K,"&lt;&gt;NOVO")</f>
        <v>0</v>
      </c>
      <c r="F44" s="30">
        <f>SUMIFS(CONSOLIDADO!$F:$F,CONSOLIDADO!$E:$E,$A44,CONSOLIDADO!$I:$I,E$3,CONSOLIDADO!$I:$I,E$4,CONSOLIDADO!$K:$K,"&lt;&gt;NOVO")</f>
        <v>0</v>
      </c>
      <c r="G44" s="30">
        <f>SUMIFS(CONSOLIDADO!$F:$F,CONSOLIDADO!$E:$E,$A44,CONSOLIDADO!$I:$I,F$3,CONSOLIDADO!$I:$I,F$4,CONSOLIDADO!$K:$K,"&lt;&gt;NOVO")</f>
        <v>0</v>
      </c>
      <c r="H44" s="30">
        <f>SUMIFS(CONSOLIDADO!$F:$F,CONSOLIDADO!$E:$E,$A44,CONSOLIDADO!$I:$I,G$3,CONSOLIDADO!$I:$I,G$4,CONSOLIDADO!$K:$K,"&lt;&gt;NOVO")</f>
        <v>0</v>
      </c>
      <c r="I44" s="30">
        <f>SUMIFS(CONSOLIDADO!$F:$F,CONSOLIDADO!$E:$E,$A44,CONSOLIDADO!$I:$I,H$3,CONSOLIDADO!$I:$I,H$4,CONSOLIDADO!$K:$K,"&lt;&gt;NOVO")</f>
        <v>0</v>
      </c>
      <c r="J44" s="30">
        <f>SUMIFS(CONSOLIDADO!$F:$F,CONSOLIDADO!$E:$E,$A44,CONSOLIDADO!$I:$I,I$3,CONSOLIDADO!$I:$I,I$4,CONSOLIDADO!$K:$K,"&lt;&gt;NOVO")</f>
        <v>0</v>
      </c>
      <c r="K44" s="30">
        <f>SUMIFS(CONSOLIDADO!$F:$F,CONSOLIDADO!$E:$E,$A44,CONSOLIDADO!$I:$I,J$3,CONSOLIDADO!$I:$I,J$4,CONSOLIDADO!$K:$K,"&lt;&gt;NOVO")</f>
        <v>0</v>
      </c>
      <c r="L44" s="30">
        <f>SUMIFS(CONSOLIDADO!$F:$F,CONSOLIDADO!$E:$E,$A44,CONSOLIDADO!$I:$I,K$3,CONSOLIDADO!$I:$I,K$4,CONSOLIDADO!$K:$K,"&lt;&gt;NOVO")</f>
        <v>0</v>
      </c>
      <c r="M44" s="30">
        <f>SUMIFS(CONSOLIDADO!$F:$F,CONSOLIDADO!$E:$E,$A44,CONSOLIDADO!$I:$I,L$3,CONSOLIDADO!$I:$I,L$4,CONSOLIDADO!$K:$K,"&lt;&gt;NOVO")</f>
        <v>0</v>
      </c>
      <c r="N44" s="30">
        <v>200</v>
      </c>
      <c r="O44" s="60">
        <v>0.8</v>
      </c>
      <c r="P44" s="61">
        <f t="shared" si="1"/>
        <v>0</v>
      </c>
      <c r="Q44" s="61">
        <f t="shared" si="1"/>
        <v>0</v>
      </c>
      <c r="R44" s="61">
        <f t="shared" si="1"/>
        <v>0</v>
      </c>
      <c r="S44" s="61">
        <f t="shared" si="1"/>
        <v>0</v>
      </c>
      <c r="T44" s="61">
        <f t="shared" si="1"/>
        <v>0</v>
      </c>
      <c r="U44" s="61">
        <f t="shared" si="1"/>
        <v>0</v>
      </c>
      <c r="V44" s="61">
        <f t="shared" si="1"/>
        <v>0</v>
      </c>
      <c r="W44" s="61">
        <f t="shared" si="1"/>
        <v>0</v>
      </c>
      <c r="X44" s="61">
        <f t="shared" si="1"/>
        <v>0</v>
      </c>
      <c r="Y44" s="61">
        <f t="shared" si="1"/>
        <v>0</v>
      </c>
      <c r="Z44" s="61">
        <f t="shared" si="1"/>
        <v>0</v>
      </c>
      <c r="AA44" s="61">
        <f t="shared" si="1"/>
        <v>0</v>
      </c>
      <c r="AB44" s="37"/>
    </row>
    <row r="45" spans="1:28" x14ac:dyDescent="0.25">
      <c r="A45" s="59" t="s">
        <v>117</v>
      </c>
      <c r="B45" s="30">
        <f>SUMIFS(CONSOLIDADO!$F:$F,CONSOLIDADO!$E:$E,$A45,CONSOLIDADO!$I:$I,A$3,CONSOLIDADO!$I:$I,A$4,CONSOLIDADO!$K:$K,"&lt;&gt;NOVO")</f>
        <v>0</v>
      </c>
      <c r="C45" s="30">
        <f>SUMIFS(CONSOLIDADO!$F:$F,CONSOLIDADO!$E:$E,$A45,CONSOLIDADO!$I:$I,B$3,CONSOLIDADO!$I:$I,B$4,CONSOLIDADO!$K:$K,"&lt;&gt;NOVO")</f>
        <v>1</v>
      </c>
      <c r="D45" s="30">
        <f>SUMIFS(CONSOLIDADO!$F:$F,CONSOLIDADO!$E:$E,$A45,CONSOLIDADO!$I:$I,C$3,CONSOLIDADO!$I:$I,C$4,CONSOLIDADO!$K:$K,"&lt;&gt;NOVO")</f>
        <v>0</v>
      </c>
      <c r="E45" s="30">
        <f>SUMIFS(CONSOLIDADO!$F:$F,CONSOLIDADO!$E:$E,$A45,CONSOLIDADO!$I:$I,D$3,CONSOLIDADO!$I:$I,D$4,CONSOLIDADO!$K:$K,"&lt;&gt;NOVO")</f>
        <v>0</v>
      </c>
      <c r="F45" s="30">
        <f>SUMIFS(CONSOLIDADO!$F:$F,CONSOLIDADO!$E:$E,$A45,CONSOLIDADO!$I:$I,E$3,CONSOLIDADO!$I:$I,E$4,CONSOLIDADO!$K:$K,"&lt;&gt;NOVO")</f>
        <v>0</v>
      </c>
      <c r="G45" s="30">
        <f>SUMIFS(CONSOLIDADO!$F:$F,CONSOLIDADO!$E:$E,$A45,CONSOLIDADO!$I:$I,F$3,CONSOLIDADO!$I:$I,F$4,CONSOLIDADO!$K:$K,"&lt;&gt;NOVO")</f>
        <v>0</v>
      </c>
      <c r="H45" s="30">
        <f>SUMIFS(CONSOLIDADO!$F:$F,CONSOLIDADO!$E:$E,$A45,CONSOLIDADO!$I:$I,G$3,CONSOLIDADO!$I:$I,G$4,CONSOLIDADO!$K:$K,"&lt;&gt;NOVO")</f>
        <v>0</v>
      </c>
      <c r="I45" s="30">
        <f>SUMIFS(CONSOLIDADO!$F:$F,CONSOLIDADO!$E:$E,$A45,CONSOLIDADO!$I:$I,H$3,CONSOLIDADO!$I:$I,H$4,CONSOLIDADO!$K:$K,"&lt;&gt;NOVO")</f>
        <v>0</v>
      </c>
      <c r="J45" s="30">
        <f>SUMIFS(CONSOLIDADO!$F:$F,CONSOLIDADO!$E:$E,$A45,CONSOLIDADO!$I:$I,I$3,CONSOLIDADO!$I:$I,I$4,CONSOLIDADO!$K:$K,"&lt;&gt;NOVO")</f>
        <v>0</v>
      </c>
      <c r="K45" s="30">
        <f>SUMIFS(CONSOLIDADO!$F:$F,CONSOLIDADO!$E:$E,$A45,CONSOLIDADO!$I:$I,J$3,CONSOLIDADO!$I:$I,J$4,CONSOLIDADO!$K:$K,"&lt;&gt;NOVO")</f>
        <v>0</v>
      </c>
      <c r="L45" s="30">
        <f>SUMIFS(CONSOLIDADO!$F:$F,CONSOLIDADO!$E:$E,$A45,CONSOLIDADO!$I:$I,K$3,CONSOLIDADO!$I:$I,K$4,CONSOLIDADO!$K:$K,"&lt;&gt;NOVO")</f>
        <v>0</v>
      </c>
      <c r="M45" s="30">
        <f>SUMIFS(CONSOLIDADO!$F:$F,CONSOLIDADO!$E:$E,$A45,CONSOLIDADO!$I:$I,L$3,CONSOLIDADO!$I:$I,L$4,CONSOLIDADO!$K:$K,"&lt;&gt;NOVO")</f>
        <v>0</v>
      </c>
      <c r="N45" s="30">
        <v>653.20000000000005</v>
      </c>
      <c r="O45" s="60">
        <v>0.8</v>
      </c>
      <c r="P45" s="61">
        <f t="shared" ref="P45:AA66" si="2">B45*($N45*(1-$O45))</f>
        <v>0</v>
      </c>
      <c r="Q45" s="61">
        <f t="shared" si="2"/>
        <v>130.63999999999999</v>
      </c>
      <c r="R45" s="61">
        <f t="shared" si="2"/>
        <v>0</v>
      </c>
      <c r="S45" s="61">
        <f t="shared" si="2"/>
        <v>0</v>
      </c>
      <c r="T45" s="61">
        <f t="shared" si="2"/>
        <v>0</v>
      </c>
      <c r="U45" s="61">
        <f t="shared" si="2"/>
        <v>0</v>
      </c>
      <c r="V45" s="61">
        <f t="shared" si="2"/>
        <v>0</v>
      </c>
      <c r="W45" s="61">
        <f t="shared" si="2"/>
        <v>0</v>
      </c>
      <c r="X45" s="61">
        <f t="shared" si="2"/>
        <v>0</v>
      </c>
      <c r="Y45" s="61">
        <f t="shared" si="2"/>
        <v>0</v>
      </c>
      <c r="Z45" s="61">
        <f t="shared" si="2"/>
        <v>0</v>
      </c>
      <c r="AA45" s="61">
        <f t="shared" si="2"/>
        <v>0</v>
      </c>
      <c r="AB45" s="37"/>
    </row>
    <row r="46" spans="1:28" x14ac:dyDescent="0.25">
      <c r="A46" t="s">
        <v>81</v>
      </c>
      <c r="B46" s="30">
        <f>SUMIFS(CONSOLIDADO!$F:$F,CONSOLIDADO!$E:$E,$A46,CONSOLIDADO!$I:$I,A$3,CONSOLIDADO!$I:$I,A$4,CONSOLIDADO!$K:$K,"&lt;&gt;NOVO")</f>
        <v>39</v>
      </c>
      <c r="C46" s="30">
        <f>SUMIFS(CONSOLIDADO!$F:$F,CONSOLIDADO!$E:$E,$A46,CONSOLIDADO!$I:$I,B$3,CONSOLIDADO!$I:$I,B$4,CONSOLIDADO!$K:$K,"&lt;&gt;NOVO")</f>
        <v>0</v>
      </c>
      <c r="D46" s="30">
        <f>SUMIFS(CONSOLIDADO!$F:$F,CONSOLIDADO!$E:$E,$A46,CONSOLIDADO!$I:$I,C$3,CONSOLIDADO!$I:$I,C$4,CONSOLIDADO!$K:$K,"&lt;&gt;NOVO")</f>
        <v>0</v>
      </c>
      <c r="E46" s="30">
        <f>SUMIFS(CONSOLIDADO!$F:$F,CONSOLIDADO!$E:$E,$A46,CONSOLIDADO!$I:$I,D$3,CONSOLIDADO!$I:$I,D$4,CONSOLIDADO!$K:$K,"&lt;&gt;NOVO")</f>
        <v>0</v>
      </c>
      <c r="F46" s="30">
        <f>SUMIFS(CONSOLIDADO!$F:$F,CONSOLIDADO!$E:$E,$A46,CONSOLIDADO!$I:$I,E$3,CONSOLIDADO!$I:$I,E$4,CONSOLIDADO!$K:$K,"&lt;&gt;NOVO")</f>
        <v>0</v>
      </c>
      <c r="G46" s="30">
        <f>SUMIFS(CONSOLIDADO!$F:$F,CONSOLIDADO!$E:$E,$A46,CONSOLIDADO!$I:$I,F$3,CONSOLIDADO!$I:$I,F$4,CONSOLIDADO!$K:$K,"&lt;&gt;NOVO")</f>
        <v>0</v>
      </c>
      <c r="H46" s="30">
        <f>SUMIFS(CONSOLIDADO!$F:$F,CONSOLIDADO!$E:$E,$A46,CONSOLIDADO!$I:$I,G$3,CONSOLIDADO!$I:$I,G$4,CONSOLIDADO!$K:$K,"&lt;&gt;NOVO")</f>
        <v>0</v>
      </c>
      <c r="I46" s="30">
        <f>SUMIFS(CONSOLIDADO!$F:$F,CONSOLIDADO!$E:$E,$A46,CONSOLIDADO!$I:$I,H$3,CONSOLIDADO!$I:$I,H$4,CONSOLIDADO!$K:$K,"&lt;&gt;NOVO")</f>
        <v>0</v>
      </c>
      <c r="J46" s="30">
        <f>SUMIFS(CONSOLIDADO!$F:$F,CONSOLIDADO!$E:$E,$A46,CONSOLIDADO!$I:$I,I$3,CONSOLIDADO!$I:$I,I$4,CONSOLIDADO!$K:$K,"&lt;&gt;NOVO")</f>
        <v>0</v>
      </c>
      <c r="K46" s="30">
        <f>SUMIFS(CONSOLIDADO!$F:$F,CONSOLIDADO!$E:$E,$A46,CONSOLIDADO!$I:$I,J$3,CONSOLIDADO!$I:$I,J$4,CONSOLIDADO!$K:$K,"&lt;&gt;NOVO")</f>
        <v>0</v>
      </c>
      <c r="L46" s="30">
        <f>SUMIFS(CONSOLIDADO!$F:$F,CONSOLIDADO!$E:$E,$A46,CONSOLIDADO!$I:$I,K$3,CONSOLIDADO!$I:$I,K$4,CONSOLIDADO!$K:$K,"&lt;&gt;NOVO")</f>
        <v>0</v>
      </c>
      <c r="M46" s="30">
        <f>SUMIFS(CONSOLIDADO!$F:$F,CONSOLIDADO!$E:$E,$A46,CONSOLIDADO!$I:$I,L$3,CONSOLIDADO!$I:$I,L$4,CONSOLIDADO!$K:$K,"&lt;&gt;NOVO")</f>
        <v>0</v>
      </c>
      <c r="N46" s="30">
        <v>2600</v>
      </c>
      <c r="O46" s="60">
        <v>0.8</v>
      </c>
      <c r="P46" s="61">
        <f t="shared" si="2"/>
        <v>20279.999999999996</v>
      </c>
      <c r="Q46" s="61">
        <f t="shared" si="2"/>
        <v>0</v>
      </c>
      <c r="R46" s="61">
        <f t="shared" si="2"/>
        <v>0</v>
      </c>
      <c r="S46" s="61">
        <f t="shared" si="2"/>
        <v>0</v>
      </c>
      <c r="T46" s="61">
        <f t="shared" si="2"/>
        <v>0</v>
      </c>
      <c r="U46" s="61">
        <f t="shared" si="2"/>
        <v>0</v>
      </c>
      <c r="V46" s="61">
        <f t="shared" si="2"/>
        <v>0</v>
      </c>
      <c r="W46" s="61">
        <f t="shared" si="2"/>
        <v>0</v>
      </c>
      <c r="X46" s="61">
        <f t="shared" si="2"/>
        <v>0</v>
      </c>
      <c r="Y46" s="61">
        <f t="shared" si="2"/>
        <v>0</v>
      </c>
      <c r="Z46" s="61">
        <f t="shared" si="2"/>
        <v>0</v>
      </c>
      <c r="AA46" s="61">
        <f t="shared" si="2"/>
        <v>0</v>
      </c>
      <c r="AB46" s="37"/>
    </row>
    <row r="47" spans="1:28" x14ac:dyDescent="0.25">
      <c r="A47" t="s">
        <v>83</v>
      </c>
      <c r="B47" s="30">
        <f>SUMIFS(CONSOLIDADO!$F:$F,CONSOLIDADO!$E:$E,$A47,CONSOLIDADO!$I:$I,A$3,CONSOLIDADO!$I:$I,A$4,CONSOLIDADO!$K:$K,"&lt;&gt;NOVO")</f>
        <v>7</v>
      </c>
      <c r="C47" s="30">
        <f>SUMIFS(CONSOLIDADO!$F:$F,CONSOLIDADO!$E:$E,$A47,CONSOLIDADO!$I:$I,B$3,CONSOLIDADO!$I:$I,B$4,CONSOLIDADO!$K:$K,"&lt;&gt;NOVO")</f>
        <v>2</v>
      </c>
      <c r="D47" s="30">
        <f>SUMIFS(CONSOLIDADO!$F:$F,CONSOLIDADO!$E:$E,$A47,CONSOLIDADO!$I:$I,C$3,CONSOLIDADO!$I:$I,C$4,CONSOLIDADO!$K:$K,"&lt;&gt;NOVO")</f>
        <v>0</v>
      </c>
      <c r="E47" s="30">
        <f>SUMIFS(CONSOLIDADO!$F:$F,CONSOLIDADO!$E:$E,$A47,CONSOLIDADO!$I:$I,D$3,CONSOLIDADO!$I:$I,D$4,CONSOLIDADO!$K:$K,"&lt;&gt;NOVO")</f>
        <v>4</v>
      </c>
      <c r="F47" s="30">
        <f>SUMIFS(CONSOLIDADO!$F:$F,CONSOLIDADO!$E:$E,$A47,CONSOLIDADO!$I:$I,E$3,CONSOLIDADO!$I:$I,E$4,CONSOLIDADO!$K:$K,"&lt;&gt;NOVO")</f>
        <v>0</v>
      </c>
      <c r="G47" s="30">
        <f>SUMIFS(CONSOLIDADO!$F:$F,CONSOLIDADO!$E:$E,$A47,CONSOLIDADO!$I:$I,F$3,CONSOLIDADO!$I:$I,F$4,CONSOLIDADO!$K:$K,"&lt;&gt;NOVO")</f>
        <v>0</v>
      </c>
      <c r="H47" s="30">
        <f>SUMIFS(CONSOLIDADO!$F:$F,CONSOLIDADO!$E:$E,$A47,CONSOLIDADO!$I:$I,G$3,CONSOLIDADO!$I:$I,G$4,CONSOLIDADO!$K:$K,"&lt;&gt;NOVO")</f>
        <v>0</v>
      </c>
      <c r="I47" s="30">
        <f>SUMIFS(CONSOLIDADO!$F:$F,CONSOLIDADO!$E:$E,$A47,CONSOLIDADO!$I:$I,H$3,CONSOLIDADO!$I:$I,H$4,CONSOLIDADO!$K:$K,"&lt;&gt;NOVO")</f>
        <v>0</v>
      </c>
      <c r="J47" s="30">
        <f>SUMIFS(CONSOLIDADO!$F:$F,CONSOLIDADO!$E:$E,$A47,CONSOLIDADO!$I:$I,I$3,CONSOLIDADO!$I:$I,I$4,CONSOLIDADO!$K:$K,"&lt;&gt;NOVO")</f>
        <v>0</v>
      </c>
      <c r="K47" s="30">
        <f>SUMIFS(CONSOLIDADO!$F:$F,CONSOLIDADO!$E:$E,$A47,CONSOLIDADO!$I:$I,J$3,CONSOLIDADO!$I:$I,J$4,CONSOLIDADO!$K:$K,"&lt;&gt;NOVO")</f>
        <v>0</v>
      </c>
      <c r="L47" s="30">
        <f>SUMIFS(CONSOLIDADO!$F:$F,CONSOLIDADO!$E:$E,$A47,CONSOLIDADO!$I:$I,K$3,CONSOLIDADO!$I:$I,K$4,CONSOLIDADO!$K:$K,"&lt;&gt;NOVO")</f>
        <v>0</v>
      </c>
      <c r="M47" s="30">
        <f>SUMIFS(CONSOLIDADO!$F:$F,CONSOLIDADO!$E:$E,$A47,CONSOLIDADO!$I:$I,L$3,CONSOLIDADO!$I:$I,L$4,CONSOLIDADO!$K:$K,"&lt;&gt;NOVO")</f>
        <v>0</v>
      </c>
      <c r="N47" s="30">
        <v>2000</v>
      </c>
      <c r="O47" s="60">
        <v>0.8</v>
      </c>
      <c r="P47" s="61">
        <f t="shared" si="2"/>
        <v>2799.9999999999991</v>
      </c>
      <c r="Q47" s="61">
        <f t="shared" si="2"/>
        <v>799.99999999999977</v>
      </c>
      <c r="R47" s="61">
        <f t="shared" si="2"/>
        <v>0</v>
      </c>
      <c r="S47" s="61">
        <f t="shared" si="2"/>
        <v>1599.9999999999995</v>
      </c>
      <c r="T47" s="61">
        <f t="shared" si="2"/>
        <v>0</v>
      </c>
      <c r="U47" s="61">
        <f t="shared" si="2"/>
        <v>0</v>
      </c>
      <c r="V47" s="61">
        <f t="shared" si="2"/>
        <v>0</v>
      </c>
      <c r="W47" s="61">
        <f t="shared" si="2"/>
        <v>0</v>
      </c>
      <c r="X47" s="61">
        <f t="shared" si="2"/>
        <v>0</v>
      </c>
      <c r="Y47" s="61">
        <f t="shared" si="2"/>
        <v>0</v>
      </c>
      <c r="Z47" s="61">
        <f t="shared" si="2"/>
        <v>0</v>
      </c>
      <c r="AA47" s="61">
        <f t="shared" si="2"/>
        <v>0</v>
      </c>
      <c r="AB47" s="37"/>
    </row>
    <row r="48" spans="1:28" x14ac:dyDescent="0.25">
      <c r="A48" s="59" t="s">
        <v>455</v>
      </c>
      <c r="B48" s="30">
        <f>SUMIFS(CONSOLIDADO!$F:$F,CONSOLIDADO!$E:$E,$A48,CONSOLIDADO!$I:$I,A$3,CONSOLIDADO!$I:$I,A$4,CONSOLIDADO!$K:$K,"&lt;&gt;NOVO")</f>
        <v>0</v>
      </c>
      <c r="C48" s="30">
        <f>SUMIFS(CONSOLIDADO!$F:$F,CONSOLIDADO!$E:$E,$A48,CONSOLIDADO!$I:$I,B$3,CONSOLIDADO!$I:$I,B$4,CONSOLIDADO!$K:$K,"&lt;&gt;NOVO")</f>
        <v>0</v>
      </c>
      <c r="D48" s="30">
        <f>SUMIFS(CONSOLIDADO!$F:$F,CONSOLIDADO!$E:$E,$A48,CONSOLIDADO!$I:$I,C$3,CONSOLIDADO!$I:$I,C$4,CONSOLIDADO!$K:$K,"&lt;&gt;NOVO")</f>
        <v>0</v>
      </c>
      <c r="E48" s="30">
        <f>SUMIFS(CONSOLIDADO!$F:$F,CONSOLIDADO!$E:$E,$A48,CONSOLIDADO!$I:$I,D$3,CONSOLIDADO!$I:$I,D$4,CONSOLIDADO!$K:$K,"&lt;&gt;NOVO")</f>
        <v>0</v>
      </c>
      <c r="F48" s="30">
        <f>SUMIFS(CONSOLIDADO!$F:$F,CONSOLIDADO!$E:$E,$A48,CONSOLIDADO!$I:$I,E$3,CONSOLIDADO!$I:$I,E$4,CONSOLIDADO!$K:$K,"&lt;&gt;NOVO")</f>
        <v>0</v>
      </c>
      <c r="G48" s="30">
        <f>SUMIFS(CONSOLIDADO!$F:$F,CONSOLIDADO!$E:$E,$A48,CONSOLIDADO!$I:$I,F$3,CONSOLIDADO!$I:$I,F$4,CONSOLIDADO!$K:$K,"&lt;&gt;NOVO")</f>
        <v>0</v>
      </c>
      <c r="H48" s="30">
        <f>SUMIFS(CONSOLIDADO!$F:$F,CONSOLIDADO!$E:$E,$A48,CONSOLIDADO!$I:$I,G$3,CONSOLIDADO!$I:$I,G$4,CONSOLIDADO!$K:$K,"&lt;&gt;NOVO")</f>
        <v>0</v>
      </c>
      <c r="I48" s="30">
        <f>SUMIFS(CONSOLIDADO!$F:$F,CONSOLIDADO!$E:$E,$A48,CONSOLIDADO!$I:$I,H$3,CONSOLIDADO!$I:$I,H$4,CONSOLIDADO!$K:$K,"&lt;&gt;NOVO")</f>
        <v>0</v>
      </c>
      <c r="J48" s="30">
        <f>SUMIFS(CONSOLIDADO!$F:$F,CONSOLIDADO!$E:$E,$A48,CONSOLIDADO!$I:$I,I$3,CONSOLIDADO!$I:$I,I$4,CONSOLIDADO!$K:$K,"&lt;&gt;NOVO")</f>
        <v>0</v>
      </c>
      <c r="K48" s="30">
        <f>SUMIFS(CONSOLIDADO!$F:$F,CONSOLIDADO!$E:$E,$A48,CONSOLIDADO!$I:$I,J$3,CONSOLIDADO!$I:$I,J$4,CONSOLIDADO!$K:$K,"&lt;&gt;NOVO")</f>
        <v>0</v>
      </c>
      <c r="L48" s="30">
        <f>SUMIFS(CONSOLIDADO!$F:$F,CONSOLIDADO!$E:$E,$A48,CONSOLIDADO!$I:$I,K$3,CONSOLIDADO!$I:$I,K$4,CONSOLIDADO!$K:$K,"&lt;&gt;NOVO")</f>
        <v>0</v>
      </c>
      <c r="M48" s="30">
        <f>SUMIFS(CONSOLIDADO!$F:$F,CONSOLIDADO!$E:$E,$A48,CONSOLIDADO!$I:$I,L$3,CONSOLIDADO!$I:$I,L$4,CONSOLIDADO!$K:$K,"&lt;&gt;NOVO")</f>
        <v>0</v>
      </c>
      <c r="N48" s="30">
        <v>188.6</v>
      </c>
      <c r="O48" s="60">
        <v>0.8</v>
      </c>
      <c r="P48" s="61">
        <f t="shared" si="2"/>
        <v>0</v>
      </c>
      <c r="Q48" s="61">
        <f t="shared" si="2"/>
        <v>0</v>
      </c>
      <c r="R48" s="61">
        <f t="shared" si="2"/>
        <v>0</v>
      </c>
      <c r="S48" s="61">
        <f t="shared" si="2"/>
        <v>0</v>
      </c>
      <c r="T48" s="61">
        <f t="shared" si="2"/>
        <v>0</v>
      </c>
      <c r="U48" s="61">
        <f t="shared" si="2"/>
        <v>0</v>
      </c>
      <c r="V48" s="61">
        <f t="shared" si="2"/>
        <v>0</v>
      </c>
      <c r="W48" s="61">
        <f t="shared" si="2"/>
        <v>0</v>
      </c>
      <c r="X48" s="61">
        <f t="shared" si="2"/>
        <v>0</v>
      </c>
      <c r="Y48" s="61">
        <f t="shared" si="2"/>
        <v>0</v>
      </c>
      <c r="Z48" s="61">
        <f t="shared" si="2"/>
        <v>0</v>
      </c>
      <c r="AA48" s="61">
        <f t="shared" si="2"/>
        <v>0</v>
      </c>
      <c r="AB48" s="37"/>
    </row>
    <row r="49" spans="1:28" x14ac:dyDescent="0.25">
      <c r="A49" s="59" t="s">
        <v>182</v>
      </c>
      <c r="B49" s="30">
        <f>SUMIFS(CONSOLIDADO!$F:$F,CONSOLIDADO!$E:$E,$A49,CONSOLIDADO!$I:$I,A$3,CONSOLIDADO!$I:$I,A$4,CONSOLIDADO!$K:$K,"&lt;&gt;NOVO")</f>
        <v>0</v>
      </c>
      <c r="C49" s="30">
        <f>SUMIFS(CONSOLIDADO!$F:$F,CONSOLIDADO!$E:$E,$A49,CONSOLIDADO!$I:$I,B$3,CONSOLIDADO!$I:$I,B$4,CONSOLIDADO!$K:$K,"&lt;&gt;NOVO")</f>
        <v>0</v>
      </c>
      <c r="D49" s="30">
        <f>SUMIFS(CONSOLIDADO!$F:$F,CONSOLIDADO!$E:$E,$A49,CONSOLIDADO!$I:$I,C$3,CONSOLIDADO!$I:$I,C$4,CONSOLIDADO!$K:$K,"&lt;&gt;NOVO")</f>
        <v>5</v>
      </c>
      <c r="E49" s="30">
        <f>SUMIFS(CONSOLIDADO!$F:$F,CONSOLIDADO!$E:$E,$A49,CONSOLIDADO!$I:$I,D$3,CONSOLIDADO!$I:$I,D$4,CONSOLIDADO!$K:$K,"&lt;&gt;NOVO")</f>
        <v>0</v>
      </c>
      <c r="F49" s="30">
        <f>SUMIFS(CONSOLIDADO!$F:$F,CONSOLIDADO!$E:$E,$A49,CONSOLIDADO!$I:$I,E$3,CONSOLIDADO!$I:$I,E$4,CONSOLIDADO!$K:$K,"&lt;&gt;NOVO")</f>
        <v>0</v>
      </c>
      <c r="G49" s="30">
        <f>SUMIFS(CONSOLIDADO!$F:$F,CONSOLIDADO!$E:$E,$A49,CONSOLIDADO!$I:$I,F$3,CONSOLIDADO!$I:$I,F$4,CONSOLIDADO!$K:$K,"&lt;&gt;NOVO")</f>
        <v>0</v>
      </c>
      <c r="H49" s="30">
        <f>SUMIFS(CONSOLIDADO!$F:$F,CONSOLIDADO!$E:$E,$A49,CONSOLIDADO!$I:$I,G$3,CONSOLIDADO!$I:$I,G$4,CONSOLIDADO!$K:$K,"&lt;&gt;NOVO")</f>
        <v>0</v>
      </c>
      <c r="I49" s="30">
        <f>SUMIFS(CONSOLIDADO!$F:$F,CONSOLIDADO!$E:$E,$A49,CONSOLIDADO!$I:$I,H$3,CONSOLIDADO!$I:$I,H$4,CONSOLIDADO!$K:$K,"&lt;&gt;NOVO")</f>
        <v>0</v>
      </c>
      <c r="J49" s="30">
        <f>SUMIFS(CONSOLIDADO!$F:$F,CONSOLIDADO!$E:$E,$A49,CONSOLIDADO!$I:$I,I$3,CONSOLIDADO!$I:$I,I$4,CONSOLIDADO!$K:$K,"&lt;&gt;NOVO")</f>
        <v>0</v>
      </c>
      <c r="K49" s="30">
        <f>SUMIFS(CONSOLIDADO!$F:$F,CONSOLIDADO!$E:$E,$A49,CONSOLIDADO!$I:$I,J$3,CONSOLIDADO!$I:$I,J$4,CONSOLIDADO!$K:$K,"&lt;&gt;NOVO")</f>
        <v>0</v>
      </c>
      <c r="L49" s="30">
        <f>SUMIFS(CONSOLIDADO!$F:$F,CONSOLIDADO!$E:$E,$A49,CONSOLIDADO!$I:$I,K$3,CONSOLIDADO!$I:$I,K$4,CONSOLIDADO!$K:$K,"&lt;&gt;NOVO")</f>
        <v>0</v>
      </c>
      <c r="M49" s="30">
        <f>SUMIFS(CONSOLIDADO!$F:$F,CONSOLIDADO!$E:$E,$A49,CONSOLIDADO!$I:$I,L$3,CONSOLIDADO!$I:$I,L$4,CONSOLIDADO!$K:$K,"&lt;&gt;NOVO")</f>
        <v>0</v>
      </c>
      <c r="N49" s="30">
        <v>653.20000000000005</v>
      </c>
      <c r="O49" s="60">
        <v>0.8</v>
      </c>
      <c r="P49" s="61">
        <f t="shared" si="2"/>
        <v>0</v>
      </c>
      <c r="Q49" s="61">
        <f t="shared" si="2"/>
        <v>0</v>
      </c>
      <c r="R49" s="61">
        <f t="shared" si="2"/>
        <v>653.19999999999993</v>
      </c>
      <c r="S49" s="61">
        <f t="shared" si="2"/>
        <v>0</v>
      </c>
      <c r="T49" s="61">
        <f t="shared" si="2"/>
        <v>0</v>
      </c>
      <c r="U49" s="61">
        <f t="shared" si="2"/>
        <v>0</v>
      </c>
      <c r="V49" s="61">
        <f t="shared" si="2"/>
        <v>0</v>
      </c>
      <c r="W49" s="61">
        <f t="shared" si="2"/>
        <v>0</v>
      </c>
      <c r="X49" s="61">
        <f t="shared" si="2"/>
        <v>0</v>
      </c>
      <c r="Y49" s="61">
        <f t="shared" si="2"/>
        <v>0</v>
      </c>
      <c r="Z49" s="61">
        <f t="shared" si="2"/>
        <v>0</v>
      </c>
      <c r="AA49" s="61">
        <f t="shared" si="2"/>
        <v>0</v>
      </c>
      <c r="AB49" s="37"/>
    </row>
    <row r="50" spans="1:28" x14ac:dyDescent="0.25">
      <c r="A50" s="59" t="s">
        <v>93</v>
      </c>
      <c r="B50" s="30">
        <f>SUMIFS(CONSOLIDADO!$F:$F,CONSOLIDADO!$E:$E,$A50,CONSOLIDADO!$I:$I,A$3,CONSOLIDADO!$I:$I,A$4,CONSOLIDADO!$K:$K,"&lt;&gt;NOVO")</f>
        <v>6</v>
      </c>
      <c r="C50" s="30">
        <f>SUMIFS(CONSOLIDADO!$F:$F,CONSOLIDADO!$E:$E,$A50,CONSOLIDADO!$I:$I,B$3,CONSOLIDADO!$I:$I,B$4,CONSOLIDADO!$K:$K,"&lt;&gt;NOVO")</f>
        <v>4</v>
      </c>
      <c r="D50" s="30">
        <f>SUMIFS(CONSOLIDADO!$F:$F,CONSOLIDADO!$E:$E,$A50,CONSOLIDADO!$I:$I,C$3,CONSOLIDADO!$I:$I,C$4,CONSOLIDADO!$K:$K,"&lt;&gt;NOVO")</f>
        <v>2</v>
      </c>
      <c r="E50" s="30">
        <f>SUMIFS(CONSOLIDADO!$F:$F,CONSOLIDADO!$E:$E,$A50,CONSOLIDADO!$I:$I,D$3,CONSOLIDADO!$I:$I,D$4,CONSOLIDADO!$K:$K,"&lt;&gt;NOVO")</f>
        <v>10</v>
      </c>
      <c r="F50" s="30">
        <f>SUMIFS(CONSOLIDADO!$F:$F,CONSOLIDADO!$E:$E,$A50,CONSOLIDADO!$I:$I,E$3,CONSOLIDADO!$I:$I,E$4,CONSOLIDADO!$K:$K,"&lt;&gt;NOVO")</f>
        <v>0</v>
      </c>
      <c r="G50" s="30">
        <f>SUMIFS(CONSOLIDADO!$F:$F,CONSOLIDADO!$E:$E,$A50,CONSOLIDADO!$I:$I,F$3,CONSOLIDADO!$I:$I,F$4,CONSOLIDADO!$K:$K,"&lt;&gt;NOVO")</f>
        <v>0</v>
      </c>
      <c r="H50" s="30">
        <f>SUMIFS(CONSOLIDADO!$F:$F,CONSOLIDADO!$E:$E,$A50,CONSOLIDADO!$I:$I,G$3,CONSOLIDADO!$I:$I,G$4,CONSOLIDADO!$K:$K,"&lt;&gt;NOVO")</f>
        <v>0</v>
      </c>
      <c r="I50" s="30">
        <f>SUMIFS(CONSOLIDADO!$F:$F,CONSOLIDADO!$E:$E,$A50,CONSOLIDADO!$I:$I,H$3,CONSOLIDADO!$I:$I,H$4,CONSOLIDADO!$K:$K,"&lt;&gt;NOVO")</f>
        <v>0</v>
      </c>
      <c r="J50" s="30">
        <f>SUMIFS(CONSOLIDADO!$F:$F,CONSOLIDADO!$E:$E,$A50,CONSOLIDADO!$I:$I,I$3,CONSOLIDADO!$I:$I,I$4,CONSOLIDADO!$K:$K,"&lt;&gt;NOVO")</f>
        <v>0</v>
      </c>
      <c r="K50" s="30">
        <f>SUMIFS(CONSOLIDADO!$F:$F,CONSOLIDADO!$E:$E,$A50,CONSOLIDADO!$I:$I,J$3,CONSOLIDADO!$I:$I,J$4,CONSOLIDADO!$K:$K,"&lt;&gt;NOVO")</f>
        <v>0</v>
      </c>
      <c r="L50" s="30">
        <f>SUMIFS(CONSOLIDADO!$F:$F,CONSOLIDADO!$E:$E,$A50,CONSOLIDADO!$I:$I,K$3,CONSOLIDADO!$I:$I,K$4,CONSOLIDADO!$K:$K,"&lt;&gt;NOVO")</f>
        <v>0</v>
      </c>
      <c r="M50" s="30">
        <f>SUMIFS(CONSOLIDADO!$F:$F,CONSOLIDADO!$E:$E,$A50,CONSOLIDADO!$I:$I,L$3,CONSOLIDADO!$I:$I,L$4,CONSOLIDADO!$K:$K,"&lt;&gt;NOVO")</f>
        <v>0</v>
      </c>
      <c r="N50" s="30">
        <v>250</v>
      </c>
      <c r="O50" s="60">
        <v>0.8</v>
      </c>
      <c r="P50" s="61">
        <f t="shared" si="2"/>
        <v>299.99999999999989</v>
      </c>
      <c r="Q50" s="61">
        <f t="shared" si="2"/>
        <v>199.99999999999994</v>
      </c>
      <c r="R50" s="61">
        <f t="shared" si="2"/>
        <v>99.999999999999972</v>
      </c>
      <c r="S50" s="61">
        <f t="shared" si="2"/>
        <v>499.99999999999989</v>
      </c>
      <c r="T50" s="61">
        <f t="shared" si="2"/>
        <v>0</v>
      </c>
      <c r="U50" s="61">
        <f t="shared" si="2"/>
        <v>0</v>
      </c>
      <c r="V50" s="61">
        <f t="shared" si="2"/>
        <v>0</v>
      </c>
      <c r="W50" s="61">
        <f t="shared" si="2"/>
        <v>0</v>
      </c>
      <c r="X50" s="61">
        <f t="shared" si="2"/>
        <v>0</v>
      </c>
      <c r="Y50" s="61">
        <f t="shared" si="2"/>
        <v>0</v>
      </c>
      <c r="Z50" s="61">
        <f t="shared" si="2"/>
        <v>0</v>
      </c>
      <c r="AA50" s="61">
        <f t="shared" si="2"/>
        <v>0</v>
      </c>
      <c r="AB50" s="37"/>
    </row>
    <row r="51" spans="1:28" x14ac:dyDescent="0.25">
      <c r="A51" s="59" t="s">
        <v>131</v>
      </c>
      <c r="B51" s="30">
        <f>SUMIFS(CONSOLIDADO!$F:$F,CONSOLIDADO!$E:$E,$A51,CONSOLIDADO!$I:$I,A$3,CONSOLIDADO!$I:$I,A$4,CONSOLIDADO!$K:$K,"&lt;&gt;NOVO")</f>
        <v>0</v>
      </c>
      <c r="C51" s="30">
        <f>SUMIFS(CONSOLIDADO!$F:$F,CONSOLIDADO!$E:$E,$A51,CONSOLIDADO!$I:$I,B$3,CONSOLIDADO!$I:$I,B$4,CONSOLIDADO!$K:$K,"&lt;&gt;NOVO")</f>
        <v>0</v>
      </c>
      <c r="D51" s="30">
        <f>SUMIFS(CONSOLIDADO!$F:$F,CONSOLIDADO!$E:$E,$A51,CONSOLIDADO!$I:$I,C$3,CONSOLIDADO!$I:$I,C$4,CONSOLIDADO!$K:$K,"&lt;&gt;NOVO")</f>
        <v>0</v>
      </c>
      <c r="E51" s="30">
        <f>SUMIFS(CONSOLIDADO!$F:$F,CONSOLIDADO!$E:$E,$A51,CONSOLIDADO!$I:$I,D$3,CONSOLIDADO!$I:$I,D$4,CONSOLIDADO!$K:$K,"&lt;&gt;NOVO")</f>
        <v>0</v>
      </c>
      <c r="F51" s="30">
        <f>SUMIFS(CONSOLIDADO!$F:$F,CONSOLIDADO!$E:$E,$A51,CONSOLIDADO!$I:$I,E$3,CONSOLIDADO!$I:$I,E$4,CONSOLIDADO!$K:$K,"&lt;&gt;NOVO")</f>
        <v>0</v>
      </c>
      <c r="G51" s="30">
        <f>SUMIFS(CONSOLIDADO!$F:$F,CONSOLIDADO!$E:$E,$A51,CONSOLIDADO!$I:$I,F$3,CONSOLIDADO!$I:$I,F$4,CONSOLIDADO!$K:$K,"&lt;&gt;NOVO")</f>
        <v>0</v>
      </c>
      <c r="H51" s="30">
        <f>SUMIFS(CONSOLIDADO!$F:$F,CONSOLIDADO!$E:$E,$A51,CONSOLIDADO!$I:$I,G$3,CONSOLIDADO!$I:$I,G$4,CONSOLIDADO!$K:$K,"&lt;&gt;NOVO")</f>
        <v>0</v>
      </c>
      <c r="I51" s="30">
        <f>SUMIFS(CONSOLIDADO!$F:$F,CONSOLIDADO!$E:$E,$A51,CONSOLIDADO!$I:$I,H$3,CONSOLIDADO!$I:$I,H$4,CONSOLIDADO!$K:$K,"&lt;&gt;NOVO")</f>
        <v>0</v>
      </c>
      <c r="J51" s="30">
        <f>SUMIFS(CONSOLIDADO!$F:$F,CONSOLIDADO!$E:$E,$A51,CONSOLIDADO!$I:$I,I$3,CONSOLIDADO!$I:$I,I$4,CONSOLIDADO!$K:$K,"&lt;&gt;NOVO")</f>
        <v>0</v>
      </c>
      <c r="K51" s="30">
        <f>SUMIFS(CONSOLIDADO!$F:$F,CONSOLIDADO!$E:$E,$A51,CONSOLIDADO!$I:$I,J$3,CONSOLIDADO!$I:$I,J$4,CONSOLIDADO!$K:$K,"&lt;&gt;NOVO")</f>
        <v>0</v>
      </c>
      <c r="L51" s="30">
        <f>SUMIFS(CONSOLIDADO!$F:$F,CONSOLIDADO!$E:$E,$A51,CONSOLIDADO!$I:$I,K$3,CONSOLIDADO!$I:$I,K$4,CONSOLIDADO!$K:$K,"&lt;&gt;NOVO")</f>
        <v>0</v>
      </c>
      <c r="M51" s="30">
        <f>SUMIFS(CONSOLIDADO!$F:$F,CONSOLIDADO!$E:$E,$A51,CONSOLIDADO!$I:$I,L$3,CONSOLIDADO!$I:$I,L$4,CONSOLIDADO!$K:$K,"&lt;&gt;NOVO")</f>
        <v>0</v>
      </c>
      <c r="N51" s="30">
        <v>4655.38</v>
      </c>
      <c r="O51" s="60">
        <v>0.8</v>
      </c>
      <c r="P51" s="61">
        <f t="shared" si="2"/>
        <v>0</v>
      </c>
      <c r="Q51" s="61">
        <f t="shared" si="2"/>
        <v>0</v>
      </c>
      <c r="R51" s="61">
        <f t="shared" si="2"/>
        <v>0</v>
      </c>
      <c r="S51" s="61">
        <f t="shared" si="2"/>
        <v>0</v>
      </c>
      <c r="T51" s="61">
        <f t="shared" si="2"/>
        <v>0</v>
      </c>
      <c r="U51" s="61">
        <f t="shared" si="2"/>
        <v>0</v>
      </c>
      <c r="V51" s="61">
        <f t="shared" si="2"/>
        <v>0</v>
      </c>
      <c r="W51" s="61">
        <f t="shared" si="2"/>
        <v>0</v>
      </c>
      <c r="X51" s="61">
        <f t="shared" si="2"/>
        <v>0</v>
      </c>
      <c r="Y51" s="61">
        <f t="shared" si="2"/>
        <v>0</v>
      </c>
      <c r="Z51" s="61">
        <f t="shared" si="2"/>
        <v>0</v>
      </c>
      <c r="AA51" s="61">
        <f t="shared" si="2"/>
        <v>0</v>
      </c>
      <c r="AB51" s="37"/>
    </row>
    <row r="52" spans="1:28" x14ac:dyDescent="0.25">
      <c r="A52" s="59" t="s">
        <v>172</v>
      </c>
      <c r="B52" s="30">
        <f>SUMIFS(CONSOLIDADO!$F:$F,CONSOLIDADO!$E:$E,$A52,CONSOLIDADO!$I:$I,A$3,CONSOLIDADO!$I:$I,A$4,CONSOLIDADO!$K:$K,"&lt;&gt;NOVO")</f>
        <v>0</v>
      </c>
      <c r="C52" s="30">
        <f>SUMIFS(CONSOLIDADO!$F:$F,CONSOLIDADO!$E:$E,$A52,CONSOLIDADO!$I:$I,B$3,CONSOLIDADO!$I:$I,B$4,CONSOLIDADO!$K:$K,"&lt;&gt;NOVO")</f>
        <v>0</v>
      </c>
      <c r="D52" s="30">
        <f>SUMIFS(CONSOLIDADO!$F:$F,CONSOLIDADO!$E:$E,$A52,CONSOLIDADO!$I:$I,C$3,CONSOLIDADO!$I:$I,C$4,CONSOLIDADO!$K:$K,"&lt;&gt;NOVO")</f>
        <v>2</v>
      </c>
      <c r="E52" s="30">
        <f>SUMIFS(CONSOLIDADO!$F:$F,CONSOLIDADO!$E:$E,$A52,CONSOLIDADO!$I:$I,D$3,CONSOLIDADO!$I:$I,D$4,CONSOLIDADO!$K:$K,"&lt;&gt;NOVO")</f>
        <v>0</v>
      </c>
      <c r="F52" s="30">
        <f>SUMIFS(CONSOLIDADO!$F:$F,CONSOLIDADO!$E:$E,$A52,CONSOLIDADO!$I:$I,E$3,CONSOLIDADO!$I:$I,E$4,CONSOLIDADO!$K:$K,"&lt;&gt;NOVO")</f>
        <v>0</v>
      </c>
      <c r="G52" s="30">
        <f>SUMIFS(CONSOLIDADO!$F:$F,CONSOLIDADO!$E:$E,$A52,CONSOLIDADO!$I:$I,F$3,CONSOLIDADO!$I:$I,F$4,CONSOLIDADO!$K:$K,"&lt;&gt;NOVO")</f>
        <v>0</v>
      </c>
      <c r="H52" s="30">
        <f>SUMIFS(CONSOLIDADO!$F:$F,CONSOLIDADO!$E:$E,$A52,CONSOLIDADO!$I:$I,G$3,CONSOLIDADO!$I:$I,G$4,CONSOLIDADO!$K:$K,"&lt;&gt;NOVO")</f>
        <v>0</v>
      </c>
      <c r="I52" s="30">
        <f>SUMIFS(CONSOLIDADO!$F:$F,CONSOLIDADO!$E:$E,$A52,CONSOLIDADO!$I:$I,H$3,CONSOLIDADO!$I:$I,H$4,CONSOLIDADO!$K:$K,"&lt;&gt;NOVO")</f>
        <v>0</v>
      </c>
      <c r="J52" s="30">
        <f>SUMIFS(CONSOLIDADO!$F:$F,CONSOLIDADO!$E:$E,$A52,CONSOLIDADO!$I:$I,I$3,CONSOLIDADO!$I:$I,I$4,CONSOLIDADO!$K:$K,"&lt;&gt;NOVO")</f>
        <v>0</v>
      </c>
      <c r="K52" s="30">
        <f>SUMIFS(CONSOLIDADO!$F:$F,CONSOLIDADO!$E:$E,$A52,CONSOLIDADO!$I:$I,J$3,CONSOLIDADO!$I:$I,J$4,CONSOLIDADO!$K:$K,"&lt;&gt;NOVO")</f>
        <v>0</v>
      </c>
      <c r="L52" s="30">
        <f>SUMIFS(CONSOLIDADO!$F:$F,CONSOLIDADO!$E:$E,$A52,CONSOLIDADO!$I:$I,K$3,CONSOLIDADO!$I:$I,K$4,CONSOLIDADO!$K:$K,"&lt;&gt;NOVO")</f>
        <v>0</v>
      </c>
      <c r="M52" s="30">
        <f>SUMIFS(CONSOLIDADO!$F:$F,CONSOLIDADO!$E:$E,$A52,CONSOLIDADO!$I:$I,L$3,CONSOLIDADO!$I:$I,L$4,CONSOLIDADO!$K:$K,"&lt;&gt;NOVO")</f>
        <v>0</v>
      </c>
      <c r="N52" s="30">
        <v>1075.51</v>
      </c>
      <c r="O52" s="60">
        <v>0.8</v>
      </c>
      <c r="P52" s="61">
        <f t="shared" si="2"/>
        <v>0</v>
      </c>
      <c r="Q52" s="61">
        <f t="shared" si="2"/>
        <v>0</v>
      </c>
      <c r="R52" s="61">
        <f t="shared" si="2"/>
        <v>430.20399999999989</v>
      </c>
      <c r="S52" s="61">
        <f t="shared" si="2"/>
        <v>0</v>
      </c>
      <c r="T52" s="61">
        <f t="shared" si="2"/>
        <v>0</v>
      </c>
      <c r="U52" s="61">
        <f t="shared" si="2"/>
        <v>0</v>
      </c>
      <c r="V52" s="61">
        <f t="shared" si="2"/>
        <v>0</v>
      </c>
      <c r="W52" s="61">
        <f t="shared" si="2"/>
        <v>0</v>
      </c>
      <c r="X52" s="61">
        <f t="shared" si="2"/>
        <v>0</v>
      </c>
      <c r="Y52" s="61">
        <f t="shared" si="2"/>
        <v>0</v>
      </c>
      <c r="Z52" s="61">
        <f t="shared" si="2"/>
        <v>0</v>
      </c>
      <c r="AA52" s="61">
        <f t="shared" si="2"/>
        <v>0</v>
      </c>
      <c r="AB52" s="37"/>
    </row>
    <row r="53" spans="1:28" x14ac:dyDescent="0.25">
      <c r="A53" s="59" t="s">
        <v>380</v>
      </c>
      <c r="B53" s="30">
        <f>SUMIFS(CONSOLIDADO!$F:$F,CONSOLIDADO!$E:$E,$A53,CONSOLIDADO!$I:$I,A$3,CONSOLIDADO!$I:$I,A$4,CONSOLIDADO!$K:$K,"&lt;&gt;NOVO")</f>
        <v>0</v>
      </c>
      <c r="C53" s="30">
        <f>SUMIFS(CONSOLIDADO!$F:$F,CONSOLIDADO!$E:$E,$A53,CONSOLIDADO!$I:$I,B$3,CONSOLIDADO!$I:$I,B$4,CONSOLIDADO!$K:$K,"&lt;&gt;NOVO")</f>
        <v>0</v>
      </c>
      <c r="D53" s="30">
        <f>SUMIFS(CONSOLIDADO!$F:$F,CONSOLIDADO!$E:$E,$A53,CONSOLIDADO!$I:$I,C$3,CONSOLIDADO!$I:$I,C$4,CONSOLIDADO!$K:$K,"&lt;&gt;NOVO")</f>
        <v>0</v>
      </c>
      <c r="E53" s="30">
        <f>SUMIFS(CONSOLIDADO!$F:$F,CONSOLIDADO!$E:$E,$A53,CONSOLIDADO!$I:$I,D$3,CONSOLIDADO!$I:$I,D$4,CONSOLIDADO!$K:$K,"&lt;&gt;NOVO")</f>
        <v>0</v>
      </c>
      <c r="F53" s="30">
        <f>SUMIFS(CONSOLIDADO!$F:$F,CONSOLIDADO!$E:$E,$A53,CONSOLIDADO!$I:$I,E$3,CONSOLIDADO!$I:$I,E$4,CONSOLIDADO!$K:$K,"&lt;&gt;NOVO")</f>
        <v>0</v>
      </c>
      <c r="G53" s="30">
        <f>SUMIFS(CONSOLIDADO!$F:$F,CONSOLIDADO!$E:$E,$A53,CONSOLIDADO!$I:$I,F$3,CONSOLIDADO!$I:$I,F$4,CONSOLIDADO!$K:$K,"&lt;&gt;NOVO")</f>
        <v>0</v>
      </c>
      <c r="H53" s="30">
        <f>SUMIFS(CONSOLIDADO!$F:$F,CONSOLIDADO!$E:$E,$A53,CONSOLIDADO!$I:$I,G$3,CONSOLIDADO!$I:$I,G$4,CONSOLIDADO!$K:$K,"&lt;&gt;NOVO")</f>
        <v>0</v>
      </c>
      <c r="I53" s="30">
        <f>SUMIFS(CONSOLIDADO!$F:$F,CONSOLIDADO!$E:$E,$A53,CONSOLIDADO!$I:$I,H$3,CONSOLIDADO!$I:$I,H$4,CONSOLIDADO!$K:$K,"&lt;&gt;NOVO")</f>
        <v>0</v>
      </c>
      <c r="J53" s="30">
        <f>SUMIFS(CONSOLIDADO!$F:$F,CONSOLIDADO!$E:$E,$A53,CONSOLIDADO!$I:$I,I$3,CONSOLIDADO!$I:$I,I$4,CONSOLIDADO!$K:$K,"&lt;&gt;NOVO")</f>
        <v>0</v>
      </c>
      <c r="K53" s="30">
        <f>SUMIFS(CONSOLIDADO!$F:$F,CONSOLIDADO!$E:$E,$A53,CONSOLIDADO!$I:$I,J$3,CONSOLIDADO!$I:$I,J$4,CONSOLIDADO!$K:$K,"&lt;&gt;NOVO")</f>
        <v>0</v>
      </c>
      <c r="L53" s="30">
        <f>SUMIFS(CONSOLIDADO!$F:$F,CONSOLIDADO!$E:$E,$A53,CONSOLIDADO!$I:$I,K$3,CONSOLIDADO!$I:$I,K$4,CONSOLIDADO!$K:$K,"&lt;&gt;NOVO")</f>
        <v>0</v>
      </c>
      <c r="M53" s="30">
        <f>SUMIFS(CONSOLIDADO!$F:$F,CONSOLIDADO!$E:$E,$A53,CONSOLIDADO!$I:$I,L$3,CONSOLIDADO!$I:$I,L$4,CONSOLIDADO!$K:$K,"&lt;&gt;NOVO")</f>
        <v>0</v>
      </c>
      <c r="N53" s="30">
        <v>606.47</v>
      </c>
      <c r="O53" s="60">
        <v>0.8</v>
      </c>
      <c r="P53" s="61">
        <f t="shared" si="2"/>
        <v>0</v>
      </c>
      <c r="Q53" s="61">
        <f t="shared" si="2"/>
        <v>0</v>
      </c>
      <c r="R53" s="61">
        <f t="shared" si="2"/>
        <v>0</v>
      </c>
      <c r="S53" s="61">
        <f t="shared" si="2"/>
        <v>0</v>
      </c>
      <c r="T53" s="61">
        <f t="shared" si="2"/>
        <v>0</v>
      </c>
      <c r="U53" s="61">
        <f t="shared" si="2"/>
        <v>0</v>
      </c>
      <c r="V53" s="61">
        <f t="shared" si="2"/>
        <v>0</v>
      </c>
      <c r="W53" s="61">
        <f t="shared" si="2"/>
        <v>0</v>
      </c>
      <c r="X53" s="61">
        <f t="shared" si="2"/>
        <v>0</v>
      </c>
      <c r="Y53" s="61">
        <f t="shared" si="2"/>
        <v>0</v>
      </c>
      <c r="Z53" s="61">
        <f t="shared" si="2"/>
        <v>0</v>
      </c>
      <c r="AA53" s="61">
        <f t="shared" si="2"/>
        <v>0</v>
      </c>
      <c r="AB53" s="37"/>
    </row>
    <row r="54" spans="1:28" x14ac:dyDescent="0.25">
      <c r="A54" s="59" t="s">
        <v>381</v>
      </c>
      <c r="B54" s="30">
        <f>SUMIFS(CONSOLIDADO!$F:$F,CONSOLIDADO!$E:$E,$A54,CONSOLIDADO!$I:$I,A$3,CONSOLIDADO!$I:$I,A$4,CONSOLIDADO!$K:$K,"&lt;&gt;NOVO")</f>
        <v>0</v>
      </c>
      <c r="C54" s="30">
        <f>SUMIFS(CONSOLIDADO!$F:$F,CONSOLIDADO!$E:$E,$A54,CONSOLIDADO!$I:$I,B$3,CONSOLIDADO!$I:$I,B$4,CONSOLIDADO!$K:$K,"&lt;&gt;NOVO")</f>
        <v>0</v>
      </c>
      <c r="D54" s="30">
        <f>SUMIFS(CONSOLIDADO!$F:$F,CONSOLIDADO!$E:$E,$A54,CONSOLIDADO!$I:$I,C$3,CONSOLIDADO!$I:$I,C$4,CONSOLIDADO!$K:$K,"&lt;&gt;NOVO")</f>
        <v>0</v>
      </c>
      <c r="E54" s="30">
        <f>SUMIFS(CONSOLIDADO!$F:$F,CONSOLIDADO!$E:$E,$A54,CONSOLIDADO!$I:$I,D$3,CONSOLIDADO!$I:$I,D$4,CONSOLIDADO!$K:$K,"&lt;&gt;NOVO")</f>
        <v>0</v>
      </c>
      <c r="F54" s="30">
        <f>SUMIFS(CONSOLIDADO!$F:$F,CONSOLIDADO!$E:$E,$A54,CONSOLIDADO!$I:$I,E$3,CONSOLIDADO!$I:$I,E$4,CONSOLIDADO!$K:$K,"&lt;&gt;NOVO")</f>
        <v>0</v>
      </c>
      <c r="G54" s="30">
        <f>SUMIFS(CONSOLIDADO!$F:$F,CONSOLIDADO!$E:$E,$A54,CONSOLIDADO!$I:$I,F$3,CONSOLIDADO!$I:$I,F$4,CONSOLIDADO!$K:$K,"&lt;&gt;NOVO")</f>
        <v>0</v>
      </c>
      <c r="H54" s="30">
        <f>SUMIFS(CONSOLIDADO!$F:$F,CONSOLIDADO!$E:$E,$A54,CONSOLIDADO!$I:$I,G$3,CONSOLIDADO!$I:$I,G$4,CONSOLIDADO!$K:$K,"&lt;&gt;NOVO")</f>
        <v>0</v>
      </c>
      <c r="I54" s="30">
        <f>SUMIFS(CONSOLIDADO!$F:$F,CONSOLIDADO!$E:$E,$A54,CONSOLIDADO!$I:$I,H$3,CONSOLIDADO!$I:$I,H$4,CONSOLIDADO!$K:$K,"&lt;&gt;NOVO")</f>
        <v>0</v>
      </c>
      <c r="J54" s="30">
        <f>SUMIFS(CONSOLIDADO!$F:$F,CONSOLIDADO!$E:$E,$A54,CONSOLIDADO!$I:$I,I$3,CONSOLIDADO!$I:$I,I$4,CONSOLIDADO!$K:$K,"&lt;&gt;NOVO")</f>
        <v>0</v>
      </c>
      <c r="K54" s="30">
        <f>SUMIFS(CONSOLIDADO!$F:$F,CONSOLIDADO!$E:$E,$A54,CONSOLIDADO!$I:$I,J$3,CONSOLIDADO!$I:$I,J$4,CONSOLIDADO!$K:$K,"&lt;&gt;NOVO")</f>
        <v>0</v>
      </c>
      <c r="L54" s="30">
        <f>SUMIFS(CONSOLIDADO!$F:$F,CONSOLIDADO!$E:$E,$A54,CONSOLIDADO!$I:$I,K$3,CONSOLIDADO!$I:$I,K$4,CONSOLIDADO!$K:$K,"&lt;&gt;NOVO")</f>
        <v>0</v>
      </c>
      <c r="M54" s="30">
        <f>SUMIFS(CONSOLIDADO!$F:$F,CONSOLIDADO!$E:$E,$A54,CONSOLIDADO!$I:$I,L$3,CONSOLIDADO!$I:$I,L$4,CONSOLIDADO!$K:$K,"&lt;&gt;NOVO")</f>
        <v>0</v>
      </c>
      <c r="N54" s="30">
        <v>283.75</v>
      </c>
      <c r="O54" s="60">
        <v>0.8</v>
      </c>
      <c r="P54" s="61">
        <f t="shared" si="2"/>
        <v>0</v>
      </c>
      <c r="Q54" s="61">
        <f t="shared" si="2"/>
        <v>0</v>
      </c>
      <c r="R54" s="61">
        <f t="shared" si="2"/>
        <v>0</v>
      </c>
      <c r="S54" s="61">
        <f t="shared" si="2"/>
        <v>0</v>
      </c>
      <c r="T54" s="61">
        <f t="shared" si="2"/>
        <v>0</v>
      </c>
      <c r="U54" s="61">
        <f t="shared" si="2"/>
        <v>0</v>
      </c>
      <c r="V54" s="61">
        <f t="shared" si="2"/>
        <v>0</v>
      </c>
      <c r="W54" s="61">
        <f t="shared" si="2"/>
        <v>0</v>
      </c>
      <c r="X54" s="61">
        <f t="shared" si="2"/>
        <v>0</v>
      </c>
      <c r="Y54" s="61">
        <f t="shared" si="2"/>
        <v>0</v>
      </c>
      <c r="Z54" s="61">
        <f t="shared" si="2"/>
        <v>0</v>
      </c>
      <c r="AA54" s="61">
        <f t="shared" si="2"/>
        <v>0</v>
      </c>
      <c r="AB54" s="37"/>
    </row>
    <row r="55" spans="1:28" x14ac:dyDescent="0.25">
      <c r="A55" s="59" t="s">
        <v>382</v>
      </c>
      <c r="B55" s="30">
        <f>SUMIFS(CONSOLIDADO!$F:$F,CONSOLIDADO!$E:$E,$A55,CONSOLIDADO!$I:$I,A$3,CONSOLIDADO!$I:$I,A$4,CONSOLIDADO!$K:$K,"&lt;&gt;NOVO")</f>
        <v>0</v>
      </c>
      <c r="C55" s="30">
        <f>SUMIFS(CONSOLIDADO!$F:$F,CONSOLIDADO!$E:$E,$A55,CONSOLIDADO!$I:$I,B$3,CONSOLIDADO!$I:$I,B$4,CONSOLIDADO!$K:$K,"&lt;&gt;NOVO")</f>
        <v>0</v>
      </c>
      <c r="D55" s="30">
        <f>SUMIFS(CONSOLIDADO!$F:$F,CONSOLIDADO!$E:$E,$A55,CONSOLIDADO!$I:$I,C$3,CONSOLIDADO!$I:$I,C$4,CONSOLIDADO!$K:$K,"&lt;&gt;NOVO")</f>
        <v>0</v>
      </c>
      <c r="E55" s="30">
        <f>SUMIFS(CONSOLIDADO!$F:$F,CONSOLIDADO!$E:$E,$A55,CONSOLIDADO!$I:$I,D$3,CONSOLIDADO!$I:$I,D$4,CONSOLIDADO!$K:$K,"&lt;&gt;NOVO")</f>
        <v>0</v>
      </c>
      <c r="F55" s="30">
        <f>SUMIFS(CONSOLIDADO!$F:$F,CONSOLIDADO!$E:$E,$A55,CONSOLIDADO!$I:$I,E$3,CONSOLIDADO!$I:$I,E$4,CONSOLIDADO!$K:$K,"&lt;&gt;NOVO")</f>
        <v>0</v>
      </c>
      <c r="G55" s="30">
        <f>SUMIFS(CONSOLIDADO!$F:$F,CONSOLIDADO!$E:$E,$A55,CONSOLIDADO!$I:$I,F$3,CONSOLIDADO!$I:$I,F$4,CONSOLIDADO!$K:$K,"&lt;&gt;NOVO")</f>
        <v>0</v>
      </c>
      <c r="H55" s="30">
        <f>SUMIFS(CONSOLIDADO!$F:$F,CONSOLIDADO!$E:$E,$A55,CONSOLIDADO!$I:$I,G$3,CONSOLIDADO!$I:$I,G$4,CONSOLIDADO!$K:$K,"&lt;&gt;NOVO")</f>
        <v>0</v>
      </c>
      <c r="I55" s="30">
        <f>SUMIFS(CONSOLIDADO!$F:$F,CONSOLIDADO!$E:$E,$A55,CONSOLIDADO!$I:$I,H$3,CONSOLIDADO!$I:$I,H$4,CONSOLIDADO!$K:$K,"&lt;&gt;NOVO")</f>
        <v>0</v>
      </c>
      <c r="J55" s="30">
        <f>SUMIFS(CONSOLIDADO!$F:$F,CONSOLIDADO!$E:$E,$A55,CONSOLIDADO!$I:$I,I$3,CONSOLIDADO!$I:$I,I$4,CONSOLIDADO!$K:$K,"&lt;&gt;NOVO")</f>
        <v>0</v>
      </c>
      <c r="K55" s="30">
        <f>SUMIFS(CONSOLIDADO!$F:$F,CONSOLIDADO!$E:$E,$A55,CONSOLIDADO!$I:$I,J$3,CONSOLIDADO!$I:$I,J$4,CONSOLIDADO!$K:$K,"&lt;&gt;NOVO")</f>
        <v>0</v>
      </c>
      <c r="L55" s="30">
        <f>SUMIFS(CONSOLIDADO!$F:$F,CONSOLIDADO!$E:$E,$A55,CONSOLIDADO!$I:$I,K$3,CONSOLIDADO!$I:$I,K$4,CONSOLIDADO!$K:$K,"&lt;&gt;NOVO")</f>
        <v>0</v>
      </c>
      <c r="M55" s="30">
        <f>SUMIFS(CONSOLIDADO!$F:$F,CONSOLIDADO!$E:$E,$A55,CONSOLIDADO!$I:$I,L$3,CONSOLIDADO!$I:$I,L$4,CONSOLIDADO!$K:$K,"&lt;&gt;NOVO")</f>
        <v>0</v>
      </c>
      <c r="N55" s="30">
        <v>1116.1300000000001</v>
      </c>
      <c r="O55" s="60">
        <v>0.8</v>
      </c>
      <c r="P55" s="61">
        <f t="shared" si="2"/>
        <v>0</v>
      </c>
      <c r="Q55" s="61">
        <f t="shared" si="2"/>
        <v>0</v>
      </c>
      <c r="R55" s="61">
        <f t="shared" si="2"/>
        <v>0</v>
      </c>
      <c r="S55" s="61">
        <f t="shared" si="2"/>
        <v>0</v>
      </c>
      <c r="T55" s="61">
        <f t="shared" si="2"/>
        <v>0</v>
      </c>
      <c r="U55" s="61">
        <f t="shared" si="2"/>
        <v>0</v>
      </c>
      <c r="V55" s="61">
        <f t="shared" si="2"/>
        <v>0</v>
      </c>
      <c r="W55" s="61">
        <f t="shared" si="2"/>
        <v>0</v>
      </c>
      <c r="X55" s="61">
        <f t="shared" si="2"/>
        <v>0</v>
      </c>
      <c r="Y55" s="61">
        <f t="shared" si="2"/>
        <v>0</v>
      </c>
      <c r="Z55" s="61">
        <f t="shared" si="2"/>
        <v>0</v>
      </c>
      <c r="AA55" s="61">
        <f t="shared" si="2"/>
        <v>0</v>
      </c>
      <c r="AB55" s="37"/>
    </row>
    <row r="56" spans="1:28" x14ac:dyDescent="0.25">
      <c r="A56" s="59" t="s">
        <v>383</v>
      </c>
      <c r="B56" s="30">
        <f>SUMIFS(CONSOLIDADO!$F:$F,CONSOLIDADO!$E:$E,$A56,CONSOLIDADO!$I:$I,A$3,CONSOLIDADO!$I:$I,A$4,CONSOLIDADO!$K:$K,"&lt;&gt;NOVO")</f>
        <v>0</v>
      </c>
      <c r="C56" s="30">
        <f>SUMIFS(CONSOLIDADO!$F:$F,CONSOLIDADO!$E:$E,$A56,CONSOLIDADO!$I:$I,B$3,CONSOLIDADO!$I:$I,B$4,CONSOLIDADO!$K:$K,"&lt;&gt;NOVO")</f>
        <v>0</v>
      </c>
      <c r="D56" s="30">
        <f>SUMIFS(CONSOLIDADO!$F:$F,CONSOLIDADO!$E:$E,$A56,CONSOLIDADO!$I:$I,C$3,CONSOLIDADO!$I:$I,C$4,CONSOLIDADO!$K:$K,"&lt;&gt;NOVO")</f>
        <v>0</v>
      </c>
      <c r="E56" s="30">
        <f>SUMIFS(CONSOLIDADO!$F:$F,CONSOLIDADO!$E:$E,$A56,CONSOLIDADO!$I:$I,D$3,CONSOLIDADO!$I:$I,D$4,CONSOLIDADO!$K:$K,"&lt;&gt;NOVO")</f>
        <v>0</v>
      </c>
      <c r="F56" s="30">
        <f>SUMIFS(CONSOLIDADO!$F:$F,CONSOLIDADO!$E:$E,$A56,CONSOLIDADO!$I:$I,E$3,CONSOLIDADO!$I:$I,E$4,CONSOLIDADO!$K:$K,"&lt;&gt;NOVO")</f>
        <v>0</v>
      </c>
      <c r="G56" s="30">
        <f>SUMIFS(CONSOLIDADO!$F:$F,CONSOLIDADO!$E:$E,$A56,CONSOLIDADO!$I:$I,F$3,CONSOLIDADO!$I:$I,F$4,CONSOLIDADO!$K:$K,"&lt;&gt;NOVO")</f>
        <v>0</v>
      </c>
      <c r="H56" s="30">
        <f>SUMIFS(CONSOLIDADO!$F:$F,CONSOLIDADO!$E:$E,$A56,CONSOLIDADO!$I:$I,G$3,CONSOLIDADO!$I:$I,G$4,CONSOLIDADO!$K:$K,"&lt;&gt;NOVO")</f>
        <v>0</v>
      </c>
      <c r="I56" s="30">
        <f>SUMIFS(CONSOLIDADO!$F:$F,CONSOLIDADO!$E:$E,$A56,CONSOLIDADO!$I:$I,H$3,CONSOLIDADO!$I:$I,H$4,CONSOLIDADO!$K:$K,"&lt;&gt;NOVO")</f>
        <v>0</v>
      </c>
      <c r="J56" s="30">
        <f>SUMIFS(CONSOLIDADO!$F:$F,CONSOLIDADO!$E:$E,$A56,CONSOLIDADO!$I:$I,I$3,CONSOLIDADO!$I:$I,I$4,CONSOLIDADO!$K:$K,"&lt;&gt;NOVO")</f>
        <v>0</v>
      </c>
      <c r="K56" s="30">
        <f>SUMIFS(CONSOLIDADO!$F:$F,CONSOLIDADO!$E:$E,$A56,CONSOLIDADO!$I:$I,J$3,CONSOLIDADO!$I:$I,J$4,CONSOLIDADO!$K:$K,"&lt;&gt;NOVO")</f>
        <v>0</v>
      </c>
      <c r="L56" s="30">
        <f>SUMIFS(CONSOLIDADO!$F:$F,CONSOLIDADO!$E:$E,$A56,CONSOLIDADO!$I:$I,K$3,CONSOLIDADO!$I:$I,K$4,CONSOLIDADO!$K:$K,"&lt;&gt;NOVO")</f>
        <v>0</v>
      </c>
      <c r="M56" s="30">
        <f>SUMIFS(CONSOLIDADO!$F:$F,CONSOLIDADO!$E:$E,$A56,CONSOLIDADO!$I:$I,L$3,CONSOLIDADO!$I:$I,L$4,CONSOLIDADO!$K:$K,"&lt;&gt;NOVO")</f>
        <v>0</v>
      </c>
      <c r="N56" s="30">
        <v>1116.1300000000001</v>
      </c>
      <c r="O56" s="60">
        <v>0.8</v>
      </c>
      <c r="P56" s="61">
        <f t="shared" si="2"/>
        <v>0</v>
      </c>
      <c r="Q56" s="61">
        <f t="shared" si="2"/>
        <v>0</v>
      </c>
      <c r="R56" s="61">
        <f t="shared" si="2"/>
        <v>0</v>
      </c>
      <c r="S56" s="61">
        <f t="shared" si="2"/>
        <v>0</v>
      </c>
      <c r="T56" s="61">
        <f t="shared" si="2"/>
        <v>0</v>
      </c>
      <c r="U56" s="61">
        <f t="shared" si="2"/>
        <v>0</v>
      </c>
      <c r="V56" s="61">
        <f t="shared" si="2"/>
        <v>0</v>
      </c>
      <c r="W56" s="61">
        <f t="shared" si="2"/>
        <v>0</v>
      </c>
      <c r="X56" s="61">
        <f t="shared" si="2"/>
        <v>0</v>
      </c>
      <c r="Y56" s="61">
        <f t="shared" si="2"/>
        <v>0</v>
      </c>
      <c r="Z56" s="61">
        <f t="shared" si="2"/>
        <v>0</v>
      </c>
      <c r="AA56" s="61">
        <f t="shared" si="2"/>
        <v>0</v>
      </c>
      <c r="AB56" s="37"/>
    </row>
    <row r="57" spans="1:28" x14ac:dyDescent="0.25">
      <c r="A57" s="59" t="s">
        <v>63</v>
      </c>
      <c r="B57" s="30">
        <f>SUMIFS(CONSOLIDADO!$F:$F,CONSOLIDADO!$E:$E,$A57,CONSOLIDADO!$I:$I,A$3,CONSOLIDADO!$I:$I,A$4,CONSOLIDADO!$K:$K,"&lt;&gt;NOVO")</f>
        <v>2</v>
      </c>
      <c r="C57" s="30">
        <f>SUMIFS(CONSOLIDADO!$F:$F,CONSOLIDADO!$E:$E,$A57,CONSOLIDADO!$I:$I,B$3,CONSOLIDADO!$I:$I,B$4,CONSOLIDADO!$K:$K,"&lt;&gt;NOVO")</f>
        <v>1</v>
      </c>
      <c r="D57" s="30">
        <f>SUMIFS(CONSOLIDADO!$F:$F,CONSOLIDADO!$E:$E,$A57,CONSOLIDADO!$I:$I,C$3,CONSOLIDADO!$I:$I,C$4,CONSOLIDADO!$K:$K,"&lt;&gt;NOVO")</f>
        <v>7</v>
      </c>
      <c r="E57" s="30">
        <f>SUMIFS(CONSOLIDADO!$F:$F,CONSOLIDADO!$E:$E,$A57,CONSOLIDADO!$I:$I,D$3,CONSOLIDADO!$I:$I,D$4,CONSOLIDADO!$K:$K,"&lt;&gt;NOVO")</f>
        <v>36</v>
      </c>
      <c r="F57" s="30">
        <f>SUMIFS(CONSOLIDADO!$F:$F,CONSOLIDADO!$E:$E,$A57,CONSOLIDADO!$I:$I,E$3,CONSOLIDADO!$I:$I,E$4,CONSOLIDADO!$K:$K,"&lt;&gt;NOVO")</f>
        <v>0</v>
      </c>
      <c r="G57" s="30">
        <f>SUMIFS(CONSOLIDADO!$F:$F,CONSOLIDADO!$E:$E,$A57,CONSOLIDADO!$I:$I,F$3,CONSOLIDADO!$I:$I,F$4,CONSOLIDADO!$K:$K,"&lt;&gt;NOVO")</f>
        <v>0</v>
      </c>
      <c r="H57" s="30">
        <f>SUMIFS(CONSOLIDADO!$F:$F,CONSOLIDADO!$E:$E,$A57,CONSOLIDADO!$I:$I,G$3,CONSOLIDADO!$I:$I,G$4,CONSOLIDADO!$K:$K,"&lt;&gt;NOVO")</f>
        <v>0</v>
      </c>
      <c r="I57" s="30">
        <f>SUMIFS(CONSOLIDADO!$F:$F,CONSOLIDADO!$E:$E,$A57,CONSOLIDADO!$I:$I,H$3,CONSOLIDADO!$I:$I,H$4,CONSOLIDADO!$K:$K,"&lt;&gt;NOVO")</f>
        <v>0</v>
      </c>
      <c r="J57" s="30">
        <f>SUMIFS(CONSOLIDADO!$F:$F,CONSOLIDADO!$E:$E,$A57,CONSOLIDADO!$I:$I,I$3,CONSOLIDADO!$I:$I,I$4,CONSOLIDADO!$K:$K,"&lt;&gt;NOVO")</f>
        <v>0</v>
      </c>
      <c r="K57" s="30">
        <f>SUMIFS(CONSOLIDADO!$F:$F,CONSOLIDADO!$E:$E,$A57,CONSOLIDADO!$I:$I,J$3,CONSOLIDADO!$I:$I,J$4,CONSOLIDADO!$K:$K,"&lt;&gt;NOVO")</f>
        <v>0</v>
      </c>
      <c r="L57" s="30">
        <f>SUMIFS(CONSOLIDADO!$F:$F,CONSOLIDADO!$E:$E,$A57,CONSOLIDADO!$I:$I,K$3,CONSOLIDADO!$I:$I,K$4,CONSOLIDADO!$K:$K,"&lt;&gt;NOVO")</f>
        <v>0</v>
      </c>
      <c r="M57" s="30">
        <f>SUMIFS(CONSOLIDADO!$F:$F,CONSOLIDADO!$E:$E,$A57,CONSOLIDADO!$I:$I,L$3,CONSOLIDADO!$I:$I,L$4,CONSOLIDADO!$K:$K,"&lt;&gt;NOVO")</f>
        <v>0</v>
      </c>
      <c r="N57" s="30">
        <v>982.59</v>
      </c>
      <c r="O57" s="60">
        <v>0.8</v>
      </c>
      <c r="P57" s="61">
        <f t="shared" si="2"/>
        <v>393.03599999999994</v>
      </c>
      <c r="Q57" s="61">
        <f t="shared" si="2"/>
        <v>196.51799999999997</v>
      </c>
      <c r="R57" s="61">
        <f t="shared" si="2"/>
        <v>1375.6259999999997</v>
      </c>
      <c r="S57" s="61">
        <f t="shared" si="2"/>
        <v>7074.6479999999992</v>
      </c>
      <c r="T57" s="61">
        <f t="shared" si="2"/>
        <v>0</v>
      </c>
      <c r="U57" s="61">
        <f t="shared" si="2"/>
        <v>0</v>
      </c>
      <c r="V57" s="61">
        <f t="shared" si="2"/>
        <v>0</v>
      </c>
      <c r="W57" s="61">
        <f t="shared" si="2"/>
        <v>0</v>
      </c>
      <c r="X57" s="61">
        <f t="shared" si="2"/>
        <v>0</v>
      </c>
      <c r="Y57" s="61">
        <f t="shared" si="2"/>
        <v>0</v>
      </c>
      <c r="Z57" s="61">
        <f t="shared" si="2"/>
        <v>0</v>
      </c>
      <c r="AA57" s="61">
        <f t="shared" si="2"/>
        <v>0</v>
      </c>
      <c r="AB57" s="37"/>
    </row>
    <row r="58" spans="1:28" x14ac:dyDescent="0.25">
      <c r="A58" s="59" t="s">
        <v>384</v>
      </c>
      <c r="B58" s="30">
        <f>SUMIFS(CONSOLIDADO!$F:$F,CONSOLIDADO!$E:$E,$A58,CONSOLIDADO!$I:$I,A$3,CONSOLIDADO!$I:$I,A$4,CONSOLIDADO!$K:$K,"&lt;&gt;NOVO")</f>
        <v>0</v>
      </c>
      <c r="C58" s="30">
        <f>SUMIFS(CONSOLIDADO!$F:$F,CONSOLIDADO!$E:$E,$A58,CONSOLIDADO!$I:$I,B$3,CONSOLIDADO!$I:$I,B$4,CONSOLIDADO!$K:$K,"&lt;&gt;NOVO")</f>
        <v>0</v>
      </c>
      <c r="D58" s="30">
        <f>SUMIFS(CONSOLIDADO!$F:$F,CONSOLIDADO!$E:$E,$A58,CONSOLIDADO!$I:$I,C$3,CONSOLIDADO!$I:$I,C$4,CONSOLIDADO!$K:$K,"&lt;&gt;NOVO")</f>
        <v>0</v>
      </c>
      <c r="E58" s="30">
        <f>SUMIFS(CONSOLIDADO!$F:$F,CONSOLIDADO!$E:$E,$A58,CONSOLIDADO!$I:$I,D$3,CONSOLIDADO!$I:$I,D$4,CONSOLIDADO!$K:$K,"&lt;&gt;NOVO")</f>
        <v>0</v>
      </c>
      <c r="F58" s="30">
        <f>SUMIFS(CONSOLIDADO!$F:$F,CONSOLIDADO!$E:$E,$A58,CONSOLIDADO!$I:$I,E$3,CONSOLIDADO!$I:$I,E$4,CONSOLIDADO!$K:$K,"&lt;&gt;NOVO")</f>
        <v>0</v>
      </c>
      <c r="G58" s="30">
        <f>SUMIFS(CONSOLIDADO!$F:$F,CONSOLIDADO!$E:$E,$A58,CONSOLIDADO!$I:$I,F$3,CONSOLIDADO!$I:$I,F$4,CONSOLIDADO!$K:$K,"&lt;&gt;NOVO")</f>
        <v>0</v>
      </c>
      <c r="H58" s="30">
        <f>SUMIFS(CONSOLIDADO!$F:$F,CONSOLIDADO!$E:$E,$A58,CONSOLIDADO!$I:$I,G$3,CONSOLIDADO!$I:$I,G$4,CONSOLIDADO!$K:$K,"&lt;&gt;NOVO")</f>
        <v>0</v>
      </c>
      <c r="I58" s="30">
        <f>SUMIFS(CONSOLIDADO!$F:$F,CONSOLIDADO!$E:$E,$A58,CONSOLIDADO!$I:$I,H$3,CONSOLIDADO!$I:$I,H$4,CONSOLIDADO!$K:$K,"&lt;&gt;NOVO")</f>
        <v>0</v>
      </c>
      <c r="J58" s="30">
        <f>SUMIFS(CONSOLIDADO!$F:$F,CONSOLIDADO!$E:$E,$A58,CONSOLIDADO!$I:$I,I$3,CONSOLIDADO!$I:$I,I$4,CONSOLIDADO!$K:$K,"&lt;&gt;NOVO")</f>
        <v>0</v>
      </c>
      <c r="K58" s="30">
        <f>SUMIFS(CONSOLIDADO!$F:$F,CONSOLIDADO!$E:$E,$A58,CONSOLIDADO!$I:$I,J$3,CONSOLIDADO!$I:$I,J$4,CONSOLIDADO!$K:$K,"&lt;&gt;NOVO")</f>
        <v>0</v>
      </c>
      <c r="L58" s="30">
        <f>SUMIFS(CONSOLIDADO!$F:$F,CONSOLIDADO!$E:$E,$A58,CONSOLIDADO!$I:$I,K$3,CONSOLIDADO!$I:$I,K$4,CONSOLIDADO!$K:$K,"&lt;&gt;NOVO")</f>
        <v>0</v>
      </c>
      <c r="M58" s="30">
        <f>SUMIFS(CONSOLIDADO!$F:$F,CONSOLIDADO!$E:$E,$A58,CONSOLIDADO!$I:$I,L$3,CONSOLIDADO!$I:$I,L$4,CONSOLIDADO!$K:$K,"&lt;&gt;NOVO")</f>
        <v>0</v>
      </c>
      <c r="N58" s="30">
        <v>1116.1300000000001</v>
      </c>
      <c r="O58" s="60">
        <v>0.8</v>
      </c>
      <c r="P58" s="61">
        <f t="shared" si="2"/>
        <v>0</v>
      </c>
      <c r="Q58" s="61">
        <f t="shared" si="2"/>
        <v>0</v>
      </c>
      <c r="R58" s="61">
        <f t="shared" si="2"/>
        <v>0</v>
      </c>
      <c r="S58" s="61">
        <f t="shared" si="2"/>
        <v>0</v>
      </c>
      <c r="T58" s="61">
        <f t="shared" si="2"/>
        <v>0</v>
      </c>
      <c r="U58" s="61">
        <f t="shared" si="2"/>
        <v>0</v>
      </c>
      <c r="V58" s="61">
        <f t="shared" si="2"/>
        <v>0</v>
      </c>
      <c r="W58" s="61">
        <f t="shared" si="2"/>
        <v>0</v>
      </c>
      <c r="X58" s="61">
        <f t="shared" si="2"/>
        <v>0</v>
      </c>
      <c r="Y58" s="61">
        <f t="shared" si="2"/>
        <v>0</v>
      </c>
      <c r="Z58" s="61">
        <f t="shared" si="2"/>
        <v>0</v>
      </c>
      <c r="AA58" s="61">
        <f t="shared" si="2"/>
        <v>0</v>
      </c>
      <c r="AB58" s="37"/>
    </row>
    <row r="59" spans="1:28" x14ac:dyDescent="0.25">
      <c r="A59" s="59" t="s">
        <v>385</v>
      </c>
      <c r="B59" s="30">
        <f>SUMIFS(CONSOLIDADO!$F:$F,CONSOLIDADO!$E:$E,$A59,CONSOLIDADO!$I:$I,A$3,CONSOLIDADO!$I:$I,A$4,CONSOLIDADO!$K:$K,"&lt;&gt;NOVO")</f>
        <v>0</v>
      </c>
      <c r="C59" s="30">
        <f>SUMIFS(CONSOLIDADO!$F:$F,CONSOLIDADO!$E:$E,$A59,CONSOLIDADO!$I:$I,B$3,CONSOLIDADO!$I:$I,B$4,CONSOLIDADO!$K:$K,"&lt;&gt;NOVO")</f>
        <v>0</v>
      </c>
      <c r="D59" s="30">
        <f>SUMIFS(CONSOLIDADO!$F:$F,CONSOLIDADO!$E:$E,$A59,CONSOLIDADO!$I:$I,C$3,CONSOLIDADO!$I:$I,C$4,CONSOLIDADO!$K:$K,"&lt;&gt;NOVO")</f>
        <v>0</v>
      </c>
      <c r="E59" s="30">
        <f>SUMIFS(CONSOLIDADO!$F:$F,CONSOLIDADO!$E:$E,$A59,CONSOLIDADO!$I:$I,D$3,CONSOLIDADO!$I:$I,D$4,CONSOLIDADO!$K:$K,"&lt;&gt;NOVO")</f>
        <v>0</v>
      </c>
      <c r="F59" s="30">
        <f>SUMIFS(CONSOLIDADO!$F:$F,CONSOLIDADO!$E:$E,$A59,CONSOLIDADO!$I:$I,E$3,CONSOLIDADO!$I:$I,E$4,CONSOLIDADO!$K:$K,"&lt;&gt;NOVO")</f>
        <v>0</v>
      </c>
      <c r="G59" s="30">
        <f>SUMIFS(CONSOLIDADO!$F:$F,CONSOLIDADO!$E:$E,$A59,CONSOLIDADO!$I:$I,F$3,CONSOLIDADO!$I:$I,F$4,CONSOLIDADO!$K:$K,"&lt;&gt;NOVO")</f>
        <v>0</v>
      </c>
      <c r="H59" s="30">
        <f>SUMIFS(CONSOLIDADO!$F:$F,CONSOLIDADO!$E:$E,$A59,CONSOLIDADO!$I:$I,G$3,CONSOLIDADO!$I:$I,G$4,CONSOLIDADO!$K:$K,"&lt;&gt;NOVO")</f>
        <v>0</v>
      </c>
      <c r="I59" s="30">
        <f>SUMIFS(CONSOLIDADO!$F:$F,CONSOLIDADO!$E:$E,$A59,CONSOLIDADO!$I:$I,H$3,CONSOLIDADO!$I:$I,H$4,CONSOLIDADO!$K:$K,"&lt;&gt;NOVO")</f>
        <v>0</v>
      </c>
      <c r="J59" s="30">
        <f>SUMIFS(CONSOLIDADO!$F:$F,CONSOLIDADO!$E:$E,$A59,CONSOLIDADO!$I:$I,I$3,CONSOLIDADO!$I:$I,I$4,CONSOLIDADO!$K:$K,"&lt;&gt;NOVO")</f>
        <v>0</v>
      </c>
      <c r="K59" s="30">
        <f>SUMIFS(CONSOLIDADO!$F:$F,CONSOLIDADO!$E:$E,$A59,CONSOLIDADO!$I:$I,J$3,CONSOLIDADO!$I:$I,J$4,CONSOLIDADO!$K:$K,"&lt;&gt;NOVO")</f>
        <v>0</v>
      </c>
      <c r="L59" s="30">
        <f>SUMIFS(CONSOLIDADO!$F:$F,CONSOLIDADO!$E:$E,$A59,CONSOLIDADO!$I:$I,K$3,CONSOLIDADO!$I:$I,K$4,CONSOLIDADO!$K:$K,"&lt;&gt;NOVO")</f>
        <v>0</v>
      </c>
      <c r="M59" s="30">
        <f>SUMIFS(CONSOLIDADO!$F:$F,CONSOLIDADO!$E:$E,$A59,CONSOLIDADO!$I:$I,L$3,CONSOLIDADO!$I:$I,L$4,CONSOLIDADO!$K:$K,"&lt;&gt;NOVO")</f>
        <v>0</v>
      </c>
      <c r="N59" s="30">
        <v>2340.21</v>
      </c>
      <c r="O59" s="60">
        <v>0.8</v>
      </c>
      <c r="P59" s="61">
        <f t="shared" si="2"/>
        <v>0</v>
      </c>
      <c r="Q59" s="61">
        <f t="shared" si="2"/>
        <v>0</v>
      </c>
      <c r="R59" s="61">
        <f t="shared" si="2"/>
        <v>0</v>
      </c>
      <c r="S59" s="61">
        <f t="shared" si="2"/>
        <v>0</v>
      </c>
      <c r="T59" s="61">
        <f t="shared" si="2"/>
        <v>0</v>
      </c>
      <c r="U59" s="61">
        <f t="shared" si="2"/>
        <v>0</v>
      </c>
      <c r="V59" s="61">
        <f t="shared" si="2"/>
        <v>0</v>
      </c>
      <c r="W59" s="61">
        <f t="shared" si="2"/>
        <v>0</v>
      </c>
      <c r="X59" s="61">
        <f t="shared" si="2"/>
        <v>0</v>
      </c>
      <c r="Y59" s="61">
        <f t="shared" si="2"/>
        <v>0</v>
      </c>
      <c r="Z59" s="61">
        <f t="shared" si="2"/>
        <v>0</v>
      </c>
      <c r="AA59" s="61">
        <f t="shared" si="2"/>
        <v>0</v>
      </c>
      <c r="AB59" s="37"/>
    </row>
    <row r="60" spans="1:28" x14ac:dyDescent="0.25">
      <c r="A60" s="59" t="s">
        <v>140</v>
      </c>
      <c r="B60" s="30">
        <f>SUMIFS(CONSOLIDADO!$F:$F,CONSOLIDADO!$E:$E,$A60,CONSOLIDADO!$I:$I,A$3,CONSOLIDADO!$I:$I,A$4,CONSOLIDADO!$K:$K,"&lt;&gt;NOVO")</f>
        <v>0</v>
      </c>
      <c r="C60" s="30">
        <f>SUMIFS(CONSOLIDADO!$F:$F,CONSOLIDADO!$E:$E,$A60,CONSOLIDADO!$I:$I,B$3,CONSOLIDADO!$I:$I,B$4,CONSOLIDADO!$K:$K,"&lt;&gt;NOVO")</f>
        <v>2</v>
      </c>
      <c r="D60" s="30">
        <f>SUMIFS(CONSOLIDADO!$F:$F,CONSOLIDADO!$E:$E,$A60,CONSOLIDADO!$I:$I,C$3,CONSOLIDADO!$I:$I,C$4,CONSOLIDADO!$K:$K,"&lt;&gt;NOVO")</f>
        <v>0</v>
      </c>
      <c r="E60" s="30">
        <f>SUMIFS(CONSOLIDADO!$F:$F,CONSOLIDADO!$E:$E,$A60,CONSOLIDADO!$I:$I,D$3,CONSOLIDADO!$I:$I,D$4,CONSOLIDADO!$K:$K,"&lt;&gt;NOVO")</f>
        <v>0</v>
      </c>
      <c r="F60" s="30">
        <f>SUMIFS(CONSOLIDADO!$F:$F,CONSOLIDADO!$E:$E,$A60,CONSOLIDADO!$I:$I,E$3,CONSOLIDADO!$I:$I,E$4,CONSOLIDADO!$K:$K,"&lt;&gt;NOVO")</f>
        <v>0</v>
      </c>
      <c r="G60" s="30">
        <f>SUMIFS(CONSOLIDADO!$F:$F,CONSOLIDADO!$E:$E,$A60,CONSOLIDADO!$I:$I,F$3,CONSOLIDADO!$I:$I,F$4,CONSOLIDADO!$K:$K,"&lt;&gt;NOVO")</f>
        <v>0</v>
      </c>
      <c r="H60" s="30">
        <f>SUMIFS(CONSOLIDADO!$F:$F,CONSOLIDADO!$E:$E,$A60,CONSOLIDADO!$I:$I,G$3,CONSOLIDADO!$I:$I,G$4,CONSOLIDADO!$K:$K,"&lt;&gt;NOVO")</f>
        <v>0</v>
      </c>
      <c r="I60" s="30">
        <f>SUMIFS(CONSOLIDADO!$F:$F,CONSOLIDADO!$E:$E,$A60,CONSOLIDADO!$I:$I,H$3,CONSOLIDADO!$I:$I,H$4,CONSOLIDADO!$K:$K,"&lt;&gt;NOVO")</f>
        <v>0</v>
      </c>
      <c r="J60" s="30">
        <f>SUMIFS(CONSOLIDADO!$F:$F,CONSOLIDADO!$E:$E,$A60,CONSOLIDADO!$I:$I,I$3,CONSOLIDADO!$I:$I,I$4,CONSOLIDADO!$K:$K,"&lt;&gt;NOVO")</f>
        <v>0</v>
      </c>
      <c r="K60" s="30">
        <f>SUMIFS(CONSOLIDADO!$F:$F,CONSOLIDADO!$E:$E,$A60,CONSOLIDADO!$I:$I,J$3,CONSOLIDADO!$I:$I,J$4,CONSOLIDADO!$K:$K,"&lt;&gt;NOVO")</f>
        <v>0</v>
      </c>
      <c r="L60" s="30">
        <f>SUMIFS(CONSOLIDADO!$F:$F,CONSOLIDADO!$E:$E,$A60,CONSOLIDADO!$I:$I,K$3,CONSOLIDADO!$I:$I,K$4,CONSOLIDADO!$K:$K,"&lt;&gt;NOVO")</f>
        <v>0</v>
      </c>
      <c r="M60" s="30">
        <f>SUMIFS(CONSOLIDADO!$F:$F,CONSOLIDADO!$E:$E,$A60,CONSOLIDADO!$I:$I,L$3,CONSOLIDADO!$I:$I,L$4,CONSOLIDADO!$K:$K,"&lt;&gt;NOVO")</f>
        <v>0</v>
      </c>
      <c r="N60" s="30">
        <v>4114.01</v>
      </c>
      <c r="O60" s="60">
        <v>0.8</v>
      </c>
      <c r="P60" s="61">
        <f t="shared" si="2"/>
        <v>0</v>
      </c>
      <c r="Q60" s="61">
        <f t="shared" si="2"/>
        <v>1645.6039999999998</v>
      </c>
      <c r="R60" s="61">
        <f t="shared" si="2"/>
        <v>0</v>
      </c>
      <c r="S60" s="61">
        <f t="shared" si="2"/>
        <v>0</v>
      </c>
      <c r="T60" s="61">
        <f t="shared" si="2"/>
        <v>0</v>
      </c>
      <c r="U60" s="61">
        <f t="shared" si="2"/>
        <v>0</v>
      </c>
      <c r="V60" s="61">
        <f t="shared" si="2"/>
        <v>0</v>
      </c>
      <c r="W60" s="61">
        <f t="shared" si="2"/>
        <v>0</v>
      </c>
      <c r="X60" s="61">
        <f t="shared" si="2"/>
        <v>0</v>
      </c>
      <c r="Y60" s="61">
        <f t="shared" si="2"/>
        <v>0</v>
      </c>
      <c r="Z60" s="61">
        <f t="shared" si="2"/>
        <v>0</v>
      </c>
      <c r="AA60" s="61">
        <f t="shared" si="2"/>
        <v>0</v>
      </c>
      <c r="AB60" s="37"/>
    </row>
    <row r="61" spans="1:28" x14ac:dyDescent="0.25">
      <c r="A61" s="59" t="s">
        <v>294</v>
      </c>
      <c r="B61" s="30">
        <f>SUMIFS(CONSOLIDADO!$F:$F,CONSOLIDADO!$E:$E,$A61,CONSOLIDADO!$I:$I,A$3,CONSOLIDADO!$I:$I,A$4,CONSOLIDADO!$K:$K,"&lt;&gt;NOVO")</f>
        <v>0</v>
      </c>
      <c r="C61" s="30">
        <f>SUMIFS(CONSOLIDADO!$F:$F,CONSOLIDADO!$E:$E,$A61,CONSOLIDADO!$I:$I,B$3,CONSOLIDADO!$I:$I,B$4,CONSOLIDADO!$K:$K,"&lt;&gt;NOVO")</f>
        <v>0</v>
      </c>
      <c r="D61" s="30">
        <f>SUMIFS(CONSOLIDADO!$F:$F,CONSOLIDADO!$E:$E,$A61,CONSOLIDADO!$I:$I,C$3,CONSOLIDADO!$I:$I,C$4,CONSOLIDADO!$K:$K,"&lt;&gt;NOVO")</f>
        <v>0</v>
      </c>
      <c r="E61" s="30">
        <f>SUMIFS(CONSOLIDADO!$F:$F,CONSOLIDADO!$E:$E,$A61,CONSOLIDADO!$I:$I,D$3,CONSOLIDADO!$I:$I,D$4,CONSOLIDADO!$K:$K,"&lt;&gt;NOVO")</f>
        <v>0</v>
      </c>
      <c r="F61" s="30">
        <f>SUMIFS(CONSOLIDADO!$F:$F,CONSOLIDADO!$E:$E,$A61,CONSOLIDADO!$I:$I,E$3,CONSOLIDADO!$I:$I,E$4,CONSOLIDADO!$K:$K,"&lt;&gt;NOVO")</f>
        <v>0</v>
      </c>
      <c r="G61" s="30">
        <f>SUMIFS(CONSOLIDADO!$F:$F,CONSOLIDADO!$E:$E,$A61,CONSOLIDADO!$I:$I,F$3,CONSOLIDADO!$I:$I,F$4,CONSOLIDADO!$K:$K,"&lt;&gt;NOVO")</f>
        <v>0</v>
      </c>
      <c r="H61" s="30">
        <f>SUMIFS(CONSOLIDADO!$F:$F,CONSOLIDADO!$E:$E,$A61,CONSOLIDADO!$I:$I,G$3,CONSOLIDADO!$I:$I,G$4,CONSOLIDADO!$K:$K,"&lt;&gt;NOVO")</f>
        <v>0</v>
      </c>
      <c r="I61" s="30">
        <f>SUMIFS(CONSOLIDADO!$F:$F,CONSOLIDADO!$E:$E,$A61,CONSOLIDADO!$I:$I,H$3,CONSOLIDADO!$I:$I,H$4,CONSOLIDADO!$K:$K,"&lt;&gt;NOVO")</f>
        <v>0</v>
      </c>
      <c r="J61" s="30">
        <f>SUMIFS(CONSOLIDADO!$F:$F,CONSOLIDADO!$E:$E,$A61,CONSOLIDADO!$I:$I,I$3,CONSOLIDADO!$I:$I,I$4,CONSOLIDADO!$K:$K,"&lt;&gt;NOVO")</f>
        <v>0</v>
      </c>
      <c r="K61" s="30">
        <f>SUMIFS(CONSOLIDADO!$F:$F,CONSOLIDADO!$E:$E,$A61,CONSOLIDADO!$I:$I,J$3,CONSOLIDADO!$I:$I,J$4,CONSOLIDADO!$K:$K,"&lt;&gt;NOVO")</f>
        <v>0</v>
      </c>
      <c r="L61" s="30">
        <f>SUMIFS(CONSOLIDADO!$F:$F,CONSOLIDADO!$E:$E,$A61,CONSOLIDADO!$I:$I,K$3,CONSOLIDADO!$I:$I,K$4,CONSOLIDADO!$K:$K,"&lt;&gt;NOVO")</f>
        <v>0</v>
      </c>
      <c r="M61" s="30">
        <f>SUMIFS(CONSOLIDADO!$F:$F,CONSOLIDADO!$E:$E,$A61,CONSOLIDADO!$I:$I,L$3,CONSOLIDADO!$I:$I,L$4,CONSOLIDADO!$K:$K,"&lt;&gt;NOVO")</f>
        <v>0</v>
      </c>
      <c r="N61" s="30">
        <v>3167.57</v>
      </c>
      <c r="O61" s="60">
        <v>0.8</v>
      </c>
      <c r="P61" s="61">
        <f t="shared" si="2"/>
        <v>0</v>
      </c>
      <c r="Q61" s="61">
        <f t="shared" si="2"/>
        <v>0</v>
      </c>
      <c r="R61" s="61">
        <f t="shared" si="2"/>
        <v>0</v>
      </c>
      <c r="S61" s="61">
        <f t="shared" si="2"/>
        <v>0</v>
      </c>
      <c r="T61" s="61">
        <f t="shared" si="2"/>
        <v>0</v>
      </c>
      <c r="U61" s="61">
        <f t="shared" si="2"/>
        <v>0</v>
      </c>
      <c r="V61" s="61">
        <f t="shared" si="2"/>
        <v>0</v>
      </c>
      <c r="W61" s="61">
        <f t="shared" si="2"/>
        <v>0</v>
      </c>
      <c r="X61" s="61">
        <f t="shared" si="2"/>
        <v>0</v>
      </c>
      <c r="Y61" s="61">
        <f t="shared" si="2"/>
        <v>0</v>
      </c>
      <c r="Z61" s="61">
        <f t="shared" si="2"/>
        <v>0</v>
      </c>
      <c r="AA61" s="61">
        <f t="shared" si="2"/>
        <v>0</v>
      </c>
      <c r="AB61" s="37"/>
    </row>
    <row r="62" spans="1:28" x14ac:dyDescent="0.25">
      <c r="A62" s="59" t="s">
        <v>290</v>
      </c>
      <c r="B62" s="30">
        <f>SUMIFS(CONSOLIDADO!$F:$F,CONSOLIDADO!$E:$E,$A62,CONSOLIDADO!$I:$I,A$3,CONSOLIDADO!$I:$I,A$4,CONSOLIDADO!$K:$K,"&lt;&gt;NOVO")</f>
        <v>0</v>
      </c>
      <c r="C62" s="30">
        <f>SUMIFS(CONSOLIDADO!$F:$F,CONSOLIDADO!$E:$E,$A62,CONSOLIDADO!$I:$I,B$3,CONSOLIDADO!$I:$I,B$4,CONSOLIDADO!$K:$K,"&lt;&gt;NOVO")</f>
        <v>0</v>
      </c>
      <c r="D62" s="30">
        <f>SUMIFS(CONSOLIDADO!$F:$F,CONSOLIDADO!$E:$E,$A62,CONSOLIDADO!$I:$I,C$3,CONSOLIDADO!$I:$I,C$4,CONSOLIDADO!$K:$K,"&lt;&gt;NOVO")</f>
        <v>0</v>
      </c>
      <c r="E62" s="30">
        <f>SUMIFS(CONSOLIDADO!$F:$F,CONSOLIDADO!$E:$E,$A62,CONSOLIDADO!$I:$I,D$3,CONSOLIDADO!$I:$I,D$4,CONSOLIDADO!$K:$K,"&lt;&gt;NOVO")</f>
        <v>2</v>
      </c>
      <c r="F62" s="30">
        <f>SUMIFS(CONSOLIDADO!$F:$F,CONSOLIDADO!$E:$E,$A62,CONSOLIDADO!$I:$I,E$3,CONSOLIDADO!$I:$I,E$4,CONSOLIDADO!$K:$K,"&lt;&gt;NOVO")</f>
        <v>0</v>
      </c>
      <c r="G62" s="30">
        <f>SUMIFS(CONSOLIDADO!$F:$F,CONSOLIDADO!$E:$E,$A62,CONSOLIDADO!$I:$I,F$3,CONSOLIDADO!$I:$I,F$4,CONSOLIDADO!$K:$K,"&lt;&gt;NOVO")</f>
        <v>0</v>
      </c>
      <c r="H62" s="30">
        <f>SUMIFS(CONSOLIDADO!$F:$F,CONSOLIDADO!$E:$E,$A62,CONSOLIDADO!$I:$I,G$3,CONSOLIDADO!$I:$I,G$4,CONSOLIDADO!$K:$K,"&lt;&gt;NOVO")</f>
        <v>0</v>
      </c>
      <c r="I62" s="30">
        <f>SUMIFS(CONSOLIDADO!$F:$F,CONSOLIDADO!$E:$E,$A62,CONSOLIDADO!$I:$I,H$3,CONSOLIDADO!$I:$I,H$4,CONSOLIDADO!$K:$K,"&lt;&gt;NOVO")</f>
        <v>0</v>
      </c>
      <c r="J62" s="30">
        <f>SUMIFS(CONSOLIDADO!$F:$F,CONSOLIDADO!$E:$E,$A62,CONSOLIDADO!$I:$I,I$3,CONSOLIDADO!$I:$I,I$4,CONSOLIDADO!$K:$K,"&lt;&gt;NOVO")</f>
        <v>0</v>
      </c>
      <c r="K62" s="30">
        <f>SUMIFS(CONSOLIDADO!$F:$F,CONSOLIDADO!$E:$E,$A62,CONSOLIDADO!$I:$I,J$3,CONSOLIDADO!$I:$I,J$4,CONSOLIDADO!$K:$K,"&lt;&gt;NOVO")</f>
        <v>0</v>
      </c>
      <c r="L62" s="30">
        <f>SUMIFS(CONSOLIDADO!$F:$F,CONSOLIDADO!$E:$E,$A62,CONSOLIDADO!$I:$I,K$3,CONSOLIDADO!$I:$I,K$4,CONSOLIDADO!$K:$K,"&lt;&gt;NOVO")</f>
        <v>0</v>
      </c>
      <c r="M62" s="30">
        <f>SUMIFS(CONSOLIDADO!$F:$F,CONSOLIDADO!$E:$E,$A62,CONSOLIDADO!$I:$I,L$3,CONSOLIDADO!$I:$I,L$4,CONSOLIDADO!$K:$K,"&lt;&gt;NOVO")</f>
        <v>0</v>
      </c>
      <c r="N62" s="30">
        <v>842.38</v>
      </c>
      <c r="O62" s="60">
        <v>0.8</v>
      </c>
      <c r="P62" s="61">
        <f t="shared" si="2"/>
        <v>0</v>
      </c>
      <c r="Q62" s="61">
        <f t="shared" si="2"/>
        <v>0</v>
      </c>
      <c r="R62" s="61">
        <f t="shared" si="2"/>
        <v>0</v>
      </c>
      <c r="S62" s="61">
        <f t="shared" si="2"/>
        <v>336.95199999999994</v>
      </c>
      <c r="T62" s="61">
        <f t="shared" si="2"/>
        <v>0</v>
      </c>
      <c r="U62" s="61">
        <f t="shared" si="2"/>
        <v>0</v>
      </c>
      <c r="V62" s="61">
        <f t="shared" si="2"/>
        <v>0</v>
      </c>
      <c r="W62" s="61">
        <f t="shared" si="2"/>
        <v>0</v>
      </c>
      <c r="X62" s="61">
        <f t="shared" si="2"/>
        <v>0</v>
      </c>
      <c r="Y62" s="61">
        <f t="shared" si="2"/>
        <v>0</v>
      </c>
      <c r="Z62" s="61">
        <f t="shared" si="2"/>
        <v>0</v>
      </c>
      <c r="AA62" s="61">
        <f t="shared" si="2"/>
        <v>0</v>
      </c>
      <c r="AB62" s="37"/>
    </row>
    <row r="63" spans="1:28" x14ac:dyDescent="0.25">
      <c r="A63" s="59" t="s">
        <v>386</v>
      </c>
      <c r="B63" s="30">
        <f>SUMIFS(CONSOLIDADO!$F:$F,CONSOLIDADO!$E:$E,$A63,CONSOLIDADO!$I:$I,A$3,CONSOLIDADO!$I:$I,A$4,CONSOLIDADO!$K:$K,"&lt;&gt;NOVO")</f>
        <v>0</v>
      </c>
      <c r="C63" s="30">
        <f>SUMIFS(CONSOLIDADO!$F:$F,CONSOLIDADO!$E:$E,$A63,CONSOLIDADO!$I:$I,B$3,CONSOLIDADO!$I:$I,B$4,CONSOLIDADO!$K:$K,"&lt;&gt;NOVO")</f>
        <v>0</v>
      </c>
      <c r="D63" s="30">
        <f>SUMIFS(CONSOLIDADO!$F:$F,CONSOLIDADO!$E:$E,$A63,CONSOLIDADO!$I:$I,C$3,CONSOLIDADO!$I:$I,C$4,CONSOLIDADO!$K:$K,"&lt;&gt;NOVO")</f>
        <v>0</v>
      </c>
      <c r="E63" s="30">
        <f>SUMIFS(CONSOLIDADO!$F:$F,CONSOLIDADO!$E:$E,$A63,CONSOLIDADO!$I:$I,D$3,CONSOLIDADO!$I:$I,D$4,CONSOLIDADO!$K:$K,"&lt;&gt;NOVO")</f>
        <v>0</v>
      </c>
      <c r="F63" s="30">
        <f>SUMIFS(CONSOLIDADO!$F:$F,CONSOLIDADO!$E:$E,$A63,CONSOLIDADO!$I:$I,E$3,CONSOLIDADO!$I:$I,E$4,CONSOLIDADO!$K:$K,"&lt;&gt;NOVO")</f>
        <v>0</v>
      </c>
      <c r="G63" s="30">
        <f>SUMIFS(CONSOLIDADO!$F:$F,CONSOLIDADO!$E:$E,$A63,CONSOLIDADO!$I:$I,F$3,CONSOLIDADO!$I:$I,F$4,CONSOLIDADO!$K:$K,"&lt;&gt;NOVO")</f>
        <v>0</v>
      </c>
      <c r="H63" s="30">
        <f>SUMIFS(CONSOLIDADO!$F:$F,CONSOLIDADO!$E:$E,$A63,CONSOLIDADO!$I:$I,G$3,CONSOLIDADO!$I:$I,G$4,CONSOLIDADO!$K:$K,"&lt;&gt;NOVO")</f>
        <v>0</v>
      </c>
      <c r="I63" s="30">
        <f>SUMIFS(CONSOLIDADO!$F:$F,CONSOLIDADO!$E:$E,$A63,CONSOLIDADO!$I:$I,H$3,CONSOLIDADO!$I:$I,H$4,CONSOLIDADO!$K:$K,"&lt;&gt;NOVO")</f>
        <v>0</v>
      </c>
      <c r="J63" s="30">
        <f>SUMIFS(CONSOLIDADO!$F:$F,CONSOLIDADO!$E:$E,$A63,CONSOLIDADO!$I:$I,I$3,CONSOLIDADO!$I:$I,I$4,CONSOLIDADO!$K:$K,"&lt;&gt;NOVO")</f>
        <v>0</v>
      </c>
      <c r="K63" s="30">
        <f>SUMIFS(CONSOLIDADO!$F:$F,CONSOLIDADO!$E:$E,$A63,CONSOLIDADO!$I:$I,J$3,CONSOLIDADO!$I:$I,J$4,CONSOLIDADO!$K:$K,"&lt;&gt;NOVO")</f>
        <v>0</v>
      </c>
      <c r="L63" s="30">
        <f>SUMIFS(CONSOLIDADO!$F:$F,CONSOLIDADO!$E:$E,$A63,CONSOLIDADO!$I:$I,K$3,CONSOLIDADO!$I:$I,K$4,CONSOLIDADO!$K:$K,"&lt;&gt;NOVO")</f>
        <v>0</v>
      </c>
      <c r="M63" s="30">
        <f>SUMIFS(CONSOLIDADO!$F:$F,CONSOLIDADO!$E:$E,$A63,CONSOLIDADO!$I:$I,L$3,CONSOLIDADO!$I:$I,L$4,CONSOLIDADO!$K:$K,"&lt;&gt;NOVO")</f>
        <v>0</v>
      </c>
      <c r="N63" s="30">
        <v>842.38</v>
      </c>
      <c r="O63" s="60">
        <v>0.8</v>
      </c>
      <c r="P63" s="61">
        <f t="shared" si="2"/>
        <v>0</v>
      </c>
      <c r="Q63" s="61">
        <f t="shared" si="2"/>
        <v>0</v>
      </c>
      <c r="R63" s="61">
        <f t="shared" si="2"/>
        <v>0</v>
      </c>
      <c r="S63" s="61">
        <f t="shared" si="2"/>
        <v>0</v>
      </c>
      <c r="T63" s="61">
        <f t="shared" si="2"/>
        <v>0</v>
      </c>
      <c r="U63" s="61">
        <f t="shared" si="2"/>
        <v>0</v>
      </c>
      <c r="V63" s="61">
        <f t="shared" si="2"/>
        <v>0</v>
      </c>
      <c r="W63" s="61">
        <f t="shared" si="2"/>
        <v>0</v>
      </c>
      <c r="X63" s="61">
        <f t="shared" si="2"/>
        <v>0</v>
      </c>
      <c r="Y63" s="61">
        <f t="shared" si="2"/>
        <v>0</v>
      </c>
      <c r="Z63" s="61">
        <f t="shared" si="2"/>
        <v>0</v>
      </c>
      <c r="AA63" s="61">
        <f t="shared" si="2"/>
        <v>0</v>
      </c>
      <c r="AB63" s="37"/>
    </row>
    <row r="64" spans="1:28" x14ac:dyDescent="0.25">
      <c r="A64" s="59" t="s">
        <v>167</v>
      </c>
      <c r="B64" s="30">
        <f>SUMIFS(CONSOLIDADO!$F:$F,CONSOLIDADO!$E:$E,$A64,CONSOLIDADO!$I:$I,A$3,CONSOLIDADO!$I:$I,A$4,CONSOLIDADO!$K:$K,"&lt;&gt;NOVO")</f>
        <v>0</v>
      </c>
      <c r="C64" s="30">
        <f>SUMIFS(CONSOLIDADO!$F:$F,CONSOLIDADO!$E:$E,$A64,CONSOLIDADO!$I:$I,B$3,CONSOLIDADO!$I:$I,B$4,CONSOLIDADO!$K:$K,"&lt;&gt;NOVO")</f>
        <v>0</v>
      </c>
      <c r="D64" s="30">
        <f>SUMIFS(CONSOLIDADO!$F:$F,CONSOLIDADO!$E:$E,$A64,CONSOLIDADO!$I:$I,C$3,CONSOLIDADO!$I:$I,C$4,CONSOLIDADO!$K:$K,"&lt;&gt;NOVO")</f>
        <v>2</v>
      </c>
      <c r="E64" s="30">
        <f>SUMIFS(CONSOLIDADO!$F:$F,CONSOLIDADO!$E:$E,$A64,CONSOLIDADO!$I:$I,D$3,CONSOLIDADO!$I:$I,D$4,CONSOLIDADO!$K:$K,"&lt;&gt;NOVO")</f>
        <v>0</v>
      </c>
      <c r="F64" s="30">
        <f>SUMIFS(CONSOLIDADO!$F:$F,CONSOLIDADO!$E:$E,$A64,CONSOLIDADO!$I:$I,E$3,CONSOLIDADO!$I:$I,E$4,CONSOLIDADO!$K:$K,"&lt;&gt;NOVO")</f>
        <v>0</v>
      </c>
      <c r="G64" s="30">
        <f>SUMIFS(CONSOLIDADO!$F:$F,CONSOLIDADO!$E:$E,$A64,CONSOLIDADO!$I:$I,F$3,CONSOLIDADO!$I:$I,F$4,CONSOLIDADO!$K:$K,"&lt;&gt;NOVO")</f>
        <v>0</v>
      </c>
      <c r="H64" s="30">
        <f>SUMIFS(CONSOLIDADO!$F:$F,CONSOLIDADO!$E:$E,$A64,CONSOLIDADO!$I:$I,G$3,CONSOLIDADO!$I:$I,G$4,CONSOLIDADO!$K:$K,"&lt;&gt;NOVO")</f>
        <v>0</v>
      </c>
      <c r="I64" s="30">
        <f>SUMIFS(CONSOLIDADO!$F:$F,CONSOLIDADO!$E:$E,$A64,CONSOLIDADO!$I:$I,H$3,CONSOLIDADO!$I:$I,H$4,CONSOLIDADO!$K:$K,"&lt;&gt;NOVO")</f>
        <v>0</v>
      </c>
      <c r="J64" s="30">
        <f>SUMIFS(CONSOLIDADO!$F:$F,CONSOLIDADO!$E:$E,$A64,CONSOLIDADO!$I:$I,I$3,CONSOLIDADO!$I:$I,I$4,CONSOLIDADO!$K:$K,"&lt;&gt;NOVO")</f>
        <v>0</v>
      </c>
      <c r="K64" s="30">
        <f>SUMIFS(CONSOLIDADO!$F:$F,CONSOLIDADO!$E:$E,$A64,CONSOLIDADO!$I:$I,J$3,CONSOLIDADO!$I:$I,J$4,CONSOLIDADO!$K:$K,"&lt;&gt;NOVO")</f>
        <v>0</v>
      </c>
      <c r="L64" s="30">
        <f>SUMIFS(CONSOLIDADO!$F:$F,CONSOLIDADO!$E:$E,$A64,CONSOLIDADO!$I:$I,K$3,CONSOLIDADO!$I:$I,K$4,CONSOLIDADO!$K:$K,"&lt;&gt;NOVO")</f>
        <v>0</v>
      </c>
      <c r="M64" s="30">
        <f>SUMIFS(CONSOLIDADO!$F:$F,CONSOLIDADO!$E:$E,$A64,CONSOLIDADO!$I:$I,L$3,CONSOLIDADO!$I:$I,L$4,CONSOLIDADO!$K:$K,"&lt;&gt;NOVO")</f>
        <v>0</v>
      </c>
      <c r="N64" s="30">
        <v>209.75</v>
      </c>
      <c r="O64" s="60">
        <v>0.8</v>
      </c>
      <c r="P64" s="61">
        <f t="shared" si="2"/>
        <v>0</v>
      </c>
      <c r="Q64" s="61">
        <f t="shared" si="2"/>
        <v>0</v>
      </c>
      <c r="R64" s="61">
        <f t="shared" si="2"/>
        <v>83.899999999999977</v>
      </c>
      <c r="S64" s="61">
        <f t="shared" si="2"/>
        <v>0</v>
      </c>
      <c r="T64" s="61">
        <f t="shared" si="2"/>
        <v>0</v>
      </c>
      <c r="U64" s="61">
        <f t="shared" si="2"/>
        <v>0</v>
      </c>
      <c r="V64" s="61">
        <f t="shared" si="2"/>
        <v>0</v>
      </c>
      <c r="W64" s="61">
        <f t="shared" si="2"/>
        <v>0</v>
      </c>
      <c r="X64" s="61">
        <f t="shared" si="2"/>
        <v>0</v>
      </c>
      <c r="Y64" s="61">
        <f t="shared" si="2"/>
        <v>0</v>
      </c>
      <c r="Z64" s="61">
        <f t="shared" si="2"/>
        <v>0</v>
      </c>
      <c r="AA64" s="61">
        <f t="shared" si="2"/>
        <v>0</v>
      </c>
      <c r="AB64" s="37"/>
    </row>
    <row r="65" spans="1:28" x14ac:dyDescent="0.25">
      <c r="A65" s="59" t="s">
        <v>387</v>
      </c>
      <c r="B65" s="30">
        <f>SUMIFS(CONSOLIDADO!$F:$F,CONSOLIDADO!$E:$E,$A65,CONSOLIDADO!$I:$I,A$3,CONSOLIDADO!$I:$I,A$4,CONSOLIDADO!$K:$K,"&lt;&gt;NOVO")</f>
        <v>0</v>
      </c>
      <c r="C65" s="30">
        <f>SUMIFS(CONSOLIDADO!$F:$F,CONSOLIDADO!$E:$E,$A65,CONSOLIDADO!$I:$I,B$3,CONSOLIDADO!$I:$I,B$4,CONSOLIDADO!$K:$K,"&lt;&gt;NOVO")</f>
        <v>0</v>
      </c>
      <c r="D65" s="30">
        <f>SUMIFS(CONSOLIDADO!$F:$F,CONSOLIDADO!$E:$E,$A65,CONSOLIDADO!$I:$I,C$3,CONSOLIDADO!$I:$I,C$4,CONSOLIDADO!$K:$K,"&lt;&gt;NOVO")</f>
        <v>0</v>
      </c>
      <c r="E65" s="30">
        <f>SUMIFS(CONSOLIDADO!$F:$F,CONSOLIDADO!$E:$E,$A65,CONSOLIDADO!$I:$I,D$3,CONSOLIDADO!$I:$I,D$4,CONSOLIDADO!$K:$K,"&lt;&gt;NOVO")</f>
        <v>0</v>
      </c>
      <c r="F65" s="30">
        <f>SUMIFS(CONSOLIDADO!$F:$F,CONSOLIDADO!$E:$E,$A65,CONSOLIDADO!$I:$I,E$3,CONSOLIDADO!$I:$I,E$4,CONSOLIDADO!$K:$K,"&lt;&gt;NOVO")</f>
        <v>0</v>
      </c>
      <c r="G65" s="30">
        <f>SUMIFS(CONSOLIDADO!$F:$F,CONSOLIDADO!$E:$E,$A65,CONSOLIDADO!$I:$I,F$3,CONSOLIDADO!$I:$I,F$4,CONSOLIDADO!$K:$K,"&lt;&gt;NOVO")</f>
        <v>0</v>
      </c>
      <c r="H65" s="30">
        <f>SUMIFS(CONSOLIDADO!$F:$F,CONSOLIDADO!$E:$E,$A65,CONSOLIDADO!$I:$I,G$3,CONSOLIDADO!$I:$I,G$4,CONSOLIDADO!$K:$K,"&lt;&gt;NOVO")</f>
        <v>0</v>
      </c>
      <c r="I65" s="30">
        <f>SUMIFS(CONSOLIDADO!$F:$F,CONSOLIDADO!$E:$E,$A65,CONSOLIDADO!$I:$I,H$3,CONSOLIDADO!$I:$I,H$4,CONSOLIDADO!$K:$K,"&lt;&gt;NOVO")</f>
        <v>0</v>
      </c>
      <c r="J65" s="30">
        <f>SUMIFS(CONSOLIDADO!$F:$F,CONSOLIDADO!$E:$E,$A65,CONSOLIDADO!$I:$I,I$3,CONSOLIDADO!$I:$I,I$4,CONSOLIDADO!$K:$K,"&lt;&gt;NOVO")</f>
        <v>0</v>
      </c>
      <c r="K65" s="30">
        <f>SUMIFS(CONSOLIDADO!$F:$F,CONSOLIDADO!$E:$E,$A65,CONSOLIDADO!$I:$I,J$3,CONSOLIDADO!$I:$I,J$4,CONSOLIDADO!$K:$K,"&lt;&gt;NOVO")</f>
        <v>0</v>
      </c>
      <c r="L65" s="30">
        <f>SUMIFS(CONSOLIDADO!$F:$F,CONSOLIDADO!$E:$E,$A65,CONSOLIDADO!$I:$I,K$3,CONSOLIDADO!$I:$I,K$4,CONSOLIDADO!$K:$K,"&lt;&gt;NOVO")</f>
        <v>0</v>
      </c>
      <c r="M65" s="30">
        <f>SUMIFS(CONSOLIDADO!$F:$F,CONSOLIDADO!$E:$E,$A65,CONSOLIDADO!$I:$I,L$3,CONSOLIDADO!$I:$I,L$4,CONSOLIDADO!$K:$K,"&lt;&gt;NOVO")</f>
        <v>0</v>
      </c>
      <c r="N65" s="30">
        <v>627.61</v>
      </c>
      <c r="O65" s="60">
        <v>0.8</v>
      </c>
      <c r="P65" s="61">
        <f t="shared" si="2"/>
        <v>0</v>
      </c>
      <c r="Q65" s="61">
        <f t="shared" si="2"/>
        <v>0</v>
      </c>
      <c r="R65" s="61">
        <f t="shared" si="2"/>
        <v>0</v>
      </c>
      <c r="S65" s="61">
        <f t="shared" si="2"/>
        <v>0</v>
      </c>
      <c r="T65" s="61">
        <f t="shared" si="2"/>
        <v>0</v>
      </c>
      <c r="U65" s="61">
        <f t="shared" si="2"/>
        <v>0</v>
      </c>
      <c r="V65" s="61">
        <f t="shared" si="2"/>
        <v>0</v>
      </c>
      <c r="W65" s="61">
        <f t="shared" si="2"/>
        <v>0</v>
      </c>
      <c r="X65" s="61">
        <f t="shared" si="2"/>
        <v>0</v>
      </c>
      <c r="Y65" s="61">
        <f t="shared" si="2"/>
        <v>0</v>
      </c>
      <c r="Z65" s="61">
        <f t="shared" si="2"/>
        <v>0</v>
      </c>
      <c r="AA65" s="61">
        <f t="shared" si="2"/>
        <v>0</v>
      </c>
      <c r="AB65" s="37"/>
    </row>
    <row r="66" spans="1:28" x14ac:dyDescent="0.25">
      <c r="A66" t="s">
        <v>82</v>
      </c>
      <c r="B66" s="30">
        <f>SUMIFS(CONSOLIDADO!$F:$F,CONSOLIDADO!$E:$E,$A66,CONSOLIDADO!$I:$I,A$3,CONSOLIDADO!$I:$I,A$4,CONSOLIDADO!$K:$K,"&lt;&gt;NOVO")</f>
        <v>20</v>
      </c>
      <c r="C66" s="30">
        <f>SUMIFS(CONSOLIDADO!$F:$F,CONSOLIDADO!$E:$E,$A66,CONSOLIDADO!$I:$I,B$3,CONSOLIDADO!$I:$I,B$4,CONSOLIDADO!$K:$K,"&lt;&gt;NOVO")</f>
        <v>0</v>
      </c>
      <c r="D66" s="30">
        <f>SUMIFS(CONSOLIDADO!$F:$F,CONSOLIDADO!$E:$E,$A66,CONSOLIDADO!$I:$I,C$3,CONSOLIDADO!$I:$I,C$4,CONSOLIDADO!$K:$K,"&lt;&gt;NOVO")</f>
        <v>0</v>
      </c>
      <c r="E66" s="30">
        <f>SUMIFS(CONSOLIDADO!$F:$F,CONSOLIDADO!$E:$E,$A66,CONSOLIDADO!$I:$I,D$3,CONSOLIDADO!$I:$I,D$4,CONSOLIDADO!$K:$K,"&lt;&gt;NOVO")</f>
        <v>0</v>
      </c>
      <c r="F66" s="30">
        <f>SUMIFS(CONSOLIDADO!$F:$F,CONSOLIDADO!$E:$E,$A66,CONSOLIDADO!$I:$I,E$3,CONSOLIDADO!$I:$I,E$4,CONSOLIDADO!$K:$K,"&lt;&gt;NOVO")</f>
        <v>0</v>
      </c>
      <c r="G66" s="30">
        <f>SUMIFS(CONSOLIDADO!$F:$F,CONSOLIDADO!$E:$E,$A66,CONSOLIDADO!$I:$I,F$3,CONSOLIDADO!$I:$I,F$4,CONSOLIDADO!$K:$K,"&lt;&gt;NOVO")</f>
        <v>0</v>
      </c>
      <c r="H66" s="30">
        <f>SUMIFS(CONSOLIDADO!$F:$F,CONSOLIDADO!$E:$E,$A66,CONSOLIDADO!$I:$I,G$3,CONSOLIDADO!$I:$I,G$4,CONSOLIDADO!$K:$K,"&lt;&gt;NOVO")</f>
        <v>0</v>
      </c>
      <c r="I66" s="30">
        <f>SUMIFS(CONSOLIDADO!$F:$F,CONSOLIDADO!$E:$E,$A66,CONSOLIDADO!$I:$I,H$3,CONSOLIDADO!$I:$I,H$4,CONSOLIDADO!$K:$K,"&lt;&gt;NOVO")</f>
        <v>0</v>
      </c>
      <c r="J66" s="30">
        <f>SUMIFS(CONSOLIDADO!$F:$F,CONSOLIDADO!$E:$E,$A66,CONSOLIDADO!$I:$I,I$3,CONSOLIDADO!$I:$I,I$4,CONSOLIDADO!$K:$K,"&lt;&gt;NOVO")</f>
        <v>0</v>
      </c>
      <c r="K66" s="30">
        <f>SUMIFS(CONSOLIDADO!$F:$F,CONSOLIDADO!$E:$E,$A66,CONSOLIDADO!$I:$I,J$3,CONSOLIDADO!$I:$I,J$4,CONSOLIDADO!$K:$K,"&lt;&gt;NOVO")</f>
        <v>0</v>
      </c>
      <c r="L66" s="30">
        <f>SUMIFS(CONSOLIDADO!$F:$F,CONSOLIDADO!$E:$E,$A66,CONSOLIDADO!$I:$I,K$3,CONSOLIDADO!$I:$I,K$4,CONSOLIDADO!$K:$K,"&lt;&gt;NOVO")</f>
        <v>0</v>
      </c>
      <c r="M66" s="30">
        <f>SUMIFS(CONSOLIDADO!$F:$F,CONSOLIDADO!$E:$E,$A66,CONSOLIDADO!$I:$I,L$3,CONSOLIDADO!$I:$I,L$4,CONSOLIDADO!$K:$K,"&lt;&gt;NOVO")</f>
        <v>0</v>
      </c>
      <c r="N66" s="30">
        <v>2000</v>
      </c>
      <c r="O66" s="60">
        <v>0.8</v>
      </c>
      <c r="P66" s="61">
        <f t="shared" si="2"/>
        <v>7999.9999999999982</v>
      </c>
      <c r="Q66" s="61">
        <f t="shared" si="2"/>
        <v>0</v>
      </c>
      <c r="R66" s="61">
        <f t="shared" si="2"/>
        <v>0</v>
      </c>
      <c r="S66" s="61">
        <f t="shared" ref="S66:AA94" si="3">E66*($N66*(1-$O66))</f>
        <v>0</v>
      </c>
      <c r="T66" s="61">
        <f t="shared" si="3"/>
        <v>0</v>
      </c>
      <c r="U66" s="61">
        <f t="shared" si="3"/>
        <v>0</v>
      </c>
      <c r="V66" s="61">
        <f t="shared" si="3"/>
        <v>0</v>
      </c>
      <c r="W66" s="61">
        <f t="shared" si="3"/>
        <v>0</v>
      </c>
      <c r="X66" s="61">
        <f t="shared" si="3"/>
        <v>0</v>
      </c>
      <c r="Y66" s="61">
        <f t="shared" si="3"/>
        <v>0</v>
      </c>
      <c r="Z66" s="61">
        <f t="shared" si="3"/>
        <v>0</v>
      </c>
      <c r="AA66" s="61">
        <f t="shared" si="3"/>
        <v>0</v>
      </c>
      <c r="AB66" s="37"/>
    </row>
    <row r="67" spans="1:28" x14ac:dyDescent="0.25">
      <c r="A67" s="59" t="s">
        <v>65</v>
      </c>
      <c r="B67" s="30">
        <f>SUMIFS(CONSOLIDADO!$F:$F,CONSOLIDADO!$E:$E,$A67,CONSOLIDADO!$I:$I,A$3,CONSOLIDADO!$I:$I,A$4,CONSOLIDADO!$K:$K,"&lt;&gt;NOVO")</f>
        <v>1</v>
      </c>
      <c r="C67" s="30">
        <f>SUMIFS(CONSOLIDADO!$F:$F,CONSOLIDADO!$E:$E,$A67,CONSOLIDADO!$I:$I,B$3,CONSOLIDADO!$I:$I,B$4,CONSOLIDADO!$K:$K,"&lt;&gt;NOVO")</f>
        <v>0</v>
      </c>
      <c r="D67" s="30">
        <f>SUMIFS(CONSOLIDADO!$F:$F,CONSOLIDADO!$E:$E,$A67,CONSOLIDADO!$I:$I,C$3,CONSOLIDADO!$I:$I,C$4,CONSOLIDADO!$K:$K,"&lt;&gt;NOVO")</f>
        <v>0</v>
      </c>
      <c r="E67" s="30">
        <f>SUMIFS(CONSOLIDADO!$F:$F,CONSOLIDADO!$E:$E,$A67,CONSOLIDADO!$I:$I,D$3,CONSOLIDADO!$I:$I,D$4,CONSOLIDADO!$K:$K,"&lt;&gt;NOVO")</f>
        <v>0</v>
      </c>
      <c r="F67" s="30">
        <f>SUMIFS(CONSOLIDADO!$F:$F,CONSOLIDADO!$E:$E,$A67,CONSOLIDADO!$I:$I,E$3,CONSOLIDADO!$I:$I,E$4,CONSOLIDADO!$K:$K,"&lt;&gt;NOVO")</f>
        <v>0</v>
      </c>
      <c r="G67" s="30">
        <f>SUMIFS(CONSOLIDADO!$F:$F,CONSOLIDADO!$E:$E,$A67,CONSOLIDADO!$I:$I,F$3,CONSOLIDADO!$I:$I,F$4,CONSOLIDADO!$K:$K,"&lt;&gt;NOVO")</f>
        <v>0</v>
      </c>
      <c r="H67" s="30">
        <f>SUMIFS(CONSOLIDADO!$F:$F,CONSOLIDADO!$E:$E,$A67,CONSOLIDADO!$I:$I,G$3,CONSOLIDADO!$I:$I,G$4,CONSOLIDADO!$K:$K,"&lt;&gt;NOVO")</f>
        <v>0</v>
      </c>
      <c r="I67" s="30">
        <f>SUMIFS(CONSOLIDADO!$F:$F,CONSOLIDADO!$E:$E,$A67,CONSOLIDADO!$I:$I,H$3,CONSOLIDADO!$I:$I,H$4,CONSOLIDADO!$K:$K,"&lt;&gt;NOVO")</f>
        <v>0</v>
      </c>
      <c r="J67" s="30">
        <f>SUMIFS(CONSOLIDADO!$F:$F,CONSOLIDADO!$E:$E,$A67,CONSOLIDADO!$I:$I,I$3,CONSOLIDADO!$I:$I,I$4,CONSOLIDADO!$K:$K,"&lt;&gt;NOVO")</f>
        <v>0</v>
      </c>
      <c r="K67" s="30">
        <f>SUMIFS(CONSOLIDADO!$F:$F,CONSOLIDADO!$E:$E,$A67,CONSOLIDADO!$I:$I,J$3,CONSOLIDADO!$I:$I,J$4,CONSOLIDADO!$K:$K,"&lt;&gt;NOVO")</f>
        <v>0</v>
      </c>
      <c r="L67" s="30">
        <f>SUMIFS(CONSOLIDADO!$F:$F,CONSOLIDADO!$E:$E,$A67,CONSOLIDADO!$I:$I,K$3,CONSOLIDADO!$I:$I,K$4,CONSOLIDADO!$K:$K,"&lt;&gt;NOVO")</f>
        <v>0</v>
      </c>
      <c r="M67" s="30">
        <f>SUMIFS(CONSOLIDADO!$F:$F,CONSOLIDADO!$E:$E,$A67,CONSOLIDADO!$I:$I,L$3,CONSOLIDADO!$I:$I,L$4,CONSOLIDADO!$K:$K,"&lt;&gt;NOVO")</f>
        <v>0</v>
      </c>
      <c r="N67" s="30">
        <v>200</v>
      </c>
      <c r="O67" s="60">
        <v>0.8</v>
      </c>
      <c r="P67" s="61">
        <f t="shared" ref="P67:U99" si="4">B67*($N67*(1-$O67))</f>
        <v>39.999999999999993</v>
      </c>
      <c r="Q67" s="61">
        <f t="shared" si="4"/>
        <v>0</v>
      </c>
      <c r="R67" s="61">
        <f t="shared" si="4"/>
        <v>0</v>
      </c>
      <c r="S67" s="61">
        <f t="shared" si="3"/>
        <v>0</v>
      </c>
      <c r="T67" s="61">
        <f t="shared" si="3"/>
        <v>0</v>
      </c>
      <c r="U67" s="61">
        <f t="shared" si="3"/>
        <v>0</v>
      </c>
      <c r="V67" s="61">
        <f t="shared" si="3"/>
        <v>0</v>
      </c>
      <c r="W67" s="61">
        <f t="shared" si="3"/>
        <v>0</v>
      </c>
      <c r="X67" s="61">
        <f t="shared" si="3"/>
        <v>0</v>
      </c>
      <c r="Y67" s="61">
        <f t="shared" si="3"/>
        <v>0</v>
      </c>
      <c r="Z67" s="61">
        <f t="shared" si="3"/>
        <v>0</v>
      </c>
      <c r="AA67" s="61">
        <f t="shared" si="3"/>
        <v>0</v>
      </c>
      <c r="AB67" s="37"/>
    </row>
    <row r="68" spans="1:28" x14ac:dyDescent="0.25">
      <c r="A68" t="s">
        <v>106</v>
      </c>
      <c r="B68" s="30">
        <f>SUMIFS(CONSOLIDADO!$F:$F,CONSOLIDADO!$E:$E,$A68,CONSOLIDADO!$I:$I,A$3,CONSOLIDADO!$I:$I,A$4,CONSOLIDADO!$K:$K,"&lt;&gt;NOVO")</f>
        <v>1</v>
      </c>
      <c r="C68" s="30">
        <f>SUMIFS(CONSOLIDADO!$F:$F,CONSOLIDADO!$E:$E,$A68,CONSOLIDADO!$I:$I,B$3,CONSOLIDADO!$I:$I,B$4,CONSOLIDADO!$K:$K,"&lt;&gt;NOVO")</f>
        <v>0</v>
      </c>
      <c r="D68" s="30">
        <f>SUMIFS(CONSOLIDADO!$F:$F,CONSOLIDADO!$E:$E,$A68,CONSOLIDADO!$I:$I,C$3,CONSOLIDADO!$I:$I,C$4,CONSOLIDADO!$K:$K,"&lt;&gt;NOVO")</f>
        <v>3</v>
      </c>
      <c r="E68" s="30">
        <f>SUMIFS(CONSOLIDADO!$F:$F,CONSOLIDADO!$E:$E,$A68,CONSOLIDADO!$I:$I,D$3,CONSOLIDADO!$I:$I,D$4,CONSOLIDADO!$K:$K,"&lt;&gt;NOVO")</f>
        <v>4</v>
      </c>
      <c r="F68" s="30">
        <f>SUMIFS(CONSOLIDADO!$F:$F,CONSOLIDADO!$E:$E,$A68,CONSOLIDADO!$I:$I,E$3,CONSOLIDADO!$I:$I,E$4,CONSOLIDADO!$K:$K,"&lt;&gt;NOVO")</f>
        <v>0</v>
      </c>
      <c r="G68" s="30">
        <f>SUMIFS(CONSOLIDADO!$F:$F,CONSOLIDADO!$E:$E,$A68,CONSOLIDADO!$I:$I,F$3,CONSOLIDADO!$I:$I,F$4,CONSOLIDADO!$K:$K,"&lt;&gt;NOVO")</f>
        <v>0</v>
      </c>
      <c r="H68" s="30">
        <f>SUMIFS(CONSOLIDADO!$F:$F,CONSOLIDADO!$E:$E,$A68,CONSOLIDADO!$I:$I,G$3,CONSOLIDADO!$I:$I,G$4,CONSOLIDADO!$K:$K,"&lt;&gt;NOVO")</f>
        <v>0</v>
      </c>
      <c r="I68" s="30">
        <f>SUMIFS(CONSOLIDADO!$F:$F,CONSOLIDADO!$E:$E,$A68,CONSOLIDADO!$I:$I,H$3,CONSOLIDADO!$I:$I,H$4,CONSOLIDADO!$K:$K,"&lt;&gt;NOVO")</f>
        <v>0</v>
      </c>
      <c r="J68" s="30">
        <f>SUMIFS(CONSOLIDADO!$F:$F,CONSOLIDADO!$E:$E,$A68,CONSOLIDADO!$I:$I,I$3,CONSOLIDADO!$I:$I,I$4,CONSOLIDADO!$K:$K,"&lt;&gt;NOVO")</f>
        <v>0</v>
      </c>
      <c r="K68" s="30">
        <f>SUMIFS(CONSOLIDADO!$F:$F,CONSOLIDADO!$E:$E,$A68,CONSOLIDADO!$I:$I,J$3,CONSOLIDADO!$I:$I,J$4,CONSOLIDADO!$K:$K,"&lt;&gt;NOVO")</f>
        <v>0</v>
      </c>
      <c r="L68" s="30">
        <f>SUMIFS(CONSOLIDADO!$F:$F,CONSOLIDADO!$E:$E,$A68,CONSOLIDADO!$I:$I,K$3,CONSOLIDADO!$I:$I,K$4,CONSOLIDADO!$K:$K,"&lt;&gt;NOVO")</f>
        <v>0</v>
      </c>
      <c r="M68" s="30">
        <f>SUMIFS(CONSOLIDADO!$F:$F,CONSOLIDADO!$E:$E,$A68,CONSOLIDADO!$I:$I,L$3,CONSOLIDADO!$I:$I,L$4,CONSOLIDADO!$K:$K,"&lt;&gt;NOVO")</f>
        <v>0</v>
      </c>
      <c r="N68" s="30">
        <v>2000</v>
      </c>
      <c r="O68" s="60">
        <v>0.8</v>
      </c>
      <c r="P68" s="61">
        <f t="shared" si="4"/>
        <v>399.99999999999989</v>
      </c>
      <c r="Q68" s="61">
        <f t="shared" si="4"/>
        <v>0</v>
      </c>
      <c r="R68" s="61">
        <f t="shared" si="4"/>
        <v>1199.9999999999995</v>
      </c>
      <c r="S68" s="61">
        <f t="shared" si="3"/>
        <v>1599.9999999999995</v>
      </c>
      <c r="T68" s="61">
        <f t="shared" si="3"/>
        <v>0</v>
      </c>
      <c r="U68" s="61">
        <f t="shared" si="3"/>
        <v>0</v>
      </c>
      <c r="V68" s="61">
        <f t="shared" si="3"/>
        <v>0</v>
      </c>
      <c r="W68" s="61">
        <f t="shared" si="3"/>
        <v>0</v>
      </c>
      <c r="X68" s="61">
        <f t="shared" si="3"/>
        <v>0</v>
      </c>
      <c r="Y68" s="61">
        <f t="shared" si="3"/>
        <v>0</v>
      </c>
      <c r="Z68" s="61">
        <f t="shared" si="3"/>
        <v>0</v>
      </c>
      <c r="AA68" s="61">
        <f t="shared" si="3"/>
        <v>0</v>
      </c>
      <c r="AB68" s="37"/>
    </row>
    <row r="69" spans="1:28" x14ac:dyDescent="0.25">
      <c r="A69" s="59" t="s">
        <v>142</v>
      </c>
      <c r="B69" s="30">
        <f>SUMIFS(CONSOLIDADO!$F:$F,CONSOLIDADO!$E:$E,$A69,CONSOLIDADO!$I:$I,A$3,CONSOLIDADO!$I:$I,A$4,CONSOLIDADO!$K:$K,"&lt;&gt;NOVO")</f>
        <v>0</v>
      </c>
      <c r="C69" s="30">
        <f>SUMIFS(CONSOLIDADO!$F:$F,CONSOLIDADO!$E:$E,$A69,CONSOLIDADO!$I:$I,B$3,CONSOLIDADO!$I:$I,B$4,CONSOLIDADO!$K:$K,"&lt;&gt;NOVO")</f>
        <v>1</v>
      </c>
      <c r="D69" s="30">
        <f>SUMIFS(CONSOLIDADO!$F:$F,CONSOLIDADO!$E:$E,$A69,CONSOLIDADO!$I:$I,C$3,CONSOLIDADO!$I:$I,C$4,CONSOLIDADO!$K:$K,"&lt;&gt;NOVO")</f>
        <v>0</v>
      </c>
      <c r="E69" s="30">
        <f>SUMIFS(CONSOLIDADO!$F:$F,CONSOLIDADO!$E:$E,$A69,CONSOLIDADO!$I:$I,D$3,CONSOLIDADO!$I:$I,D$4,CONSOLIDADO!$K:$K,"&lt;&gt;NOVO")</f>
        <v>0</v>
      </c>
      <c r="F69" s="30">
        <f>SUMIFS(CONSOLIDADO!$F:$F,CONSOLIDADO!$E:$E,$A69,CONSOLIDADO!$I:$I,E$3,CONSOLIDADO!$I:$I,E$4,CONSOLIDADO!$K:$K,"&lt;&gt;NOVO")</f>
        <v>0</v>
      </c>
      <c r="G69" s="30">
        <f>SUMIFS(CONSOLIDADO!$F:$F,CONSOLIDADO!$E:$E,$A69,CONSOLIDADO!$I:$I,F$3,CONSOLIDADO!$I:$I,F$4,CONSOLIDADO!$K:$K,"&lt;&gt;NOVO")</f>
        <v>0</v>
      </c>
      <c r="H69" s="30">
        <f>SUMIFS(CONSOLIDADO!$F:$F,CONSOLIDADO!$E:$E,$A69,CONSOLIDADO!$I:$I,G$3,CONSOLIDADO!$I:$I,G$4,CONSOLIDADO!$K:$K,"&lt;&gt;NOVO")</f>
        <v>0</v>
      </c>
      <c r="I69" s="30">
        <f>SUMIFS(CONSOLIDADO!$F:$F,CONSOLIDADO!$E:$E,$A69,CONSOLIDADO!$I:$I,H$3,CONSOLIDADO!$I:$I,H$4,CONSOLIDADO!$K:$K,"&lt;&gt;NOVO")</f>
        <v>0</v>
      </c>
      <c r="J69" s="30">
        <f>SUMIFS(CONSOLIDADO!$F:$F,CONSOLIDADO!$E:$E,$A69,CONSOLIDADO!$I:$I,I$3,CONSOLIDADO!$I:$I,I$4,CONSOLIDADO!$K:$K,"&lt;&gt;NOVO")</f>
        <v>0</v>
      </c>
      <c r="K69" s="30">
        <f>SUMIFS(CONSOLIDADO!$F:$F,CONSOLIDADO!$E:$E,$A69,CONSOLIDADO!$I:$I,J$3,CONSOLIDADO!$I:$I,J$4,CONSOLIDADO!$K:$K,"&lt;&gt;NOVO")</f>
        <v>0</v>
      </c>
      <c r="L69" s="30">
        <f>SUMIFS(CONSOLIDADO!$F:$F,CONSOLIDADO!$E:$E,$A69,CONSOLIDADO!$I:$I,K$3,CONSOLIDADO!$I:$I,K$4,CONSOLIDADO!$K:$K,"&lt;&gt;NOVO")</f>
        <v>0</v>
      </c>
      <c r="M69" s="30">
        <f>SUMIFS(CONSOLIDADO!$F:$F,CONSOLIDADO!$E:$E,$A69,CONSOLIDADO!$I:$I,L$3,CONSOLIDADO!$I:$I,L$4,CONSOLIDADO!$K:$K,"&lt;&gt;NOVO")</f>
        <v>0</v>
      </c>
      <c r="N69" s="30">
        <v>982.59</v>
      </c>
      <c r="O69" s="60">
        <v>0.8</v>
      </c>
      <c r="P69" s="61">
        <f t="shared" si="4"/>
        <v>0</v>
      </c>
      <c r="Q69" s="61">
        <f t="shared" si="4"/>
        <v>196.51799999999997</v>
      </c>
      <c r="R69" s="61">
        <f t="shared" si="4"/>
        <v>0</v>
      </c>
      <c r="S69" s="61">
        <f t="shared" si="3"/>
        <v>0</v>
      </c>
      <c r="T69" s="61">
        <f t="shared" si="3"/>
        <v>0</v>
      </c>
      <c r="U69" s="61">
        <f t="shared" si="3"/>
        <v>0</v>
      </c>
      <c r="V69" s="61">
        <f t="shared" si="3"/>
        <v>0</v>
      </c>
      <c r="W69" s="61">
        <f t="shared" si="3"/>
        <v>0</v>
      </c>
      <c r="X69" s="61">
        <f t="shared" si="3"/>
        <v>0</v>
      </c>
      <c r="Y69" s="61">
        <f t="shared" si="3"/>
        <v>0</v>
      </c>
      <c r="Z69" s="61">
        <f t="shared" si="3"/>
        <v>0</v>
      </c>
      <c r="AA69" s="61">
        <f t="shared" si="3"/>
        <v>0</v>
      </c>
      <c r="AB69" s="37"/>
    </row>
    <row r="70" spans="1:28" x14ac:dyDescent="0.25">
      <c r="A70" s="59" t="s">
        <v>388</v>
      </c>
      <c r="B70" s="30">
        <f>SUMIFS(CONSOLIDADO!$F:$F,CONSOLIDADO!$E:$E,$A70,CONSOLIDADO!$I:$I,A$3,CONSOLIDADO!$I:$I,A$4,CONSOLIDADO!$K:$K,"&lt;&gt;NOVO")</f>
        <v>0</v>
      </c>
      <c r="C70" s="30">
        <f>SUMIFS(CONSOLIDADO!$F:$F,CONSOLIDADO!$E:$E,$A70,CONSOLIDADO!$I:$I,B$3,CONSOLIDADO!$I:$I,B$4,CONSOLIDADO!$K:$K,"&lt;&gt;NOVO")</f>
        <v>0</v>
      </c>
      <c r="D70" s="30">
        <f>SUMIFS(CONSOLIDADO!$F:$F,CONSOLIDADO!$E:$E,$A70,CONSOLIDADO!$I:$I,C$3,CONSOLIDADO!$I:$I,C$4,CONSOLIDADO!$K:$K,"&lt;&gt;NOVO")</f>
        <v>0</v>
      </c>
      <c r="E70" s="30">
        <f>SUMIFS(CONSOLIDADO!$F:$F,CONSOLIDADO!$E:$E,$A70,CONSOLIDADO!$I:$I,D$3,CONSOLIDADO!$I:$I,D$4,CONSOLIDADO!$K:$K,"&lt;&gt;NOVO")</f>
        <v>0</v>
      </c>
      <c r="F70" s="30">
        <f>SUMIFS(CONSOLIDADO!$F:$F,CONSOLIDADO!$E:$E,$A70,CONSOLIDADO!$I:$I,E$3,CONSOLIDADO!$I:$I,E$4,CONSOLIDADO!$K:$K,"&lt;&gt;NOVO")</f>
        <v>0</v>
      </c>
      <c r="G70" s="30">
        <f>SUMIFS(CONSOLIDADO!$F:$F,CONSOLIDADO!$E:$E,$A70,CONSOLIDADO!$I:$I,F$3,CONSOLIDADO!$I:$I,F$4,CONSOLIDADO!$K:$K,"&lt;&gt;NOVO")</f>
        <v>0</v>
      </c>
      <c r="H70" s="30">
        <f>SUMIFS(CONSOLIDADO!$F:$F,CONSOLIDADO!$E:$E,$A70,CONSOLIDADO!$I:$I,G$3,CONSOLIDADO!$I:$I,G$4,CONSOLIDADO!$K:$K,"&lt;&gt;NOVO")</f>
        <v>0</v>
      </c>
      <c r="I70" s="30">
        <f>SUMIFS(CONSOLIDADO!$F:$F,CONSOLIDADO!$E:$E,$A70,CONSOLIDADO!$I:$I,H$3,CONSOLIDADO!$I:$I,H$4,CONSOLIDADO!$K:$K,"&lt;&gt;NOVO")</f>
        <v>0</v>
      </c>
      <c r="J70" s="30">
        <f>SUMIFS(CONSOLIDADO!$F:$F,CONSOLIDADO!$E:$E,$A70,CONSOLIDADO!$I:$I,I$3,CONSOLIDADO!$I:$I,I$4,CONSOLIDADO!$K:$K,"&lt;&gt;NOVO")</f>
        <v>0</v>
      </c>
      <c r="K70" s="30">
        <f>SUMIFS(CONSOLIDADO!$F:$F,CONSOLIDADO!$E:$E,$A70,CONSOLIDADO!$I:$I,J$3,CONSOLIDADO!$I:$I,J$4,CONSOLIDADO!$K:$K,"&lt;&gt;NOVO")</f>
        <v>0</v>
      </c>
      <c r="L70" s="30">
        <f>SUMIFS(CONSOLIDADO!$F:$F,CONSOLIDADO!$E:$E,$A70,CONSOLIDADO!$I:$I,K$3,CONSOLIDADO!$I:$I,K$4,CONSOLIDADO!$K:$K,"&lt;&gt;NOVO")</f>
        <v>0</v>
      </c>
      <c r="M70" s="30">
        <f>SUMIFS(CONSOLIDADO!$F:$F,CONSOLIDADO!$E:$E,$A70,CONSOLIDADO!$I:$I,L$3,CONSOLIDADO!$I:$I,L$4,CONSOLIDADO!$K:$K,"&lt;&gt;NOVO")</f>
        <v>0</v>
      </c>
      <c r="N70" s="30">
        <v>982.59</v>
      </c>
      <c r="O70" s="60">
        <v>0.8</v>
      </c>
      <c r="P70" s="61">
        <f t="shared" si="4"/>
        <v>0</v>
      </c>
      <c r="Q70" s="61">
        <f t="shared" si="4"/>
        <v>0</v>
      </c>
      <c r="R70" s="61">
        <f t="shared" si="4"/>
        <v>0</v>
      </c>
      <c r="S70" s="61">
        <f t="shared" si="3"/>
        <v>0</v>
      </c>
      <c r="T70" s="61">
        <f t="shared" si="3"/>
        <v>0</v>
      </c>
      <c r="U70" s="61">
        <f t="shared" si="3"/>
        <v>0</v>
      </c>
      <c r="V70" s="61">
        <f t="shared" si="3"/>
        <v>0</v>
      </c>
      <c r="W70" s="61">
        <f t="shared" si="3"/>
        <v>0</v>
      </c>
      <c r="X70" s="61">
        <f t="shared" si="3"/>
        <v>0</v>
      </c>
      <c r="Y70" s="61">
        <f t="shared" si="3"/>
        <v>0</v>
      </c>
      <c r="Z70" s="61">
        <f t="shared" si="3"/>
        <v>0</v>
      </c>
      <c r="AA70" s="61">
        <f t="shared" si="3"/>
        <v>0</v>
      </c>
      <c r="AB70" s="37"/>
    </row>
    <row r="71" spans="1:28" x14ac:dyDescent="0.25">
      <c r="A71" s="59" t="s">
        <v>228</v>
      </c>
      <c r="B71" s="30">
        <f>SUMIFS(CONSOLIDADO!$F:$F,CONSOLIDADO!$E:$E,$A71,CONSOLIDADO!$I:$I,A$3,CONSOLIDADO!$I:$I,A$4,CONSOLIDADO!$K:$K,"&lt;&gt;NOVO")</f>
        <v>0</v>
      </c>
      <c r="C71" s="30">
        <f>SUMIFS(CONSOLIDADO!$F:$F,CONSOLIDADO!$E:$E,$A71,CONSOLIDADO!$I:$I,B$3,CONSOLIDADO!$I:$I,B$4,CONSOLIDADO!$K:$K,"&lt;&gt;NOVO")</f>
        <v>0</v>
      </c>
      <c r="D71" s="30">
        <f>SUMIFS(CONSOLIDADO!$F:$F,CONSOLIDADO!$E:$E,$A71,CONSOLIDADO!$I:$I,C$3,CONSOLIDADO!$I:$I,C$4,CONSOLIDADO!$K:$K,"&lt;&gt;NOVO")</f>
        <v>3</v>
      </c>
      <c r="E71" s="30">
        <f>SUMIFS(CONSOLIDADO!$F:$F,CONSOLIDADO!$E:$E,$A71,CONSOLIDADO!$I:$I,D$3,CONSOLIDADO!$I:$I,D$4,CONSOLIDADO!$K:$K,"&lt;&gt;NOVO")</f>
        <v>0</v>
      </c>
      <c r="F71" s="30">
        <f>SUMIFS(CONSOLIDADO!$F:$F,CONSOLIDADO!$E:$E,$A71,CONSOLIDADO!$I:$I,E$3,CONSOLIDADO!$I:$I,E$4,CONSOLIDADO!$K:$K,"&lt;&gt;NOVO")</f>
        <v>0</v>
      </c>
      <c r="G71" s="30">
        <f>SUMIFS(CONSOLIDADO!$F:$F,CONSOLIDADO!$E:$E,$A71,CONSOLIDADO!$I:$I,F$3,CONSOLIDADO!$I:$I,F$4,CONSOLIDADO!$K:$K,"&lt;&gt;NOVO")</f>
        <v>0</v>
      </c>
      <c r="H71" s="30">
        <f>SUMIFS(CONSOLIDADO!$F:$F,CONSOLIDADO!$E:$E,$A71,CONSOLIDADO!$I:$I,G$3,CONSOLIDADO!$I:$I,G$4,CONSOLIDADO!$K:$K,"&lt;&gt;NOVO")</f>
        <v>0</v>
      </c>
      <c r="I71" s="30">
        <f>SUMIFS(CONSOLIDADO!$F:$F,CONSOLIDADO!$E:$E,$A71,CONSOLIDADO!$I:$I,H$3,CONSOLIDADO!$I:$I,H$4,CONSOLIDADO!$K:$K,"&lt;&gt;NOVO")</f>
        <v>0</v>
      </c>
      <c r="J71" s="30">
        <f>SUMIFS(CONSOLIDADO!$F:$F,CONSOLIDADO!$E:$E,$A71,CONSOLIDADO!$I:$I,I$3,CONSOLIDADO!$I:$I,I$4,CONSOLIDADO!$K:$K,"&lt;&gt;NOVO")</f>
        <v>0</v>
      </c>
      <c r="K71" s="30">
        <f>SUMIFS(CONSOLIDADO!$F:$F,CONSOLIDADO!$E:$E,$A71,CONSOLIDADO!$I:$I,J$3,CONSOLIDADO!$I:$I,J$4,CONSOLIDADO!$K:$K,"&lt;&gt;NOVO")</f>
        <v>0</v>
      </c>
      <c r="L71" s="30">
        <f>SUMIFS(CONSOLIDADO!$F:$F,CONSOLIDADO!$E:$E,$A71,CONSOLIDADO!$I:$I,K$3,CONSOLIDADO!$I:$I,K$4,CONSOLIDADO!$K:$K,"&lt;&gt;NOVO")</f>
        <v>0</v>
      </c>
      <c r="M71" s="30">
        <f>SUMIFS(CONSOLIDADO!$F:$F,CONSOLIDADO!$E:$E,$A71,CONSOLIDADO!$I:$I,L$3,CONSOLIDADO!$I:$I,L$4,CONSOLIDADO!$K:$K,"&lt;&gt;NOVO")</f>
        <v>0</v>
      </c>
      <c r="N71" s="30">
        <v>982.59</v>
      </c>
      <c r="O71" s="60">
        <v>0.8</v>
      </c>
      <c r="P71" s="61">
        <f t="shared" si="4"/>
        <v>0</v>
      </c>
      <c r="Q71" s="61">
        <f t="shared" si="4"/>
        <v>0</v>
      </c>
      <c r="R71" s="61">
        <f t="shared" si="4"/>
        <v>589.55399999999986</v>
      </c>
      <c r="S71" s="61">
        <f t="shared" si="3"/>
        <v>0</v>
      </c>
      <c r="T71" s="61">
        <f t="shared" si="3"/>
        <v>0</v>
      </c>
      <c r="U71" s="61">
        <f t="shared" si="3"/>
        <v>0</v>
      </c>
      <c r="V71" s="61">
        <f t="shared" si="3"/>
        <v>0</v>
      </c>
      <c r="W71" s="61">
        <f t="shared" si="3"/>
        <v>0</v>
      </c>
      <c r="X71" s="61">
        <f t="shared" si="3"/>
        <v>0</v>
      </c>
      <c r="Y71" s="61">
        <f t="shared" si="3"/>
        <v>0</v>
      </c>
      <c r="Z71" s="61">
        <f t="shared" si="3"/>
        <v>0</v>
      </c>
      <c r="AA71" s="61">
        <f t="shared" si="3"/>
        <v>0</v>
      </c>
      <c r="AB71" s="37"/>
    </row>
    <row r="72" spans="1:28" x14ac:dyDescent="0.25">
      <c r="A72" s="59" t="s">
        <v>90</v>
      </c>
      <c r="B72" s="30">
        <f>SUMIFS(CONSOLIDADO!$F:$F,CONSOLIDADO!$E:$E,$A72,CONSOLIDADO!$I:$I,A$3,CONSOLIDADO!$I:$I,A$4,CONSOLIDADO!$K:$K,"&lt;&gt;NOVO")</f>
        <v>4</v>
      </c>
      <c r="C72" s="30">
        <f>SUMIFS(CONSOLIDADO!$F:$F,CONSOLIDADO!$E:$E,$A72,CONSOLIDADO!$I:$I,B$3,CONSOLIDADO!$I:$I,B$4,CONSOLIDADO!$K:$K,"&lt;&gt;NOVO")</f>
        <v>6</v>
      </c>
      <c r="D72" s="30">
        <f>SUMIFS(CONSOLIDADO!$F:$F,CONSOLIDADO!$E:$E,$A72,CONSOLIDADO!$I:$I,C$3,CONSOLIDADO!$I:$I,C$4,CONSOLIDADO!$K:$K,"&lt;&gt;NOVO")</f>
        <v>5</v>
      </c>
      <c r="E72" s="30">
        <f>SUMIFS(CONSOLIDADO!$F:$F,CONSOLIDADO!$E:$E,$A72,CONSOLIDADO!$I:$I,D$3,CONSOLIDADO!$I:$I,D$4,CONSOLIDADO!$K:$K,"&lt;&gt;NOVO")</f>
        <v>30</v>
      </c>
      <c r="F72" s="30">
        <f>SUMIFS(CONSOLIDADO!$F:$F,CONSOLIDADO!$E:$E,$A72,CONSOLIDADO!$I:$I,E$3,CONSOLIDADO!$I:$I,E$4,CONSOLIDADO!$K:$K,"&lt;&gt;NOVO")</f>
        <v>0</v>
      </c>
      <c r="G72" s="30">
        <f>SUMIFS(CONSOLIDADO!$F:$F,CONSOLIDADO!$E:$E,$A72,CONSOLIDADO!$I:$I,F$3,CONSOLIDADO!$I:$I,F$4,CONSOLIDADO!$K:$K,"&lt;&gt;NOVO")</f>
        <v>0</v>
      </c>
      <c r="H72" s="30">
        <f>SUMIFS(CONSOLIDADO!$F:$F,CONSOLIDADO!$E:$E,$A72,CONSOLIDADO!$I:$I,G$3,CONSOLIDADO!$I:$I,G$4,CONSOLIDADO!$K:$K,"&lt;&gt;NOVO")</f>
        <v>0</v>
      </c>
      <c r="I72" s="30">
        <f>SUMIFS(CONSOLIDADO!$F:$F,CONSOLIDADO!$E:$E,$A72,CONSOLIDADO!$I:$I,H$3,CONSOLIDADO!$I:$I,H$4,CONSOLIDADO!$K:$K,"&lt;&gt;NOVO")</f>
        <v>0</v>
      </c>
      <c r="J72" s="30">
        <f>SUMIFS(CONSOLIDADO!$F:$F,CONSOLIDADO!$E:$E,$A72,CONSOLIDADO!$I:$I,I$3,CONSOLIDADO!$I:$I,I$4,CONSOLIDADO!$K:$K,"&lt;&gt;NOVO")</f>
        <v>0</v>
      </c>
      <c r="K72" s="30">
        <f>SUMIFS(CONSOLIDADO!$F:$F,CONSOLIDADO!$E:$E,$A72,CONSOLIDADO!$I:$I,J$3,CONSOLIDADO!$I:$I,J$4,CONSOLIDADO!$K:$K,"&lt;&gt;NOVO")</f>
        <v>0</v>
      </c>
      <c r="L72" s="30">
        <f>SUMIFS(CONSOLIDADO!$F:$F,CONSOLIDADO!$E:$E,$A72,CONSOLIDADO!$I:$I,K$3,CONSOLIDADO!$I:$I,K$4,CONSOLIDADO!$K:$K,"&lt;&gt;NOVO")</f>
        <v>0</v>
      </c>
      <c r="M72" s="30">
        <f>SUMIFS(CONSOLIDADO!$F:$F,CONSOLIDADO!$E:$E,$A72,CONSOLIDADO!$I:$I,L$3,CONSOLIDADO!$I:$I,L$4,CONSOLIDADO!$K:$K,"&lt;&gt;NOVO")</f>
        <v>0</v>
      </c>
      <c r="N72" s="30">
        <v>2381.4</v>
      </c>
      <c r="O72" s="60">
        <v>0.8</v>
      </c>
      <c r="P72" s="61">
        <f t="shared" si="4"/>
        <v>1905.1199999999997</v>
      </c>
      <c r="Q72" s="61">
        <f t="shared" si="4"/>
        <v>2857.6799999999994</v>
      </c>
      <c r="R72" s="61">
        <f t="shared" si="4"/>
        <v>2381.3999999999996</v>
      </c>
      <c r="S72" s="61">
        <f t="shared" si="3"/>
        <v>14288.399999999998</v>
      </c>
      <c r="T72" s="61">
        <f t="shared" si="3"/>
        <v>0</v>
      </c>
      <c r="U72" s="61">
        <f t="shared" si="3"/>
        <v>0</v>
      </c>
      <c r="V72" s="61">
        <f t="shared" si="3"/>
        <v>0</v>
      </c>
      <c r="W72" s="61">
        <f t="shared" si="3"/>
        <v>0</v>
      </c>
      <c r="X72" s="61">
        <f t="shared" si="3"/>
        <v>0</v>
      </c>
      <c r="Y72" s="61">
        <f t="shared" si="3"/>
        <v>0</v>
      </c>
      <c r="Z72" s="61">
        <f t="shared" si="3"/>
        <v>0</v>
      </c>
      <c r="AA72" s="61">
        <f t="shared" si="3"/>
        <v>0</v>
      </c>
      <c r="AB72" s="37"/>
    </row>
    <row r="73" spans="1:28" x14ac:dyDescent="0.25">
      <c r="A73" s="59" t="s">
        <v>49</v>
      </c>
      <c r="B73" s="30">
        <f>SUMIFS(CONSOLIDADO!$F:$F,CONSOLIDADO!$E:$E,$A73,CONSOLIDADO!$I:$I,A$3,CONSOLIDADO!$I:$I,A$4,CONSOLIDADO!$K:$K,"&lt;&gt;NOVO")</f>
        <v>12</v>
      </c>
      <c r="C73" s="30">
        <f>SUMIFS(CONSOLIDADO!$F:$F,CONSOLIDADO!$E:$E,$A73,CONSOLIDADO!$I:$I,B$3,CONSOLIDADO!$I:$I,B$4,CONSOLIDADO!$K:$K,"&lt;&gt;NOVO")</f>
        <v>18</v>
      </c>
      <c r="D73" s="30">
        <f>SUMIFS(CONSOLIDADO!$F:$F,CONSOLIDADO!$E:$E,$A73,CONSOLIDADO!$I:$I,C$3,CONSOLIDADO!$I:$I,C$4,CONSOLIDADO!$K:$K,"&lt;&gt;NOVO")</f>
        <v>16</v>
      </c>
      <c r="E73" s="30">
        <f>SUMIFS(CONSOLIDADO!$F:$F,CONSOLIDADO!$E:$E,$A73,CONSOLIDADO!$I:$I,D$3,CONSOLIDADO!$I:$I,D$4,CONSOLIDADO!$K:$K,"&lt;&gt;NOVO")</f>
        <v>38</v>
      </c>
      <c r="F73" s="30">
        <f>SUMIFS(CONSOLIDADO!$F:$F,CONSOLIDADO!$E:$E,$A73,CONSOLIDADO!$I:$I,E$3,CONSOLIDADO!$I:$I,E$4,CONSOLIDADO!$K:$K,"&lt;&gt;NOVO")</f>
        <v>0</v>
      </c>
      <c r="G73" s="30">
        <f>SUMIFS(CONSOLIDADO!$F:$F,CONSOLIDADO!$E:$E,$A73,CONSOLIDADO!$I:$I,F$3,CONSOLIDADO!$I:$I,F$4,CONSOLIDADO!$K:$K,"&lt;&gt;NOVO")</f>
        <v>0</v>
      </c>
      <c r="H73" s="30">
        <f>SUMIFS(CONSOLIDADO!$F:$F,CONSOLIDADO!$E:$E,$A73,CONSOLIDADO!$I:$I,G$3,CONSOLIDADO!$I:$I,G$4,CONSOLIDADO!$K:$K,"&lt;&gt;NOVO")</f>
        <v>0</v>
      </c>
      <c r="I73" s="30">
        <f>SUMIFS(CONSOLIDADO!$F:$F,CONSOLIDADO!$E:$E,$A73,CONSOLIDADO!$I:$I,H$3,CONSOLIDADO!$I:$I,H$4,CONSOLIDADO!$K:$K,"&lt;&gt;NOVO")</f>
        <v>0</v>
      </c>
      <c r="J73" s="30">
        <f>SUMIFS(CONSOLIDADO!$F:$F,CONSOLIDADO!$E:$E,$A73,CONSOLIDADO!$I:$I,I$3,CONSOLIDADO!$I:$I,I$4,CONSOLIDADO!$K:$K,"&lt;&gt;NOVO")</f>
        <v>0</v>
      </c>
      <c r="K73" s="30">
        <f>SUMIFS(CONSOLIDADO!$F:$F,CONSOLIDADO!$E:$E,$A73,CONSOLIDADO!$I:$I,J$3,CONSOLIDADO!$I:$I,J$4,CONSOLIDADO!$K:$K,"&lt;&gt;NOVO")</f>
        <v>0</v>
      </c>
      <c r="L73" s="30">
        <f>SUMIFS(CONSOLIDADO!$F:$F,CONSOLIDADO!$E:$E,$A73,CONSOLIDADO!$I:$I,K$3,CONSOLIDADO!$I:$I,K$4,CONSOLIDADO!$K:$K,"&lt;&gt;NOVO")</f>
        <v>0</v>
      </c>
      <c r="M73" s="30">
        <f>SUMIFS(CONSOLIDADO!$F:$F,CONSOLIDADO!$E:$E,$A73,CONSOLIDADO!$I:$I,L$3,CONSOLIDADO!$I:$I,L$4,CONSOLIDADO!$K:$K,"&lt;&gt;NOVO")</f>
        <v>0</v>
      </c>
      <c r="N73" s="30">
        <v>1861.15</v>
      </c>
      <c r="O73" s="60">
        <v>0.8</v>
      </c>
      <c r="P73" s="61">
        <f t="shared" si="4"/>
        <v>4466.7599999999993</v>
      </c>
      <c r="Q73" s="61">
        <f t="shared" si="4"/>
        <v>6700.1399999999994</v>
      </c>
      <c r="R73" s="61">
        <f t="shared" si="4"/>
        <v>5955.6799999999994</v>
      </c>
      <c r="S73" s="61">
        <f t="shared" si="3"/>
        <v>14144.739999999998</v>
      </c>
      <c r="T73" s="61">
        <f t="shared" si="3"/>
        <v>0</v>
      </c>
      <c r="U73" s="61">
        <f t="shared" si="3"/>
        <v>0</v>
      </c>
      <c r="V73" s="61">
        <f t="shared" si="3"/>
        <v>0</v>
      </c>
      <c r="W73" s="61">
        <f t="shared" si="3"/>
        <v>0</v>
      </c>
      <c r="X73" s="61">
        <f t="shared" si="3"/>
        <v>0</v>
      </c>
      <c r="Y73" s="61">
        <f t="shared" si="3"/>
        <v>0</v>
      </c>
      <c r="Z73" s="61">
        <f t="shared" si="3"/>
        <v>0</v>
      </c>
      <c r="AA73" s="61">
        <f t="shared" si="3"/>
        <v>0</v>
      </c>
      <c r="AB73" s="37"/>
    </row>
    <row r="74" spans="1:28" x14ac:dyDescent="0.25">
      <c r="A74" s="59" t="s">
        <v>76</v>
      </c>
      <c r="B74" s="30">
        <f>SUMIFS(CONSOLIDADO!$F:$F,CONSOLIDADO!$E:$E,$A74,CONSOLIDADO!$I:$I,A$3,CONSOLIDADO!$I:$I,A$4,CONSOLIDADO!$K:$K,"&lt;&gt;NOVO")</f>
        <v>1</v>
      </c>
      <c r="C74" s="30">
        <f>SUMIFS(CONSOLIDADO!$F:$F,CONSOLIDADO!$E:$E,$A74,CONSOLIDADO!$I:$I,B$3,CONSOLIDADO!$I:$I,B$4,CONSOLIDADO!$K:$K,"&lt;&gt;NOVO")</f>
        <v>0</v>
      </c>
      <c r="D74" s="30">
        <f>SUMIFS(CONSOLIDADO!$F:$F,CONSOLIDADO!$E:$E,$A74,CONSOLIDADO!$I:$I,C$3,CONSOLIDADO!$I:$I,C$4,CONSOLIDADO!$K:$K,"&lt;&gt;NOVO")</f>
        <v>2</v>
      </c>
      <c r="E74" s="30">
        <f>SUMIFS(CONSOLIDADO!$F:$F,CONSOLIDADO!$E:$E,$A74,CONSOLIDADO!$I:$I,D$3,CONSOLIDADO!$I:$I,D$4,CONSOLIDADO!$K:$K,"&lt;&gt;NOVO")</f>
        <v>0</v>
      </c>
      <c r="F74" s="30">
        <f>SUMIFS(CONSOLIDADO!$F:$F,CONSOLIDADO!$E:$E,$A74,CONSOLIDADO!$I:$I,E$3,CONSOLIDADO!$I:$I,E$4,CONSOLIDADO!$K:$K,"&lt;&gt;NOVO")</f>
        <v>0</v>
      </c>
      <c r="G74" s="30">
        <f>SUMIFS(CONSOLIDADO!$F:$F,CONSOLIDADO!$E:$E,$A74,CONSOLIDADO!$I:$I,F$3,CONSOLIDADO!$I:$I,F$4,CONSOLIDADO!$K:$K,"&lt;&gt;NOVO")</f>
        <v>0</v>
      </c>
      <c r="H74" s="30">
        <f>SUMIFS(CONSOLIDADO!$F:$F,CONSOLIDADO!$E:$E,$A74,CONSOLIDADO!$I:$I,G$3,CONSOLIDADO!$I:$I,G$4,CONSOLIDADO!$K:$K,"&lt;&gt;NOVO")</f>
        <v>0</v>
      </c>
      <c r="I74" s="30">
        <f>SUMIFS(CONSOLIDADO!$F:$F,CONSOLIDADO!$E:$E,$A74,CONSOLIDADO!$I:$I,H$3,CONSOLIDADO!$I:$I,H$4,CONSOLIDADO!$K:$K,"&lt;&gt;NOVO")</f>
        <v>0</v>
      </c>
      <c r="J74" s="30">
        <f>SUMIFS(CONSOLIDADO!$F:$F,CONSOLIDADO!$E:$E,$A74,CONSOLIDADO!$I:$I,I$3,CONSOLIDADO!$I:$I,I$4,CONSOLIDADO!$K:$K,"&lt;&gt;NOVO")</f>
        <v>0</v>
      </c>
      <c r="K74" s="30">
        <f>SUMIFS(CONSOLIDADO!$F:$F,CONSOLIDADO!$E:$E,$A74,CONSOLIDADO!$I:$I,J$3,CONSOLIDADO!$I:$I,J$4,CONSOLIDADO!$K:$K,"&lt;&gt;NOVO")</f>
        <v>0</v>
      </c>
      <c r="L74" s="30">
        <f>SUMIFS(CONSOLIDADO!$F:$F,CONSOLIDADO!$E:$E,$A74,CONSOLIDADO!$I:$I,K$3,CONSOLIDADO!$I:$I,K$4,CONSOLIDADO!$K:$K,"&lt;&gt;NOVO")</f>
        <v>0</v>
      </c>
      <c r="M74" s="30">
        <f>SUMIFS(CONSOLIDADO!$F:$F,CONSOLIDADO!$E:$E,$A74,CONSOLIDADO!$I:$I,L$3,CONSOLIDADO!$I:$I,L$4,CONSOLIDADO!$K:$K,"&lt;&gt;NOVO")</f>
        <v>0</v>
      </c>
      <c r="N74" s="30">
        <v>2600</v>
      </c>
      <c r="O74" s="60">
        <v>0.8</v>
      </c>
      <c r="P74" s="61">
        <f t="shared" si="4"/>
        <v>519.99999999999989</v>
      </c>
      <c r="Q74" s="61">
        <f t="shared" si="4"/>
        <v>0</v>
      </c>
      <c r="R74" s="61">
        <f t="shared" si="4"/>
        <v>1039.9999999999998</v>
      </c>
      <c r="S74" s="61">
        <f t="shared" si="3"/>
        <v>0</v>
      </c>
      <c r="T74" s="61">
        <f t="shared" si="3"/>
        <v>0</v>
      </c>
      <c r="U74" s="61">
        <f t="shared" si="3"/>
        <v>0</v>
      </c>
      <c r="V74" s="61">
        <f t="shared" si="3"/>
        <v>0</v>
      </c>
      <c r="W74" s="61">
        <f t="shared" si="3"/>
        <v>0</v>
      </c>
      <c r="X74" s="61">
        <f t="shared" si="3"/>
        <v>0</v>
      </c>
      <c r="Y74" s="61">
        <f t="shared" si="3"/>
        <v>0</v>
      </c>
      <c r="Z74" s="61">
        <f t="shared" si="3"/>
        <v>0</v>
      </c>
      <c r="AA74" s="61">
        <f t="shared" si="3"/>
        <v>0</v>
      </c>
      <c r="AB74" s="37"/>
    </row>
    <row r="75" spans="1:28" x14ac:dyDescent="0.25">
      <c r="A75" s="59" t="s">
        <v>33</v>
      </c>
      <c r="B75" s="30">
        <f>SUMIFS(CONSOLIDADO!$F:$F,CONSOLIDADO!$E:$E,$A75,CONSOLIDADO!$I:$I,A$3,CONSOLIDADO!$I:$I,A$4,CONSOLIDADO!$K:$K,"&lt;&gt;NOVO")</f>
        <v>17</v>
      </c>
      <c r="C75" s="30">
        <f>SUMIFS(CONSOLIDADO!$F:$F,CONSOLIDADO!$E:$E,$A75,CONSOLIDADO!$I:$I,B$3,CONSOLIDADO!$I:$I,B$4,CONSOLIDADO!$K:$K,"&lt;&gt;NOVO")</f>
        <v>27</v>
      </c>
      <c r="D75" s="30">
        <f>SUMIFS(CONSOLIDADO!$F:$F,CONSOLIDADO!$E:$E,$A75,CONSOLIDADO!$I:$I,C$3,CONSOLIDADO!$I:$I,C$4,CONSOLIDADO!$K:$K,"&lt;&gt;NOVO")</f>
        <v>47</v>
      </c>
      <c r="E75" s="30">
        <f>SUMIFS(CONSOLIDADO!$F:$F,CONSOLIDADO!$E:$E,$A75,CONSOLIDADO!$I:$I,D$3,CONSOLIDADO!$I:$I,D$4,CONSOLIDADO!$K:$K,"&lt;&gt;NOVO")</f>
        <v>29</v>
      </c>
      <c r="F75" s="30">
        <f>SUMIFS(CONSOLIDADO!$F:$F,CONSOLIDADO!$E:$E,$A75,CONSOLIDADO!$I:$I,E$3,CONSOLIDADO!$I:$I,E$4,CONSOLIDADO!$K:$K,"&lt;&gt;NOVO")</f>
        <v>0</v>
      </c>
      <c r="G75" s="30">
        <f>SUMIFS(CONSOLIDADO!$F:$F,CONSOLIDADO!$E:$E,$A75,CONSOLIDADO!$I:$I,F$3,CONSOLIDADO!$I:$I,F$4,CONSOLIDADO!$K:$K,"&lt;&gt;NOVO")</f>
        <v>0</v>
      </c>
      <c r="H75" s="30">
        <f>SUMIFS(CONSOLIDADO!$F:$F,CONSOLIDADO!$E:$E,$A75,CONSOLIDADO!$I:$I,G$3,CONSOLIDADO!$I:$I,G$4,CONSOLIDADO!$K:$K,"&lt;&gt;NOVO")</f>
        <v>0</v>
      </c>
      <c r="I75" s="30">
        <f>SUMIFS(CONSOLIDADO!$F:$F,CONSOLIDADO!$E:$E,$A75,CONSOLIDADO!$I:$I,H$3,CONSOLIDADO!$I:$I,H$4,CONSOLIDADO!$K:$K,"&lt;&gt;NOVO")</f>
        <v>0</v>
      </c>
      <c r="J75" s="30">
        <f>SUMIFS(CONSOLIDADO!$F:$F,CONSOLIDADO!$E:$E,$A75,CONSOLIDADO!$I:$I,I$3,CONSOLIDADO!$I:$I,I$4,CONSOLIDADO!$K:$K,"&lt;&gt;NOVO")</f>
        <v>0</v>
      </c>
      <c r="K75" s="30">
        <f>SUMIFS(CONSOLIDADO!$F:$F,CONSOLIDADO!$E:$E,$A75,CONSOLIDADO!$I:$I,J$3,CONSOLIDADO!$I:$I,J$4,CONSOLIDADO!$K:$K,"&lt;&gt;NOVO")</f>
        <v>0</v>
      </c>
      <c r="L75" s="30">
        <f>SUMIFS(CONSOLIDADO!$F:$F,CONSOLIDADO!$E:$E,$A75,CONSOLIDADO!$I:$I,K$3,CONSOLIDADO!$I:$I,K$4,CONSOLIDADO!$K:$K,"&lt;&gt;NOVO")</f>
        <v>0</v>
      </c>
      <c r="M75" s="30">
        <f>SUMIFS(CONSOLIDADO!$F:$F,CONSOLIDADO!$E:$E,$A75,CONSOLIDADO!$I:$I,L$3,CONSOLIDADO!$I:$I,L$4,CONSOLIDADO!$K:$K,"&lt;&gt;NOVO")</f>
        <v>0</v>
      </c>
      <c r="N75" s="30">
        <v>1861.15</v>
      </c>
      <c r="O75" s="60">
        <v>0.8</v>
      </c>
      <c r="P75" s="61">
        <f t="shared" si="4"/>
        <v>6327.9099999999989</v>
      </c>
      <c r="Q75" s="61">
        <f t="shared" si="4"/>
        <v>10050.209999999999</v>
      </c>
      <c r="R75" s="61">
        <f t="shared" si="4"/>
        <v>17494.809999999998</v>
      </c>
      <c r="S75" s="61">
        <f t="shared" si="3"/>
        <v>10794.669999999998</v>
      </c>
      <c r="T75" s="61">
        <f t="shared" si="3"/>
        <v>0</v>
      </c>
      <c r="U75" s="61">
        <f t="shared" si="3"/>
        <v>0</v>
      </c>
      <c r="V75" s="61">
        <f t="shared" si="3"/>
        <v>0</v>
      </c>
      <c r="W75" s="61">
        <f t="shared" si="3"/>
        <v>0</v>
      </c>
      <c r="X75" s="61">
        <f t="shared" si="3"/>
        <v>0</v>
      </c>
      <c r="Y75" s="61">
        <f t="shared" si="3"/>
        <v>0</v>
      </c>
      <c r="Z75" s="61">
        <f t="shared" si="3"/>
        <v>0</v>
      </c>
      <c r="AA75" s="61">
        <f t="shared" si="3"/>
        <v>0</v>
      </c>
      <c r="AB75" s="37"/>
    </row>
    <row r="76" spans="1:28" x14ac:dyDescent="0.25">
      <c r="A76" s="59" t="s">
        <v>297</v>
      </c>
      <c r="B76" s="30">
        <f>SUMIFS(CONSOLIDADO!$F:$F,CONSOLIDADO!$E:$E,$A76,CONSOLIDADO!$I:$I,A$3,CONSOLIDADO!$I:$I,A$4,CONSOLIDADO!$K:$K,"&lt;&gt;NOVO")</f>
        <v>0</v>
      </c>
      <c r="C76" s="30">
        <f>SUMIFS(CONSOLIDADO!$F:$F,CONSOLIDADO!$E:$E,$A76,CONSOLIDADO!$I:$I,B$3,CONSOLIDADO!$I:$I,B$4,CONSOLIDADO!$K:$K,"&lt;&gt;NOVO")</f>
        <v>0</v>
      </c>
      <c r="D76" s="30">
        <f>SUMIFS(CONSOLIDADO!$F:$F,CONSOLIDADO!$E:$E,$A76,CONSOLIDADO!$I:$I,C$3,CONSOLIDADO!$I:$I,C$4,CONSOLIDADO!$K:$K,"&lt;&gt;NOVO")</f>
        <v>0</v>
      </c>
      <c r="E76" s="30">
        <f>SUMIFS(CONSOLIDADO!$F:$F,CONSOLIDADO!$E:$E,$A76,CONSOLIDADO!$I:$I,D$3,CONSOLIDADO!$I:$I,D$4,CONSOLIDADO!$K:$K,"&lt;&gt;NOVO")</f>
        <v>2</v>
      </c>
      <c r="F76" s="30">
        <f>SUMIFS(CONSOLIDADO!$F:$F,CONSOLIDADO!$E:$E,$A76,CONSOLIDADO!$I:$I,E$3,CONSOLIDADO!$I:$I,E$4,CONSOLIDADO!$K:$K,"&lt;&gt;NOVO")</f>
        <v>0</v>
      </c>
      <c r="G76" s="30">
        <f>SUMIFS(CONSOLIDADO!$F:$F,CONSOLIDADO!$E:$E,$A76,CONSOLIDADO!$I:$I,F$3,CONSOLIDADO!$I:$I,F$4,CONSOLIDADO!$K:$K,"&lt;&gt;NOVO")</f>
        <v>0</v>
      </c>
      <c r="H76" s="30">
        <f>SUMIFS(CONSOLIDADO!$F:$F,CONSOLIDADO!$E:$E,$A76,CONSOLIDADO!$I:$I,G$3,CONSOLIDADO!$I:$I,G$4,CONSOLIDADO!$K:$K,"&lt;&gt;NOVO")</f>
        <v>0</v>
      </c>
      <c r="I76" s="30">
        <f>SUMIFS(CONSOLIDADO!$F:$F,CONSOLIDADO!$E:$E,$A76,CONSOLIDADO!$I:$I,H$3,CONSOLIDADO!$I:$I,H$4,CONSOLIDADO!$K:$K,"&lt;&gt;NOVO")</f>
        <v>0</v>
      </c>
      <c r="J76" s="30">
        <f>SUMIFS(CONSOLIDADO!$F:$F,CONSOLIDADO!$E:$E,$A76,CONSOLIDADO!$I:$I,I$3,CONSOLIDADO!$I:$I,I$4,CONSOLIDADO!$K:$K,"&lt;&gt;NOVO")</f>
        <v>0</v>
      </c>
      <c r="K76" s="30">
        <f>SUMIFS(CONSOLIDADO!$F:$F,CONSOLIDADO!$E:$E,$A76,CONSOLIDADO!$I:$I,J$3,CONSOLIDADO!$I:$I,J$4,CONSOLIDADO!$K:$K,"&lt;&gt;NOVO")</f>
        <v>0</v>
      </c>
      <c r="L76" s="30">
        <f>SUMIFS(CONSOLIDADO!$F:$F,CONSOLIDADO!$E:$E,$A76,CONSOLIDADO!$I:$I,K$3,CONSOLIDADO!$I:$I,K$4,CONSOLIDADO!$K:$K,"&lt;&gt;NOVO")</f>
        <v>0</v>
      </c>
      <c r="M76" s="30">
        <f>SUMIFS(CONSOLIDADO!$F:$F,CONSOLIDADO!$E:$E,$A76,CONSOLIDADO!$I:$I,L$3,CONSOLIDADO!$I:$I,L$4,CONSOLIDADO!$K:$K,"&lt;&gt;NOVO")</f>
        <v>0</v>
      </c>
      <c r="N76" s="30">
        <v>1000</v>
      </c>
      <c r="O76" s="60">
        <v>0.8</v>
      </c>
      <c r="P76" s="61">
        <f t="shared" si="4"/>
        <v>0</v>
      </c>
      <c r="Q76" s="61">
        <f t="shared" si="4"/>
        <v>0</v>
      </c>
      <c r="R76" s="61">
        <f t="shared" si="4"/>
        <v>0</v>
      </c>
      <c r="S76" s="61">
        <f t="shared" si="3"/>
        <v>399.99999999999989</v>
      </c>
      <c r="T76" s="61">
        <f t="shared" si="3"/>
        <v>0</v>
      </c>
      <c r="U76" s="61">
        <f t="shared" si="3"/>
        <v>0</v>
      </c>
      <c r="V76" s="61">
        <f t="shared" si="3"/>
        <v>0</v>
      </c>
      <c r="W76" s="61">
        <f t="shared" si="3"/>
        <v>0</v>
      </c>
      <c r="X76" s="61">
        <f t="shared" si="3"/>
        <v>0</v>
      </c>
      <c r="Y76" s="61">
        <f t="shared" si="3"/>
        <v>0</v>
      </c>
      <c r="Z76" s="61">
        <f t="shared" si="3"/>
        <v>0</v>
      </c>
      <c r="AA76" s="61">
        <f t="shared" si="3"/>
        <v>0</v>
      </c>
      <c r="AB76" s="37"/>
    </row>
    <row r="77" spans="1:28" x14ac:dyDescent="0.25">
      <c r="A77" t="s">
        <v>152</v>
      </c>
      <c r="B77" s="30">
        <f>SUMIFS(CONSOLIDADO!$F:$F,CONSOLIDADO!$E:$E,$A77,CONSOLIDADO!$I:$I,A$3,CONSOLIDADO!$I:$I,A$4,CONSOLIDADO!$K:$K,"&lt;&gt;NOVO")</f>
        <v>0</v>
      </c>
      <c r="C77" s="30">
        <f>SUMIFS(CONSOLIDADO!$F:$F,CONSOLIDADO!$E:$E,$A77,CONSOLIDADO!$I:$I,B$3,CONSOLIDADO!$I:$I,B$4,CONSOLIDADO!$K:$K,"&lt;&gt;NOVO")</f>
        <v>0</v>
      </c>
      <c r="D77" s="30">
        <f>SUMIFS(CONSOLIDADO!$F:$F,CONSOLIDADO!$E:$E,$A77,CONSOLIDADO!$I:$I,C$3,CONSOLIDADO!$I:$I,C$4,CONSOLIDADO!$K:$K,"&lt;&gt;NOVO")</f>
        <v>6</v>
      </c>
      <c r="E77" s="30">
        <f>SUMIFS(CONSOLIDADO!$F:$F,CONSOLIDADO!$E:$E,$A77,CONSOLIDADO!$I:$I,D$3,CONSOLIDADO!$I:$I,D$4,CONSOLIDADO!$K:$K,"&lt;&gt;NOVO")</f>
        <v>0</v>
      </c>
      <c r="F77" s="30">
        <f>SUMIFS(CONSOLIDADO!$F:$F,CONSOLIDADO!$E:$E,$A77,CONSOLIDADO!$I:$I,E$3,CONSOLIDADO!$I:$I,E$4,CONSOLIDADO!$K:$K,"&lt;&gt;NOVO")</f>
        <v>0</v>
      </c>
      <c r="G77" s="30">
        <f>SUMIFS(CONSOLIDADO!$F:$F,CONSOLIDADO!$E:$E,$A77,CONSOLIDADO!$I:$I,F$3,CONSOLIDADO!$I:$I,F$4,CONSOLIDADO!$K:$K,"&lt;&gt;NOVO")</f>
        <v>0</v>
      </c>
      <c r="H77" s="30">
        <f>SUMIFS(CONSOLIDADO!$F:$F,CONSOLIDADO!$E:$E,$A77,CONSOLIDADO!$I:$I,G$3,CONSOLIDADO!$I:$I,G$4,CONSOLIDADO!$K:$K,"&lt;&gt;NOVO")</f>
        <v>0</v>
      </c>
      <c r="I77" s="30">
        <f>SUMIFS(CONSOLIDADO!$F:$F,CONSOLIDADO!$E:$E,$A77,CONSOLIDADO!$I:$I,H$3,CONSOLIDADO!$I:$I,H$4,CONSOLIDADO!$K:$K,"&lt;&gt;NOVO")</f>
        <v>0</v>
      </c>
      <c r="J77" s="30">
        <f>SUMIFS(CONSOLIDADO!$F:$F,CONSOLIDADO!$E:$E,$A77,CONSOLIDADO!$I:$I,I$3,CONSOLIDADO!$I:$I,I$4,CONSOLIDADO!$K:$K,"&lt;&gt;NOVO")</f>
        <v>0</v>
      </c>
      <c r="K77" s="30">
        <f>SUMIFS(CONSOLIDADO!$F:$F,CONSOLIDADO!$E:$E,$A77,CONSOLIDADO!$I:$I,J$3,CONSOLIDADO!$I:$I,J$4,CONSOLIDADO!$K:$K,"&lt;&gt;NOVO")</f>
        <v>0</v>
      </c>
      <c r="L77" s="30">
        <f>SUMIFS(CONSOLIDADO!$F:$F,CONSOLIDADO!$E:$E,$A77,CONSOLIDADO!$I:$I,K$3,CONSOLIDADO!$I:$I,K$4,CONSOLIDADO!$K:$K,"&lt;&gt;NOVO")</f>
        <v>0</v>
      </c>
      <c r="M77" s="30">
        <f>SUMIFS(CONSOLIDADO!$F:$F,CONSOLIDADO!$E:$E,$A77,CONSOLIDADO!$I:$I,L$3,CONSOLIDADO!$I:$I,L$4,CONSOLIDADO!$K:$K,"&lt;&gt;NOVO")</f>
        <v>0</v>
      </c>
      <c r="N77" s="30">
        <v>1000</v>
      </c>
      <c r="O77" s="60">
        <v>0.8</v>
      </c>
      <c r="P77" s="61">
        <f t="shared" si="4"/>
        <v>0</v>
      </c>
      <c r="Q77" s="61">
        <f t="shared" si="4"/>
        <v>0</v>
      </c>
      <c r="R77" s="61">
        <f t="shared" si="4"/>
        <v>1199.9999999999995</v>
      </c>
      <c r="S77" s="61">
        <f t="shared" si="3"/>
        <v>0</v>
      </c>
      <c r="T77" s="61">
        <f t="shared" si="3"/>
        <v>0</v>
      </c>
      <c r="U77" s="61">
        <f t="shared" si="3"/>
        <v>0</v>
      </c>
      <c r="V77" s="61">
        <f t="shared" si="3"/>
        <v>0</v>
      </c>
      <c r="W77" s="61">
        <f t="shared" si="3"/>
        <v>0</v>
      </c>
      <c r="X77" s="61">
        <f t="shared" si="3"/>
        <v>0</v>
      </c>
      <c r="Y77" s="61">
        <f t="shared" si="3"/>
        <v>0</v>
      </c>
      <c r="Z77" s="61">
        <f t="shared" si="3"/>
        <v>0</v>
      </c>
      <c r="AA77" s="61">
        <f t="shared" si="3"/>
        <v>0</v>
      </c>
      <c r="AB77" s="37"/>
    </row>
    <row r="78" spans="1:28" x14ac:dyDescent="0.25">
      <c r="A78" t="s">
        <v>347</v>
      </c>
      <c r="B78" s="30">
        <f>SUMIFS(CONSOLIDADO!$F:$F,CONSOLIDADO!$E:$E,$A78,CONSOLIDADO!$I:$I,A$3,CONSOLIDADO!$I:$I,A$4,CONSOLIDADO!$K:$K,"&lt;&gt;NOVO")</f>
        <v>0</v>
      </c>
      <c r="C78" s="30">
        <f>SUMIFS(CONSOLIDADO!$F:$F,CONSOLIDADO!$E:$E,$A78,CONSOLIDADO!$I:$I,B$3,CONSOLIDADO!$I:$I,B$4,CONSOLIDADO!$K:$K,"&lt;&gt;NOVO")</f>
        <v>0</v>
      </c>
      <c r="D78" s="30">
        <f>SUMIFS(CONSOLIDADO!$F:$F,CONSOLIDADO!$E:$E,$A78,CONSOLIDADO!$I:$I,C$3,CONSOLIDADO!$I:$I,C$4,CONSOLIDADO!$K:$K,"&lt;&gt;NOVO")</f>
        <v>0</v>
      </c>
      <c r="E78" s="30">
        <f>SUMIFS(CONSOLIDADO!$F:$F,CONSOLIDADO!$E:$E,$A78,CONSOLIDADO!$I:$I,D$3,CONSOLIDADO!$I:$I,D$4,CONSOLIDADO!$K:$K,"&lt;&gt;NOVO")</f>
        <v>0</v>
      </c>
      <c r="F78" s="30">
        <f>SUMIFS(CONSOLIDADO!$F:$F,CONSOLIDADO!$E:$E,$A78,CONSOLIDADO!$I:$I,E$3,CONSOLIDADO!$I:$I,E$4,CONSOLIDADO!$K:$K,"&lt;&gt;NOVO")</f>
        <v>0</v>
      </c>
      <c r="G78" s="30">
        <f>SUMIFS(CONSOLIDADO!$F:$F,CONSOLIDADO!$E:$E,$A78,CONSOLIDADO!$I:$I,F$3,CONSOLIDADO!$I:$I,F$4,CONSOLIDADO!$K:$K,"&lt;&gt;NOVO")</f>
        <v>0</v>
      </c>
      <c r="H78" s="30">
        <f>SUMIFS(CONSOLIDADO!$F:$F,CONSOLIDADO!$E:$E,$A78,CONSOLIDADO!$I:$I,G$3,CONSOLIDADO!$I:$I,G$4,CONSOLIDADO!$K:$K,"&lt;&gt;NOVO")</f>
        <v>0</v>
      </c>
      <c r="I78" s="30">
        <f>SUMIFS(CONSOLIDADO!$F:$F,CONSOLIDADO!$E:$E,$A78,CONSOLIDADO!$I:$I,H$3,CONSOLIDADO!$I:$I,H$4,CONSOLIDADO!$K:$K,"&lt;&gt;NOVO")</f>
        <v>0</v>
      </c>
      <c r="J78" s="30">
        <f>SUMIFS(CONSOLIDADO!$F:$F,CONSOLIDADO!$E:$E,$A78,CONSOLIDADO!$I:$I,I$3,CONSOLIDADO!$I:$I,I$4,CONSOLIDADO!$K:$K,"&lt;&gt;NOVO")</f>
        <v>0</v>
      </c>
      <c r="K78" s="30">
        <f>SUMIFS(CONSOLIDADO!$F:$F,CONSOLIDADO!$E:$E,$A78,CONSOLIDADO!$I:$I,J$3,CONSOLIDADO!$I:$I,J$4,CONSOLIDADO!$K:$K,"&lt;&gt;NOVO")</f>
        <v>0</v>
      </c>
      <c r="L78" s="30">
        <f>SUMIFS(CONSOLIDADO!$F:$F,CONSOLIDADO!$E:$E,$A78,CONSOLIDADO!$I:$I,K$3,CONSOLIDADO!$I:$I,K$4,CONSOLIDADO!$K:$K,"&lt;&gt;NOVO")</f>
        <v>0</v>
      </c>
      <c r="M78" s="30">
        <f>SUMIFS(CONSOLIDADO!$F:$F,CONSOLIDADO!$E:$E,$A78,CONSOLIDADO!$I:$I,L$3,CONSOLIDADO!$I:$I,L$4,CONSOLIDADO!$K:$K,"&lt;&gt;NOVO")</f>
        <v>0</v>
      </c>
      <c r="N78" s="30">
        <v>500</v>
      </c>
      <c r="O78" s="60">
        <v>0.8</v>
      </c>
      <c r="P78" s="61">
        <f t="shared" si="4"/>
        <v>0</v>
      </c>
      <c r="Q78" s="61">
        <f t="shared" si="4"/>
        <v>0</v>
      </c>
      <c r="R78" s="61">
        <f t="shared" si="4"/>
        <v>0</v>
      </c>
      <c r="S78" s="61">
        <f t="shared" si="3"/>
        <v>0</v>
      </c>
      <c r="T78" s="61">
        <f t="shared" si="3"/>
        <v>0</v>
      </c>
      <c r="U78" s="61">
        <f t="shared" si="3"/>
        <v>0</v>
      </c>
      <c r="V78" s="61">
        <f t="shared" si="3"/>
        <v>0</v>
      </c>
      <c r="W78" s="61">
        <f t="shared" si="3"/>
        <v>0</v>
      </c>
      <c r="X78" s="61">
        <f t="shared" si="3"/>
        <v>0</v>
      </c>
      <c r="Y78" s="61">
        <f t="shared" si="3"/>
        <v>0</v>
      </c>
      <c r="Z78" s="61">
        <f t="shared" si="3"/>
        <v>0</v>
      </c>
      <c r="AA78" s="61">
        <f t="shared" si="3"/>
        <v>0</v>
      </c>
      <c r="AB78" s="37"/>
    </row>
    <row r="79" spans="1:28" x14ac:dyDescent="0.25">
      <c r="A79" s="59" t="s">
        <v>314</v>
      </c>
      <c r="B79" s="30">
        <f>SUMIFS(CONSOLIDADO!$F:$F,CONSOLIDADO!$E:$E,$A79,CONSOLIDADO!$I:$I,A$3,CONSOLIDADO!$I:$I,A$4,CONSOLIDADO!$K:$K,"&lt;&gt;NOVO")</f>
        <v>0</v>
      </c>
      <c r="C79" s="30">
        <f>SUMIFS(CONSOLIDADO!$F:$F,CONSOLIDADO!$E:$E,$A79,CONSOLIDADO!$I:$I,B$3,CONSOLIDADO!$I:$I,B$4,CONSOLIDADO!$K:$K,"&lt;&gt;NOVO")</f>
        <v>0</v>
      </c>
      <c r="D79" s="30">
        <f>SUMIFS(CONSOLIDADO!$F:$F,CONSOLIDADO!$E:$E,$A79,CONSOLIDADO!$I:$I,C$3,CONSOLIDADO!$I:$I,C$4,CONSOLIDADO!$K:$K,"&lt;&gt;NOVO")</f>
        <v>0</v>
      </c>
      <c r="E79" s="30">
        <f>SUMIFS(CONSOLIDADO!$F:$F,CONSOLIDADO!$E:$E,$A79,CONSOLIDADO!$I:$I,D$3,CONSOLIDADO!$I:$I,D$4,CONSOLIDADO!$K:$K,"&lt;&gt;NOVO")</f>
        <v>2</v>
      </c>
      <c r="F79" s="30">
        <f>SUMIFS(CONSOLIDADO!$F:$F,CONSOLIDADO!$E:$E,$A79,CONSOLIDADO!$I:$I,E$3,CONSOLIDADO!$I:$I,E$4,CONSOLIDADO!$K:$K,"&lt;&gt;NOVO")</f>
        <v>0</v>
      </c>
      <c r="G79" s="30">
        <f>SUMIFS(CONSOLIDADO!$F:$F,CONSOLIDADO!$E:$E,$A79,CONSOLIDADO!$I:$I,F$3,CONSOLIDADO!$I:$I,F$4,CONSOLIDADO!$K:$K,"&lt;&gt;NOVO")</f>
        <v>0</v>
      </c>
      <c r="H79" s="30">
        <f>SUMIFS(CONSOLIDADO!$F:$F,CONSOLIDADO!$E:$E,$A79,CONSOLIDADO!$I:$I,G$3,CONSOLIDADO!$I:$I,G$4,CONSOLIDADO!$K:$K,"&lt;&gt;NOVO")</f>
        <v>0</v>
      </c>
      <c r="I79" s="30">
        <f>SUMIFS(CONSOLIDADO!$F:$F,CONSOLIDADO!$E:$E,$A79,CONSOLIDADO!$I:$I,H$3,CONSOLIDADO!$I:$I,H$4,CONSOLIDADO!$K:$K,"&lt;&gt;NOVO")</f>
        <v>0</v>
      </c>
      <c r="J79" s="30">
        <f>SUMIFS(CONSOLIDADO!$F:$F,CONSOLIDADO!$E:$E,$A79,CONSOLIDADO!$I:$I,I$3,CONSOLIDADO!$I:$I,I$4,CONSOLIDADO!$K:$K,"&lt;&gt;NOVO")</f>
        <v>0</v>
      </c>
      <c r="K79" s="30">
        <f>SUMIFS(CONSOLIDADO!$F:$F,CONSOLIDADO!$E:$E,$A79,CONSOLIDADO!$I:$I,J$3,CONSOLIDADO!$I:$I,J$4,CONSOLIDADO!$K:$K,"&lt;&gt;NOVO")</f>
        <v>0</v>
      </c>
      <c r="L79" s="30">
        <f>SUMIFS(CONSOLIDADO!$F:$F,CONSOLIDADO!$E:$E,$A79,CONSOLIDADO!$I:$I,K$3,CONSOLIDADO!$I:$I,K$4,CONSOLIDADO!$K:$K,"&lt;&gt;NOVO")</f>
        <v>0</v>
      </c>
      <c r="M79" s="30">
        <f>SUMIFS(CONSOLIDADO!$F:$F,CONSOLIDADO!$E:$E,$A79,CONSOLIDADO!$I:$I,L$3,CONSOLIDADO!$I:$I,L$4,CONSOLIDADO!$K:$K,"&lt;&gt;NOVO")</f>
        <v>0</v>
      </c>
      <c r="N79" s="30">
        <v>2888.26</v>
      </c>
      <c r="O79" s="60">
        <v>0.8</v>
      </c>
      <c r="P79" s="61">
        <f t="shared" si="4"/>
        <v>0</v>
      </c>
      <c r="Q79" s="61">
        <f t="shared" si="4"/>
        <v>0</v>
      </c>
      <c r="R79" s="61">
        <f t="shared" si="4"/>
        <v>0</v>
      </c>
      <c r="S79" s="61">
        <f t="shared" si="3"/>
        <v>1155.3039999999999</v>
      </c>
      <c r="T79" s="61">
        <f t="shared" si="3"/>
        <v>0</v>
      </c>
      <c r="U79" s="61">
        <f t="shared" si="3"/>
        <v>0</v>
      </c>
      <c r="V79" s="61">
        <f t="shared" si="3"/>
        <v>0</v>
      </c>
      <c r="W79" s="61">
        <f t="shared" si="3"/>
        <v>0</v>
      </c>
      <c r="X79" s="61">
        <f t="shared" si="3"/>
        <v>0</v>
      </c>
      <c r="Y79" s="61">
        <f t="shared" si="3"/>
        <v>0</v>
      </c>
      <c r="Z79" s="61">
        <f t="shared" si="3"/>
        <v>0</v>
      </c>
      <c r="AA79" s="61">
        <f t="shared" si="3"/>
        <v>0</v>
      </c>
      <c r="AB79" s="37"/>
    </row>
    <row r="80" spans="1:28" x14ac:dyDescent="0.25">
      <c r="A80" t="s">
        <v>389</v>
      </c>
      <c r="B80" s="30">
        <f>SUMIFS(CONSOLIDADO!$F:$F,CONSOLIDADO!$E:$E,$A80,CONSOLIDADO!$I:$I,A$3,CONSOLIDADO!$I:$I,A$4,CONSOLIDADO!$K:$K,"&lt;&gt;NOVO")</f>
        <v>0</v>
      </c>
      <c r="C80" s="30">
        <f>SUMIFS(CONSOLIDADO!$F:$F,CONSOLIDADO!$E:$E,$A80,CONSOLIDADO!$I:$I,B$3,CONSOLIDADO!$I:$I,B$4,CONSOLIDADO!$K:$K,"&lt;&gt;NOVO")</f>
        <v>0</v>
      </c>
      <c r="D80" s="30">
        <f>SUMIFS(CONSOLIDADO!$F:$F,CONSOLIDADO!$E:$E,$A80,CONSOLIDADO!$I:$I,C$3,CONSOLIDADO!$I:$I,C$4,CONSOLIDADO!$K:$K,"&lt;&gt;NOVO")</f>
        <v>0</v>
      </c>
      <c r="E80" s="30">
        <f>SUMIFS(CONSOLIDADO!$F:$F,CONSOLIDADO!$E:$E,$A80,CONSOLIDADO!$I:$I,D$3,CONSOLIDADO!$I:$I,D$4,CONSOLIDADO!$K:$K,"&lt;&gt;NOVO")</f>
        <v>0</v>
      </c>
      <c r="F80" s="30">
        <f>SUMIFS(CONSOLIDADO!$F:$F,CONSOLIDADO!$E:$E,$A80,CONSOLIDADO!$I:$I,E$3,CONSOLIDADO!$I:$I,E$4,CONSOLIDADO!$K:$K,"&lt;&gt;NOVO")</f>
        <v>0</v>
      </c>
      <c r="G80" s="30">
        <f>SUMIFS(CONSOLIDADO!$F:$F,CONSOLIDADO!$E:$E,$A80,CONSOLIDADO!$I:$I,F$3,CONSOLIDADO!$I:$I,F$4,CONSOLIDADO!$K:$K,"&lt;&gt;NOVO")</f>
        <v>0</v>
      </c>
      <c r="H80" s="30">
        <f>SUMIFS(CONSOLIDADO!$F:$F,CONSOLIDADO!$E:$E,$A80,CONSOLIDADO!$I:$I,G$3,CONSOLIDADO!$I:$I,G$4,CONSOLIDADO!$K:$K,"&lt;&gt;NOVO")</f>
        <v>0</v>
      </c>
      <c r="I80" s="30">
        <f>SUMIFS(CONSOLIDADO!$F:$F,CONSOLIDADO!$E:$E,$A80,CONSOLIDADO!$I:$I,H$3,CONSOLIDADO!$I:$I,H$4,CONSOLIDADO!$K:$K,"&lt;&gt;NOVO")</f>
        <v>0</v>
      </c>
      <c r="J80" s="30">
        <f>SUMIFS(CONSOLIDADO!$F:$F,CONSOLIDADO!$E:$E,$A80,CONSOLIDADO!$I:$I,I$3,CONSOLIDADO!$I:$I,I$4,CONSOLIDADO!$K:$K,"&lt;&gt;NOVO")</f>
        <v>0</v>
      </c>
      <c r="K80" s="30">
        <f>SUMIFS(CONSOLIDADO!$F:$F,CONSOLIDADO!$E:$E,$A80,CONSOLIDADO!$I:$I,J$3,CONSOLIDADO!$I:$I,J$4,CONSOLIDADO!$K:$K,"&lt;&gt;NOVO")</f>
        <v>0</v>
      </c>
      <c r="L80" s="30">
        <f>SUMIFS(CONSOLIDADO!$F:$F,CONSOLIDADO!$E:$E,$A80,CONSOLIDADO!$I:$I,K$3,CONSOLIDADO!$I:$I,K$4,CONSOLIDADO!$K:$K,"&lt;&gt;NOVO")</f>
        <v>0</v>
      </c>
      <c r="M80" s="30">
        <f>SUMIFS(CONSOLIDADO!$F:$F,CONSOLIDADO!$E:$E,$A80,CONSOLIDADO!$I:$I,L$3,CONSOLIDADO!$I:$I,L$4,CONSOLIDADO!$K:$K,"&lt;&gt;NOVO")</f>
        <v>0</v>
      </c>
      <c r="N80" s="30">
        <v>600</v>
      </c>
      <c r="O80" s="60">
        <v>0.8</v>
      </c>
      <c r="P80" s="61">
        <f t="shared" si="4"/>
        <v>0</v>
      </c>
      <c r="Q80" s="61">
        <f t="shared" si="4"/>
        <v>0</v>
      </c>
      <c r="R80" s="61">
        <f t="shared" si="4"/>
        <v>0</v>
      </c>
      <c r="S80" s="61">
        <f t="shared" si="3"/>
        <v>0</v>
      </c>
      <c r="T80" s="61">
        <f t="shared" si="3"/>
        <v>0</v>
      </c>
      <c r="U80" s="61">
        <f t="shared" si="3"/>
        <v>0</v>
      </c>
      <c r="V80" s="61">
        <f t="shared" si="3"/>
        <v>0</v>
      </c>
      <c r="W80" s="61">
        <f t="shared" si="3"/>
        <v>0</v>
      </c>
      <c r="X80" s="61">
        <f t="shared" si="3"/>
        <v>0</v>
      </c>
      <c r="Y80" s="61">
        <f t="shared" si="3"/>
        <v>0</v>
      </c>
      <c r="Z80" s="61">
        <f t="shared" si="3"/>
        <v>0</v>
      </c>
      <c r="AA80" s="61">
        <f t="shared" si="3"/>
        <v>0</v>
      </c>
      <c r="AB80" s="37"/>
    </row>
    <row r="81" spans="1:28" x14ac:dyDescent="0.25">
      <c r="A81" s="59" t="s">
        <v>390</v>
      </c>
      <c r="B81" s="30">
        <f>SUMIFS(CONSOLIDADO!$F:$F,CONSOLIDADO!$E:$E,$A81,CONSOLIDADO!$I:$I,A$3,CONSOLIDADO!$I:$I,A$4,CONSOLIDADO!$K:$K,"&lt;&gt;NOVO")</f>
        <v>0</v>
      </c>
      <c r="C81" s="30">
        <f>SUMIFS(CONSOLIDADO!$F:$F,CONSOLIDADO!$E:$E,$A81,CONSOLIDADO!$I:$I,B$3,CONSOLIDADO!$I:$I,B$4,CONSOLIDADO!$K:$K,"&lt;&gt;NOVO")</f>
        <v>0</v>
      </c>
      <c r="D81" s="30">
        <f>SUMIFS(CONSOLIDADO!$F:$F,CONSOLIDADO!$E:$E,$A81,CONSOLIDADO!$I:$I,C$3,CONSOLIDADO!$I:$I,C$4,CONSOLIDADO!$K:$K,"&lt;&gt;NOVO")</f>
        <v>0</v>
      </c>
      <c r="E81" s="30">
        <f>SUMIFS(CONSOLIDADO!$F:$F,CONSOLIDADO!$E:$E,$A81,CONSOLIDADO!$I:$I,D$3,CONSOLIDADO!$I:$I,D$4,CONSOLIDADO!$K:$K,"&lt;&gt;NOVO")</f>
        <v>0</v>
      </c>
      <c r="F81" s="30">
        <f>SUMIFS(CONSOLIDADO!$F:$F,CONSOLIDADO!$E:$E,$A81,CONSOLIDADO!$I:$I,E$3,CONSOLIDADO!$I:$I,E$4,CONSOLIDADO!$K:$K,"&lt;&gt;NOVO")</f>
        <v>0</v>
      </c>
      <c r="G81" s="30">
        <f>SUMIFS(CONSOLIDADO!$F:$F,CONSOLIDADO!$E:$E,$A81,CONSOLIDADO!$I:$I,F$3,CONSOLIDADO!$I:$I,F$4,CONSOLIDADO!$K:$K,"&lt;&gt;NOVO")</f>
        <v>0</v>
      </c>
      <c r="H81" s="30">
        <f>SUMIFS(CONSOLIDADO!$F:$F,CONSOLIDADO!$E:$E,$A81,CONSOLIDADO!$I:$I,G$3,CONSOLIDADO!$I:$I,G$4,CONSOLIDADO!$K:$K,"&lt;&gt;NOVO")</f>
        <v>0</v>
      </c>
      <c r="I81" s="30">
        <f>SUMIFS(CONSOLIDADO!$F:$F,CONSOLIDADO!$E:$E,$A81,CONSOLIDADO!$I:$I,H$3,CONSOLIDADO!$I:$I,H$4,CONSOLIDADO!$K:$K,"&lt;&gt;NOVO")</f>
        <v>0</v>
      </c>
      <c r="J81" s="30">
        <f>SUMIFS(CONSOLIDADO!$F:$F,CONSOLIDADO!$E:$E,$A81,CONSOLIDADO!$I:$I,I$3,CONSOLIDADO!$I:$I,I$4,CONSOLIDADO!$K:$K,"&lt;&gt;NOVO")</f>
        <v>0</v>
      </c>
      <c r="K81" s="30">
        <f>SUMIFS(CONSOLIDADO!$F:$F,CONSOLIDADO!$E:$E,$A81,CONSOLIDADO!$I:$I,J$3,CONSOLIDADO!$I:$I,J$4,CONSOLIDADO!$K:$K,"&lt;&gt;NOVO")</f>
        <v>0</v>
      </c>
      <c r="L81" s="30">
        <f>SUMIFS(CONSOLIDADO!$F:$F,CONSOLIDADO!$E:$E,$A81,CONSOLIDADO!$I:$I,K$3,CONSOLIDADO!$I:$I,K$4,CONSOLIDADO!$K:$K,"&lt;&gt;NOVO")</f>
        <v>0</v>
      </c>
      <c r="M81" s="30">
        <f>SUMIFS(CONSOLIDADO!$F:$F,CONSOLIDADO!$E:$E,$A81,CONSOLIDADO!$I:$I,L$3,CONSOLIDADO!$I:$I,L$4,CONSOLIDADO!$K:$K,"&lt;&gt;NOVO")</f>
        <v>0</v>
      </c>
      <c r="N81" s="30">
        <v>5590.69</v>
      </c>
      <c r="O81" s="60">
        <v>0.8</v>
      </c>
      <c r="P81" s="61">
        <f t="shared" si="4"/>
        <v>0</v>
      </c>
      <c r="Q81" s="61">
        <f t="shared" si="4"/>
        <v>0</v>
      </c>
      <c r="R81" s="61">
        <f t="shared" si="4"/>
        <v>0</v>
      </c>
      <c r="S81" s="61">
        <f t="shared" si="3"/>
        <v>0</v>
      </c>
      <c r="T81" s="61">
        <f t="shared" si="3"/>
        <v>0</v>
      </c>
      <c r="U81" s="61">
        <f t="shared" si="3"/>
        <v>0</v>
      </c>
      <c r="V81" s="61">
        <f t="shared" si="3"/>
        <v>0</v>
      </c>
      <c r="W81" s="61">
        <f t="shared" si="3"/>
        <v>0</v>
      </c>
      <c r="X81" s="61">
        <f t="shared" si="3"/>
        <v>0</v>
      </c>
      <c r="Y81" s="61">
        <f t="shared" si="3"/>
        <v>0</v>
      </c>
      <c r="Z81" s="61">
        <f t="shared" si="3"/>
        <v>0</v>
      </c>
      <c r="AA81" s="61">
        <f t="shared" si="3"/>
        <v>0</v>
      </c>
      <c r="AB81" s="37"/>
    </row>
    <row r="82" spans="1:28" x14ac:dyDescent="0.25">
      <c r="A82" s="59" t="s">
        <v>391</v>
      </c>
      <c r="B82" s="30">
        <f>SUMIFS(CONSOLIDADO!$F:$F,CONSOLIDADO!$E:$E,$A82,CONSOLIDADO!$I:$I,A$3,CONSOLIDADO!$I:$I,A$4,CONSOLIDADO!$K:$K,"&lt;&gt;NOVO")</f>
        <v>0</v>
      </c>
      <c r="C82" s="30">
        <f>SUMIFS(CONSOLIDADO!$F:$F,CONSOLIDADO!$E:$E,$A82,CONSOLIDADO!$I:$I,B$3,CONSOLIDADO!$I:$I,B$4,CONSOLIDADO!$K:$K,"&lt;&gt;NOVO")</f>
        <v>0</v>
      </c>
      <c r="D82" s="30">
        <f>SUMIFS(CONSOLIDADO!$F:$F,CONSOLIDADO!$E:$E,$A82,CONSOLIDADO!$I:$I,C$3,CONSOLIDADO!$I:$I,C$4,CONSOLIDADO!$K:$K,"&lt;&gt;NOVO")</f>
        <v>0</v>
      </c>
      <c r="E82" s="30">
        <f>SUMIFS(CONSOLIDADO!$F:$F,CONSOLIDADO!$E:$E,$A82,CONSOLIDADO!$I:$I,D$3,CONSOLIDADO!$I:$I,D$4,CONSOLIDADO!$K:$K,"&lt;&gt;NOVO")</f>
        <v>0</v>
      </c>
      <c r="F82" s="30">
        <f>SUMIFS(CONSOLIDADO!$F:$F,CONSOLIDADO!$E:$E,$A82,CONSOLIDADO!$I:$I,E$3,CONSOLIDADO!$I:$I,E$4,CONSOLIDADO!$K:$K,"&lt;&gt;NOVO")</f>
        <v>0</v>
      </c>
      <c r="G82" s="30">
        <f>SUMIFS(CONSOLIDADO!$F:$F,CONSOLIDADO!$E:$E,$A82,CONSOLIDADO!$I:$I,F$3,CONSOLIDADO!$I:$I,F$4,CONSOLIDADO!$K:$K,"&lt;&gt;NOVO")</f>
        <v>0</v>
      </c>
      <c r="H82" s="30">
        <f>SUMIFS(CONSOLIDADO!$F:$F,CONSOLIDADO!$E:$E,$A82,CONSOLIDADO!$I:$I,G$3,CONSOLIDADO!$I:$I,G$4,CONSOLIDADO!$K:$K,"&lt;&gt;NOVO")</f>
        <v>0</v>
      </c>
      <c r="I82" s="30">
        <f>SUMIFS(CONSOLIDADO!$F:$F,CONSOLIDADO!$E:$E,$A82,CONSOLIDADO!$I:$I,H$3,CONSOLIDADO!$I:$I,H$4,CONSOLIDADO!$K:$K,"&lt;&gt;NOVO")</f>
        <v>0</v>
      </c>
      <c r="J82" s="30">
        <f>SUMIFS(CONSOLIDADO!$F:$F,CONSOLIDADO!$E:$E,$A82,CONSOLIDADO!$I:$I,I$3,CONSOLIDADO!$I:$I,I$4,CONSOLIDADO!$K:$K,"&lt;&gt;NOVO")</f>
        <v>0</v>
      </c>
      <c r="K82" s="30">
        <f>SUMIFS(CONSOLIDADO!$F:$F,CONSOLIDADO!$E:$E,$A82,CONSOLIDADO!$I:$I,J$3,CONSOLIDADO!$I:$I,J$4,CONSOLIDADO!$K:$K,"&lt;&gt;NOVO")</f>
        <v>0</v>
      </c>
      <c r="L82" s="30">
        <f>SUMIFS(CONSOLIDADO!$F:$F,CONSOLIDADO!$E:$E,$A82,CONSOLIDADO!$I:$I,K$3,CONSOLIDADO!$I:$I,K$4,CONSOLIDADO!$K:$K,"&lt;&gt;NOVO")</f>
        <v>0</v>
      </c>
      <c r="M82" s="30">
        <f>SUMIFS(CONSOLIDADO!$F:$F,CONSOLIDADO!$E:$E,$A82,CONSOLIDADO!$I:$I,L$3,CONSOLIDADO!$I:$I,L$4,CONSOLIDADO!$K:$K,"&lt;&gt;NOVO")</f>
        <v>0</v>
      </c>
      <c r="N82" s="30">
        <v>2317.94</v>
      </c>
      <c r="O82" s="60">
        <v>0.8</v>
      </c>
      <c r="P82" s="61">
        <f t="shared" si="4"/>
        <v>0</v>
      </c>
      <c r="Q82" s="61">
        <f t="shared" si="4"/>
        <v>0</v>
      </c>
      <c r="R82" s="61">
        <f t="shared" si="4"/>
        <v>0</v>
      </c>
      <c r="S82" s="61">
        <f t="shared" si="3"/>
        <v>0</v>
      </c>
      <c r="T82" s="61">
        <f t="shared" si="3"/>
        <v>0</v>
      </c>
      <c r="U82" s="61">
        <f t="shared" si="3"/>
        <v>0</v>
      </c>
      <c r="V82" s="61">
        <f t="shared" si="3"/>
        <v>0</v>
      </c>
      <c r="W82" s="61">
        <f t="shared" si="3"/>
        <v>0</v>
      </c>
      <c r="X82" s="61">
        <f t="shared" si="3"/>
        <v>0</v>
      </c>
      <c r="Y82" s="61">
        <f t="shared" si="3"/>
        <v>0</v>
      </c>
      <c r="Z82" s="61">
        <f t="shared" si="3"/>
        <v>0</v>
      </c>
      <c r="AA82" s="61">
        <f t="shared" si="3"/>
        <v>0</v>
      </c>
      <c r="AB82" s="37"/>
    </row>
    <row r="83" spans="1:28" x14ac:dyDescent="0.25">
      <c r="A83" s="59" t="s">
        <v>89</v>
      </c>
      <c r="B83" s="30">
        <f>SUMIFS(CONSOLIDADO!$F:$F,CONSOLIDADO!$E:$E,$A83,CONSOLIDADO!$I:$I,A$3,CONSOLIDADO!$I:$I,A$4,CONSOLIDADO!$K:$K,"&lt;&gt;NOVO")</f>
        <v>1</v>
      </c>
      <c r="C83" s="30">
        <f>SUMIFS(CONSOLIDADO!$F:$F,CONSOLIDADO!$E:$E,$A83,CONSOLIDADO!$I:$I,B$3,CONSOLIDADO!$I:$I,B$4,CONSOLIDADO!$K:$K,"&lt;&gt;NOVO")</f>
        <v>0</v>
      </c>
      <c r="D83" s="30">
        <f>SUMIFS(CONSOLIDADO!$F:$F,CONSOLIDADO!$E:$E,$A83,CONSOLIDADO!$I:$I,C$3,CONSOLIDADO!$I:$I,C$4,CONSOLIDADO!$K:$K,"&lt;&gt;NOVO")</f>
        <v>1</v>
      </c>
      <c r="E83" s="30">
        <f>SUMIFS(CONSOLIDADO!$F:$F,CONSOLIDADO!$E:$E,$A83,CONSOLIDADO!$I:$I,D$3,CONSOLIDADO!$I:$I,D$4,CONSOLIDADO!$K:$K,"&lt;&gt;NOVO")</f>
        <v>6</v>
      </c>
      <c r="F83" s="30">
        <f>SUMIFS(CONSOLIDADO!$F:$F,CONSOLIDADO!$E:$E,$A83,CONSOLIDADO!$I:$I,E$3,CONSOLIDADO!$I:$I,E$4,CONSOLIDADO!$K:$K,"&lt;&gt;NOVO")</f>
        <v>0</v>
      </c>
      <c r="G83" s="30">
        <f>SUMIFS(CONSOLIDADO!$F:$F,CONSOLIDADO!$E:$E,$A83,CONSOLIDADO!$I:$I,F$3,CONSOLIDADO!$I:$I,F$4,CONSOLIDADO!$K:$K,"&lt;&gt;NOVO")</f>
        <v>0</v>
      </c>
      <c r="H83" s="30">
        <f>SUMIFS(CONSOLIDADO!$F:$F,CONSOLIDADO!$E:$E,$A83,CONSOLIDADO!$I:$I,G$3,CONSOLIDADO!$I:$I,G$4,CONSOLIDADO!$K:$K,"&lt;&gt;NOVO")</f>
        <v>0</v>
      </c>
      <c r="I83" s="30">
        <f>SUMIFS(CONSOLIDADO!$F:$F,CONSOLIDADO!$E:$E,$A83,CONSOLIDADO!$I:$I,H$3,CONSOLIDADO!$I:$I,H$4,CONSOLIDADO!$K:$K,"&lt;&gt;NOVO")</f>
        <v>0</v>
      </c>
      <c r="J83" s="30">
        <f>SUMIFS(CONSOLIDADO!$F:$F,CONSOLIDADO!$E:$E,$A83,CONSOLIDADO!$I:$I,I$3,CONSOLIDADO!$I:$I,I$4,CONSOLIDADO!$K:$K,"&lt;&gt;NOVO")</f>
        <v>0</v>
      </c>
      <c r="K83" s="30">
        <f>SUMIFS(CONSOLIDADO!$F:$F,CONSOLIDADO!$E:$E,$A83,CONSOLIDADO!$I:$I,J$3,CONSOLIDADO!$I:$I,J$4,CONSOLIDADO!$K:$K,"&lt;&gt;NOVO")</f>
        <v>0</v>
      </c>
      <c r="L83" s="30">
        <f>SUMIFS(CONSOLIDADO!$F:$F,CONSOLIDADO!$E:$E,$A83,CONSOLIDADO!$I:$I,K$3,CONSOLIDADO!$I:$I,K$4,CONSOLIDADO!$K:$K,"&lt;&gt;NOVO")</f>
        <v>0</v>
      </c>
      <c r="M83" s="30">
        <f>SUMIFS(CONSOLIDADO!$F:$F,CONSOLIDADO!$E:$E,$A83,CONSOLIDADO!$I:$I,L$3,CONSOLIDADO!$I:$I,L$4,CONSOLIDADO!$K:$K,"&lt;&gt;NOVO")</f>
        <v>0</v>
      </c>
      <c r="N83" s="30">
        <v>4193.58</v>
      </c>
      <c r="O83" s="60">
        <v>0.8</v>
      </c>
      <c r="P83" s="61">
        <f t="shared" si="4"/>
        <v>838.71599999999978</v>
      </c>
      <c r="Q83" s="61">
        <f t="shared" si="4"/>
        <v>0</v>
      </c>
      <c r="R83" s="61">
        <f t="shared" si="4"/>
        <v>838.71599999999978</v>
      </c>
      <c r="S83" s="61">
        <f t="shared" si="3"/>
        <v>5032.2959999999985</v>
      </c>
      <c r="T83" s="61">
        <f t="shared" si="3"/>
        <v>0</v>
      </c>
      <c r="U83" s="61">
        <f t="shared" si="3"/>
        <v>0</v>
      </c>
      <c r="V83" s="61">
        <f t="shared" si="3"/>
        <v>0</v>
      </c>
      <c r="W83" s="61">
        <f t="shared" si="3"/>
        <v>0</v>
      </c>
      <c r="X83" s="61">
        <f t="shared" si="3"/>
        <v>0</v>
      </c>
      <c r="Y83" s="61">
        <f t="shared" si="3"/>
        <v>0</v>
      </c>
      <c r="Z83" s="61">
        <f t="shared" si="3"/>
        <v>0</v>
      </c>
      <c r="AA83" s="61">
        <f t="shared" si="3"/>
        <v>0</v>
      </c>
      <c r="AB83" s="37"/>
    </row>
    <row r="84" spans="1:28" x14ac:dyDescent="0.25">
      <c r="A84" s="59" t="s">
        <v>46</v>
      </c>
      <c r="B84" s="30">
        <f>SUMIFS(CONSOLIDADO!$F:$F,CONSOLIDADO!$E:$E,$A84,CONSOLIDADO!$I:$I,A$3,CONSOLIDADO!$I:$I,A$4,CONSOLIDADO!$K:$K,"&lt;&gt;NOVO")</f>
        <v>3</v>
      </c>
      <c r="C84" s="30">
        <f>SUMIFS(CONSOLIDADO!$F:$F,CONSOLIDADO!$E:$E,$A84,CONSOLIDADO!$I:$I,B$3,CONSOLIDADO!$I:$I,B$4,CONSOLIDADO!$K:$K,"&lt;&gt;NOVO")</f>
        <v>0</v>
      </c>
      <c r="D84" s="30">
        <f>SUMIFS(CONSOLIDADO!$F:$F,CONSOLIDADO!$E:$E,$A84,CONSOLIDADO!$I:$I,C$3,CONSOLIDADO!$I:$I,C$4,CONSOLIDADO!$K:$K,"&lt;&gt;NOVO")</f>
        <v>0</v>
      </c>
      <c r="E84" s="30">
        <f>SUMIFS(CONSOLIDADO!$F:$F,CONSOLIDADO!$E:$E,$A84,CONSOLIDADO!$I:$I,D$3,CONSOLIDADO!$I:$I,D$4,CONSOLIDADO!$K:$K,"&lt;&gt;NOVO")</f>
        <v>0</v>
      </c>
      <c r="F84" s="30">
        <f>SUMIFS(CONSOLIDADO!$F:$F,CONSOLIDADO!$E:$E,$A84,CONSOLIDADO!$I:$I,E$3,CONSOLIDADO!$I:$I,E$4,CONSOLIDADO!$K:$K,"&lt;&gt;NOVO")</f>
        <v>0</v>
      </c>
      <c r="G84" s="30">
        <f>SUMIFS(CONSOLIDADO!$F:$F,CONSOLIDADO!$E:$E,$A84,CONSOLIDADO!$I:$I,F$3,CONSOLIDADO!$I:$I,F$4,CONSOLIDADO!$K:$K,"&lt;&gt;NOVO")</f>
        <v>0</v>
      </c>
      <c r="H84" s="30">
        <f>SUMIFS(CONSOLIDADO!$F:$F,CONSOLIDADO!$E:$E,$A84,CONSOLIDADO!$I:$I,G$3,CONSOLIDADO!$I:$I,G$4,CONSOLIDADO!$K:$K,"&lt;&gt;NOVO")</f>
        <v>0</v>
      </c>
      <c r="I84" s="30">
        <f>SUMIFS(CONSOLIDADO!$F:$F,CONSOLIDADO!$E:$E,$A84,CONSOLIDADO!$I:$I,H$3,CONSOLIDADO!$I:$I,H$4,CONSOLIDADO!$K:$K,"&lt;&gt;NOVO")</f>
        <v>0</v>
      </c>
      <c r="J84" s="30">
        <f>SUMIFS(CONSOLIDADO!$F:$F,CONSOLIDADO!$E:$E,$A84,CONSOLIDADO!$I:$I,I$3,CONSOLIDADO!$I:$I,I$4,CONSOLIDADO!$K:$K,"&lt;&gt;NOVO")</f>
        <v>0</v>
      </c>
      <c r="K84" s="30">
        <f>SUMIFS(CONSOLIDADO!$F:$F,CONSOLIDADO!$E:$E,$A84,CONSOLIDADO!$I:$I,J$3,CONSOLIDADO!$I:$I,J$4,CONSOLIDADO!$K:$K,"&lt;&gt;NOVO")</f>
        <v>0</v>
      </c>
      <c r="L84" s="30">
        <f>SUMIFS(CONSOLIDADO!$F:$F,CONSOLIDADO!$E:$E,$A84,CONSOLIDADO!$I:$I,K$3,CONSOLIDADO!$I:$I,K$4,CONSOLIDADO!$K:$K,"&lt;&gt;NOVO")</f>
        <v>0</v>
      </c>
      <c r="M84" s="30">
        <f>SUMIFS(CONSOLIDADO!$F:$F,CONSOLIDADO!$E:$E,$A84,CONSOLIDADO!$I:$I,L$3,CONSOLIDADO!$I:$I,L$4,CONSOLIDADO!$K:$K,"&lt;&gt;NOVO")</f>
        <v>0</v>
      </c>
      <c r="N84" s="30">
        <v>250</v>
      </c>
      <c r="O84" s="60">
        <v>0.8</v>
      </c>
      <c r="P84" s="61">
        <f t="shared" si="4"/>
        <v>149.99999999999994</v>
      </c>
      <c r="Q84" s="61">
        <f t="shared" si="4"/>
        <v>0</v>
      </c>
      <c r="R84" s="61">
        <f t="shared" si="4"/>
        <v>0</v>
      </c>
      <c r="S84" s="61">
        <f t="shared" si="3"/>
        <v>0</v>
      </c>
      <c r="T84" s="61">
        <f t="shared" si="3"/>
        <v>0</v>
      </c>
      <c r="U84" s="61">
        <f t="shared" si="3"/>
        <v>0</v>
      </c>
      <c r="V84" s="61">
        <f t="shared" si="3"/>
        <v>0</v>
      </c>
      <c r="W84" s="61">
        <f t="shared" si="3"/>
        <v>0</v>
      </c>
      <c r="X84" s="61">
        <f t="shared" si="3"/>
        <v>0</v>
      </c>
      <c r="Y84" s="61">
        <f t="shared" si="3"/>
        <v>0</v>
      </c>
      <c r="Z84" s="61">
        <f t="shared" si="3"/>
        <v>0</v>
      </c>
      <c r="AA84" s="61">
        <f t="shared" si="3"/>
        <v>0</v>
      </c>
      <c r="AB84" s="37"/>
    </row>
    <row r="85" spans="1:28" x14ac:dyDescent="0.25">
      <c r="A85" t="s">
        <v>156</v>
      </c>
      <c r="B85" s="30">
        <f>SUMIFS(CONSOLIDADO!$F:$F,CONSOLIDADO!$E:$E,$A85,CONSOLIDADO!$I:$I,A$3,CONSOLIDADO!$I:$I,A$4,CONSOLIDADO!$K:$K,"&lt;&gt;NOVO")</f>
        <v>0</v>
      </c>
      <c r="C85" s="30">
        <f>SUMIFS(CONSOLIDADO!$F:$F,CONSOLIDADO!$E:$E,$A85,CONSOLIDADO!$I:$I,B$3,CONSOLIDADO!$I:$I,B$4,CONSOLIDADO!$K:$K,"&lt;&gt;NOVO")</f>
        <v>0</v>
      </c>
      <c r="D85" s="30">
        <f>SUMIFS(CONSOLIDADO!$F:$F,CONSOLIDADO!$E:$E,$A85,CONSOLIDADO!$I:$I,C$3,CONSOLIDADO!$I:$I,C$4,CONSOLIDADO!$K:$K,"&lt;&gt;NOVO")</f>
        <v>0</v>
      </c>
      <c r="E85" s="30">
        <f>SUMIFS(CONSOLIDADO!$F:$F,CONSOLIDADO!$E:$E,$A85,CONSOLIDADO!$I:$I,D$3,CONSOLIDADO!$I:$I,D$4,CONSOLIDADO!$K:$K,"&lt;&gt;NOVO")</f>
        <v>0</v>
      </c>
      <c r="F85" s="30">
        <f>SUMIFS(CONSOLIDADO!$F:$F,CONSOLIDADO!$E:$E,$A85,CONSOLIDADO!$I:$I,E$3,CONSOLIDADO!$I:$I,E$4,CONSOLIDADO!$K:$K,"&lt;&gt;NOVO")</f>
        <v>0</v>
      </c>
      <c r="G85" s="30">
        <f>SUMIFS(CONSOLIDADO!$F:$F,CONSOLIDADO!$E:$E,$A85,CONSOLIDADO!$I:$I,F$3,CONSOLIDADO!$I:$I,F$4,CONSOLIDADO!$K:$K,"&lt;&gt;NOVO")</f>
        <v>0</v>
      </c>
      <c r="H85" s="30">
        <f>SUMIFS(CONSOLIDADO!$F:$F,CONSOLIDADO!$E:$E,$A85,CONSOLIDADO!$I:$I,G$3,CONSOLIDADO!$I:$I,G$4,CONSOLIDADO!$K:$K,"&lt;&gt;NOVO")</f>
        <v>0</v>
      </c>
      <c r="I85" s="30">
        <f>SUMIFS(CONSOLIDADO!$F:$F,CONSOLIDADO!$E:$E,$A85,CONSOLIDADO!$I:$I,H$3,CONSOLIDADO!$I:$I,H$4,CONSOLIDADO!$K:$K,"&lt;&gt;NOVO")</f>
        <v>0</v>
      </c>
      <c r="J85" s="30">
        <f>SUMIFS(CONSOLIDADO!$F:$F,CONSOLIDADO!$E:$E,$A85,CONSOLIDADO!$I:$I,I$3,CONSOLIDADO!$I:$I,I$4,CONSOLIDADO!$K:$K,"&lt;&gt;NOVO")</f>
        <v>0</v>
      </c>
      <c r="K85" s="30">
        <f>SUMIFS(CONSOLIDADO!$F:$F,CONSOLIDADO!$E:$E,$A85,CONSOLIDADO!$I:$I,J$3,CONSOLIDADO!$I:$I,J$4,CONSOLIDADO!$K:$K,"&lt;&gt;NOVO")</f>
        <v>0</v>
      </c>
      <c r="L85" s="30">
        <f>SUMIFS(CONSOLIDADO!$F:$F,CONSOLIDADO!$E:$E,$A85,CONSOLIDADO!$I:$I,K$3,CONSOLIDADO!$I:$I,K$4,CONSOLIDADO!$K:$K,"&lt;&gt;NOVO")</f>
        <v>0</v>
      </c>
      <c r="M85" s="30">
        <f>SUMIFS(CONSOLIDADO!$F:$F,CONSOLIDADO!$E:$E,$A85,CONSOLIDADO!$I:$I,L$3,CONSOLIDADO!$I:$I,L$4,CONSOLIDADO!$K:$K,"&lt;&gt;NOVO")</f>
        <v>0</v>
      </c>
      <c r="N85" s="30">
        <v>250</v>
      </c>
      <c r="O85" s="60">
        <v>0.8</v>
      </c>
      <c r="P85" s="61">
        <f t="shared" si="4"/>
        <v>0</v>
      </c>
      <c r="Q85" s="61">
        <f t="shared" si="4"/>
        <v>0</v>
      </c>
      <c r="R85" s="61">
        <f t="shared" si="4"/>
        <v>0</v>
      </c>
      <c r="S85" s="61">
        <f t="shared" si="3"/>
        <v>0</v>
      </c>
      <c r="T85" s="61">
        <f t="shared" si="3"/>
        <v>0</v>
      </c>
      <c r="U85" s="61">
        <f t="shared" si="3"/>
        <v>0</v>
      </c>
      <c r="V85" s="61">
        <f t="shared" si="3"/>
        <v>0</v>
      </c>
      <c r="W85" s="61">
        <f t="shared" si="3"/>
        <v>0</v>
      </c>
      <c r="X85" s="61">
        <f t="shared" si="3"/>
        <v>0</v>
      </c>
      <c r="Y85" s="61">
        <f t="shared" si="3"/>
        <v>0</v>
      </c>
      <c r="Z85" s="61">
        <f t="shared" si="3"/>
        <v>0</v>
      </c>
      <c r="AA85" s="61">
        <f t="shared" si="3"/>
        <v>0</v>
      </c>
      <c r="AB85" s="37"/>
    </row>
    <row r="86" spans="1:28" x14ac:dyDescent="0.25">
      <c r="A86" s="59" t="s">
        <v>456</v>
      </c>
      <c r="B86" s="30">
        <f>SUMIFS(CONSOLIDADO!$F:$F,CONSOLIDADO!$E:$E,$A86,CONSOLIDADO!$I:$I,A$3,CONSOLIDADO!$I:$I,A$4,CONSOLIDADO!$K:$K,"&lt;&gt;NOVO")</f>
        <v>0</v>
      </c>
      <c r="C86" s="30">
        <f>SUMIFS(CONSOLIDADO!$F:$F,CONSOLIDADO!$E:$E,$A86,CONSOLIDADO!$I:$I,B$3,CONSOLIDADO!$I:$I,B$4,CONSOLIDADO!$K:$K,"&lt;&gt;NOVO")</f>
        <v>0</v>
      </c>
      <c r="D86" s="30">
        <f>SUMIFS(CONSOLIDADO!$F:$F,CONSOLIDADO!$E:$E,$A86,CONSOLIDADO!$I:$I,C$3,CONSOLIDADO!$I:$I,C$4,CONSOLIDADO!$K:$K,"&lt;&gt;NOVO")</f>
        <v>0</v>
      </c>
      <c r="E86" s="30">
        <f>SUMIFS(CONSOLIDADO!$F:$F,CONSOLIDADO!$E:$E,$A86,CONSOLIDADO!$I:$I,D$3,CONSOLIDADO!$I:$I,D$4,CONSOLIDADO!$K:$K,"&lt;&gt;NOVO")</f>
        <v>0</v>
      </c>
      <c r="F86" s="30">
        <f>SUMIFS(CONSOLIDADO!$F:$F,CONSOLIDADO!$E:$E,$A86,CONSOLIDADO!$I:$I,E$3,CONSOLIDADO!$I:$I,E$4,CONSOLIDADO!$K:$K,"&lt;&gt;NOVO")</f>
        <v>0</v>
      </c>
      <c r="G86" s="30">
        <f>SUMIFS(CONSOLIDADO!$F:$F,CONSOLIDADO!$E:$E,$A86,CONSOLIDADO!$I:$I,F$3,CONSOLIDADO!$I:$I,F$4,CONSOLIDADO!$K:$K,"&lt;&gt;NOVO")</f>
        <v>0</v>
      </c>
      <c r="H86" s="30">
        <f>SUMIFS(CONSOLIDADO!$F:$F,CONSOLIDADO!$E:$E,$A86,CONSOLIDADO!$I:$I,G$3,CONSOLIDADO!$I:$I,G$4,CONSOLIDADO!$K:$K,"&lt;&gt;NOVO")</f>
        <v>0</v>
      </c>
      <c r="I86" s="30">
        <f>SUMIFS(CONSOLIDADO!$F:$F,CONSOLIDADO!$E:$E,$A86,CONSOLIDADO!$I:$I,H$3,CONSOLIDADO!$I:$I,H$4,CONSOLIDADO!$K:$K,"&lt;&gt;NOVO")</f>
        <v>0</v>
      </c>
      <c r="J86" s="30">
        <f>SUMIFS(CONSOLIDADO!$F:$F,CONSOLIDADO!$E:$E,$A86,CONSOLIDADO!$I:$I,I$3,CONSOLIDADO!$I:$I,I$4,CONSOLIDADO!$K:$K,"&lt;&gt;NOVO")</f>
        <v>0</v>
      </c>
      <c r="K86" s="30">
        <f>SUMIFS(CONSOLIDADO!$F:$F,CONSOLIDADO!$E:$E,$A86,CONSOLIDADO!$I:$I,J$3,CONSOLIDADO!$I:$I,J$4,CONSOLIDADO!$K:$K,"&lt;&gt;NOVO")</f>
        <v>0</v>
      </c>
      <c r="L86" s="30">
        <f>SUMIFS(CONSOLIDADO!$F:$F,CONSOLIDADO!$E:$E,$A86,CONSOLIDADO!$I:$I,K$3,CONSOLIDADO!$I:$I,K$4,CONSOLIDADO!$K:$K,"&lt;&gt;NOVO")</f>
        <v>0</v>
      </c>
      <c r="M86" s="30">
        <f>SUMIFS(CONSOLIDADO!$F:$F,CONSOLIDADO!$E:$E,$A86,CONSOLIDADO!$I:$I,L$3,CONSOLIDADO!$I:$I,L$4,CONSOLIDADO!$K:$K,"&lt;&gt;NOVO")</f>
        <v>0</v>
      </c>
      <c r="N86" s="30">
        <v>1300.3</v>
      </c>
      <c r="O86" s="60">
        <v>0.8</v>
      </c>
      <c r="P86" s="61">
        <f t="shared" si="4"/>
        <v>0</v>
      </c>
      <c r="Q86" s="61">
        <f t="shared" si="4"/>
        <v>0</v>
      </c>
      <c r="R86" s="61">
        <f t="shared" si="4"/>
        <v>0</v>
      </c>
      <c r="S86" s="61">
        <f t="shared" si="3"/>
        <v>0</v>
      </c>
      <c r="T86" s="61">
        <f t="shared" si="3"/>
        <v>0</v>
      </c>
      <c r="U86" s="61">
        <f t="shared" si="3"/>
        <v>0</v>
      </c>
      <c r="V86" s="61">
        <f t="shared" si="3"/>
        <v>0</v>
      </c>
      <c r="W86" s="61">
        <f t="shared" si="3"/>
        <v>0</v>
      </c>
      <c r="X86" s="61">
        <f t="shared" si="3"/>
        <v>0</v>
      </c>
      <c r="Y86" s="61">
        <f t="shared" si="3"/>
        <v>0</v>
      </c>
      <c r="Z86" s="61">
        <f t="shared" si="3"/>
        <v>0</v>
      </c>
      <c r="AA86" s="61">
        <f t="shared" si="3"/>
        <v>0</v>
      </c>
      <c r="AB86" s="37"/>
    </row>
    <row r="87" spans="1:28" x14ac:dyDescent="0.25">
      <c r="A87" s="59" t="s">
        <v>36</v>
      </c>
      <c r="B87" s="30">
        <f>SUMIFS(CONSOLIDADO!$F:$F,CONSOLIDADO!$E:$E,$A87,CONSOLIDADO!$I:$I,A$3,CONSOLIDADO!$I:$I,A$4,CONSOLIDADO!$K:$K,"&lt;&gt;NOVO")</f>
        <v>32</v>
      </c>
      <c r="C87" s="30">
        <f>SUMIFS(CONSOLIDADO!$F:$F,CONSOLIDADO!$E:$E,$A87,CONSOLIDADO!$I:$I,B$3,CONSOLIDADO!$I:$I,B$4,CONSOLIDADO!$K:$K,"&lt;&gt;NOVO")</f>
        <v>7</v>
      </c>
      <c r="D87" s="30">
        <f>SUMIFS(CONSOLIDADO!$F:$F,CONSOLIDADO!$E:$E,$A87,CONSOLIDADO!$I:$I,C$3,CONSOLIDADO!$I:$I,C$4,CONSOLIDADO!$K:$K,"&lt;&gt;NOVO")</f>
        <v>119</v>
      </c>
      <c r="E87" s="30">
        <f>SUMIFS(CONSOLIDADO!$F:$F,CONSOLIDADO!$E:$E,$A87,CONSOLIDADO!$I:$I,D$3,CONSOLIDADO!$I:$I,D$4,CONSOLIDADO!$K:$K,"&lt;&gt;NOVO")</f>
        <v>73</v>
      </c>
      <c r="F87" s="30">
        <f>SUMIFS(CONSOLIDADO!$F:$F,CONSOLIDADO!$E:$E,$A87,CONSOLIDADO!$I:$I,E$3,CONSOLIDADO!$I:$I,E$4,CONSOLIDADO!$K:$K,"&lt;&gt;NOVO")</f>
        <v>0</v>
      </c>
      <c r="G87" s="30">
        <f>SUMIFS(CONSOLIDADO!$F:$F,CONSOLIDADO!$E:$E,$A87,CONSOLIDADO!$I:$I,F$3,CONSOLIDADO!$I:$I,F$4,CONSOLIDADO!$K:$K,"&lt;&gt;NOVO")</f>
        <v>0</v>
      </c>
      <c r="H87" s="30">
        <f>SUMIFS(CONSOLIDADO!$F:$F,CONSOLIDADO!$E:$E,$A87,CONSOLIDADO!$I:$I,G$3,CONSOLIDADO!$I:$I,G$4,CONSOLIDADO!$K:$K,"&lt;&gt;NOVO")</f>
        <v>0</v>
      </c>
      <c r="I87" s="30">
        <f>SUMIFS(CONSOLIDADO!$F:$F,CONSOLIDADO!$E:$E,$A87,CONSOLIDADO!$I:$I,H$3,CONSOLIDADO!$I:$I,H$4,CONSOLIDADO!$K:$K,"&lt;&gt;NOVO")</f>
        <v>0</v>
      </c>
      <c r="J87" s="30">
        <f>SUMIFS(CONSOLIDADO!$F:$F,CONSOLIDADO!$E:$E,$A87,CONSOLIDADO!$I:$I,I$3,CONSOLIDADO!$I:$I,I$4,CONSOLIDADO!$K:$K,"&lt;&gt;NOVO")</f>
        <v>0</v>
      </c>
      <c r="K87" s="30">
        <f>SUMIFS(CONSOLIDADO!$F:$F,CONSOLIDADO!$E:$E,$A87,CONSOLIDADO!$I:$I,J$3,CONSOLIDADO!$I:$I,J$4,CONSOLIDADO!$K:$K,"&lt;&gt;NOVO")</f>
        <v>0</v>
      </c>
      <c r="L87" s="30">
        <f>SUMIFS(CONSOLIDADO!$F:$F,CONSOLIDADO!$E:$E,$A87,CONSOLIDADO!$I:$I,K$3,CONSOLIDADO!$I:$I,K$4,CONSOLIDADO!$K:$K,"&lt;&gt;NOVO")</f>
        <v>0</v>
      </c>
      <c r="M87" s="30">
        <f>SUMIFS(CONSOLIDADO!$F:$F,CONSOLIDADO!$E:$E,$A87,CONSOLIDADO!$I:$I,L$3,CONSOLIDADO!$I:$I,L$4,CONSOLIDADO!$K:$K,"&lt;&gt;NOVO")</f>
        <v>0</v>
      </c>
      <c r="N87" s="30">
        <v>188.6</v>
      </c>
      <c r="O87" s="60">
        <v>0.8</v>
      </c>
      <c r="P87" s="61">
        <f t="shared" si="4"/>
        <v>1207.0399999999997</v>
      </c>
      <c r="Q87" s="61">
        <f t="shared" si="4"/>
        <v>264.03999999999996</v>
      </c>
      <c r="R87" s="61">
        <f t="shared" si="4"/>
        <v>4488.6799999999994</v>
      </c>
      <c r="S87" s="61">
        <f t="shared" si="3"/>
        <v>2753.5599999999995</v>
      </c>
      <c r="T87" s="61">
        <f t="shared" si="3"/>
        <v>0</v>
      </c>
      <c r="U87" s="61">
        <f t="shared" si="3"/>
        <v>0</v>
      </c>
      <c r="V87" s="61">
        <f t="shared" si="3"/>
        <v>0</v>
      </c>
      <c r="W87" s="61">
        <f t="shared" si="3"/>
        <v>0</v>
      </c>
      <c r="X87" s="61">
        <f t="shared" si="3"/>
        <v>0</v>
      </c>
      <c r="Y87" s="61">
        <f t="shared" si="3"/>
        <v>0</v>
      </c>
      <c r="Z87" s="61">
        <f t="shared" si="3"/>
        <v>0</v>
      </c>
      <c r="AA87" s="61">
        <f t="shared" si="3"/>
        <v>0</v>
      </c>
      <c r="AB87" s="37"/>
    </row>
    <row r="88" spans="1:28" x14ac:dyDescent="0.25">
      <c r="A88" s="59" t="s">
        <v>392</v>
      </c>
      <c r="B88" s="30">
        <f>SUMIFS(CONSOLIDADO!$F:$F,CONSOLIDADO!$E:$E,$A88,CONSOLIDADO!$I:$I,A$3,CONSOLIDADO!$I:$I,A$4,CONSOLIDADO!$K:$K,"&lt;&gt;NOVO")</f>
        <v>0</v>
      </c>
      <c r="C88" s="30">
        <f>SUMIFS(CONSOLIDADO!$F:$F,CONSOLIDADO!$E:$E,$A88,CONSOLIDADO!$I:$I,B$3,CONSOLIDADO!$I:$I,B$4,CONSOLIDADO!$K:$K,"&lt;&gt;NOVO")</f>
        <v>0</v>
      </c>
      <c r="D88" s="30">
        <f>SUMIFS(CONSOLIDADO!$F:$F,CONSOLIDADO!$E:$E,$A88,CONSOLIDADO!$I:$I,C$3,CONSOLIDADO!$I:$I,C$4,CONSOLIDADO!$K:$K,"&lt;&gt;NOVO")</f>
        <v>0</v>
      </c>
      <c r="E88" s="30">
        <f>SUMIFS(CONSOLIDADO!$F:$F,CONSOLIDADO!$E:$E,$A88,CONSOLIDADO!$I:$I,D$3,CONSOLIDADO!$I:$I,D$4,CONSOLIDADO!$K:$K,"&lt;&gt;NOVO")</f>
        <v>0</v>
      </c>
      <c r="F88" s="30">
        <f>SUMIFS(CONSOLIDADO!$F:$F,CONSOLIDADO!$E:$E,$A88,CONSOLIDADO!$I:$I,E$3,CONSOLIDADO!$I:$I,E$4,CONSOLIDADO!$K:$K,"&lt;&gt;NOVO")</f>
        <v>0</v>
      </c>
      <c r="G88" s="30">
        <f>SUMIFS(CONSOLIDADO!$F:$F,CONSOLIDADO!$E:$E,$A88,CONSOLIDADO!$I:$I,F$3,CONSOLIDADO!$I:$I,F$4,CONSOLIDADO!$K:$K,"&lt;&gt;NOVO")</f>
        <v>0</v>
      </c>
      <c r="H88" s="30">
        <f>SUMIFS(CONSOLIDADO!$F:$F,CONSOLIDADO!$E:$E,$A88,CONSOLIDADO!$I:$I,G$3,CONSOLIDADO!$I:$I,G$4,CONSOLIDADO!$K:$K,"&lt;&gt;NOVO")</f>
        <v>0</v>
      </c>
      <c r="I88" s="30">
        <f>SUMIFS(CONSOLIDADO!$F:$F,CONSOLIDADO!$E:$E,$A88,CONSOLIDADO!$I:$I,H$3,CONSOLIDADO!$I:$I,H$4,CONSOLIDADO!$K:$K,"&lt;&gt;NOVO")</f>
        <v>0</v>
      </c>
      <c r="J88" s="30">
        <f>SUMIFS(CONSOLIDADO!$F:$F,CONSOLIDADO!$E:$E,$A88,CONSOLIDADO!$I:$I,I$3,CONSOLIDADO!$I:$I,I$4,CONSOLIDADO!$K:$K,"&lt;&gt;NOVO")</f>
        <v>0</v>
      </c>
      <c r="K88" s="30">
        <f>SUMIFS(CONSOLIDADO!$F:$F,CONSOLIDADO!$E:$E,$A88,CONSOLIDADO!$I:$I,J$3,CONSOLIDADO!$I:$I,J$4,CONSOLIDADO!$K:$K,"&lt;&gt;NOVO")</f>
        <v>0</v>
      </c>
      <c r="L88" s="30">
        <f>SUMIFS(CONSOLIDADO!$F:$F,CONSOLIDADO!$E:$E,$A88,CONSOLIDADO!$I:$I,K$3,CONSOLIDADO!$I:$I,K$4,CONSOLIDADO!$K:$K,"&lt;&gt;NOVO")</f>
        <v>0</v>
      </c>
      <c r="M88" s="30">
        <f>SUMIFS(CONSOLIDADO!$F:$F,CONSOLIDADO!$E:$E,$A88,CONSOLIDADO!$I:$I,L$3,CONSOLIDADO!$I:$I,L$4,CONSOLIDADO!$K:$K,"&lt;&gt;NOVO")</f>
        <v>0</v>
      </c>
      <c r="N88" s="30">
        <v>188.6</v>
      </c>
      <c r="O88" s="60">
        <v>0.8</v>
      </c>
      <c r="P88" s="61">
        <f t="shared" si="4"/>
        <v>0</v>
      </c>
      <c r="Q88" s="61">
        <f t="shared" si="4"/>
        <v>0</v>
      </c>
      <c r="R88" s="61">
        <f t="shared" si="4"/>
        <v>0</v>
      </c>
      <c r="S88" s="61">
        <f t="shared" si="3"/>
        <v>0</v>
      </c>
      <c r="T88" s="61">
        <f t="shared" si="3"/>
        <v>0</v>
      </c>
      <c r="U88" s="61">
        <f t="shared" si="3"/>
        <v>0</v>
      </c>
      <c r="V88" s="61">
        <f t="shared" si="3"/>
        <v>0</v>
      </c>
      <c r="W88" s="61">
        <f t="shared" si="3"/>
        <v>0</v>
      </c>
      <c r="X88" s="61">
        <f t="shared" si="3"/>
        <v>0</v>
      </c>
      <c r="Y88" s="61">
        <f t="shared" si="3"/>
        <v>0</v>
      </c>
      <c r="Z88" s="61">
        <f t="shared" si="3"/>
        <v>0</v>
      </c>
      <c r="AA88" s="61">
        <f t="shared" si="3"/>
        <v>0</v>
      </c>
      <c r="AB88" s="37"/>
    </row>
    <row r="89" spans="1:28" x14ac:dyDescent="0.25">
      <c r="A89" t="s">
        <v>457</v>
      </c>
      <c r="B89" s="30">
        <f>SUMIFS(CONSOLIDADO!$F:$F,CONSOLIDADO!$E:$E,$A89,CONSOLIDADO!$I:$I,A$3,CONSOLIDADO!$I:$I,A$4,CONSOLIDADO!$K:$K,"&lt;&gt;NOVO")</f>
        <v>0</v>
      </c>
      <c r="C89" s="30">
        <f>SUMIFS(CONSOLIDADO!$F:$F,CONSOLIDADO!$E:$E,$A89,CONSOLIDADO!$I:$I,B$3,CONSOLIDADO!$I:$I,B$4,CONSOLIDADO!$K:$K,"&lt;&gt;NOVO")</f>
        <v>0</v>
      </c>
      <c r="D89" s="30">
        <f>SUMIFS(CONSOLIDADO!$F:$F,CONSOLIDADO!$E:$E,$A89,CONSOLIDADO!$I:$I,C$3,CONSOLIDADO!$I:$I,C$4,CONSOLIDADO!$K:$K,"&lt;&gt;NOVO")</f>
        <v>0</v>
      </c>
      <c r="E89" s="30">
        <f>SUMIFS(CONSOLIDADO!$F:$F,CONSOLIDADO!$E:$E,$A89,CONSOLIDADO!$I:$I,D$3,CONSOLIDADO!$I:$I,D$4,CONSOLIDADO!$K:$K,"&lt;&gt;NOVO")</f>
        <v>0</v>
      </c>
      <c r="F89" s="30">
        <f>SUMIFS(CONSOLIDADO!$F:$F,CONSOLIDADO!$E:$E,$A89,CONSOLIDADO!$I:$I,E$3,CONSOLIDADO!$I:$I,E$4,CONSOLIDADO!$K:$K,"&lt;&gt;NOVO")</f>
        <v>0</v>
      </c>
      <c r="G89" s="30">
        <f>SUMIFS(CONSOLIDADO!$F:$F,CONSOLIDADO!$E:$E,$A89,CONSOLIDADO!$I:$I,F$3,CONSOLIDADO!$I:$I,F$4,CONSOLIDADO!$K:$K,"&lt;&gt;NOVO")</f>
        <v>0</v>
      </c>
      <c r="H89" s="30">
        <f>SUMIFS(CONSOLIDADO!$F:$F,CONSOLIDADO!$E:$E,$A89,CONSOLIDADO!$I:$I,G$3,CONSOLIDADO!$I:$I,G$4,CONSOLIDADO!$K:$K,"&lt;&gt;NOVO")</f>
        <v>0</v>
      </c>
      <c r="I89" s="30">
        <f>SUMIFS(CONSOLIDADO!$F:$F,CONSOLIDADO!$E:$E,$A89,CONSOLIDADO!$I:$I,H$3,CONSOLIDADO!$I:$I,H$4,CONSOLIDADO!$K:$K,"&lt;&gt;NOVO")</f>
        <v>0</v>
      </c>
      <c r="J89" s="30">
        <f>SUMIFS(CONSOLIDADO!$F:$F,CONSOLIDADO!$E:$E,$A89,CONSOLIDADO!$I:$I,I$3,CONSOLIDADO!$I:$I,I$4,CONSOLIDADO!$K:$K,"&lt;&gt;NOVO")</f>
        <v>0</v>
      </c>
      <c r="K89" s="30">
        <f>SUMIFS(CONSOLIDADO!$F:$F,CONSOLIDADO!$E:$E,$A89,CONSOLIDADO!$I:$I,J$3,CONSOLIDADO!$I:$I,J$4,CONSOLIDADO!$K:$K,"&lt;&gt;NOVO")</f>
        <v>0</v>
      </c>
      <c r="L89" s="30">
        <f>SUMIFS(CONSOLIDADO!$F:$F,CONSOLIDADO!$E:$E,$A89,CONSOLIDADO!$I:$I,K$3,CONSOLIDADO!$I:$I,K$4,CONSOLIDADO!$K:$K,"&lt;&gt;NOVO")</f>
        <v>0</v>
      </c>
      <c r="M89" s="30">
        <f>SUMIFS(CONSOLIDADO!$F:$F,CONSOLIDADO!$E:$E,$A89,CONSOLIDADO!$I:$I,L$3,CONSOLIDADO!$I:$I,L$4,CONSOLIDADO!$K:$K,"&lt;&gt;NOVO")</f>
        <v>0</v>
      </c>
      <c r="N89" s="30">
        <v>2000</v>
      </c>
      <c r="O89" s="60">
        <v>0.8</v>
      </c>
      <c r="P89" s="61">
        <f t="shared" si="4"/>
        <v>0</v>
      </c>
      <c r="Q89" s="61">
        <f t="shared" si="4"/>
        <v>0</v>
      </c>
      <c r="R89" s="61">
        <f t="shared" si="4"/>
        <v>0</v>
      </c>
      <c r="S89" s="61">
        <f t="shared" si="3"/>
        <v>0</v>
      </c>
      <c r="T89" s="61">
        <f t="shared" si="3"/>
        <v>0</v>
      </c>
      <c r="U89" s="61">
        <f t="shared" si="3"/>
        <v>0</v>
      </c>
      <c r="V89" s="61">
        <f t="shared" si="3"/>
        <v>0</v>
      </c>
      <c r="W89" s="61">
        <f t="shared" si="3"/>
        <v>0</v>
      </c>
      <c r="X89" s="61">
        <f t="shared" si="3"/>
        <v>0</v>
      </c>
      <c r="Y89" s="61">
        <f t="shared" si="3"/>
        <v>0</v>
      </c>
      <c r="Z89" s="61">
        <f t="shared" si="3"/>
        <v>0</v>
      </c>
      <c r="AA89" s="61">
        <f t="shared" si="3"/>
        <v>0</v>
      </c>
      <c r="AB89" s="37"/>
    </row>
    <row r="90" spans="1:28" x14ac:dyDescent="0.25">
      <c r="A90" s="59" t="s">
        <v>393</v>
      </c>
      <c r="B90" s="30">
        <f>SUMIFS(CONSOLIDADO!$F:$F,CONSOLIDADO!$E:$E,$A90,CONSOLIDADO!$I:$I,A$3,CONSOLIDADO!$I:$I,A$4,CONSOLIDADO!$K:$K,"&lt;&gt;NOVO")</f>
        <v>0</v>
      </c>
      <c r="C90" s="30">
        <f>SUMIFS(CONSOLIDADO!$F:$F,CONSOLIDADO!$E:$E,$A90,CONSOLIDADO!$I:$I,B$3,CONSOLIDADO!$I:$I,B$4,CONSOLIDADO!$K:$K,"&lt;&gt;NOVO")</f>
        <v>0</v>
      </c>
      <c r="D90" s="30">
        <f>SUMIFS(CONSOLIDADO!$F:$F,CONSOLIDADO!$E:$E,$A90,CONSOLIDADO!$I:$I,C$3,CONSOLIDADO!$I:$I,C$4,CONSOLIDADO!$K:$K,"&lt;&gt;NOVO")</f>
        <v>0</v>
      </c>
      <c r="E90" s="30">
        <f>SUMIFS(CONSOLIDADO!$F:$F,CONSOLIDADO!$E:$E,$A90,CONSOLIDADO!$I:$I,D$3,CONSOLIDADO!$I:$I,D$4,CONSOLIDADO!$K:$K,"&lt;&gt;NOVO")</f>
        <v>0</v>
      </c>
      <c r="F90" s="30">
        <f>SUMIFS(CONSOLIDADO!$F:$F,CONSOLIDADO!$E:$E,$A90,CONSOLIDADO!$I:$I,E$3,CONSOLIDADO!$I:$I,E$4,CONSOLIDADO!$K:$K,"&lt;&gt;NOVO")</f>
        <v>0</v>
      </c>
      <c r="G90" s="30">
        <f>SUMIFS(CONSOLIDADO!$F:$F,CONSOLIDADO!$E:$E,$A90,CONSOLIDADO!$I:$I,F$3,CONSOLIDADO!$I:$I,F$4,CONSOLIDADO!$K:$K,"&lt;&gt;NOVO")</f>
        <v>0</v>
      </c>
      <c r="H90" s="30">
        <f>SUMIFS(CONSOLIDADO!$F:$F,CONSOLIDADO!$E:$E,$A90,CONSOLIDADO!$I:$I,G$3,CONSOLIDADO!$I:$I,G$4,CONSOLIDADO!$K:$K,"&lt;&gt;NOVO")</f>
        <v>0</v>
      </c>
      <c r="I90" s="30">
        <f>SUMIFS(CONSOLIDADO!$F:$F,CONSOLIDADO!$E:$E,$A90,CONSOLIDADO!$I:$I,H$3,CONSOLIDADO!$I:$I,H$4,CONSOLIDADO!$K:$K,"&lt;&gt;NOVO")</f>
        <v>0</v>
      </c>
      <c r="J90" s="30">
        <f>SUMIFS(CONSOLIDADO!$F:$F,CONSOLIDADO!$E:$E,$A90,CONSOLIDADO!$I:$I,I$3,CONSOLIDADO!$I:$I,I$4,CONSOLIDADO!$K:$K,"&lt;&gt;NOVO")</f>
        <v>0</v>
      </c>
      <c r="K90" s="30">
        <f>SUMIFS(CONSOLIDADO!$F:$F,CONSOLIDADO!$E:$E,$A90,CONSOLIDADO!$I:$I,J$3,CONSOLIDADO!$I:$I,J$4,CONSOLIDADO!$K:$K,"&lt;&gt;NOVO")</f>
        <v>0</v>
      </c>
      <c r="L90" s="30">
        <f>SUMIFS(CONSOLIDADO!$F:$F,CONSOLIDADO!$E:$E,$A90,CONSOLIDADO!$I:$I,K$3,CONSOLIDADO!$I:$I,K$4,CONSOLIDADO!$K:$K,"&lt;&gt;NOVO")</f>
        <v>0</v>
      </c>
      <c r="M90" s="30">
        <f>SUMIFS(CONSOLIDADO!$F:$F,CONSOLIDADO!$E:$E,$A90,CONSOLIDADO!$I:$I,L$3,CONSOLIDADO!$I:$I,L$4,CONSOLIDADO!$K:$K,"&lt;&gt;NOVO")</f>
        <v>0</v>
      </c>
      <c r="N90" s="30">
        <v>259.27</v>
      </c>
      <c r="O90" s="60">
        <v>0.8</v>
      </c>
      <c r="P90" s="61">
        <f t="shared" si="4"/>
        <v>0</v>
      </c>
      <c r="Q90" s="61">
        <f t="shared" si="4"/>
        <v>0</v>
      </c>
      <c r="R90" s="61">
        <f t="shared" si="4"/>
        <v>0</v>
      </c>
      <c r="S90" s="61">
        <f t="shared" si="3"/>
        <v>0</v>
      </c>
      <c r="T90" s="61">
        <f t="shared" si="3"/>
        <v>0</v>
      </c>
      <c r="U90" s="61">
        <f t="shared" si="3"/>
        <v>0</v>
      </c>
      <c r="V90" s="61">
        <f t="shared" si="3"/>
        <v>0</v>
      </c>
      <c r="W90" s="61">
        <f t="shared" si="3"/>
        <v>0</v>
      </c>
      <c r="X90" s="61">
        <f t="shared" si="3"/>
        <v>0</v>
      </c>
      <c r="Y90" s="61">
        <f t="shared" si="3"/>
        <v>0</v>
      </c>
      <c r="Z90" s="61">
        <f t="shared" si="3"/>
        <v>0</v>
      </c>
      <c r="AA90" s="61">
        <f t="shared" si="3"/>
        <v>0</v>
      </c>
      <c r="AB90" s="37"/>
    </row>
    <row r="91" spans="1:28" x14ac:dyDescent="0.25">
      <c r="A91" s="59" t="s">
        <v>458</v>
      </c>
      <c r="B91" s="30">
        <f>SUMIFS(CONSOLIDADO!$F:$F,CONSOLIDADO!$E:$E,$A91,CONSOLIDADO!$I:$I,A$3,CONSOLIDADO!$I:$I,A$4,CONSOLIDADO!$K:$K,"&lt;&gt;NOVO")</f>
        <v>0</v>
      </c>
      <c r="C91" s="30">
        <f>SUMIFS(CONSOLIDADO!$F:$F,CONSOLIDADO!$E:$E,$A91,CONSOLIDADO!$I:$I,B$3,CONSOLIDADO!$I:$I,B$4,CONSOLIDADO!$K:$K,"&lt;&gt;NOVO")</f>
        <v>0</v>
      </c>
      <c r="D91" s="30">
        <f>SUMIFS(CONSOLIDADO!$F:$F,CONSOLIDADO!$E:$E,$A91,CONSOLIDADO!$I:$I,C$3,CONSOLIDADO!$I:$I,C$4,CONSOLIDADO!$K:$K,"&lt;&gt;NOVO")</f>
        <v>0</v>
      </c>
      <c r="E91" s="30">
        <f>SUMIFS(CONSOLIDADO!$F:$F,CONSOLIDADO!$E:$E,$A91,CONSOLIDADO!$I:$I,D$3,CONSOLIDADO!$I:$I,D$4,CONSOLIDADO!$K:$K,"&lt;&gt;NOVO")</f>
        <v>0</v>
      </c>
      <c r="F91" s="30">
        <f>SUMIFS(CONSOLIDADO!$F:$F,CONSOLIDADO!$E:$E,$A91,CONSOLIDADO!$I:$I,E$3,CONSOLIDADO!$I:$I,E$4,CONSOLIDADO!$K:$K,"&lt;&gt;NOVO")</f>
        <v>0</v>
      </c>
      <c r="G91" s="30">
        <f>SUMIFS(CONSOLIDADO!$F:$F,CONSOLIDADO!$E:$E,$A91,CONSOLIDADO!$I:$I,F$3,CONSOLIDADO!$I:$I,F$4,CONSOLIDADO!$K:$K,"&lt;&gt;NOVO")</f>
        <v>0</v>
      </c>
      <c r="H91" s="30">
        <f>SUMIFS(CONSOLIDADO!$F:$F,CONSOLIDADO!$E:$E,$A91,CONSOLIDADO!$I:$I,G$3,CONSOLIDADO!$I:$I,G$4,CONSOLIDADO!$K:$K,"&lt;&gt;NOVO")</f>
        <v>0</v>
      </c>
      <c r="I91" s="30">
        <f>SUMIFS(CONSOLIDADO!$F:$F,CONSOLIDADO!$E:$E,$A91,CONSOLIDADO!$I:$I,H$3,CONSOLIDADO!$I:$I,H$4,CONSOLIDADO!$K:$K,"&lt;&gt;NOVO")</f>
        <v>0</v>
      </c>
      <c r="J91" s="30">
        <f>SUMIFS(CONSOLIDADO!$F:$F,CONSOLIDADO!$E:$E,$A91,CONSOLIDADO!$I:$I,I$3,CONSOLIDADO!$I:$I,I$4,CONSOLIDADO!$K:$K,"&lt;&gt;NOVO")</f>
        <v>0</v>
      </c>
      <c r="K91" s="30">
        <f>SUMIFS(CONSOLIDADO!$F:$F,CONSOLIDADO!$E:$E,$A91,CONSOLIDADO!$I:$I,J$3,CONSOLIDADO!$I:$I,J$4,CONSOLIDADO!$K:$K,"&lt;&gt;NOVO")</f>
        <v>0</v>
      </c>
      <c r="L91" s="30">
        <f>SUMIFS(CONSOLIDADO!$F:$F,CONSOLIDADO!$E:$E,$A91,CONSOLIDADO!$I:$I,K$3,CONSOLIDADO!$I:$I,K$4,CONSOLIDADO!$K:$K,"&lt;&gt;NOVO")</f>
        <v>0</v>
      </c>
      <c r="M91" s="30">
        <f>SUMIFS(CONSOLIDADO!$F:$F,CONSOLIDADO!$E:$E,$A91,CONSOLIDADO!$I:$I,L$3,CONSOLIDADO!$I:$I,L$4,CONSOLIDADO!$K:$K,"&lt;&gt;NOVO")</f>
        <v>0</v>
      </c>
      <c r="N91" s="30">
        <v>746.48</v>
      </c>
      <c r="O91" s="60">
        <v>0.8</v>
      </c>
      <c r="P91" s="61">
        <f t="shared" si="4"/>
        <v>0</v>
      </c>
      <c r="Q91" s="61">
        <f t="shared" si="4"/>
        <v>0</v>
      </c>
      <c r="R91" s="61">
        <f t="shared" si="4"/>
        <v>0</v>
      </c>
      <c r="S91" s="61">
        <f t="shared" si="3"/>
        <v>0</v>
      </c>
      <c r="T91" s="61">
        <f t="shared" si="3"/>
        <v>0</v>
      </c>
      <c r="U91" s="61">
        <f t="shared" si="3"/>
        <v>0</v>
      </c>
      <c r="V91" s="61">
        <f t="shared" si="3"/>
        <v>0</v>
      </c>
      <c r="W91" s="61">
        <f t="shared" si="3"/>
        <v>0</v>
      </c>
      <c r="X91" s="61">
        <f t="shared" si="3"/>
        <v>0</v>
      </c>
      <c r="Y91" s="61">
        <f t="shared" si="3"/>
        <v>0</v>
      </c>
      <c r="Z91" s="61">
        <f t="shared" si="3"/>
        <v>0</v>
      </c>
      <c r="AA91" s="61">
        <f t="shared" si="3"/>
        <v>0</v>
      </c>
      <c r="AB91" s="37"/>
    </row>
    <row r="92" spans="1:28" x14ac:dyDescent="0.25">
      <c r="A92" s="59" t="s">
        <v>287</v>
      </c>
      <c r="B92" s="30">
        <f>SUMIFS(CONSOLIDADO!$F:$F,CONSOLIDADO!$E:$E,$A92,CONSOLIDADO!$I:$I,A$3,CONSOLIDADO!$I:$I,A$4,CONSOLIDADO!$K:$K,"&lt;&gt;NOVO")</f>
        <v>0</v>
      </c>
      <c r="C92" s="30">
        <f>SUMIFS(CONSOLIDADO!$F:$F,CONSOLIDADO!$E:$E,$A92,CONSOLIDADO!$I:$I,B$3,CONSOLIDADO!$I:$I,B$4,CONSOLIDADO!$K:$K,"&lt;&gt;NOVO")</f>
        <v>0</v>
      </c>
      <c r="D92" s="30">
        <f>SUMIFS(CONSOLIDADO!$F:$F,CONSOLIDADO!$E:$E,$A92,CONSOLIDADO!$I:$I,C$3,CONSOLIDADO!$I:$I,C$4,CONSOLIDADO!$K:$K,"&lt;&gt;NOVO")</f>
        <v>0</v>
      </c>
      <c r="E92" s="30">
        <f>SUMIFS(CONSOLIDADO!$F:$F,CONSOLIDADO!$E:$E,$A92,CONSOLIDADO!$I:$I,D$3,CONSOLIDADO!$I:$I,D$4,CONSOLIDADO!$K:$K,"&lt;&gt;NOVO")</f>
        <v>2</v>
      </c>
      <c r="F92" s="30">
        <f>SUMIFS(CONSOLIDADO!$F:$F,CONSOLIDADO!$E:$E,$A92,CONSOLIDADO!$I:$I,E$3,CONSOLIDADO!$I:$I,E$4,CONSOLIDADO!$K:$K,"&lt;&gt;NOVO")</f>
        <v>0</v>
      </c>
      <c r="G92" s="30">
        <f>SUMIFS(CONSOLIDADO!$F:$F,CONSOLIDADO!$E:$E,$A92,CONSOLIDADO!$I:$I,F$3,CONSOLIDADO!$I:$I,F$4,CONSOLIDADO!$K:$K,"&lt;&gt;NOVO")</f>
        <v>0</v>
      </c>
      <c r="H92" s="30">
        <f>SUMIFS(CONSOLIDADO!$F:$F,CONSOLIDADO!$E:$E,$A92,CONSOLIDADO!$I:$I,G$3,CONSOLIDADO!$I:$I,G$4,CONSOLIDADO!$K:$K,"&lt;&gt;NOVO")</f>
        <v>0</v>
      </c>
      <c r="I92" s="30">
        <f>SUMIFS(CONSOLIDADO!$F:$F,CONSOLIDADO!$E:$E,$A92,CONSOLIDADO!$I:$I,H$3,CONSOLIDADO!$I:$I,H$4,CONSOLIDADO!$K:$K,"&lt;&gt;NOVO")</f>
        <v>0</v>
      </c>
      <c r="J92" s="30">
        <f>SUMIFS(CONSOLIDADO!$F:$F,CONSOLIDADO!$E:$E,$A92,CONSOLIDADO!$I:$I,I$3,CONSOLIDADO!$I:$I,I$4,CONSOLIDADO!$K:$K,"&lt;&gt;NOVO")</f>
        <v>0</v>
      </c>
      <c r="K92" s="30">
        <f>SUMIFS(CONSOLIDADO!$F:$F,CONSOLIDADO!$E:$E,$A92,CONSOLIDADO!$I:$I,J$3,CONSOLIDADO!$I:$I,J$4,CONSOLIDADO!$K:$K,"&lt;&gt;NOVO")</f>
        <v>0</v>
      </c>
      <c r="L92" s="30">
        <f>SUMIFS(CONSOLIDADO!$F:$F,CONSOLIDADO!$E:$E,$A92,CONSOLIDADO!$I:$I,K$3,CONSOLIDADO!$I:$I,K$4,CONSOLIDADO!$K:$K,"&lt;&gt;NOVO")</f>
        <v>0</v>
      </c>
      <c r="M92" s="30">
        <f>SUMIFS(CONSOLIDADO!$F:$F,CONSOLIDADO!$E:$E,$A92,CONSOLIDADO!$I:$I,L$3,CONSOLIDADO!$I:$I,L$4,CONSOLIDADO!$K:$K,"&lt;&gt;NOVO")</f>
        <v>0</v>
      </c>
      <c r="N92" s="30">
        <v>746.48</v>
      </c>
      <c r="O92" s="60">
        <v>0.8</v>
      </c>
      <c r="P92" s="61">
        <f t="shared" si="4"/>
        <v>0</v>
      </c>
      <c r="Q92" s="61">
        <f t="shared" si="4"/>
        <v>0</v>
      </c>
      <c r="R92" s="61">
        <f t="shared" si="4"/>
        <v>0</v>
      </c>
      <c r="S92" s="61">
        <f t="shared" si="3"/>
        <v>298.59199999999993</v>
      </c>
      <c r="T92" s="61">
        <f t="shared" si="3"/>
        <v>0</v>
      </c>
      <c r="U92" s="61">
        <f t="shared" si="3"/>
        <v>0</v>
      </c>
      <c r="V92" s="61">
        <f t="shared" si="3"/>
        <v>0</v>
      </c>
      <c r="W92" s="61">
        <f t="shared" si="3"/>
        <v>0</v>
      </c>
      <c r="X92" s="61">
        <f t="shared" si="3"/>
        <v>0</v>
      </c>
      <c r="Y92" s="61">
        <f t="shared" si="3"/>
        <v>0</v>
      </c>
      <c r="Z92" s="61">
        <f t="shared" si="3"/>
        <v>0</v>
      </c>
      <c r="AA92" s="61">
        <f t="shared" si="3"/>
        <v>0</v>
      </c>
      <c r="AB92" s="37"/>
    </row>
    <row r="93" spans="1:28" x14ac:dyDescent="0.25">
      <c r="A93" s="59" t="s">
        <v>286</v>
      </c>
      <c r="B93" s="30">
        <f>SUMIFS(CONSOLIDADO!$F:$F,CONSOLIDADO!$E:$E,$A93,CONSOLIDADO!$I:$I,A$3,CONSOLIDADO!$I:$I,A$4,CONSOLIDADO!$K:$K,"&lt;&gt;NOVO")</f>
        <v>0</v>
      </c>
      <c r="C93" s="30">
        <f>SUMIFS(CONSOLIDADO!$F:$F,CONSOLIDADO!$E:$E,$A93,CONSOLIDADO!$I:$I,B$3,CONSOLIDADO!$I:$I,B$4,CONSOLIDADO!$K:$K,"&lt;&gt;NOVO")</f>
        <v>0</v>
      </c>
      <c r="D93" s="30">
        <f>SUMIFS(CONSOLIDADO!$F:$F,CONSOLIDADO!$E:$E,$A93,CONSOLIDADO!$I:$I,C$3,CONSOLIDADO!$I:$I,C$4,CONSOLIDADO!$K:$K,"&lt;&gt;NOVO")</f>
        <v>0</v>
      </c>
      <c r="E93" s="30">
        <f>SUMIFS(CONSOLIDADO!$F:$F,CONSOLIDADO!$E:$E,$A93,CONSOLIDADO!$I:$I,D$3,CONSOLIDADO!$I:$I,D$4,CONSOLIDADO!$K:$K,"&lt;&gt;NOVO")</f>
        <v>2</v>
      </c>
      <c r="F93" s="30">
        <f>SUMIFS(CONSOLIDADO!$F:$F,CONSOLIDADO!$E:$E,$A93,CONSOLIDADO!$I:$I,E$3,CONSOLIDADO!$I:$I,E$4,CONSOLIDADO!$K:$K,"&lt;&gt;NOVO")</f>
        <v>0</v>
      </c>
      <c r="G93" s="30">
        <f>SUMIFS(CONSOLIDADO!$F:$F,CONSOLIDADO!$E:$E,$A93,CONSOLIDADO!$I:$I,F$3,CONSOLIDADO!$I:$I,F$4,CONSOLIDADO!$K:$K,"&lt;&gt;NOVO")</f>
        <v>0</v>
      </c>
      <c r="H93" s="30">
        <f>SUMIFS(CONSOLIDADO!$F:$F,CONSOLIDADO!$E:$E,$A93,CONSOLIDADO!$I:$I,G$3,CONSOLIDADO!$I:$I,G$4,CONSOLIDADO!$K:$K,"&lt;&gt;NOVO")</f>
        <v>0</v>
      </c>
      <c r="I93" s="30">
        <f>SUMIFS(CONSOLIDADO!$F:$F,CONSOLIDADO!$E:$E,$A93,CONSOLIDADO!$I:$I,H$3,CONSOLIDADO!$I:$I,H$4,CONSOLIDADO!$K:$K,"&lt;&gt;NOVO")</f>
        <v>0</v>
      </c>
      <c r="J93" s="30">
        <f>SUMIFS(CONSOLIDADO!$F:$F,CONSOLIDADO!$E:$E,$A93,CONSOLIDADO!$I:$I,I$3,CONSOLIDADO!$I:$I,I$4,CONSOLIDADO!$K:$K,"&lt;&gt;NOVO")</f>
        <v>0</v>
      </c>
      <c r="K93" s="30">
        <f>SUMIFS(CONSOLIDADO!$F:$F,CONSOLIDADO!$E:$E,$A93,CONSOLIDADO!$I:$I,J$3,CONSOLIDADO!$I:$I,J$4,CONSOLIDADO!$K:$K,"&lt;&gt;NOVO")</f>
        <v>0</v>
      </c>
      <c r="L93" s="30">
        <f>SUMIFS(CONSOLIDADO!$F:$F,CONSOLIDADO!$E:$E,$A93,CONSOLIDADO!$I:$I,K$3,CONSOLIDADO!$I:$I,K$4,CONSOLIDADO!$K:$K,"&lt;&gt;NOVO")</f>
        <v>0</v>
      </c>
      <c r="M93" s="30">
        <f>SUMIFS(CONSOLIDADO!$F:$F,CONSOLIDADO!$E:$E,$A93,CONSOLIDADO!$I:$I,L$3,CONSOLIDADO!$I:$I,L$4,CONSOLIDADO!$K:$K,"&lt;&gt;NOVO")</f>
        <v>0</v>
      </c>
      <c r="N93" s="30">
        <v>1719.82</v>
      </c>
      <c r="O93" s="60">
        <v>0.8</v>
      </c>
      <c r="P93" s="61">
        <f t="shared" si="4"/>
        <v>0</v>
      </c>
      <c r="Q93" s="61">
        <f t="shared" si="4"/>
        <v>0</v>
      </c>
      <c r="R93" s="61">
        <f t="shared" si="4"/>
        <v>0</v>
      </c>
      <c r="S93" s="61">
        <f t="shared" si="3"/>
        <v>687.92799999999977</v>
      </c>
      <c r="T93" s="61">
        <f t="shared" si="3"/>
        <v>0</v>
      </c>
      <c r="U93" s="61">
        <f t="shared" si="3"/>
        <v>0</v>
      </c>
      <c r="V93" s="61">
        <f t="shared" si="3"/>
        <v>0</v>
      </c>
      <c r="W93" s="61">
        <f t="shared" si="3"/>
        <v>0</v>
      </c>
      <c r="X93" s="61">
        <f t="shared" si="3"/>
        <v>0</v>
      </c>
      <c r="Y93" s="61">
        <f t="shared" si="3"/>
        <v>0</v>
      </c>
      <c r="Z93" s="61">
        <f t="shared" si="3"/>
        <v>0</v>
      </c>
      <c r="AA93" s="61">
        <f t="shared" si="3"/>
        <v>0</v>
      </c>
      <c r="AB93" s="37"/>
    </row>
    <row r="94" spans="1:28" x14ac:dyDescent="0.25">
      <c r="A94" s="59" t="s">
        <v>94</v>
      </c>
      <c r="B94" s="30">
        <f>SUMIFS(CONSOLIDADO!$F:$F,CONSOLIDADO!$E:$E,$A94,CONSOLIDADO!$I:$I,A$3,CONSOLIDADO!$I:$I,A$4,CONSOLIDADO!$K:$K,"&lt;&gt;NOVO")</f>
        <v>1</v>
      </c>
      <c r="C94" s="30">
        <f>SUMIFS(CONSOLIDADO!$F:$F,CONSOLIDADO!$E:$E,$A94,CONSOLIDADO!$I:$I,B$3,CONSOLIDADO!$I:$I,B$4,CONSOLIDADO!$K:$K,"&lt;&gt;NOVO")</f>
        <v>1</v>
      </c>
      <c r="D94" s="30">
        <f>SUMIFS(CONSOLIDADO!$F:$F,CONSOLIDADO!$E:$E,$A94,CONSOLIDADO!$I:$I,C$3,CONSOLIDADO!$I:$I,C$4,CONSOLIDADO!$K:$K,"&lt;&gt;NOVO")</f>
        <v>21</v>
      </c>
      <c r="E94" s="30">
        <f>SUMIFS(CONSOLIDADO!$F:$F,CONSOLIDADO!$E:$E,$A94,CONSOLIDADO!$I:$I,D$3,CONSOLIDADO!$I:$I,D$4,CONSOLIDADO!$K:$K,"&lt;&gt;NOVO")</f>
        <v>6</v>
      </c>
      <c r="F94" s="30">
        <f>SUMIFS(CONSOLIDADO!$F:$F,CONSOLIDADO!$E:$E,$A94,CONSOLIDADO!$I:$I,E$3,CONSOLIDADO!$I:$I,E$4,CONSOLIDADO!$K:$K,"&lt;&gt;NOVO")</f>
        <v>0</v>
      </c>
      <c r="G94" s="30">
        <f>SUMIFS(CONSOLIDADO!$F:$F,CONSOLIDADO!$E:$E,$A94,CONSOLIDADO!$I:$I,F$3,CONSOLIDADO!$I:$I,F$4,CONSOLIDADO!$K:$K,"&lt;&gt;NOVO")</f>
        <v>0</v>
      </c>
      <c r="H94" s="30">
        <f>SUMIFS(CONSOLIDADO!$F:$F,CONSOLIDADO!$E:$E,$A94,CONSOLIDADO!$I:$I,G$3,CONSOLIDADO!$I:$I,G$4,CONSOLIDADO!$K:$K,"&lt;&gt;NOVO")</f>
        <v>0</v>
      </c>
      <c r="I94" s="30">
        <f>SUMIFS(CONSOLIDADO!$F:$F,CONSOLIDADO!$E:$E,$A94,CONSOLIDADO!$I:$I,H$3,CONSOLIDADO!$I:$I,H$4,CONSOLIDADO!$K:$K,"&lt;&gt;NOVO")</f>
        <v>0</v>
      </c>
      <c r="J94" s="30">
        <f>SUMIFS(CONSOLIDADO!$F:$F,CONSOLIDADO!$E:$E,$A94,CONSOLIDADO!$I:$I,I$3,CONSOLIDADO!$I:$I,I$4,CONSOLIDADO!$K:$K,"&lt;&gt;NOVO")</f>
        <v>0</v>
      </c>
      <c r="K94" s="30">
        <f>SUMIFS(CONSOLIDADO!$F:$F,CONSOLIDADO!$E:$E,$A94,CONSOLIDADO!$I:$I,J$3,CONSOLIDADO!$I:$I,J$4,CONSOLIDADO!$K:$K,"&lt;&gt;NOVO")</f>
        <v>0</v>
      </c>
      <c r="L94" s="30">
        <f>SUMIFS(CONSOLIDADO!$F:$F,CONSOLIDADO!$E:$E,$A94,CONSOLIDADO!$I:$I,K$3,CONSOLIDADO!$I:$I,K$4,CONSOLIDADO!$K:$K,"&lt;&gt;NOVO")</f>
        <v>0</v>
      </c>
      <c r="M94" s="30">
        <f>SUMIFS(CONSOLIDADO!$F:$F,CONSOLIDADO!$E:$E,$A94,CONSOLIDADO!$I:$I,L$3,CONSOLIDADO!$I:$I,L$4,CONSOLIDADO!$K:$K,"&lt;&gt;NOVO")</f>
        <v>0</v>
      </c>
      <c r="N94" s="30">
        <v>639.86</v>
      </c>
      <c r="O94" s="60">
        <v>0.8</v>
      </c>
      <c r="P94" s="61">
        <f t="shared" si="4"/>
        <v>127.97199999999998</v>
      </c>
      <c r="Q94" s="61">
        <f t="shared" si="4"/>
        <v>127.97199999999998</v>
      </c>
      <c r="R94" s="61">
        <f t="shared" si="4"/>
        <v>2687.4119999999994</v>
      </c>
      <c r="S94" s="61">
        <f t="shared" si="3"/>
        <v>767.83199999999988</v>
      </c>
      <c r="T94" s="61">
        <f t="shared" si="3"/>
        <v>0</v>
      </c>
      <c r="U94" s="61">
        <f t="shared" si="3"/>
        <v>0</v>
      </c>
      <c r="V94" s="61">
        <f t="shared" ref="V94:AA99" si="5">H94*($N94*(1-$O94))</f>
        <v>0</v>
      </c>
      <c r="W94" s="61">
        <f t="shared" si="5"/>
        <v>0</v>
      </c>
      <c r="X94" s="61">
        <f t="shared" si="5"/>
        <v>0</v>
      </c>
      <c r="Y94" s="61">
        <f t="shared" si="5"/>
        <v>0</v>
      </c>
      <c r="Z94" s="61">
        <f t="shared" si="5"/>
        <v>0</v>
      </c>
      <c r="AA94" s="61">
        <f t="shared" si="5"/>
        <v>0</v>
      </c>
      <c r="AB94" s="37"/>
    </row>
    <row r="95" spans="1:28" x14ac:dyDescent="0.25">
      <c r="A95" s="59" t="s">
        <v>80</v>
      </c>
      <c r="B95" s="30">
        <f>SUMIFS(CONSOLIDADO!$F:$F,CONSOLIDADO!$E:$E,$A95,CONSOLIDADO!$I:$I,A$3,CONSOLIDADO!$I:$I,A$4,CONSOLIDADO!$K:$K,"&lt;&gt;NOVO")</f>
        <v>12</v>
      </c>
      <c r="C95" s="30">
        <f>SUMIFS(CONSOLIDADO!$F:$F,CONSOLIDADO!$E:$E,$A95,CONSOLIDADO!$I:$I,B$3,CONSOLIDADO!$I:$I,B$4,CONSOLIDADO!$K:$K,"&lt;&gt;NOVO")</f>
        <v>0</v>
      </c>
      <c r="D95" s="30">
        <f>SUMIFS(CONSOLIDADO!$F:$F,CONSOLIDADO!$E:$E,$A95,CONSOLIDADO!$I:$I,C$3,CONSOLIDADO!$I:$I,C$4,CONSOLIDADO!$K:$K,"&lt;&gt;NOVO")</f>
        <v>21</v>
      </c>
      <c r="E95" s="30">
        <f>SUMIFS(CONSOLIDADO!$F:$F,CONSOLIDADO!$E:$E,$A95,CONSOLIDADO!$I:$I,D$3,CONSOLIDADO!$I:$I,D$4,CONSOLIDADO!$K:$K,"&lt;&gt;NOVO")</f>
        <v>8</v>
      </c>
      <c r="F95" s="30">
        <f>SUMIFS(CONSOLIDADO!$F:$F,CONSOLIDADO!$E:$E,$A95,CONSOLIDADO!$I:$I,E$3,CONSOLIDADO!$I:$I,E$4,CONSOLIDADO!$K:$K,"&lt;&gt;NOVO")</f>
        <v>0</v>
      </c>
      <c r="G95" s="30">
        <f>SUMIFS(CONSOLIDADO!$F:$F,CONSOLIDADO!$E:$E,$A95,CONSOLIDADO!$I:$I,F$3,CONSOLIDADO!$I:$I,F$4,CONSOLIDADO!$K:$K,"&lt;&gt;NOVO")</f>
        <v>0</v>
      </c>
      <c r="H95" s="30">
        <f>SUMIFS(CONSOLIDADO!$F:$F,CONSOLIDADO!$E:$E,$A95,CONSOLIDADO!$I:$I,G$3,CONSOLIDADO!$I:$I,G$4,CONSOLIDADO!$K:$K,"&lt;&gt;NOVO")</f>
        <v>0</v>
      </c>
      <c r="I95" s="30">
        <f>SUMIFS(CONSOLIDADO!$F:$F,CONSOLIDADO!$E:$E,$A95,CONSOLIDADO!$I:$I,H$3,CONSOLIDADO!$I:$I,H$4,CONSOLIDADO!$K:$K,"&lt;&gt;NOVO")</f>
        <v>0</v>
      </c>
      <c r="J95" s="30">
        <f>SUMIFS(CONSOLIDADO!$F:$F,CONSOLIDADO!$E:$E,$A95,CONSOLIDADO!$I:$I,I$3,CONSOLIDADO!$I:$I,I$4,CONSOLIDADO!$K:$K,"&lt;&gt;NOVO")</f>
        <v>0</v>
      </c>
      <c r="K95" s="30">
        <f>SUMIFS(CONSOLIDADO!$F:$F,CONSOLIDADO!$E:$E,$A95,CONSOLIDADO!$I:$I,J$3,CONSOLIDADO!$I:$I,J$4,CONSOLIDADO!$K:$K,"&lt;&gt;NOVO")</f>
        <v>0</v>
      </c>
      <c r="L95" s="30">
        <f>SUMIFS(CONSOLIDADO!$F:$F,CONSOLIDADO!$E:$E,$A95,CONSOLIDADO!$I:$I,K$3,CONSOLIDADO!$I:$I,K$4,CONSOLIDADO!$K:$K,"&lt;&gt;NOVO")</f>
        <v>0</v>
      </c>
      <c r="M95" s="30">
        <f>SUMIFS(CONSOLIDADO!$F:$F,CONSOLIDADO!$E:$E,$A95,CONSOLIDADO!$I:$I,L$3,CONSOLIDADO!$I:$I,L$4,CONSOLIDADO!$K:$K,"&lt;&gt;NOVO")</f>
        <v>0</v>
      </c>
      <c r="N95" s="30">
        <v>2600</v>
      </c>
      <c r="O95" s="60">
        <v>0.8</v>
      </c>
      <c r="P95" s="61">
        <f t="shared" si="4"/>
        <v>6239.9999999999982</v>
      </c>
      <c r="Q95" s="61">
        <f t="shared" si="4"/>
        <v>0</v>
      </c>
      <c r="R95" s="61">
        <f t="shared" si="4"/>
        <v>10919.999999999998</v>
      </c>
      <c r="S95" s="61">
        <f t="shared" si="4"/>
        <v>4159.9999999999991</v>
      </c>
      <c r="T95" s="61">
        <f t="shared" si="4"/>
        <v>0</v>
      </c>
      <c r="U95" s="61">
        <f t="shared" si="4"/>
        <v>0</v>
      </c>
      <c r="V95" s="61">
        <f t="shared" si="5"/>
        <v>0</v>
      </c>
      <c r="W95" s="61">
        <f t="shared" si="5"/>
        <v>0</v>
      </c>
      <c r="X95" s="61">
        <f t="shared" si="5"/>
        <v>0</v>
      </c>
      <c r="Y95" s="61">
        <f t="shared" si="5"/>
        <v>0</v>
      </c>
      <c r="Z95" s="61">
        <f t="shared" si="5"/>
        <v>0</v>
      </c>
      <c r="AA95" s="61">
        <f t="shared" si="5"/>
        <v>0</v>
      </c>
      <c r="AB95" s="37"/>
    </row>
    <row r="96" spans="1:28" x14ac:dyDescent="0.25">
      <c r="A96" s="59" t="s">
        <v>394</v>
      </c>
      <c r="B96" s="30">
        <f>SUMIFS(CONSOLIDADO!$F:$F,CONSOLIDADO!$E:$E,$A96,CONSOLIDADO!$I:$I,A$3,CONSOLIDADO!$I:$I,A$4,CONSOLIDADO!$K:$K,"&lt;&gt;NOVO")</f>
        <v>0</v>
      </c>
      <c r="C96" s="30">
        <f>SUMIFS(CONSOLIDADO!$F:$F,CONSOLIDADO!$E:$E,$A96,CONSOLIDADO!$I:$I,B$3,CONSOLIDADO!$I:$I,B$4,CONSOLIDADO!$K:$K,"&lt;&gt;NOVO")</f>
        <v>0</v>
      </c>
      <c r="D96" s="30">
        <f>SUMIFS(CONSOLIDADO!$F:$F,CONSOLIDADO!$E:$E,$A96,CONSOLIDADO!$I:$I,C$3,CONSOLIDADO!$I:$I,C$4,CONSOLIDADO!$K:$K,"&lt;&gt;NOVO")</f>
        <v>0</v>
      </c>
      <c r="E96" s="30">
        <f>SUMIFS(CONSOLIDADO!$F:$F,CONSOLIDADO!$E:$E,$A96,CONSOLIDADO!$I:$I,D$3,CONSOLIDADO!$I:$I,D$4,CONSOLIDADO!$K:$K,"&lt;&gt;NOVO")</f>
        <v>0</v>
      </c>
      <c r="F96" s="30">
        <f>SUMIFS(CONSOLIDADO!$F:$F,CONSOLIDADO!$E:$E,$A96,CONSOLIDADO!$I:$I,E$3,CONSOLIDADO!$I:$I,E$4,CONSOLIDADO!$K:$K,"&lt;&gt;NOVO")</f>
        <v>0</v>
      </c>
      <c r="G96" s="30">
        <f>SUMIFS(CONSOLIDADO!$F:$F,CONSOLIDADO!$E:$E,$A96,CONSOLIDADO!$I:$I,F$3,CONSOLIDADO!$I:$I,F$4,CONSOLIDADO!$K:$K,"&lt;&gt;NOVO")</f>
        <v>0</v>
      </c>
      <c r="H96" s="30">
        <f>SUMIFS(CONSOLIDADO!$F:$F,CONSOLIDADO!$E:$E,$A96,CONSOLIDADO!$I:$I,G$3,CONSOLIDADO!$I:$I,G$4,CONSOLIDADO!$K:$K,"&lt;&gt;NOVO")</f>
        <v>0</v>
      </c>
      <c r="I96" s="30">
        <f>SUMIFS(CONSOLIDADO!$F:$F,CONSOLIDADO!$E:$E,$A96,CONSOLIDADO!$I:$I,H$3,CONSOLIDADO!$I:$I,H$4,CONSOLIDADO!$K:$K,"&lt;&gt;NOVO")</f>
        <v>0</v>
      </c>
      <c r="J96" s="30">
        <f>SUMIFS(CONSOLIDADO!$F:$F,CONSOLIDADO!$E:$E,$A96,CONSOLIDADO!$I:$I,I$3,CONSOLIDADO!$I:$I,I$4,CONSOLIDADO!$K:$K,"&lt;&gt;NOVO")</f>
        <v>0</v>
      </c>
      <c r="K96" s="30">
        <f>SUMIFS(CONSOLIDADO!$F:$F,CONSOLIDADO!$E:$E,$A96,CONSOLIDADO!$I:$I,J$3,CONSOLIDADO!$I:$I,J$4,CONSOLIDADO!$K:$K,"&lt;&gt;NOVO")</f>
        <v>0</v>
      </c>
      <c r="L96" s="30">
        <f>SUMIFS(CONSOLIDADO!$F:$F,CONSOLIDADO!$E:$E,$A96,CONSOLIDADO!$I:$I,K$3,CONSOLIDADO!$I:$I,K$4,CONSOLIDADO!$K:$K,"&lt;&gt;NOVO")</f>
        <v>0</v>
      </c>
      <c r="M96" s="30">
        <f>SUMIFS(CONSOLIDADO!$F:$F,CONSOLIDADO!$E:$E,$A96,CONSOLIDADO!$I:$I,L$3,CONSOLIDADO!$I:$I,L$4,CONSOLIDADO!$K:$K,"&lt;&gt;NOVO")</f>
        <v>0</v>
      </c>
      <c r="N96" s="30">
        <v>746.48</v>
      </c>
      <c r="O96" s="60">
        <v>0.8</v>
      </c>
      <c r="P96" s="61">
        <f t="shared" si="4"/>
        <v>0</v>
      </c>
      <c r="Q96" s="61">
        <f t="shared" si="4"/>
        <v>0</v>
      </c>
      <c r="R96" s="61">
        <f t="shared" si="4"/>
        <v>0</v>
      </c>
      <c r="S96" s="61">
        <f t="shared" si="4"/>
        <v>0</v>
      </c>
      <c r="T96" s="61">
        <f t="shared" si="4"/>
        <v>0</v>
      </c>
      <c r="U96" s="61">
        <f t="shared" si="4"/>
        <v>0</v>
      </c>
      <c r="V96" s="61">
        <f t="shared" si="5"/>
        <v>0</v>
      </c>
      <c r="W96" s="61">
        <f t="shared" si="5"/>
        <v>0</v>
      </c>
      <c r="X96" s="61">
        <f t="shared" si="5"/>
        <v>0</v>
      </c>
      <c r="Y96" s="61">
        <f t="shared" si="5"/>
        <v>0</v>
      </c>
      <c r="Z96" s="61">
        <f t="shared" si="5"/>
        <v>0</v>
      </c>
      <c r="AA96" s="61">
        <f t="shared" si="5"/>
        <v>0</v>
      </c>
      <c r="AB96" s="37"/>
    </row>
    <row r="97" spans="1:28" x14ac:dyDescent="0.25">
      <c r="A97" s="59" t="s">
        <v>292</v>
      </c>
      <c r="B97" s="30">
        <f>SUMIFS(CONSOLIDADO!$F:$F,CONSOLIDADO!$E:$E,$A97,CONSOLIDADO!$I:$I,A$3,CONSOLIDADO!$I:$I,A$4,CONSOLIDADO!$K:$K,"&lt;&gt;NOVO")</f>
        <v>0</v>
      </c>
      <c r="C97" s="30">
        <f>SUMIFS(CONSOLIDADO!$F:$F,CONSOLIDADO!$E:$E,$A97,CONSOLIDADO!$I:$I,B$3,CONSOLIDADO!$I:$I,B$4,CONSOLIDADO!$K:$K,"&lt;&gt;NOVO")</f>
        <v>0</v>
      </c>
      <c r="D97" s="30">
        <f>SUMIFS(CONSOLIDADO!$F:$F,CONSOLIDADO!$E:$E,$A97,CONSOLIDADO!$I:$I,C$3,CONSOLIDADO!$I:$I,C$4,CONSOLIDADO!$K:$K,"&lt;&gt;NOVO")</f>
        <v>0</v>
      </c>
      <c r="E97" s="30">
        <f>SUMIFS(CONSOLIDADO!$F:$F,CONSOLIDADO!$E:$E,$A97,CONSOLIDADO!$I:$I,D$3,CONSOLIDADO!$I:$I,D$4,CONSOLIDADO!$K:$K,"&lt;&gt;NOVO")</f>
        <v>10</v>
      </c>
      <c r="F97" s="30">
        <f>SUMIFS(CONSOLIDADO!$F:$F,CONSOLIDADO!$E:$E,$A97,CONSOLIDADO!$I:$I,E$3,CONSOLIDADO!$I:$I,E$4,CONSOLIDADO!$K:$K,"&lt;&gt;NOVO")</f>
        <v>0</v>
      </c>
      <c r="G97" s="30">
        <f>SUMIFS(CONSOLIDADO!$F:$F,CONSOLIDADO!$E:$E,$A97,CONSOLIDADO!$I:$I,F$3,CONSOLIDADO!$I:$I,F$4,CONSOLIDADO!$K:$K,"&lt;&gt;NOVO")</f>
        <v>0</v>
      </c>
      <c r="H97" s="30">
        <f>SUMIFS(CONSOLIDADO!$F:$F,CONSOLIDADO!$E:$E,$A97,CONSOLIDADO!$I:$I,G$3,CONSOLIDADO!$I:$I,G$4,CONSOLIDADO!$K:$K,"&lt;&gt;NOVO")</f>
        <v>0</v>
      </c>
      <c r="I97" s="30">
        <f>SUMIFS(CONSOLIDADO!$F:$F,CONSOLIDADO!$E:$E,$A97,CONSOLIDADO!$I:$I,H$3,CONSOLIDADO!$I:$I,H$4,CONSOLIDADO!$K:$K,"&lt;&gt;NOVO")</f>
        <v>0</v>
      </c>
      <c r="J97" s="30">
        <f>SUMIFS(CONSOLIDADO!$F:$F,CONSOLIDADO!$E:$E,$A97,CONSOLIDADO!$I:$I,I$3,CONSOLIDADO!$I:$I,I$4,CONSOLIDADO!$K:$K,"&lt;&gt;NOVO")</f>
        <v>0</v>
      </c>
      <c r="K97" s="30">
        <f>SUMIFS(CONSOLIDADO!$F:$F,CONSOLIDADO!$E:$E,$A97,CONSOLIDADO!$I:$I,J$3,CONSOLIDADO!$I:$I,J$4,CONSOLIDADO!$K:$K,"&lt;&gt;NOVO")</f>
        <v>0</v>
      </c>
      <c r="L97" s="30">
        <f>SUMIFS(CONSOLIDADO!$F:$F,CONSOLIDADO!$E:$E,$A97,CONSOLIDADO!$I:$I,K$3,CONSOLIDADO!$I:$I,K$4,CONSOLIDADO!$K:$K,"&lt;&gt;NOVO")</f>
        <v>0</v>
      </c>
      <c r="M97" s="30">
        <f>SUMIFS(CONSOLIDADO!$F:$F,CONSOLIDADO!$E:$E,$A97,CONSOLIDADO!$I:$I,L$3,CONSOLIDADO!$I:$I,L$4,CONSOLIDADO!$K:$K,"&lt;&gt;NOVO")</f>
        <v>0</v>
      </c>
      <c r="N97" s="30">
        <v>746.48</v>
      </c>
      <c r="O97" s="60">
        <v>0.8</v>
      </c>
      <c r="P97" s="61">
        <f t="shared" si="4"/>
        <v>0</v>
      </c>
      <c r="Q97" s="61">
        <f t="shared" si="4"/>
        <v>0</v>
      </c>
      <c r="R97" s="61">
        <f t="shared" si="4"/>
        <v>0</v>
      </c>
      <c r="S97" s="61">
        <f t="shared" si="4"/>
        <v>1492.9599999999996</v>
      </c>
      <c r="T97" s="61">
        <f t="shared" si="4"/>
        <v>0</v>
      </c>
      <c r="U97" s="61">
        <f t="shared" si="4"/>
        <v>0</v>
      </c>
      <c r="V97" s="61">
        <f t="shared" si="5"/>
        <v>0</v>
      </c>
      <c r="W97" s="61">
        <f t="shared" si="5"/>
        <v>0</v>
      </c>
      <c r="X97" s="61">
        <f t="shared" si="5"/>
        <v>0</v>
      </c>
      <c r="Y97" s="61">
        <f t="shared" si="5"/>
        <v>0</v>
      </c>
      <c r="Z97" s="61">
        <f t="shared" si="5"/>
        <v>0</v>
      </c>
      <c r="AA97" s="61">
        <f t="shared" si="5"/>
        <v>0</v>
      </c>
      <c r="AB97" s="37"/>
    </row>
    <row r="98" spans="1:28" x14ac:dyDescent="0.25">
      <c r="A98" s="59" t="s">
        <v>109</v>
      </c>
      <c r="B98" s="30">
        <f>SUMIFS(CONSOLIDADO!$F:$F,CONSOLIDADO!$E:$E,$A98,CONSOLIDADO!$I:$I,A$3,CONSOLIDADO!$I:$I,A$4,CONSOLIDADO!$K:$K,"&lt;&gt;NOVO")</f>
        <v>1</v>
      </c>
      <c r="C98" s="30">
        <f>SUMIFS(CONSOLIDADO!$F:$F,CONSOLIDADO!$E:$E,$A98,CONSOLIDADO!$I:$I,B$3,CONSOLIDADO!$I:$I,B$4,CONSOLIDADO!$K:$K,"&lt;&gt;NOVO")</f>
        <v>1</v>
      </c>
      <c r="D98" s="30">
        <f>SUMIFS(CONSOLIDADO!$F:$F,CONSOLIDADO!$E:$E,$A98,CONSOLIDADO!$I:$I,C$3,CONSOLIDADO!$I:$I,C$4,CONSOLIDADO!$K:$K,"&lt;&gt;NOVO")</f>
        <v>0</v>
      </c>
      <c r="E98" s="30">
        <f>SUMIFS(CONSOLIDADO!$F:$F,CONSOLIDADO!$E:$E,$A98,CONSOLIDADO!$I:$I,D$3,CONSOLIDADO!$I:$I,D$4,CONSOLIDADO!$K:$K,"&lt;&gt;NOVO")</f>
        <v>0</v>
      </c>
      <c r="F98" s="30">
        <f>SUMIFS(CONSOLIDADO!$F:$F,CONSOLIDADO!$E:$E,$A98,CONSOLIDADO!$I:$I,E$3,CONSOLIDADO!$I:$I,E$4,CONSOLIDADO!$K:$K,"&lt;&gt;NOVO")</f>
        <v>0</v>
      </c>
      <c r="G98" s="30">
        <f>SUMIFS(CONSOLIDADO!$F:$F,CONSOLIDADO!$E:$E,$A98,CONSOLIDADO!$I:$I,F$3,CONSOLIDADO!$I:$I,F$4,CONSOLIDADO!$K:$K,"&lt;&gt;NOVO")</f>
        <v>0</v>
      </c>
      <c r="H98" s="30">
        <f>SUMIFS(CONSOLIDADO!$F:$F,CONSOLIDADO!$E:$E,$A98,CONSOLIDADO!$I:$I,G$3,CONSOLIDADO!$I:$I,G$4,CONSOLIDADO!$K:$K,"&lt;&gt;NOVO")</f>
        <v>0</v>
      </c>
      <c r="I98" s="30">
        <f>SUMIFS(CONSOLIDADO!$F:$F,CONSOLIDADO!$E:$E,$A98,CONSOLIDADO!$I:$I,H$3,CONSOLIDADO!$I:$I,H$4,CONSOLIDADO!$K:$K,"&lt;&gt;NOVO")</f>
        <v>0</v>
      </c>
      <c r="J98" s="30">
        <f>SUMIFS(CONSOLIDADO!$F:$F,CONSOLIDADO!$E:$E,$A98,CONSOLIDADO!$I:$I,I$3,CONSOLIDADO!$I:$I,I$4,CONSOLIDADO!$K:$K,"&lt;&gt;NOVO")</f>
        <v>0</v>
      </c>
      <c r="K98" s="30">
        <f>SUMIFS(CONSOLIDADO!$F:$F,CONSOLIDADO!$E:$E,$A98,CONSOLIDADO!$I:$I,J$3,CONSOLIDADO!$I:$I,J$4,CONSOLIDADO!$K:$K,"&lt;&gt;NOVO")</f>
        <v>0</v>
      </c>
      <c r="L98" s="30">
        <f>SUMIFS(CONSOLIDADO!$F:$F,CONSOLIDADO!$E:$E,$A98,CONSOLIDADO!$I:$I,K$3,CONSOLIDADO!$I:$I,K$4,CONSOLIDADO!$K:$K,"&lt;&gt;NOVO")</f>
        <v>0</v>
      </c>
      <c r="M98" s="30">
        <f>SUMIFS(CONSOLIDADO!$F:$F,CONSOLIDADO!$E:$E,$A98,CONSOLIDADO!$I:$I,L$3,CONSOLIDADO!$I:$I,L$4,CONSOLIDADO!$K:$K,"&lt;&gt;NOVO")</f>
        <v>0</v>
      </c>
      <c r="N98" s="30">
        <v>2000</v>
      </c>
      <c r="O98" s="60">
        <v>0.8</v>
      </c>
      <c r="P98" s="61">
        <f t="shared" si="4"/>
        <v>399.99999999999989</v>
      </c>
      <c r="Q98" s="61">
        <f t="shared" si="4"/>
        <v>399.99999999999989</v>
      </c>
      <c r="R98" s="61">
        <f t="shared" si="4"/>
        <v>0</v>
      </c>
      <c r="S98" s="61">
        <f t="shared" si="4"/>
        <v>0</v>
      </c>
      <c r="T98" s="61">
        <f t="shared" si="4"/>
        <v>0</v>
      </c>
      <c r="U98" s="61">
        <f t="shared" si="4"/>
        <v>0</v>
      </c>
      <c r="V98" s="61">
        <f t="shared" si="5"/>
        <v>0</v>
      </c>
      <c r="W98" s="61">
        <f t="shared" si="5"/>
        <v>0</v>
      </c>
      <c r="X98" s="61">
        <f t="shared" si="5"/>
        <v>0</v>
      </c>
      <c r="Y98" s="61">
        <f t="shared" si="5"/>
        <v>0</v>
      </c>
      <c r="Z98" s="61">
        <f t="shared" si="5"/>
        <v>0</v>
      </c>
      <c r="AA98" s="61">
        <f t="shared" si="5"/>
        <v>0</v>
      </c>
      <c r="AB98" s="37"/>
    </row>
    <row r="99" spans="1:28" x14ac:dyDescent="0.25">
      <c r="A99" s="59" t="s">
        <v>395</v>
      </c>
      <c r="B99" s="30">
        <f>SUMIFS(CONSOLIDADO!$F:$F,CONSOLIDADO!$E:$E,$A99,CONSOLIDADO!$I:$I,A$3,CONSOLIDADO!$I:$I,A$4,CONSOLIDADO!$K:$K,"&lt;&gt;NOVO")</f>
        <v>0</v>
      </c>
      <c r="C99" s="30">
        <f>SUMIFS(CONSOLIDADO!$F:$F,CONSOLIDADO!$E:$E,$A99,CONSOLIDADO!$I:$I,B$3,CONSOLIDADO!$I:$I,B$4,CONSOLIDADO!$K:$K,"&lt;&gt;NOVO")</f>
        <v>0</v>
      </c>
      <c r="D99" s="30">
        <f>SUMIFS(CONSOLIDADO!$F:$F,CONSOLIDADO!$E:$E,$A99,CONSOLIDADO!$I:$I,C$3,CONSOLIDADO!$I:$I,C$4,CONSOLIDADO!$K:$K,"&lt;&gt;NOVO")</f>
        <v>0</v>
      </c>
      <c r="E99" s="30">
        <f>SUMIFS(CONSOLIDADO!$F:$F,CONSOLIDADO!$E:$E,$A99,CONSOLIDADO!$I:$I,D$3,CONSOLIDADO!$I:$I,D$4,CONSOLIDADO!$K:$K,"&lt;&gt;NOVO")</f>
        <v>0</v>
      </c>
      <c r="F99" s="30">
        <f>SUMIFS(CONSOLIDADO!$F:$F,CONSOLIDADO!$E:$E,$A99,CONSOLIDADO!$I:$I,E$3,CONSOLIDADO!$I:$I,E$4,CONSOLIDADO!$K:$K,"&lt;&gt;NOVO")</f>
        <v>0</v>
      </c>
      <c r="G99" s="30">
        <f>SUMIFS(CONSOLIDADO!$F:$F,CONSOLIDADO!$E:$E,$A99,CONSOLIDADO!$I:$I,F$3,CONSOLIDADO!$I:$I,F$4,CONSOLIDADO!$K:$K,"&lt;&gt;NOVO")</f>
        <v>0</v>
      </c>
      <c r="H99" s="30">
        <f>SUMIFS(CONSOLIDADO!$F:$F,CONSOLIDADO!$E:$E,$A99,CONSOLIDADO!$I:$I,G$3,CONSOLIDADO!$I:$I,G$4,CONSOLIDADO!$K:$K,"&lt;&gt;NOVO")</f>
        <v>0</v>
      </c>
      <c r="I99" s="30">
        <f>SUMIFS(CONSOLIDADO!$F:$F,CONSOLIDADO!$E:$E,$A99,CONSOLIDADO!$I:$I,H$3,CONSOLIDADO!$I:$I,H$4,CONSOLIDADO!$K:$K,"&lt;&gt;NOVO")</f>
        <v>0</v>
      </c>
      <c r="J99" s="30">
        <f>SUMIFS(CONSOLIDADO!$F:$F,CONSOLIDADO!$E:$E,$A99,CONSOLIDADO!$I:$I,I$3,CONSOLIDADO!$I:$I,I$4,CONSOLIDADO!$K:$K,"&lt;&gt;NOVO")</f>
        <v>0</v>
      </c>
      <c r="K99" s="30">
        <f>SUMIFS(CONSOLIDADO!$F:$F,CONSOLIDADO!$E:$E,$A99,CONSOLIDADO!$I:$I,J$3,CONSOLIDADO!$I:$I,J$4,CONSOLIDADO!$K:$K,"&lt;&gt;NOVO")</f>
        <v>0</v>
      </c>
      <c r="L99" s="30">
        <f>SUMIFS(CONSOLIDADO!$F:$F,CONSOLIDADO!$E:$E,$A99,CONSOLIDADO!$I:$I,K$3,CONSOLIDADO!$I:$I,K$4,CONSOLIDADO!$K:$K,"&lt;&gt;NOVO")</f>
        <v>0</v>
      </c>
      <c r="M99" s="30">
        <f>SUMIFS(CONSOLIDADO!$F:$F,CONSOLIDADO!$E:$E,$A99,CONSOLIDADO!$I:$I,L$3,CONSOLIDADO!$I:$I,L$4,CONSOLIDADO!$K:$K,"&lt;&gt;NOVO")</f>
        <v>0</v>
      </c>
      <c r="N99" s="30">
        <v>1116.1300000000001</v>
      </c>
      <c r="O99" s="60">
        <v>0.8</v>
      </c>
      <c r="P99" s="61">
        <f t="shared" si="4"/>
        <v>0</v>
      </c>
      <c r="Q99" s="61">
        <f t="shared" si="4"/>
        <v>0</v>
      </c>
      <c r="R99" s="61">
        <f t="shared" si="4"/>
        <v>0</v>
      </c>
      <c r="S99" s="61">
        <f t="shared" si="4"/>
        <v>0</v>
      </c>
      <c r="T99" s="61">
        <f t="shared" si="4"/>
        <v>0</v>
      </c>
      <c r="U99" s="61">
        <f t="shared" si="4"/>
        <v>0</v>
      </c>
      <c r="V99" s="61">
        <f t="shared" si="5"/>
        <v>0</v>
      </c>
      <c r="W99" s="61">
        <f t="shared" si="5"/>
        <v>0</v>
      </c>
      <c r="X99" s="61">
        <f t="shared" si="5"/>
        <v>0</v>
      </c>
      <c r="Y99" s="61">
        <f t="shared" si="5"/>
        <v>0</v>
      </c>
      <c r="Z99" s="61">
        <f t="shared" si="5"/>
        <v>0</v>
      </c>
      <c r="AA99" s="61">
        <f t="shared" si="5"/>
        <v>0</v>
      </c>
      <c r="AB99" s="37"/>
    </row>
    <row r="100" spans="1:28" x14ac:dyDescent="0.25">
      <c r="A100" s="59" t="s">
        <v>459</v>
      </c>
      <c r="B100" s="30">
        <f>SUM(B9:B99)</f>
        <v>253</v>
      </c>
      <c r="C100" s="30">
        <f t="shared" ref="C100:M100" si="6">SUM(C9:C99)</f>
        <v>158</v>
      </c>
      <c r="D100" s="30">
        <f t="shared" si="6"/>
        <v>410</v>
      </c>
      <c r="E100" s="30">
        <f t="shared" si="6"/>
        <v>418</v>
      </c>
      <c r="F100" s="30">
        <f t="shared" si="6"/>
        <v>0</v>
      </c>
      <c r="G100" s="30">
        <f t="shared" si="6"/>
        <v>0</v>
      </c>
      <c r="H100" s="30">
        <f t="shared" si="6"/>
        <v>0</v>
      </c>
      <c r="I100" s="30">
        <f t="shared" si="6"/>
        <v>0</v>
      </c>
      <c r="J100" s="30">
        <f t="shared" si="6"/>
        <v>0</v>
      </c>
      <c r="K100" s="30">
        <f t="shared" si="6"/>
        <v>0</v>
      </c>
      <c r="L100" s="30">
        <f t="shared" si="6"/>
        <v>0</v>
      </c>
      <c r="M100" s="30">
        <f t="shared" si="6"/>
        <v>0</v>
      </c>
      <c r="N100" s="61">
        <f t="shared" ref="N100:AA100" si="7">SUM(N9:N99)</f>
        <v>122106.55999999997</v>
      </c>
      <c r="O100" s="61"/>
      <c r="P100" s="61">
        <f t="shared" si="7"/>
        <v>88441.361999999965</v>
      </c>
      <c r="Q100" s="61">
        <f>SUM(Q9:Q99)</f>
        <v>57393.283999999985</v>
      </c>
      <c r="R100" s="61">
        <f t="shared" si="7"/>
        <v>104038.37599999996</v>
      </c>
      <c r="S100" s="61">
        <f t="shared" si="7"/>
        <v>125399.54199999997</v>
      </c>
      <c r="T100" s="61">
        <f t="shared" si="7"/>
        <v>0</v>
      </c>
      <c r="U100" s="61">
        <f t="shared" si="7"/>
        <v>0</v>
      </c>
      <c r="V100" s="61">
        <f t="shared" si="7"/>
        <v>0</v>
      </c>
      <c r="W100" s="61">
        <f t="shared" si="7"/>
        <v>0</v>
      </c>
      <c r="X100" s="61">
        <f t="shared" si="7"/>
        <v>0</v>
      </c>
      <c r="Y100" s="61">
        <f t="shared" si="7"/>
        <v>0</v>
      </c>
      <c r="Z100" s="61">
        <f t="shared" si="7"/>
        <v>0</v>
      </c>
      <c r="AA100" s="61">
        <f t="shared" si="7"/>
        <v>0</v>
      </c>
      <c r="AB100" s="37"/>
    </row>
    <row r="101" spans="1:28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</row>
    <row r="102" spans="1:28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</row>
    <row r="103" spans="1:28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</row>
    <row r="104" spans="1:28" ht="18.75" x14ac:dyDescent="0.3">
      <c r="A104" s="62" t="s">
        <v>460</v>
      </c>
      <c r="B104" s="62" t="s">
        <v>461</v>
      </c>
      <c r="C104" s="62" t="s">
        <v>462</v>
      </c>
      <c r="D104" s="62" t="s">
        <v>463</v>
      </c>
      <c r="E104" s="37"/>
      <c r="F104" s="31"/>
      <c r="G104" s="31" t="s">
        <v>437</v>
      </c>
      <c r="H104" s="31" t="s">
        <v>438</v>
      </c>
      <c r="I104" s="31" t="s">
        <v>439</v>
      </c>
      <c r="J104" s="31" t="s">
        <v>440</v>
      </c>
      <c r="K104" s="31" t="s">
        <v>441</v>
      </c>
      <c r="L104" s="31" t="s">
        <v>442</v>
      </c>
      <c r="M104" s="31" t="s">
        <v>443</v>
      </c>
      <c r="N104" s="31" t="s">
        <v>444</v>
      </c>
      <c r="O104" s="31" t="s">
        <v>445</v>
      </c>
      <c r="P104" s="31" t="s">
        <v>446</v>
      </c>
      <c r="Q104" s="31" t="s">
        <v>447</v>
      </c>
      <c r="R104" s="31" t="s">
        <v>448</v>
      </c>
      <c r="S104" s="37"/>
      <c r="T104" s="37"/>
      <c r="U104" s="37"/>
      <c r="V104" s="37"/>
      <c r="W104" s="37"/>
      <c r="X104" s="37"/>
      <c r="Y104" s="37"/>
      <c r="Z104" s="37"/>
      <c r="AA104" s="37"/>
      <c r="AB104" s="37"/>
    </row>
    <row r="105" spans="1:28" ht="18.75" x14ac:dyDescent="0.3">
      <c r="A105" s="30" t="s">
        <v>31</v>
      </c>
      <c r="B105" s="61">
        <v>5157.4706226666667</v>
      </c>
      <c r="C105" s="61">
        <v>345</v>
      </c>
      <c r="D105" s="61">
        <v>175</v>
      </c>
      <c r="E105" s="37"/>
      <c r="F105" s="31" t="s">
        <v>464</v>
      </c>
      <c r="G105" s="60">
        <f>(P100-SUM($B$109:$D$109))/SUM($B$109:$D$109)</f>
        <v>3.3145296779221094</v>
      </c>
      <c r="H105" s="60">
        <f t="shared" ref="H105:R105" si="8">(Q100-SUM($B$109:$D$109))/SUM($B$109:$D$109)</f>
        <v>1.7998780381900066</v>
      </c>
      <c r="I105" s="60">
        <f t="shared" si="8"/>
        <v>4.0754155153650773</v>
      </c>
      <c r="J105" s="60">
        <f t="shared" si="8"/>
        <v>5.1175001528904556</v>
      </c>
      <c r="K105" s="60">
        <f t="shared" si="8"/>
        <v>-1</v>
      </c>
      <c r="L105" s="60">
        <f t="shared" si="8"/>
        <v>-1</v>
      </c>
      <c r="M105" s="60">
        <f t="shared" si="8"/>
        <v>-1</v>
      </c>
      <c r="N105" s="60">
        <f t="shared" si="8"/>
        <v>-1</v>
      </c>
      <c r="O105" s="60">
        <f t="shared" si="8"/>
        <v>-1</v>
      </c>
      <c r="P105" s="60">
        <f t="shared" si="8"/>
        <v>-1</v>
      </c>
      <c r="Q105" s="60">
        <f t="shared" si="8"/>
        <v>-1</v>
      </c>
      <c r="R105" s="60">
        <f t="shared" si="8"/>
        <v>-1</v>
      </c>
      <c r="S105" s="37"/>
      <c r="T105" s="37"/>
      <c r="U105" s="37"/>
      <c r="V105" s="37"/>
      <c r="W105" s="37"/>
      <c r="X105" s="37"/>
      <c r="Y105" s="37"/>
      <c r="Z105" s="37"/>
      <c r="AA105" s="37"/>
      <c r="AB105" s="37"/>
    </row>
    <row r="106" spans="1:28" ht="18.75" x14ac:dyDescent="0.3">
      <c r="A106" s="30" t="s">
        <v>465</v>
      </c>
      <c r="B106" s="61">
        <v>7873.5530523333337</v>
      </c>
      <c r="C106" s="61">
        <v>345</v>
      </c>
      <c r="D106" s="61">
        <v>175</v>
      </c>
      <c r="E106" s="37"/>
      <c r="F106" s="31" t="s">
        <v>466</v>
      </c>
      <c r="G106" s="60">
        <f>(P100-SUM($B$109:$D$109))/$D$117</f>
        <v>2.1332140565881725</v>
      </c>
      <c r="H106" s="60">
        <f t="shared" ref="H106:R106" si="9">(Q100-SUM($B$109:$D$109))/$D$117</f>
        <v>1.1583921413605438</v>
      </c>
      <c r="I106" s="60">
        <f>(R100-SUM($B$109:$D$109))/$D$117</f>
        <v>2.6229162229931959</v>
      </c>
      <c r="J106" s="60">
        <f t="shared" si="9"/>
        <v>3.2935964741705903</v>
      </c>
      <c r="K106" s="60">
        <f t="shared" si="9"/>
        <v>-0.64359479741496606</v>
      </c>
      <c r="L106" s="60">
        <f t="shared" si="9"/>
        <v>-0.64359479741496606</v>
      </c>
      <c r="M106" s="60">
        <f t="shared" si="9"/>
        <v>-0.64359479741496606</v>
      </c>
      <c r="N106" s="60">
        <f t="shared" si="9"/>
        <v>-0.64359479741496606</v>
      </c>
      <c r="O106" s="60">
        <f t="shared" si="9"/>
        <v>-0.64359479741496606</v>
      </c>
      <c r="P106" s="60">
        <f t="shared" si="9"/>
        <v>-0.64359479741496606</v>
      </c>
      <c r="Q106" s="60">
        <f t="shared" si="9"/>
        <v>-0.64359479741496606</v>
      </c>
      <c r="R106" s="60">
        <f t="shared" si="9"/>
        <v>-0.64359479741496606</v>
      </c>
      <c r="S106" s="37"/>
      <c r="T106" s="37"/>
      <c r="U106" s="37"/>
      <c r="V106" s="37"/>
      <c r="W106" s="37"/>
      <c r="X106" s="37"/>
      <c r="Y106" s="37"/>
      <c r="Z106" s="37"/>
      <c r="AA106" s="37"/>
      <c r="AB106" s="37"/>
    </row>
    <row r="107" spans="1:28" ht="18.75" x14ac:dyDescent="0.3">
      <c r="A107" s="30" t="s">
        <v>467</v>
      </c>
      <c r="B107" s="61">
        <v>5157.4706226666667</v>
      </c>
      <c r="C107" s="61">
        <v>345</v>
      </c>
      <c r="D107" s="61">
        <f>175+750</f>
        <v>925</v>
      </c>
      <c r="E107" s="63" t="s">
        <v>468</v>
      </c>
      <c r="F107" s="31" t="s">
        <v>469</v>
      </c>
      <c r="G107" s="60">
        <v>0.78</v>
      </c>
      <c r="H107" s="60">
        <v>0.78</v>
      </c>
      <c r="I107" s="60">
        <v>0.78</v>
      </c>
      <c r="J107" s="60">
        <v>0.78</v>
      </c>
      <c r="K107" s="60">
        <v>0.78</v>
      </c>
      <c r="L107" s="60">
        <v>0.78</v>
      </c>
      <c r="M107" s="60">
        <v>0.78</v>
      </c>
      <c r="N107" s="60">
        <v>0.78</v>
      </c>
      <c r="O107" s="60">
        <v>0.78</v>
      </c>
      <c r="P107" s="60">
        <v>0.78</v>
      </c>
      <c r="Q107" s="60">
        <v>0.78</v>
      </c>
      <c r="R107" s="60">
        <v>0.78</v>
      </c>
      <c r="S107" s="37"/>
      <c r="T107" s="37"/>
      <c r="U107" s="37"/>
      <c r="V107" s="37"/>
      <c r="W107" s="37"/>
      <c r="X107" s="37"/>
      <c r="Y107" s="37"/>
      <c r="Z107" s="37"/>
      <c r="AA107" s="37"/>
      <c r="AB107" s="37"/>
    </row>
    <row r="108" spans="1:28" x14ac:dyDescent="0.25">
      <c r="A108" s="30"/>
      <c r="B108" s="61"/>
      <c r="C108" s="61"/>
      <c r="D108" s="61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</row>
    <row r="109" spans="1:28" x14ac:dyDescent="0.25">
      <c r="A109" s="30" t="s">
        <v>459</v>
      </c>
      <c r="B109" s="64">
        <f>SUM(B105:B108)</f>
        <v>18188.494297666668</v>
      </c>
      <c r="C109" s="64">
        <f>SUM(C105:C108)</f>
        <v>1035</v>
      </c>
      <c r="D109" s="64">
        <f>SUM(D105:D108)</f>
        <v>1275</v>
      </c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</row>
    <row r="110" spans="1:28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</row>
    <row r="111" spans="1:28" x14ac:dyDescent="0.25">
      <c r="A111" s="65" t="s">
        <v>470</v>
      </c>
      <c r="B111" s="65" t="s">
        <v>471</v>
      </c>
      <c r="C111" s="65" t="s">
        <v>472</v>
      </c>
      <c r="D111" s="66" t="s">
        <v>473</v>
      </c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</row>
    <row r="112" spans="1:28" x14ac:dyDescent="0.25">
      <c r="A112" s="30" t="s">
        <v>474</v>
      </c>
      <c r="B112" s="61">
        <v>1400</v>
      </c>
      <c r="C112" s="30">
        <v>3</v>
      </c>
      <c r="D112" s="64">
        <f>B112*C112</f>
        <v>4200</v>
      </c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</row>
    <row r="113" spans="1:28" x14ac:dyDescent="0.25">
      <c r="A113" s="30" t="s">
        <v>475</v>
      </c>
      <c r="B113" s="61">
        <v>7000</v>
      </c>
      <c r="C113" s="30">
        <v>2</v>
      </c>
      <c r="D113" s="64">
        <f>B113*C113</f>
        <v>14000</v>
      </c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</row>
    <row r="114" spans="1:28" x14ac:dyDescent="0.25">
      <c r="A114" s="30" t="s">
        <v>476</v>
      </c>
      <c r="B114" s="61">
        <v>1100</v>
      </c>
      <c r="C114" s="30">
        <v>6</v>
      </c>
      <c r="D114" s="64">
        <f>B114*C114</f>
        <v>6600</v>
      </c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</row>
    <row r="115" spans="1:28" x14ac:dyDescent="0.25">
      <c r="A115" s="30" t="s">
        <v>477</v>
      </c>
      <c r="B115" s="61">
        <v>6000</v>
      </c>
      <c r="C115" s="30">
        <v>1</v>
      </c>
      <c r="D115" s="64">
        <f>B115*C115</f>
        <v>6000</v>
      </c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</row>
    <row r="116" spans="1:28" x14ac:dyDescent="0.25">
      <c r="A116" s="30" t="s">
        <v>478</v>
      </c>
      <c r="B116" s="61">
        <v>350</v>
      </c>
      <c r="C116" s="30">
        <v>3</v>
      </c>
      <c r="D116" s="64">
        <f>B116*C116</f>
        <v>1050</v>
      </c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</row>
    <row r="117" spans="1:28" x14ac:dyDescent="0.25">
      <c r="A117" s="30" t="s">
        <v>459</v>
      </c>
      <c r="B117" s="67" t="s">
        <v>479</v>
      </c>
      <c r="C117" s="68" t="s">
        <v>479</v>
      </c>
      <c r="D117" s="64">
        <f>SUM(D112:D116)</f>
        <v>31850</v>
      </c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</row>
    <row r="118" spans="1:28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</row>
    <row r="119" spans="1:28" x14ac:dyDescent="0.25">
      <c r="A119" s="62" t="s">
        <v>480</v>
      </c>
      <c r="B119" s="62" t="s">
        <v>471</v>
      </c>
      <c r="C119" s="62" t="s">
        <v>472</v>
      </c>
      <c r="D119" s="62" t="s">
        <v>473</v>
      </c>
    </row>
    <row r="120" spans="1:28" x14ac:dyDescent="0.25">
      <c r="A120" s="30" t="s">
        <v>481</v>
      </c>
      <c r="B120" s="30"/>
      <c r="C120" s="30"/>
      <c r="D120" s="30"/>
    </row>
    <row r="121" spans="1:28" x14ac:dyDescent="0.25">
      <c r="Q121" s="69"/>
    </row>
    <row r="122" spans="1:28" x14ac:dyDescent="0.25">
      <c r="Q122" s="70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918C-0969-4AF6-867B-6D565710BAF8}">
  <sheetPr codeName="Planilha3"/>
  <dimension ref="A1:AB16"/>
  <sheetViews>
    <sheetView workbookViewId="0">
      <selection activeCell="B10" sqref="B10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82" t="s">
        <v>482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37"/>
      <c r="O1" s="36"/>
      <c r="P1" s="37"/>
      <c r="Q1" s="83" t="s">
        <v>396</v>
      </c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</row>
    <row r="2" spans="1:28" ht="18.75" x14ac:dyDescent="0.3">
      <c r="A2" s="30"/>
      <c r="B2" s="31" t="s">
        <v>437</v>
      </c>
      <c r="C2" s="31" t="s">
        <v>438</v>
      </c>
      <c r="D2" s="31" t="s">
        <v>439</v>
      </c>
      <c r="E2" s="31" t="s">
        <v>440</v>
      </c>
      <c r="F2" s="31" t="s">
        <v>441</v>
      </c>
      <c r="G2" s="31" t="s">
        <v>442</v>
      </c>
      <c r="H2" s="31" t="s">
        <v>443</v>
      </c>
      <c r="I2" s="31" t="s">
        <v>444</v>
      </c>
      <c r="J2" s="31" t="s">
        <v>445</v>
      </c>
      <c r="K2" s="31" t="s">
        <v>446</v>
      </c>
      <c r="L2" s="31" t="s">
        <v>447</v>
      </c>
      <c r="M2" s="31" t="s">
        <v>448</v>
      </c>
      <c r="N2" s="37"/>
      <c r="O2" s="36"/>
      <c r="P2" s="37"/>
      <c r="Q2" s="32" t="s">
        <v>397</v>
      </c>
      <c r="R2" s="32" t="s">
        <v>398</v>
      </c>
      <c r="S2" s="32" t="s">
        <v>399</v>
      </c>
      <c r="T2" s="32" t="s">
        <v>400</v>
      </c>
      <c r="U2" s="32" t="s">
        <v>401</v>
      </c>
      <c r="V2" s="32" t="s">
        <v>402</v>
      </c>
      <c r="W2" s="32" t="s">
        <v>403</v>
      </c>
      <c r="X2" s="32" t="s">
        <v>404</v>
      </c>
      <c r="Y2" s="32" t="s">
        <v>405</v>
      </c>
      <c r="Z2" s="32" t="s">
        <v>406</v>
      </c>
      <c r="AA2" s="32" t="s">
        <v>407</v>
      </c>
      <c r="AB2" s="32" t="s">
        <v>408</v>
      </c>
    </row>
    <row r="3" spans="1:28" x14ac:dyDescent="0.25">
      <c r="A3" s="33" t="s">
        <v>483</v>
      </c>
      <c r="B3" s="33">
        <f>COUNTIFS(CONSOLIDADO!$O:$O,$A3,CONSOLIDADO!$I:$I,Q$3,CONSOLIDADO!$I:$I,Q$4,CONSOLIDADO!$K:$K,"&lt;&gt;NOVO")</f>
        <v>59</v>
      </c>
      <c r="C3" s="33">
        <f>COUNTIFS(CONSOLIDADO!$O:$O,$A3,CONSOLIDADO!$I:$I,R$3,CONSOLIDADO!$I:$I,R$4,CONSOLIDADO!$K:$K,"&lt;&gt;NOVO")</f>
        <v>54</v>
      </c>
      <c r="D3" s="33">
        <f>COUNTIFS(CONSOLIDADO!$O:$O,$A3,CONSOLIDADO!$I:$I,S$3,CONSOLIDADO!$I:$I,S$4,CONSOLIDADO!$K:$K,"&lt;&gt;NOVO")</f>
        <v>102</v>
      </c>
      <c r="E3" s="33">
        <f>COUNTIFS(CONSOLIDADO!$O:$O,$A3,CONSOLIDADO!$I:$I,T$3,CONSOLIDADO!$I:$I,T$4,CONSOLIDADO!$K:$K,"&lt;&gt;NOVO")</f>
        <v>146</v>
      </c>
      <c r="F3" s="33">
        <f>COUNTIFS(CONSOLIDADO!$O:$O,$A3,CONSOLIDADO!$I:$I,U$3,CONSOLIDADO!$I:$I,U$4,CONSOLIDADO!$K:$K,"&lt;&gt;NOVO")</f>
        <v>0</v>
      </c>
      <c r="G3" s="33">
        <f>COUNTIFS(CONSOLIDADO!$O:$O,$A3,CONSOLIDADO!$I:$I,V$3,CONSOLIDADO!$I:$I,V$4,CONSOLIDADO!$K:$K,"&lt;&gt;NOVO")</f>
        <v>0</v>
      </c>
      <c r="H3" s="33">
        <f>COUNTIFS(CONSOLIDADO!$O:$O,$A3,CONSOLIDADO!$I:$I,W$3,CONSOLIDADO!$I:$I,W$4,CONSOLIDADO!$K:$K,"&lt;&gt;NOVO")</f>
        <v>0</v>
      </c>
      <c r="I3" s="33">
        <f>COUNTIFS(CONSOLIDADO!$O:$O,$A3,CONSOLIDADO!$I:$I,X$3,CONSOLIDADO!$I:$I,X$4,CONSOLIDADO!$K:$K,"&lt;&gt;NOVO")</f>
        <v>0</v>
      </c>
      <c r="J3" s="33">
        <f>COUNTIFS(CONSOLIDADO!$O:$O,$A3,CONSOLIDADO!$I:$I,Y$3,CONSOLIDADO!$I:$I,Y$4,CONSOLIDADO!$K:$K,"&lt;&gt;NOVO")</f>
        <v>0</v>
      </c>
      <c r="K3" s="33">
        <f>COUNTIFS(CONSOLIDADO!$O:$O,$A3,CONSOLIDADO!$I:$I,Z$3,CONSOLIDADO!$I:$I,Z$4,CONSOLIDADO!$K:$K,"&lt;&gt;NOVO")</f>
        <v>0</v>
      </c>
      <c r="L3" s="33">
        <f>COUNTIFS(CONSOLIDADO!$O:$O,$A3,CONSOLIDADO!$I:$I,AA$3,CONSOLIDADO!$I:$I,AA$4,CONSOLIDADO!$K:$K,"&lt;&gt;NOVO")</f>
        <v>0</v>
      </c>
      <c r="M3" s="33">
        <f>COUNTIFS(CONSOLIDADO!$O:$O,$A3,CONSOLIDADO!$I:$I,AB$3,CONSOLIDADO!$I:$I,AB$4,CONSOLIDADO!$K:$K,"&lt;&gt;NOVO")</f>
        <v>0</v>
      </c>
      <c r="N3" s="37"/>
      <c r="O3" s="36"/>
      <c r="P3" s="37"/>
      <c r="Q3" s="34" t="s">
        <v>409</v>
      </c>
      <c r="R3" s="34" t="s">
        <v>410</v>
      </c>
      <c r="S3" s="34" t="s">
        <v>411</v>
      </c>
      <c r="T3" s="34" t="s">
        <v>412</v>
      </c>
      <c r="U3" s="34" t="s">
        <v>413</v>
      </c>
      <c r="V3" s="34" t="s">
        <v>414</v>
      </c>
      <c r="W3" s="34" t="s">
        <v>415</v>
      </c>
      <c r="X3" s="34" t="s">
        <v>416</v>
      </c>
      <c r="Y3" s="34" t="s">
        <v>417</v>
      </c>
      <c r="Z3" s="34" t="s">
        <v>418</v>
      </c>
      <c r="AA3" s="34" t="s">
        <v>419</v>
      </c>
      <c r="AB3" s="34" t="s">
        <v>420</v>
      </c>
    </row>
    <row r="4" spans="1:28" x14ac:dyDescent="0.25">
      <c r="A4" s="33" t="s">
        <v>484</v>
      </c>
      <c r="B4" s="33">
        <f>COUNTIFS(CONSOLIDADO!$O:$O,$A4,CONSOLIDADO!$I:$I,Q$3,CONSOLIDADO!$I:$I,Q$4,CONSOLIDADO!$K:$K,"&lt;&gt;NOVO")</f>
        <v>22</v>
      </c>
      <c r="C4" s="33">
        <f>COUNTIFS(CONSOLIDADO!$O:$O,$A4,CONSOLIDADO!$I:$I,R$3,CONSOLIDADO!$I:$I,R$4,CONSOLIDADO!$K:$K,"&lt;&gt;NOVO")</f>
        <v>28</v>
      </c>
      <c r="D4" s="33">
        <f>COUNTIFS(CONSOLIDADO!$O:$O,$A4,CONSOLIDADO!$I:$I,S$3,CONSOLIDADO!$I:$I,S$4,CONSOLIDADO!$K:$K,"&lt;&gt;NOVO")</f>
        <v>61</v>
      </c>
      <c r="E4" s="33">
        <f>COUNTIFS(CONSOLIDADO!$O:$O,$A4,CONSOLIDADO!$I:$I,T$3,CONSOLIDADO!$I:$I,T$4,CONSOLIDADO!$K:$K,"&lt;&gt;NOVO")</f>
        <v>74</v>
      </c>
      <c r="F4" s="33">
        <f>COUNTIFS(CONSOLIDADO!$O:$O,$A4,CONSOLIDADO!$I:$I,U$3,CONSOLIDADO!$I:$I,U$4,CONSOLIDADO!$K:$K,"&lt;&gt;NOVO")</f>
        <v>0</v>
      </c>
      <c r="G4" s="33">
        <f>COUNTIFS(CONSOLIDADO!$O:$O,$A4,CONSOLIDADO!$I:$I,V$3,CONSOLIDADO!$I:$I,V$4,CONSOLIDADO!$K:$K,"&lt;&gt;NOVO")</f>
        <v>0</v>
      </c>
      <c r="H4" s="33">
        <f>COUNTIFS(CONSOLIDADO!$O:$O,$A4,CONSOLIDADO!$I:$I,W$3,CONSOLIDADO!$I:$I,W$4,CONSOLIDADO!$K:$K,"&lt;&gt;NOVO")</f>
        <v>0</v>
      </c>
      <c r="I4" s="33">
        <f>COUNTIFS(CONSOLIDADO!$O:$O,$A4,CONSOLIDADO!$I:$I,X$3,CONSOLIDADO!$I:$I,X$4,CONSOLIDADO!$K:$K,"&lt;&gt;NOVO")</f>
        <v>0</v>
      </c>
      <c r="J4" s="33">
        <f>COUNTIFS(CONSOLIDADO!$O:$O,$A4,CONSOLIDADO!$I:$I,Y$3,CONSOLIDADO!$I:$I,Y$4,CONSOLIDADO!$K:$K,"&lt;&gt;NOVO")</f>
        <v>0</v>
      </c>
      <c r="K4" s="33">
        <f>COUNTIFS(CONSOLIDADO!$O:$O,$A4,CONSOLIDADO!$I:$I,Z$3,CONSOLIDADO!$I:$I,Z$4,CONSOLIDADO!$K:$K,"&lt;&gt;NOVO")</f>
        <v>0</v>
      </c>
      <c r="L4" s="33">
        <f>COUNTIFS(CONSOLIDADO!$O:$O,$A4,CONSOLIDADO!$I:$I,AA$3,CONSOLIDADO!$I:$I,AA$4,CONSOLIDADO!$K:$K,"&lt;&gt;NOVO")</f>
        <v>0</v>
      </c>
      <c r="M4" s="33">
        <f>COUNTIFS(CONSOLIDADO!$O:$O,$A4,CONSOLIDADO!$I:$I,AB$3,CONSOLIDADO!$I:$I,AB$4,CONSOLIDADO!$K:$K,"&lt;&gt;NOVO")</f>
        <v>0</v>
      </c>
      <c r="N4" s="37"/>
      <c r="O4" s="36"/>
      <c r="P4" s="37"/>
      <c r="Q4" s="34" t="s">
        <v>421</v>
      </c>
      <c r="R4" s="34" t="s">
        <v>422</v>
      </c>
      <c r="S4" s="34" t="s">
        <v>423</v>
      </c>
      <c r="T4" s="34" t="s">
        <v>424</v>
      </c>
      <c r="U4" s="34" t="s">
        <v>425</v>
      </c>
      <c r="V4" s="34" t="s">
        <v>426</v>
      </c>
      <c r="W4" s="34" t="s">
        <v>427</v>
      </c>
      <c r="X4" s="34" t="s">
        <v>428</v>
      </c>
      <c r="Y4" s="34" t="s">
        <v>429</v>
      </c>
      <c r="Z4" s="34" t="s">
        <v>430</v>
      </c>
      <c r="AA4" s="34" t="s">
        <v>431</v>
      </c>
      <c r="AB4" s="34" t="s">
        <v>432</v>
      </c>
    </row>
    <row r="5" spans="1:28" x14ac:dyDescent="0.25">
      <c r="A5" s="33" t="s">
        <v>485</v>
      </c>
      <c r="B5" s="35">
        <f>B3/SUM(B3:B4)</f>
        <v>0.72839506172839508</v>
      </c>
      <c r="C5" s="35">
        <f t="shared" ref="C5:M5" si="0">C3/SUM(C3:C4)</f>
        <v>0.65853658536585369</v>
      </c>
      <c r="D5" s="35">
        <f t="shared" si="0"/>
        <v>0.62576687116564422</v>
      </c>
      <c r="E5" s="35">
        <f t="shared" si="0"/>
        <v>0.66363636363636369</v>
      </c>
      <c r="F5" s="35" t="e">
        <f t="shared" si="0"/>
        <v>#DIV/0!</v>
      </c>
      <c r="G5" s="35" t="e">
        <f t="shared" si="0"/>
        <v>#DIV/0!</v>
      </c>
      <c r="H5" s="35" t="e">
        <f t="shared" si="0"/>
        <v>#DIV/0!</v>
      </c>
      <c r="I5" s="35" t="e">
        <f t="shared" si="0"/>
        <v>#DIV/0!</v>
      </c>
      <c r="J5" s="35" t="e">
        <f t="shared" si="0"/>
        <v>#DIV/0!</v>
      </c>
      <c r="K5" s="35" t="e">
        <f t="shared" si="0"/>
        <v>#DIV/0!</v>
      </c>
      <c r="L5" s="35" t="e">
        <f t="shared" si="0"/>
        <v>#DIV/0!</v>
      </c>
      <c r="M5" s="35" t="e">
        <f t="shared" si="0"/>
        <v>#DIV/0!</v>
      </c>
      <c r="N5" s="37"/>
      <c r="O5" s="36"/>
      <c r="P5" s="37"/>
    </row>
    <row r="6" spans="1:2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6"/>
      <c r="P6" s="37"/>
    </row>
    <row r="7" spans="1:28" ht="18.75" x14ac:dyDescent="0.3">
      <c r="A7" s="37"/>
      <c r="B7" s="84" t="s">
        <v>486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37"/>
      <c r="O7" s="36"/>
      <c r="P7" s="37"/>
    </row>
    <row r="8" spans="1:28" ht="18.75" x14ac:dyDescent="0.3">
      <c r="A8" s="37"/>
      <c r="B8" s="31" t="s">
        <v>437</v>
      </c>
      <c r="C8" s="31" t="s">
        <v>438</v>
      </c>
      <c r="D8" s="31" t="s">
        <v>439</v>
      </c>
      <c r="E8" s="31" t="s">
        <v>440</v>
      </c>
      <c r="F8" s="31" t="s">
        <v>441</v>
      </c>
      <c r="G8" s="31" t="s">
        <v>442</v>
      </c>
      <c r="H8" s="31" t="s">
        <v>443</v>
      </c>
      <c r="I8" s="31" t="s">
        <v>444</v>
      </c>
      <c r="J8" s="31" t="s">
        <v>445</v>
      </c>
      <c r="K8" s="31" t="s">
        <v>446</v>
      </c>
      <c r="L8" s="31" t="s">
        <v>447</v>
      </c>
      <c r="M8" s="31" t="s">
        <v>448</v>
      </c>
      <c r="N8" s="37"/>
      <c r="O8" s="36"/>
      <c r="P8" s="37"/>
    </row>
    <row r="9" spans="1:28" x14ac:dyDescent="0.25">
      <c r="A9" t="s">
        <v>487</v>
      </c>
      <c r="B9">
        <f>COUNTIFS(CONSOLIDADO!$G:$G,ANÁLISE!Q$3,CONSOLIDADO!$G:$G,ANÁLISE!Q$4,CONSOLIDADO!$K:$K,ANÁLISE!$A9)</f>
        <v>97</v>
      </c>
      <c r="C9">
        <f>COUNTIFS(CONSOLIDADO!$G:$G,ANÁLISE!R$3,CONSOLIDADO!$G:$G,ANÁLISE!R$4,CONSOLIDADO!$K:$K,ANÁLISE!$A9)</f>
        <v>83</v>
      </c>
      <c r="D9">
        <f>COUNTIFS(CONSOLIDADO!$G:$G,ANÁLISE!S$3,CONSOLIDADO!$G:$G,ANÁLISE!S$4,CONSOLIDADO!$K:$K,ANÁLISE!$A9)</f>
        <v>243</v>
      </c>
      <c r="E9">
        <f>COUNTIFS(CONSOLIDADO!$G:$G,ANÁLISE!T$3,CONSOLIDADO!$G:$G,ANÁLISE!T$4,CONSOLIDADO!$K:$K,ANÁLISE!$A9)</f>
        <v>126</v>
      </c>
      <c r="F9">
        <f>COUNTIFS(CONSOLIDADO!$G:$G,ANÁLISE!U$3,CONSOLIDADO!$G:$G,ANÁLISE!U$4,CONSOLIDADO!$K:$K,ANÁLISE!$A9)</f>
        <v>0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0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2</v>
      </c>
      <c r="L9">
        <f>COUNTIFS(CONSOLIDADO!$G:$G,ANÁLISE!AA$3,CONSOLIDADO!$G:$G,ANÁLISE!AA$4,CONSOLIDADO!$K:$K,ANÁLISE!$A9)</f>
        <v>0</v>
      </c>
      <c r="M9">
        <f>COUNTIFS(CONSOLIDADO!$G:$G,ANÁLISE!AB$3,CONSOLIDADO!$G:$G,ANÁLISE!AB$4,CONSOLIDADO!$K:$K,ANÁLISE!$A9)</f>
        <v>1</v>
      </c>
      <c r="N9" s="37"/>
      <c r="O9" s="36"/>
      <c r="P9" s="37"/>
    </row>
    <row r="10" spans="1:28" x14ac:dyDescent="0.25">
      <c r="A10" t="s">
        <v>488</v>
      </c>
      <c r="B10">
        <f>COUNTIFS(CONSOLIDADO!$G:$G,ANÁLISE!Q$3,CONSOLIDADO!$G:$G,ANÁLISE!Q$4,CONSOLIDADO!$K:$K,ANÁLISE!$A10)</f>
        <v>0</v>
      </c>
      <c r="C10">
        <f>COUNTIFS(CONSOLIDADO!$G:$G,ANÁLISE!R$3,CONSOLIDADO!$G:$G,ANÁLISE!R$4,CONSOLIDADO!$K:$K,ANÁLISE!$A10)</f>
        <v>0</v>
      </c>
      <c r="D10">
        <f>COUNTIFS(CONSOLIDADO!$G:$G,ANÁLISE!S$3,CONSOLIDADO!$G:$G,ANÁLISE!S$4,CONSOLIDADO!$K:$K,ANÁLISE!$A10)</f>
        <v>6</v>
      </c>
      <c r="E10">
        <f>COUNTIFS(CONSOLIDADO!$G:$G,ANÁLISE!T$3,CONSOLIDADO!$G:$G,ANÁLISE!T$4,CONSOLIDADO!$K:$K,ANÁLISE!$A10)</f>
        <v>7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37"/>
      <c r="O10" s="36"/>
      <c r="P10" s="37"/>
    </row>
    <row r="11" spans="1:28" x14ac:dyDescent="0.25">
      <c r="A11" t="s">
        <v>485</v>
      </c>
      <c r="B11" s="71">
        <f>B9/SUM(B9:B10)</f>
        <v>1</v>
      </c>
      <c r="C11" s="71">
        <f t="shared" ref="C11:M11" si="1">C9/SUM(C9:C10)</f>
        <v>1</v>
      </c>
      <c r="D11" s="71">
        <f t="shared" si="1"/>
        <v>0.97590361445783136</v>
      </c>
      <c r="E11" s="71">
        <f t="shared" si="1"/>
        <v>0.94736842105263153</v>
      </c>
      <c r="F11" s="71" t="e">
        <f t="shared" si="1"/>
        <v>#DIV/0!</v>
      </c>
      <c r="G11" s="71" t="e">
        <f t="shared" si="1"/>
        <v>#DIV/0!</v>
      </c>
      <c r="H11" s="71" t="e">
        <f t="shared" si="1"/>
        <v>#DIV/0!</v>
      </c>
      <c r="I11" s="71" t="e">
        <f t="shared" si="1"/>
        <v>#DIV/0!</v>
      </c>
      <c r="J11" s="71" t="e">
        <f t="shared" si="1"/>
        <v>#DIV/0!</v>
      </c>
      <c r="K11" s="71">
        <f t="shared" si="1"/>
        <v>1</v>
      </c>
      <c r="L11" s="71" t="e">
        <f t="shared" si="1"/>
        <v>#DIV/0!</v>
      </c>
      <c r="M11" s="71">
        <f t="shared" si="1"/>
        <v>1</v>
      </c>
      <c r="N11" s="37"/>
      <c r="O11" s="36"/>
      <c r="P11" s="37"/>
    </row>
    <row r="12" spans="1:2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6"/>
      <c r="P12" s="37"/>
    </row>
    <row r="13" spans="1:28" x14ac:dyDescent="0.25">
      <c r="N13" s="37"/>
      <c r="O13" s="36"/>
      <c r="P13" s="37"/>
    </row>
    <row r="14" spans="1:28" x14ac:dyDescent="0.25">
      <c r="N14" s="37"/>
      <c r="O14" s="36"/>
      <c r="P14" s="37"/>
    </row>
    <row r="15" spans="1:28" x14ac:dyDescent="0.25">
      <c r="N15" s="37"/>
      <c r="O15" s="36"/>
      <c r="P15" s="37"/>
    </row>
    <row r="16" spans="1:28" x14ac:dyDescent="0.25">
      <c r="O16" s="36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99EC-57AB-49C4-8B81-8B8A7AEB8385}">
  <sheetPr codeName="Planilha4"/>
  <dimension ref="A1:Q120"/>
  <sheetViews>
    <sheetView topLeftCell="A46" workbookViewId="0">
      <selection activeCell="J50" sqref="J50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1.5703125" bestFit="1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x14ac:dyDescent="0.5">
      <c r="A1" s="87" t="s">
        <v>489</v>
      </c>
      <c r="B1" s="87"/>
      <c r="C1" s="87"/>
      <c r="D1" s="87"/>
      <c r="E1" s="87"/>
      <c r="F1" s="87"/>
      <c r="G1" s="87"/>
      <c r="H1" s="87"/>
      <c r="I1" s="36"/>
      <c r="J1" s="87" t="s">
        <v>490</v>
      </c>
      <c r="K1" s="87"/>
      <c r="L1" s="87"/>
      <c r="M1" s="87"/>
      <c r="N1" s="87"/>
      <c r="O1" s="87"/>
      <c r="P1" s="87"/>
      <c r="Q1" s="87"/>
    </row>
    <row r="2" spans="1:17" x14ac:dyDescent="0.25">
      <c r="A2" s="37"/>
      <c r="B2" s="37"/>
      <c r="C2" s="37"/>
      <c r="D2" s="37"/>
      <c r="E2" s="37"/>
      <c r="F2" s="37"/>
      <c r="G2" s="37"/>
      <c r="H2" s="37"/>
      <c r="I2" s="36"/>
      <c r="J2" s="37"/>
      <c r="K2" s="37"/>
      <c r="L2" s="37"/>
      <c r="M2" s="37"/>
      <c r="N2" s="37"/>
      <c r="O2" s="37"/>
      <c r="P2" s="38"/>
      <c r="Q2" s="39"/>
    </row>
    <row r="3" spans="1:17" ht="21" x14ac:dyDescent="0.25">
      <c r="A3" s="37"/>
      <c r="B3" s="85" t="s">
        <v>491</v>
      </c>
      <c r="C3" s="85"/>
      <c r="D3" s="85"/>
      <c r="E3" s="85"/>
      <c r="F3" s="85"/>
      <c r="G3" s="85"/>
      <c r="H3" s="37"/>
      <c r="I3" s="36"/>
      <c r="J3" s="37"/>
      <c r="K3" s="85" t="s">
        <v>492</v>
      </c>
      <c r="L3" s="85"/>
      <c r="M3" s="85"/>
      <c r="N3" s="85"/>
      <c r="O3" s="85"/>
      <c r="P3" s="85"/>
      <c r="Q3" s="40"/>
    </row>
    <row r="4" spans="1:17" ht="15.75" x14ac:dyDescent="0.25">
      <c r="A4" s="37"/>
      <c r="B4" s="41" t="s">
        <v>493</v>
      </c>
      <c r="C4" s="42" t="s">
        <v>494</v>
      </c>
      <c r="D4" s="42" t="s">
        <v>495</v>
      </c>
      <c r="E4" s="42" t="s">
        <v>496</v>
      </c>
      <c r="F4" s="42" t="s">
        <v>497</v>
      </c>
      <c r="G4" s="42" t="s">
        <v>498</v>
      </c>
      <c r="H4" s="37"/>
      <c r="I4" s="36"/>
      <c r="J4" s="37"/>
      <c r="K4" s="41" t="s">
        <v>493</v>
      </c>
      <c r="L4" s="42" t="s">
        <v>494</v>
      </c>
      <c r="M4" s="42" t="s">
        <v>495</v>
      </c>
      <c r="N4" s="42" t="s">
        <v>496</v>
      </c>
      <c r="O4" s="42" t="s">
        <v>497</v>
      </c>
      <c r="P4" s="42" t="s">
        <v>498</v>
      </c>
      <c r="Q4" s="38"/>
    </row>
    <row r="5" spans="1:17" x14ac:dyDescent="0.25">
      <c r="A5" s="37"/>
      <c r="B5" s="43" t="s">
        <v>466</v>
      </c>
      <c r="C5" s="44">
        <v>0.05</v>
      </c>
      <c r="D5" s="45">
        <v>0.78</v>
      </c>
      <c r="E5" s="46">
        <v>0.99346881326007308</v>
      </c>
      <c r="F5" s="44">
        <f>IF(((E5*C5)/D5)-C5&gt;5%,((E5*C5)/D5)-(((E5*C5)/D5)-C5)+0.05,((E5*C5)/D5))</f>
        <v>6.3683898285902124E-2</v>
      </c>
      <c r="G5" s="47">
        <f t="shared" ref="G5:G14" si="0">F5</f>
        <v>6.3683898285902124E-2</v>
      </c>
      <c r="H5" s="37"/>
      <c r="I5" s="36"/>
      <c r="J5" s="37"/>
      <c r="K5" s="43" t="s">
        <v>466</v>
      </c>
      <c r="L5" s="44">
        <v>0.05</v>
      </c>
      <c r="M5" s="45">
        <v>0.78</v>
      </c>
      <c r="N5" s="46">
        <v>0.99346881326007308</v>
      </c>
      <c r="O5" s="44">
        <f>IF(((N5*L5)/M5)-L5&gt;5%,((N5*L5)/M5)-(((N5*L5)/M5)-L5)+0.05,((N5*L5)/M5))</f>
        <v>6.3683898285902124E-2</v>
      </c>
      <c r="P5" s="47">
        <f>O5</f>
        <v>6.3683898285902124E-2</v>
      </c>
      <c r="Q5" s="37"/>
    </row>
    <row r="6" spans="1:17" x14ac:dyDescent="0.25">
      <c r="A6" s="37"/>
      <c r="B6" s="43" t="s">
        <v>15</v>
      </c>
      <c r="C6" s="44">
        <v>0.05</v>
      </c>
      <c r="D6" s="45">
        <v>1</v>
      </c>
      <c r="E6" s="46">
        <v>1</v>
      </c>
      <c r="F6" s="44">
        <f>IF(((E6*C6)/D6)-C6&gt;5%,((E6*C6)/D6)-(((E6*C6)/D6)-C6)+0.05,((E6*C6)/D6))</f>
        <v>0.05</v>
      </c>
      <c r="G6" s="47">
        <f t="shared" si="0"/>
        <v>0.05</v>
      </c>
      <c r="H6" s="37"/>
      <c r="I6" s="36"/>
      <c r="J6" s="37"/>
      <c r="K6" s="43" t="s">
        <v>15</v>
      </c>
      <c r="L6" s="44">
        <v>0.05</v>
      </c>
      <c r="M6" s="45">
        <v>1</v>
      </c>
      <c r="N6" s="46">
        <v>1</v>
      </c>
      <c r="O6" s="44">
        <f>IF(((N6*L6)/M6)-L6&gt;5%,((N6*L6)/M6)-(((N6*L6)/M6)-L6)+0.05,((N6*L6)/M6))</f>
        <v>0.05</v>
      </c>
      <c r="P6" s="47">
        <f>O6</f>
        <v>0.05</v>
      </c>
      <c r="Q6" s="37"/>
    </row>
    <row r="7" spans="1:17" x14ac:dyDescent="0.25">
      <c r="A7" s="37"/>
      <c r="B7" s="43" t="s">
        <v>499</v>
      </c>
      <c r="C7" s="44">
        <v>0.1</v>
      </c>
      <c r="D7" s="45">
        <v>0.8</v>
      </c>
      <c r="E7" s="46">
        <v>1.0258823529411765</v>
      </c>
      <c r="F7" s="44">
        <f>IF(((E7*C7)/D7)-C7&gt;5%,((E7*C7)/D7)-(((E7*C7)/D7)-C7)+0.05,((E7*C7)/D7))</f>
        <v>0.12823529411764706</v>
      </c>
      <c r="G7" s="47">
        <f t="shared" si="0"/>
        <v>0.12823529411764706</v>
      </c>
      <c r="H7" s="37"/>
      <c r="I7" s="36"/>
      <c r="J7" s="37"/>
      <c r="K7" s="43" t="s">
        <v>499</v>
      </c>
      <c r="L7" s="44">
        <v>0.1</v>
      </c>
      <c r="M7" s="45">
        <v>0.8</v>
      </c>
      <c r="N7" s="46">
        <f>((N8/M8)*L8)+((N9/M9)*L9)</f>
        <v>1.0258823529411765</v>
      </c>
      <c r="O7" s="44">
        <f>IF(((N7*L7)/M7)-L7&gt;5%,((N7*L7)/M7)-(((N7*L7)/M7)-L7)+0.05,((N7*L7)/M7))</f>
        <v>0.12823529411764706</v>
      </c>
      <c r="P7" s="47"/>
      <c r="Q7" s="37"/>
    </row>
    <row r="8" spans="1:17" x14ac:dyDescent="0.25">
      <c r="A8" s="37"/>
      <c r="B8" s="48" t="s">
        <v>500</v>
      </c>
      <c r="C8" s="49">
        <v>0.8</v>
      </c>
      <c r="D8" s="50">
        <v>1</v>
      </c>
      <c r="E8" s="51">
        <v>1</v>
      </c>
      <c r="F8" s="52">
        <f>(E8*C8)/D8</f>
        <v>0.8</v>
      </c>
      <c r="G8" s="49">
        <f t="shared" si="0"/>
        <v>0.8</v>
      </c>
      <c r="H8" s="37"/>
      <c r="I8" s="36"/>
      <c r="J8" s="37"/>
      <c r="K8" s="48" t="s">
        <v>500</v>
      </c>
      <c r="L8" s="49">
        <v>0.8</v>
      </c>
      <c r="M8" s="50">
        <v>1</v>
      </c>
      <c r="N8" s="51">
        <v>1</v>
      </c>
      <c r="O8" s="52">
        <f>(N8*L8)/M8</f>
        <v>0.8</v>
      </c>
      <c r="P8" s="49">
        <f>O8</f>
        <v>0.8</v>
      </c>
      <c r="Q8" s="37"/>
    </row>
    <row r="9" spans="1:17" ht="30" x14ac:dyDescent="0.25">
      <c r="A9" s="37"/>
      <c r="B9" s="53" t="s">
        <v>501</v>
      </c>
      <c r="C9" s="54">
        <v>0.2</v>
      </c>
      <c r="D9" s="55">
        <v>0.85</v>
      </c>
      <c r="E9" s="51">
        <v>0.96</v>
      </c>
      <c r="F9" s="55">
        <f>(E9*C9)/D9</f>
        <v>0.22588235294117648</v>
      </c>
      <c r="G9" s="49">
        <f t="shared" si="0"/>
        <v>0.22588235294117648</v>
      </c>
      <c r="H9" s="37"/>
      <c r="I9" s="36"/>
      <c r="J9" s="37"/>
      <c r="K9" s="53" t="s">
        <v>501</v>
      </c>
      <c r="L9" s="54">
        <v>0.2</v>
      </c>
      <c r="M9" s="55">
        <v>0.85</v>
      </c>
      <c r="N9" s="51">
        <v>0.96</v>
      </c>
      <c r="O9" s="55">
        <f>(N9*L9)/M9</f>
        <v>0.22588235294117648</v>
      </c>
      <c r="P9" s="49">
        <f>O9</f>
        <v>0.22588235294117648</v>
      </c>
      <c r="Q9" s="37"/>
    </row>
    <row r="10" spans="1:17" x14ac:dyDescent="0.25">
      <c r="A10" s="37"/>
      <c r="B10" s="43" t="s">
        <v>14</v>
      </c>
      <c r="C10" s="44">
        <v>0.1</v>
      </c>
      <c r="D10" s="45">
        <v>0.47</v>
      </c>
      <c r="E10" s="46">
        <v>0.7</v>
      </c>
      <c r="F10" s="44">
        <f>IF(((E10*C10)/D10)-C10&gt;5%,((E10*C10)/D10)-(((E10*C10)/D10)-C10)+0.05,((E10*C10)/D10))</f>
        <v>0.14893617021276595</v>
      </c>
      <c r="G10" s="47">
        <f t="shared" si="0"/>
        <v>0.14893617021276595</v>
      </c>
      <c r="H10" s="37"/>
      <c r="I10" s="36"/>
      <c r="J10" s="37"/>
      <c r="K10" s="43" t="s">
        <v>14</v>
      </c>
      <c r="L10" s="44">
        <v>0.1</v>
      </c>
      <c r="M10" s="45">
        <v>0.47</v>
      </c>
      <c r="N10" s="46">
        <v>0.7</v>
      </c>
      <c r="O10" s="44">
        <f>IF(((N10*L10)/M10)-L10&gt;5%,((N10*L10)/M10)-(((N10*L10)/M10)-L10)+0.05,((N10*L10)/M10))</f>
        <v>0.14893617021276595</v>
      </c>
      <c r="P10" s="47">
        <f>O10</f>
        <v>0.14893617021276595</v>
      </c>
      <c r="Q10" s="37"/>
    </row>
    <row r="11" spans="1:17" x14ac:dyDescent="0.25">
      <c r="A11" s="37"/>
      <c r="B11" s="43" t="s">
        <v>502</v>
      </c>
      <c r="C11" s="44">
        <v>0.3</v>
      </c>
      <c r="D11" s="45">
        <v>1</v>
      </c>
      <c r="E11" s="46">
        <v>0</v>
      </c>
      <c r="F11" s="44">
        <f t="shared" ref="F11:F12" si="1">IF(((E11*C11)/D11)-C11&gt;5%,((E11*C11)/D11)-(((E11*C11)/D11)-C11)+0.05,((E11*C11)/D11))</f>
        <v>0</v>
      </c>
      <c r="G11" s="47">
        <f t="shared" si="0"/>
        <v>0</v>
      </c>
      <c r="H11" s="37"/>
      <c r="I11" s="36"/>
      <c r="J11" s="37"/>
      <c r="K11" s="43" t="s">
        <v>502</v>
      </c>
      <c r="L11" s="44">
        <v>0.3</v>
      </c>
      <c r="M11" s="45">
        <v>1</v>
      </c>
      <c r="N11" s="46">
        <v>0</v>
      </c>
      <c r="O11" s="44">
        <f t="shared" ref="O11:O12" si="2">IF(((N11*L11)/M11)-L11&gt;5%,((N11*L11)/M11)-(((N11*L11)/M11)-L11)+0.05,((N11*L11)/M11))</f>
        <v>0</v>
      </c>
      <c r="P11" s="47">
        <f t="shared" ref="P11:P14" si="3">O11</f>
        <v>0</v>
      </c>
      <c r="Q11" s="37"/>
    </row>
    <row r="12" spans="1:17" x14ac:dyDescent="0.25">
      <c r="A12" s="37"/>
      <c r="B12" s="43" t="s">
        <v>503</v>
      </c>
      <c r="C12" s="44">
        <v>0.25</v>
      </c>
      <c r="D12" s="45">
        <v>0.8</v>
      </c>
      <c r="E12" s="46">
        <v>1.0444444444444443</v>
      </c>
      <c r="F12" s="44">
        <f t="shared" si="1"/>
        <v>0.3</v>
      </c>
      <c r="G12" s="47">
        <f t="shared" si="0"/>
        <v>0.3</v>
      </c>
      <c r="H12" s="37"/>
      <c r="I12" s="36"/>
      <c r="J12" s="37"/>
      <c r="K12" s="43" t="s">
        <v>503</v>
      </c>
      <c r="L12" s="44">
        <v>0.25</v>
      </c>
      <c r="M12" s="45">
        <v>0.8</v>
      </c>
      <c r="N12" s="46">
        <f>((N13/M13)*L13)+((N14/M14)*L14)</f>
        <v>1.0444444444444443</v>
      </c>
      <c r="O12" s="44">
        <f t="shared" si="2"/>
        <v>0.3</v>
      </c>
      <c r="P12" s="47">
        <f t="shared" si="3"/>
        <v>0.3</v>
      </c>
      <c r="Q12" s="37"/>
    </row>
    <row r="13" spans="1:17" x14ac:dyDescent="0.25">
      <c r="A13" s="37"/>
      <c r="B13" s="48" t="s">
        <v>504</v>
      </c>
      <c r="C13" s="49">
        <v>0.5</v>
      </c>
      <c r="D13" s="50">
        <v>0.9</v>
      </c>
      <c r="E13" s="56">
        <v>0.98</v>
      </c>
      <c r="F13" s="55">
        <f>(E13*C13)/D13</f>
        <v>0.5444444444444444</v>
      </c>
      <c r="G13" s="49">
        <f t="shared" si="0"/>
        <v>0.5444444444444444</v>
      </c>
      <c r="H13" s="37"/>
      <c r="I13" s="36"/>
      <c r="J13" s="37"/>
      <c r="K13" s="48" t="s">
        <v>504</v>
      </c>
      <c r="L13" s="49">
        <v>0.5</v>
      </c>
      <c r="M13" s="50">
        <v>0.9</v>
      </c>
      <c r="N13" s="56">
        <v>0.98</v>
      </c>
      <c r="O13" s="55">
        <f>(N13*L13)/M13</f>
        <v>0.5444444444444444</v>
      </c>
      <c r="P13" s="49">
        <f t="shared" si="3"/>
        <v>0.5444444444444444</v>
      </c>
      <c r="Q13" s="37"/>
    </row>
    <row r="14" spans="1:17" x14ac:dyDescent="0.25">
      <c r="A14" s="37"/>
      <c r="B14" s="48" t="s">
        <v>505</v>
      </c>
      <c r="C14" s="49">
        <v>0.5</v>
      </c>
      <c r="D14" s="50">
        <v>1</v>
      </c>
      <c r="E14" s="56">
        <v>1</v>
      </c>
      <c r="F14" s="55">
        <f>(E14*C14)/D14</f>
        <v>0.5</v>
      </c>
      <c r="G14" s="49">
        <f t="shared" si="0"/>
        <v>0.5</v>
      </c>
      <c r="H14" s="37"/>
      <c r="I14" s="36"/>
      <c r="J14" s="37"/>
      <c r="K14" s="48" t="s">
        <v>505</v>
      </c>
      <c r="L14" s="49">
        <v>0.5</v>
      </c>
      <c r="M14" s="50">
        <v>1</v>
      </c>
      <c r="N14" s="56">
        <v>1</v>
      </c>
      <c r="O14" s="55">
        <f>(N14*L14)/M14</f>
        <v>0.5</v>
      </c>
      <c r="P14" s="49">
        <f t="shared" si="3"/>
        <v>0.5</v>
      </c>
      <c r="Q14" s="37"/>
    </row>
    <row r="15" spans="1:17" x14ac:dyDescent="0.25">
      <c r="A15" s="37"/>
      <c r="B15" s="43" t="s">
        <v>506</v>
      </c>
      <c r="C15" s="44">
        <v>0.15</v>
      </c>
      <c r="D15" s="45">
        <v>1</v>
      </c>
      <c r="E15" s="46">
        <v>1</v>
      </c>
      <c r="F15" s="44">
        <f>IF(((E15*C15)/D15)-C15&gt;5%,((E15*C15)/D15)-(((E15*C15)/D15)-C15)+0.05,((E15*C15)/D15))</f>
        <v>0.15</v>
      </c>
      <c r="G15" s="47">
        <f>F15</f>
        <v>0.15</v>
      </c>
      <c r="H15" s="37"/>
      <c r="I15" s="36"/>
      <c r="J15" s="37"/>
      <c r="K15" s="43" t="s">
        <v>506</v>
      </c>
      <c r="L15" s="44">
        <v>0.15</v>
      </c>
      <c r="M15" s="45">
        <v>1</v>
      </c>
      <c r="N15" s="46">
        <v>1</v>
      </c>
      <c r="O15" s="44">
        <f>IF(((N15*L15)/M15)-L15&gt;5%,((N15*L15)/M15)-(((N15*L15)/M15)-L15)+0.05,((N15*L15)/M15))</f>
        <v>0.15</v>
      </c>
      <c r="P15" s="47">
        <f>O15</f>
        <v>0.15</v>
      </c>
      <c r="Q15" s="37"/>
    </row>
    <row r="16" spans="1:17" ht="21" x14ac:dyDescent="0.35">
      <c r="A16" s="37"/>
      <c r="B16" s="86" t="s">
        <v>507</v>
      </c>
      <c r="C16" s="86"/>
      <c r="D16" s="86"/>
      <c r="E16" s="86"/>
      <c r="F16" s="57">
        <f>SUM(F5,F6,F7,F10,F11,F12,F15)</f>
        <v>0.84085536261631522</v>
      </c>
      <c r="G16" s="57">
        <f>SUM(G5,G6,G7,G10,G11,G12,G15)</f>
        <v>0.84085536261631522</v>
      </c>
      <c r="H16" s="37"/>
      <c r="I16" s="36"/>
      <c r="J16" s="37"/>
      <c r="K16" s="86" t="s">
        <v>507</v>
      </c>
      <c r="L16" s="86"/>
      <c r="M16" s="86"/>
      <c r="N16" s="86"/>
      <c r="O16" s="57">
        <f>SUM(O5,O6,O7,O10,O11,O12,O15)</f>
        <v>0.84085536261631522</v>
      </c>
      <c r="P16" s="57">
        <f>SUM(P5,P6,P7,P10,P11,P12,P15)</f>
        <v>0.7126200684986681</v>
      </c>
      <c r="Q16" s="37"/>
    </row>
    <row r="17" spans="1:17" x14ac:dyDescent="0.25">
      <c r="A17" s="37"/>
      <c r="B17" s="37"/>
      <c r="C17" s="37"/>
      <c r="D17" s="37"/>
      <c r="E17" s="37"/>
      <c r="F17" s="37"/>
      <c r="G17" s="37"/>
      <c r="H17" s="37"/>
      <c r="I17" s="36"/>
      <c r="J17" s="37"/>
      <c r="K17" s="37"/>
      <c r="L17" s="37"/>
      <c r="M17" s="37"/>
      <c r="N17" s="37"/>
      <c r="O17" s="37"/>
      <c r="P17" s="37"/>
      <c r="Q17" s="37"/>
    </row>
    <row r="18" spans="1:17" ht="21" x14ac:dyDescent="0.25">
      <c r="A18" s="37"/>
      <c r="B18" s="85" t="s">
        <v>508</v>
      </c>
      <c r="C18" s="85"/>
      <c r="D18" s="85"/>
      <c r="E18" s="85"/>
      <c r="F18" s="85"/>
      <c r="G18" s="85"/>
      <c r="H18" s="37"/>
      <c r="I18" s="36"/>
      <c r="J18" s="37"/>
      <c r="K18" s="37"/>
      <c r="L18" s="37"/>
      <c r="M18" s="37"/>
      <c r="N18" s="37"/>
      <c r="O18" s="37"/>
      <c r="P18" s="37"/>
      <c r="Q18" s="37"/>
    </row>
    <row r="19" spans="1:17" ht="15.75" x14ac:dyDescent="0.25">
      <c r="A19" s="37"/>
      <c r="B19" s="41" t="s">
        <v>493</v>
      </c>
      <c r="C19" s="42" t="s">
        <v>494</v>
      </c>
      <c r="D19" s="42" t="s">
        <v>495</v>
      </c>
      <c r="E19" s="42" t="s">
        <v>496</v>
      </c>
      <c r="F19" s="42" t="s">
        <v>497</v>
      </c>
      <c r="G19" s="42" t="s">
        <v>498</v>
      </c>
      <c r="H19" s="37"/>
      <c r="I19" s="36"/>
      <c r="J19" s="37"/>
      <c r="K19" s="37"/>
      <c r="L19" s="37"/>
      <c r="M19" s="37"/>
      <c r="N19" s="37"/>
      <c r="O19" s="37"/>
      <c r="P19" s="37"/>
      <c r="Q19" s="37"/>
    </row>
    <row r="20" spans="1:17" x14ac:dyDescent="0.25">
      <c r="A20" s="37"/>
      <c r="B20" s="43" t="s">
        <v>466</v>
      </c>
      <c r="C20" s="44">
        <v>0.05</v>
      </c>
      <c r="D20" s="45">
        <v>0.78</v>
      </c>
      <c r="E20" s="46">
        <v>0.79776407228676105</v>
      </c>
      <c r="F20" s="44">
        <f>IF(((E20*C20)/D20)-C20&gt;5%,((E20*C20)/D20)-(((E20*C20)/D20)-C20)+0.05,((E20*C20)/D20))</f>
        <v>5.1138722582484683E-2</v>
      </c>
      <c r="G20" s="47">
        <f t="shared" ref="G20:G30" si="4">AVERAGE(F5,F20)</f>
        <v>5.7411310434193404E-2</v>
      </c>
      <c r="H20" s="37"/>
      <c r="I20" s="36"/>
      <c r="J20" s="37"/>
      <c r="K20" s="37"/>
      <c r="L20" s="37"/>
      <c r="M20" s="37"/>
      <c r="N20" s="37"/>
      <c r="O20" s="37"/>
      <c r="P20" s="37"/>
      <c r="Q20" s="37"/>
    </row>
    <row r="21" spans="1:17" x14ac:dyDescent="0.25">
      <c r="A21" s="37"/>
      <c r="B21" s="43" t="s">
        <v>15</v>
      </c>
      <c r="C21" s="44">
        <v>0.05</v>
      </c>
      <c r="D21" s="45">
        <v>1</v>
      </c>
      <c r="E21" s="46">
        <v>1</v>
      </c>
      <c r="F21" s="44">
        <f>IF(((E21*C21)/D21)-C21&gt;5%,((E21*C21)/D21)-(((E21*C21)/D21)-C21)+0.05,((E21*C21)/D21))</f>
        <v>0.05</v>
      </c>
      <c r="G21" s="47">
        <f t="shared" si="4"/>
        <v>0.05</v>
      </c>
      <c r="H21" s="37"/>
      <c r="I21" s="36"/>
      <c r="J21" s="37"/>
      <c r="K21" s="37"/>
      <c r="L21" s="37"/>
      <c r="M21" s="37"/>
      <c r="N21" s="37"/>
      <c r="O21" s="37"/>
      <c r="P21" s="37"/>
      <c r="Q21" s="37"/>
    </row>
    <row r="22" spans="1:17" x14ac:dyDescent="0.25">
      <c r="A22" s="37"/>
      <c r="B22" s="43" t="s">
        <v>499</v>
      </c>
      <c r="C22" s="44">
        <v>0.1</v>
      </c>
      <c r="D22" s="45">
        <v>0.8</v>
      </c>
      <c r="E22" s="46">
        <v>1.0188235294117649</v>
      </c>
      <c r="F22" s="44">
        <f>IF(((E22*C22)/D22)-C22&gt;5%,((E22*C22)/D22)-(((E22*C22)/D22)-C22)+0.05,((E22*C22)/D22))</f>
        <v>0.12735294117647061</v>
      </c>
      <c r="G22" s="47">
        <f t="shared" si="4"/>
        <v>0.12779411764705884</v>
      </c>
      <c r="H22" s="37"/>
      <c r="I22" s="36"/>
    </row>
    <row r="23" spans="1:17" x14ac:dyDescent="0.25">
      <c r="A23" s="37"/>
      <c r="B23" s="48" t="s">
        <v>500</v>
      </c>
      <c r="C23" s="49">
        <v>0.8</v>
      </c>
      <c r="D23" s="50">
        <v>1</v>
      </c>
      <c r="E23" s="51">
        <v>1</v>
      </c>
      <c r="F23" s="52">
        <f>(E23*C23)/D23</f>
        <v>0.8</v>
      </c>
      <c r="G23" s="49">
        <f t="shared" si="4"/>
        <v>0.8</v>
      </c>
      <c r="H23" s="37"/>
      <c r="I23" s="36"/>
    </row>
    <row r="24" spans="1:17" ht="30" x14ac:dyDescent="0.25">
      <c r="A24" s="37"/>
      <c r="B24" s="53" t="s">
        <v>501</v>
      </c>
      <c r="C24" s="54">
        <v>0.2</v>
      </c>
      <c r="D24" s="55">
        <v>0.85</v>
      </c>
      <c r="E24" s="51">
        <v>0.93</v>
      </c>
      <c r="F24" s="55">
        <f>(E24*C24)/D24</f>
        <v>0.21882352941176475</v>
      </c>
      <c r="G24" s="49">
        <f t="shared" si="4"/>
        <v>0.22235294117647061</v>
      </c>
      <c r="H24" s="37"/>
      <c r="I24" s="36"/>
    </row>
    <row r="25" spans="1:17" x14ac:dyDescent="0.25">
      <c r="A25" s="37"/>
      <c r="B25" s="43" t="s">
        <v>14</v>
      </c>
      <c r="C25" s="44">
        <v>0.1</v>
      </c>
      <c r="D25" s="45">
        <v>0.47</v>
      </c>
      <c r="E25" s="46">
        <v>0.7</v>
      </c>
      <c r="F25" s="44">
        <f>IF(((E25*C25)/D25)-C25&gt;5%,((E25*C25)/D25)-(((E25*C25)/D25)-C25)+0.05,((E25*C25)/D25))</f>
        <v>0.14893617021276595</v>
      </c>
      <c r="G25" s="47">
        <f t="shared" si="4"/>
        <v>0.14893617021276595</v>
      </c>
      <c r="H25" s="37"/>
      <c r="I25" s="36"/>
    </row>
    <row r="26" spans="1:17" x14ac:dyDescent="0.25">
      <c r="A26" s="37"/>
      <c r="B26" s="43" t="s">
        <v>502</v>
      </c>
      <c r="C26" s="44">
        <v>0.3</v>
      </c>
      <c r="D26" s="45">
        <v>1</v>
      </c>
      <c r="E26" s="46">
        <v>1</v>
      </c>
      <c r="F26" s="44">
        <f t="shared" ref="F26:F27" si="5">IF(((E26*C26)/D26)-C26&gt;5%,((E26*C26)/D26)-(((E26*C26)/D26)-C26)+0.05,((E26*C26)/D26))</f>
        <v>0.3</v>
      </c>
      <c r="G26" s="47">
        <f t="shared" si="4"/>
        <v>0.15</v>
      </c>
      <c r="H26" s="37"/>
      <c r="I26" s="36"/>
    </row>
    <row r="27" spans="1:17" x14ac:dyDescent="0.25">
      <c r="A27" s="37"/>
      <c r="B27" s="43" t="s">
        <v>503</v>
      </c>
      <c r="C27" s="44">
        <v>0.25</v>
      </c>
      <c r="D27" s="45">
        <v>0.8</v>
      </c>
      <c r="E27" s="46">
        <v>1.0444444444444443</v>
      </c>
      <c r="F27" s="44">
        <f t="shared" si="5"/>
        <v>0.3</v>
      </c>
      <c r="G27" s="47">
        <f t="shared" si="4"/>
        <v>0.3</v>
      </c>
      <c r="H27" s="37"/>
      <c r="I27" s="36"/>
    </row>
    <row r="28" spans="1:17" x14ac:dyDescent="0.25">
      <c r="A28" s="37"/>
      <c r="B28" s="48" t="s">
        <v>504</v>
      </c>
      <c r="C28" s="49">
        <v>0.5</v>
      </c>
      <c r="D28" s="50">
        <v>0.9</v>
      </c>
      <c r="E28" s="56">
        <v>0.98</v>
      </c>
      <c r="F28" s="55">
        <f>(E28*C28)/D28</f>
        <v>0.5444444444444444</v>
      </c>
      <c r="G28" s="49">
        <f t="shared" si="4"/>
        <v>0.5444444444444444</v>
      </c>
      <c r="H28" s="37"/>
      <c r="I28" s="36"/>
    </row>
    <row r="29" spans="1:17" x14ac:dyDescent="0.25">
      <c r="A29" s="37"/>
      <c r="B29" s="48" t="s">
        <v>505</v>
      </c>
      <c r="C29" s="49">
        <v>0.5</v>
      </c>
      <c r="D29" s="50">
        <v>1</v>
      </c>
      <c r="E29" s="56">
        <v>1</v>
      </c>
      <c r="F29" s="55">
        <f>(E29*C29)/D29</f>
        <v>0.5</v>
      </c>
      <c r="G29" s="49">
        <f t="shared" si="4"/>
        <v>0.5</v>
      </c>
      <c r="H29" s="37"/>
      <c r="I29" s="36"/>
    </row>
    <row r="30" spans="1:17" x14ac:dyDescent="0.25">
      <c r="A30" s="37"/>
      <c r="B30" s="43" t="s">
        <v>506</v>
      </c>
      <c r="C30" s="44">
        <v>0.15</v>
      </c>
      <c r="D30" s="45">
        <v>1</v>
      </c>
      <c r="E30" s="46">
        <v>1</v>
      </c>
      <c r="F30" s="44">
        <f>IF(((E30*C30)/D30)-C30&gt;5%,((E30*C30)/D30)-(((E30*C30)/D30)-C30)+0.05,((E30*C30)/D30))</f>
        <v>0.15</v>
      </c>
      <c r="G30" s="47">
        <f t="shared" si="4"/>
        <v>0.15</v>
      </c>
      <c r="H30" s="37"/>
      <c r="I30" s="36"/>
    </row>
    <row r="31" spans="1:17" ht="21" x14ac:dyDescent="0.35">
      <c r="A31" s="37"/>
      <c r="B31" s="86" t="s">
        <v>507</v>
      </c>
      <c r="C31" s="86"/>
      <c r="D31" s="86"/>
      <c r="E31" s="86"/>
      <c r="F31" s="57">
        <f>SUM(F20,F21,F22,F25,F26,F27,F30)</f>
        <v>1.1274278339717212</v>
      </c>
      <c r="G31" s="57">
        <f>SUM(G20,G21,G22,G25,G26,G27,G30)</f>
        <v>0.98414159829401815</v>
      </c>
      <c r="H31" s="37"/>
      <c r="I31" s="36"/>
    </row>
    <row r="32" spans="1:17" x14ac:dyDescent="0.25">
      <c r="A32" s="37"/>
      <c r="B32" s="37"/>
      <c r="C32" s="37"/>
      <c r="D32" s="37"/>
      <c r="E32" s="37"/>
      <c r="F32" s="37"/>
      <c r="G32" s="37"/>
      <c r="H32" s="37"/>
      <c r="I32" s="36"/>
    </row>
    <row r="33" spans="1:9" ht="21" x14ac:dyDescent="0.25">
      <c r="A33" s="37"/>
      <c r="B33" s="85" t="s">
        <v>509</v>
      </c>
      <c r="C33" s="85"/>
      <c r="D33" s="85"/>
      <c r="E33" s="85"/>
      <c r="F33" s="85"/>
      <c r="G33" s="85"/>
      <c r="H33" s="37"/>
      <c r="I33" s="36"/>
    </row>
    <row r="34" spans="1:9" ht="15.75" x14ac:dyDescent="0.25">
      <c r="A34" s="37"/>
      <c r="B34" s="41" t="s">
        <v>493</v>
      </c>
      <c r="C34" s="42" t="s">
        <v>494</v>
      </c>
      <c r="D34" s="42" t="s">
        <v>495</v>
      </c>
      <c r="E34" s="42" t="s">
        <v>496</v>
      </c>
      <c r="F34" s="42" t="s">
        <v>497</v>
      </c>
      <c r="G34" s="42" t="s">
        <v>498</v>
      </c>
      <c r="H34" s="37"/>
      <c r="I34" s="36"/>
    </row>
    <row r="35" spans="1:9" x14ac:dyDescent="0.25">
      <c r="A35" s="37"/>
      <c r="B35" s="43" t="s">
        <v>466</v>
      </c>
      <c r="C35" s="44">
        <v>0.05</v>
      </c>
      <c r="D35" s="45">
        <v>0.78</v>
      </c>
      <c r="E35" s="46">
        <v>0.8</v>
      </c>
      <c r="F35" s="44">
        <f>IF(((E35*C35)/D35)-C35&gt;5%,((E35*C35)/D35)-(((E35*C35)/D35)-C35)+0.05,((E35*C35)/D35))</f>
        <v>5.1282051282051287E-2</v>
      </c>
      <c r="G35" s="47">
        <f>AVERAGE(F20,F35,F5)</f>
        <v>5.5368224050146027E-2</v>
      </c>
      <c r="H35" s="37"/>
      <c r="I35" s="36"/>
    </row>
    <row r="36" spans="1:9" x14ac:dyDescent="0.25">
      <c r="A36" s="37"/>
      <c r="B36" s="43" t="s">
        <v>15</v>
      </c>
      <c r="C36" s="44">
        <v>0.05</v>
      </c>
      <c r="D36" s="45">
        <v>1</v>
      </c>
      <c r="E36" s="46">
        <v>1</v>
      </c>
      <c r="F36" s="44">
        <v>0.05</v>
      </c>
      <c r="G36" s="47">
        <f>AVERAGE(F21,F36,F6)</f>
        <v>5.000000000000001E-2</v>
      </c>
      <c r="H36" s="37"/>
      <c r="I36" s="36"/>
    </row>
    <row r="37" spans="1:9" x14ac:dyDescent="0.25">
      <c r="A37" s="37"/>
      <c r="B37" s="43" t="s">
        <v>499</v>
      </c>
      <c r="C37" s="44">
        <v>0.1</v>
      </c>
      <c r="D37" s="45">
        <v>0.8</v>
      </c>
      <c r="E37" s="46">
        <v>1.027529411764706</v>
      </c>
      <c r="F37" s="44">
        <v>0.12844117647058825</v>
      </c>
      <c r="G37" s="47">
        <f>AVERAGE(F22,F37,F7)</f>
        <v>0.12800980392156863</v>
      </c>
      <c r="H37" s="37"/>
      <c r="I37" s="36"/>
    </row>
    <row r="38" spans="1:9" x14ac:dyDescent="0.25">
      <c r="A38" s="37"/>
      <c r="B38" s="48" t="s">
        <v>500</v>
      </c>
      <c r="C38" s="49">
        <v>0.8</v>
      </c>
      <c r="D38" s="50">
        <v>1</v>
      </c>
      <c r="E38" s="51">
        <v>1</v>
      </c>
      <c r="F38" s="52">
        <v>0.8</v>
      </c>
      <c r="G38" s="49">
        <f>AVERAGE(F38,F23,F8,)</f>
        <v>0.60000000000000009</v>
      </c>
      <c r="H38" s="37"/>
      <c r="I38" s="36"/>
    </row>
    <row r="39" spans="1:9" ht="30" x14ac:dyDescent="0.25">
      <c r="A39" s="37"/>
      <c r="B39" s="53" t="s">
        <v>501</v>
      </c>
      <c r="C39" s="54">
        <v>0.2</v>
      </c>
      <c r="D39" s="55">
        <v>0.85</v>
      </c>
      <c r="E39" s="51">
        <v>0.96</v>
      </c>
      <c r="F39" s="55">
        <v>0.2275294117647059</v>
      </c>
      <c r="G39" s="54">
        <f>AVERAGE(F39,F24,F9,)</f>
        <v>0.16805882352941176</v>
      </c>
      <c r="H39" s="37"/>
      <c r="I39" s="36"/>
    </row>
    <row r="40" spans="1:9" x14ac:dyDescent="0.25">
      <c r="A40" s="37"/>
      <c r="B40" s="43" t="s">
        <v>14</v>
      </c>
      <c r="C40" s="44">
        <v>0.1</v>
      </c>
      <c r="D40" s="45">
        <v>0.47</v>
      </c>
      <c r="E40" s="46">
        <v>0.71</v>
      </c>
      <c r="F40" s="44">
        <v>0.15000000000000002</v>
      </c>
      <c r="G40" s="47">
        <f>AVERAGE(F25,F40,F10)</f>
        <v>0.14929078014184397</v>
      </c>
      <c r="H40" s="37"/>
      <c r="I40" s="36"/>
    </row>
    <row r="41" spans="1:9" x14ac:dyDescent="0.25">
      <c r="A41" s="37"/>
      <c r="B41" s="43" t="s">
        <v>502</v>
      </c>
      <c r="C41" s="44">
        <v>0.3</v>
      </c>
      <c r="D41" s="45">
        <v>1</v>
      </c>
      <c r="E41" s="46">
        <v>1</v>
      </c>
      <c r="F41" s="44">
        <v>0.3</v>
      </c>
      <c r="G41" s="47">
        <f>AVERAGE(F26,F41,F11)</f>
        <v>0.19999999999999998</v>
      </c>
      <c r="H41" s="37"/>
      <c r="I41" s="36"/>
    </row>
    <row r="42" spans="1:9" x14ac:dyDescent="0.25">
      <c r="A42" s="37"/>
      <c r="B42" s="43" t="s">
        <v>503</v>
      </c>
      <c r="C42" s="44">
        <v>0.25</v>
      </c>
      <c r="D42" s="45">
        <v>0.8</v>
      </c>
      <c r="E42" s="46">
        <v>0.83333333333333326</v>
      </c>
      <c r="F42" s="44">
        <v>0.26041666666666663</v>
      </c>
      <c r="G42" s="47">
        <f>AVERAGE(F27,F42,F12)</f>
        <v>0.28680555555555554</v>
      </c>
      <c r="H42" s="37"/>
      <c r="I42" s="36"/>
    </row>
    <row r="43" spans="1:9" x14ac:dyDescent="0.25">
      <c r="A43" s="37"/>
      <c r="B43" s="48" t="s">
        <v>504</v>
      </c>
      <c r="C43" s="49">
        <v>0.5</v>
      </c>
      <c r="D43" s="50">
        <v>0.9</v>
      </c>
      <c r="E43" s="56">
        <v>0.92</v>
      </c>
      <c r="F43" s="55">
        <v>0.33333333333333331</v>
      </c>
      <c r="G43" s="54">
        <f>AVERAGE(F43,F28,F13,)</f>
        <v>0.35555555555555551</v>
      </c>
      <c r="H43" s="37"/>
      <c r="I43" s="36"/>
    </row>
    <row r="44" spans="1:9" x14ac:dyDescent="0.25">
      <c r="A44" s="37"/>
      <c r="B44" s="48" t="s">
        <v>505</v>
      </c>
      <c r="C44" s="49">
        <v>0.5</v>
      </c>
      <c r="D44" s="50">
        <v>1</v>
      </c>
      <c r="E44" s="56">
        <v>1</v>
      </c>
      <c r="F44" s="55">
        <v>0.5</v>
      </c>
      <c r="G44" s="54">
        <f>AVERAGE(F44,F29,F14,)</f>
        <v>0.375</v>
      </c>
      <c r="H44" s="37"/>
      <c r="I44" s="36"/>
    </row>
    <row r="45" spans="1:9" x14ac:dyDescent="0.25">
      <c r="A45" s="37"/>
      <c r="B45" s="43" t="s">
        <v>506</v>
      </c>
      <c r="C45" s="44">
        <v>0.15</v>
      </c>
      <c r="D45" s="45">
        <v>1</v>
      </c>
      <c r="E45" s="46">
        <v>1</v>
      </c>
      <c r="F45" s="44">
        <v>0.15</v>
      </c>
      <c r="G45" s="47">
        <f>AVERAGE(F30,F45,F15)</f>
        <v>0.15</v>
      </c>
      <c r="H45" s="37"/>
      <c r="I45" s="36"/>
    </row>
    <row r="46" spans="1:9" ht="21" x14ac:dyDescent="0.35">
      <c r="A46" s="37"/>
      <c r="B46" s="86" t="s">
        <v>507</v>
      </c>
      <c r="C46" s="86"/>
      <c r="D46" s="86"/>
      <c r="E46" s="86"/>
      <c r="F46" s="57">
        <f>SUM(F35,F36,F37,F40,F41,F42,F45)</f>
        <v>1.0901398944193061</v>
      </c>
      <c r="G46" s="57">
        <f>SUM(G35,G36,G37,G40,G41,G42,G45)</f>
        <v>1.0194743636691141</v>
      </c>
      <c r="H46" s="37"/>
      <c r="I46" s="36"/>
    </row>
    <row r="47" spans="1:9" x14ac:dyDescent="0.25">
      <c r="A47" s="37"/>
      <c r="B47" s="37"/>
      <c r="C47" s="37"/>
      <c r="D47" s="37"/>
      <c r="E47" s="37"/>
      <c r="F47" s="37"/>
      <c r="G47" s="37"/>
      <c r="H47" s="37"/>
      <c r="I47" s="36"/>
    </row>
    <row r="48" spans="1:9" ht="21" x14ac:dyDescent="0.25">
      <c r="A48" s="37"/>
      <c r="B48" s="85" t="s">
        <v>510</v>
      </c>
      <c r="C48" s="85"/>
      <c r="D48" s="85"/>
      <c r="E48" s="85"/>
      <c r="F48" s="85"/>
      <c r="G48" s="85"/>
      <c r="H48" s="37"/>
      <c r="I48" s="36"/>
    </row>
    <row r="49" spans="1:10" ht="15.75" x14ac:dyDescent="0.25">
      <c r="A49" s="37"/>
      <c r="B49" s="41" t="s">
        <v>493</v>
      </c>
      <c r="C49" s="42" t="s">
        <v>494</v>
      </c>
      <c r="D49" s="42" t="s">
        <v>495</v>
      </c>
      <c r="E49" s="42" t="s">
        <v>496</v>
      </c>
      <c r="F49" s="42" t="s">
        <v>497</v>
      </c>
      <c r="G49" s="42" t="s">
        <v>498</v>
      </c>
      <c r="H49" s="37"/>
      <c r="I49" s="36"/>
    </row>
    <row r="50" spans="1:10" x14ac:dyDescent="0.25">
      <c r="A50" s="37"/>
      <c r="B50" s="43" t="s">
        <v>466</v>
      </c>
      <c r="C50" s="44">
        <v>0.05</v>
      </c>
      <c r="D50" s="45">
        <v>0.78</v>
      </c>
      <c r="E50" s="46">
        <f>ROA!J106</f>
        <v>3.2935964741705903</v>
      </c>
      <c r="F50" s="44">
        <f>IF(((E50*C50)/D50)-C50&gt;5%,((E50*C50)/D50)-(((E50*C50)/D50)-C50)+0.05,((E50*C50)/D50))</f>
        <v>0.10000000000000002</v>
      </c>
      <c r="G50" s="47">
        <f>AVERAGE(F35,F50,F20,F5)</f>
        <v>6.6526168037609523E-2</v>
      </c>
      <c r="H50" s="37"/>
      <c r="I50" s="36"/>
    </row>
    <row r="51" spans="1:10" x14ac:dyDescent="0.25">
      <c r="A51" s="37"/>
      <c r="B51" s="43" t="s">
        <v>15</v>
      </c>
      <c r="C51" s="44">
        <v>0.05</v>
      </c>
      <c r="D51" s="45">
        <v>1</v>
      </c>
      <c r="E51" s="46">
        <v>1</v>
      </c>
      <c r="F51" s="44">
        <f>IF(((E51*C51)/D51)-C51&gt;5%,((E51*C51)/D51)-(((E51*C51)/D51)-C51)+0.05,((E51*C51)/D51))</f>
        <v>0.05</v>
      </c>
      <c r="G51" s="47">
        <f>AVERAGE(F36,F51,F21,F6)</f>
        <v>0.05</v>
      </c>
      <c r="H51" s="37"/>
      <c r="I51" s="36"/>
    </row>
    <row r="52" spans="1:10" x14ac:dyDescent="0.25">
      <c r="A52" s="37"/>
      <c r="B52" s="43" t="s">
        <v>499</v>
      </c>
      <c r="C52" s="44">
        <v>0.1</v>
      </c>
      <c r="D52" s="45">
        <v>0.8</v>
      </c>
      <c r="E52" s="46">
        <f>((E53/D53)*C53)+((E54/D54)*C54)</f>
        <v>0.95058823529411773</v>
      </c>
      <c r="F52" s="44">
        <f>IF(((E52*C52)/D52)-C52&gt;5%,((E52*C52)/D52)-(((E52*C52)/D52)-C52)+0.05,((E52*C52)/D52))</f>
        <v>0.11882352941176472</v>
      </c>
      <c r="G52" s="47">
        <f>AVERAGE(F37,F52,F22,F7)</f>
        <v>0.12571323529411765</v>
      </c>
      <c r="H52" s="37"/>
      <c r="I52" s="36"/>
      <c r="J52" s="77"/>
    </row>
    <row r="53" spans="1:10" x14ac:dyDescent="0.25">
      <c r="A53" s="37"/>
      <c r="B53" s="48" t="s">
        <v>500</v>
      </c>
      <c r="C53" s="49">
        <v>0.8</v>
      </c>
      <c r="D53" s="50">
        <v>1</v>
      </c>
      <c r="E53" s="51">
        <v>1</v>
      </c>
      <c r="F53" s="52">
        <f>(E53*C53)/D53</f>
        <v>0.8</v>
      </c>
      <c r="G53" s="49">
        <f t="shared" ref="G53:G59" si="6">AVERAGE(F38,F53)</f>
        <v>0.8</v>
      </c>
      <c r="H53" s="37"/>
      <c r="I53" s="36"/>
    </row>
    <row r="54" spans="1:10" ht="30" x14ac:dyDescent="0.25">
      <c r="A54" s="37"/>
      <c r="B54" s="53" t="s">
        <v>501</v>
      </c>
      <c r="C54" s="54">
        <v>0.2</v>
      </c>
      <c r="D54" s="55">
        <v>0.85</v>
      </c>
      <c r="E54" s="51">
        <v>0.64</v>
      </c>
      <c r="F54" s="55">
        <f>(E54*C54)/D54</f>
        <v>0.15058823529411766</v>
      </c>
      <c r="G54" s="49">
        <f t="shared" si="6"/>
        <v>0.18905882352941178</v>
      </c>
      <c r="H54" s="37"/>
      <c r="I54" s="36"/>
    </row>
    <row r="55" spans="1:10" x14ac:dyDescent="0.25">
      <c r="A55" s="37"/>
      <c r="B55" s="43" t="s">
        <v>14</v>
      </c>
      <c r="C55" s="44">
        <v>0.1</v>
      </c>
      <c r="D55" s="45">
        <v>0.47</v>
      </c>
      <c r="E55" s="46">
        <v>0.66</v>
      </c>
      <c r="F55" s="44">
        <f>IF(((E55*C55)/D55)-C55&gt;5%,((E55*C55)/D55)-(((E55*C55)/D55)-C55)+0.05,((E55*C55)/D55))</f>
        <v>0.14042553191489363</v>
      </c>
      <c r="G55" s="47">
        <f>AVERAGE(F40,F55,F25,F10)</f>
        <v>0.14707446808510638</v>
      </c>
      <c r="H55" s="37"/>
      <c r="I55" s="36"/>
    </row>
    <row r="56" spans="1:10" x14ac:dyDescent="0.25">
      <c r="A56" s="37"/>
      <c r="B56" s="43" t="s">
        <v>502</v>
      </c>
      <c r="C56" s="44">
        <v>0.3</v>
      </c>
      <c r="D56" s="45">
        <v>1</v>
      </c>
      <c r="E56" s="46">
        <v>1</v>
      </c>
      <c r="F56" s="44">
        <f t="shared" ref="F56:F57" si="7">IF(((E56*C56)/D56)-C56&gt;5%,((E56*C56)/D56)-(((E56*C56)/D56)-C56)+0.05,((E56*C56)/D56))</f>
        <v>0.3</v>
      </c>
      <c r="G56" s="47">
        <f>AVERAGE(F41,F56,F26,F11)</f>
        <v>0.22499999999999998</v>
      </c>
      <c r="H56" s="37"/>
      <c r="I56" s="36"/>
    </row>
    <row r="57" spans="1:10" x14ac:dyDescent="0.25">
      <c r="A57" s="37"/>
      <c r="B57" s="43" t="s">
        <v>503</v>
      </c>
      <c r="C57" s="44">
        <v>0.25</v>
      </c>
      <c r="D57" s="45">
        <v>0.8</v>
      </c>
      <c r="E57" s="46">
        <f>((E58/D58)*C58)+((E59/D59)*C59)</f>
        <v>0.5</v>
      </c>
      <c r="F57" s="44">
        <f t="shared" si="7"/>
        <v>0.15625</v>
      </c>
      <c r="G57" s="47">
        <f>AVERAGE(F42,F57,F27,F12)</f>
        <v>0.25416666666666665</v>
      </c>
      <c r="H57" s="37"/>
      <c r="I57" s="36"/>
    </row>
    <row r="58" spans="1:10" x14ac:dyDescent="0.25">
      <c r="A58" s="37"/>
      <c r="B58" s="48" t="s">
        <v>504</v>
      </c>
      <c r="C58" s="49">
        <v>0.5</v>
      </c>
      <c r="D58" s="50">
        <v>0.9</v>
      </c>
      <c r="E58" s="56">
        <v>0.9</v>
      </c>
      <c r="F58" s="55">
        <f>(E58*C58)/D58</f>
        <v>0.5</v>
      </c>
      <c r="G58" s="49">
        <f t="shared" si="6"/>
        <v>0.41666666666666663</v>
      </c>
      <c r="H58" s="37"/>
      <c r="I58" s="36"/>
    </row>
    <row r="59" spans="1:10" x14ac:dyDescent="0.25">
      <c r="A59" s="37"/>
      <c r="B59" s="48" t="s">
        <v>505</v>
      </c>
      <c r="C59" s="49">
        <v>0.5</v>
      </c>
      <c r="D59" s="50">
        <v>1</v>
      </c>
      <c r="E59" s="56">
        <v>0</v>
      </c>
      <c r="F59" s="55">
        <f>(E59*C59)/D59</f>
        <v>0</v>
      </c>
      <c r="G59" s="49">
        <f t="shared" si="6"/>
        <v>0.25</v>
      </c>
      <c r="H59" s="37"/>
      <c r="I59" s="36"/>
    </row>
    <row r="60" spans="1:10" x14ac:dyDescent="0.25">
      <c r="A60" s="37"/>
      <c r="B60" s="43" t="s">
        <v>506</v>
      </c>
      <c r="C60" s="44">
        <v>0.15</v>
      </c>
      <c r="D60" s="45">
        <v>1</v>
      </c>
      <c r="E60" s="46">
        <v>1</v>
      </c>
      <c r="F60" s="44">
        <f>IF(((E60*C60)/D60)-C60&gt;5%,((E60*C60)/D60)-(((E60*C60)/D60)-C60)+0.05,((E60*C60)/D60))</f>
        <v>0.15</v>
      </c>
      <c r="G60" s="47">
        <f>AVERAGE(F45,F60,F30,F15)</f>
        <v>0.15</v>
      </c>
      <c r="H60" s="37"/>
      <c r="I60" s="36"/>
    </row>
    <row r="61" spans="1:10" ht="21" x14ac:dyDescent="0.35">
      <c r="A61" s="37"/>
      <c r="B61" s="86" t="s">
        <v>507</v>
      </c>
      <c r="C61" s="86"/>
      <c r="D61" s="86"/>
      <c r="E61" s="86"/>
      <c r="F61" s="57">
        <f>SUM(F50,F51,F52,F55,F56,F57,F60)</f>
        <v>1.0154990613266583</v>
      </c>
      <c r="G61" s="57">
        <f>SUM(G50,G51,G52,G55,G56,G57,G60)</f>
        <v>1.0184805380835</v>
      </c>
      <c r="H61" s="37"/>
      <c r="I61" s="36"/>
    </row>
    <row r="62" spans="1:10" x14ac:dyDescent="0.25">
      <c r="A62" s="37"/>
      <c r="B62" s="37"/>
      <c r="C62" s="37"/>
      <c r="D62" s="37"/>
      <c r="E62" s="37"/>
      <c r="F62" s="37"/>
      <c r="G62" s="37"/>
      <c r="H62" s="37"/>
      <c r="I62" s="36"/>
    </row>
    <row r="63" spans="1:10" x14ac:dyDescent="0.25">
      <c r="A63" s="37"/>
      <c r="B63" s="37"/>
      <c r="C63" s="37"/>
      <c r="D63" s="37"/>
      <c r="E63" s="37"/>
      <c r="F63" s="37"/>
      <c r="G63" s="37"/>
      <c r="H63" s="37"/>
      <c r="I63" s="36"/>
    </row>
    <row r="64" spans="1:10" x14ac:dyDescent="0.25">
      <c r="A64" s="37"/>
      <c r="B64" s="37"/>
      <c r="C64" s="37"/>
      <c r="D64" s="37"/>
      <c r="E64" s="37"/>
      <c r="F64" s="37"/>
      <c r="G64" s="37"/>
      <c r="H64" s="37"/>
      <c r="I64" s="36"/>
    </row>
    <row r="65" spans="1:9" x14ac:dyDescent="0.25">
      <c r="A65" s="37"/>
      <c r="B65" s="37"/>
      <c r="C65" s="37"/>
      <c r="D65" s="37"/>
      <c r="E65" s="37"/>
      <c r="F65" s="37"/>
      <c r="G65" s="37"/>
      <c r="H65" s="37"/>
      <c r="I65" s="36"/>
    </row>
    <row r="66" spans="1:9" x14ac:dyDescent="0.25">
      <c r="A66" s="37"/>
      <c r="B66" s="37"/>
      <c r="C66" s="37"/>
      <c r="D66" s="37"/>
      <c r="E66" s="37"/>
      <c r="F66" s="37"/>
      <c r="G66" s="37"/>
      <c r="H66" s="37"/>
      <c r="I66" s="36"/>
    </row>
    <row r="67" spans="1:9" x14ac:dyDescent="0.25">
      <c r="A67" s="37"/>
      <c r="B67" s="37"/>
      <c r="C67" s="37"/>
      <c r="D67" s="37"/>
      <c r="E67" s="37"/>
      <c r="F67" s="37"/>
      <c r="G67" s="37"/>
      <c r="H67" s="37"/>
      <c r="I67" s="36"/>
    </row>
    <row r="68" spans="1:9" x14ac:dyDescent="0.25">
      <c r="A68" s="37"/>
      <c r="B68" s="37"/>
      <c r="C68" s="37"/>
      <c r="D68" s="37"/>
      <c r="E68" s="37"/>
      <c r="F68" s="37"/>
      <c r="G68" s="37"/>
      <c r="H68" s="37"/>
      <c r="I68" s="36"/>
    </row>
    <row r="69" spans="1:9" x14ac:dyDescent="0.25">
      <c r="A69" s="37"/>
      <c r="B69" s="37"/>
      <c r="C69" s="37"/>
      <c r="D69" s="37"/>
      <c r="E69" s="37"/>
      <c r="F69" s="37"/>
      <c r="G69" s="37"/>
      <c r="H69" s="37"/>
      <c r="I69" s="36"/>
    </row>
    <row r="70" spans="1:9" x14ac:dyDescent="0.25">
      <c r="A70" s="37"/>
      <c r="B70" s="37"/>
      <c r="C70" s="37"/>
      <c r="D70" s="37"/>
      <c r="E70" s="37"/>
      <c r="F70" s="37"/>
      <c r="G70" s="37"/>
      <c r="H70" s="37"/>
      <c r="I70" s="36"/>
    </row>
    <row r="71" spans="1:9" x14ac:dyDescent="0.25">
      <c r="A71" s="37"/>
      <c r="B71" s="37"/>
      <c r="C71" s="37"/>
      <c r="D71" s="37"/>
      <c r="E71" s="37"/>
      <c r="F71" s="37"/>
      <c r="G71" s="37"/>
      <c r="H71" s="37"/>
      <c r="I71" s="36"/>
    </row>
    <row r="72" spans="1:9" x14ac:dyDescent="0.25">
      <c r="A72" s="37"/>
      <c r="B72" s="37"/>
      <c r="C72" s="37"/>
      <c r="D72" s="37"/>
      <c r="E72" s="37"/>
      <c r="F72" s="37"/>
      <c r="G72" s="37"/>
      <c r="H72" s="37"/>
      <c r="I72" s="36"/>
    </row>
    <row r="73" spans="1:9" x14ac:dyDescent="0.25">
      <c r="A73" s="37"/>
      <c r="B73" s="37"/>
      <c r="C73" s="37"/>
      <c r="D73" s="37"/>
      <c r="E73" s="37"/>
      <c r="F73" s="37"/>
      <c r="G73" s="37"/>
      <c r="H73" s="37"/>
      <c r="I73" s="36"/>
    </row>
    <row r="74" spans="1:9" x14ac:dyDescent="0.25">
      <c r="A74" s="37"/>
      <c r="B74" s="37"/>
      <c r="C74" s="37"/>
      <c r="D74" s="37"/>
      <c r="E74" s="37"/>
      <c r="F74" s="37"/>
      <c r="G74" s="37"/>
      <c r="H74" s="37"/>
      <c r="I74" s="36"/>
    </row>
    <row r="75" spans="1:9" x14ac:dyDescent="0.25">
      <c r="A75" s="37"/>
      <c r="B75" s="37"/>
      <c r="C75" s="37"/>
      <c r="D75" s="37"/>
      <c r="E75" s="37"/>
      <c r="F75" s="37"/>
      <c r="G75" s="37"/>
      <c r="H75" s="37"/>
      <c r="I75" s="36"/>
    </row>
    <row r="76" spans="1:9" x14ac:dyDescent="0.25">
      <c r="A76" s="37"/>
      <c r="B76" s="37"/>
      <c r="C76" s="37"/>
      <c r="D76" s="37"/>
      <c r="E76" s="37"/>
      <c r="F76" s="37"/>
      <c r="G76" s="37"/>
      <c r="H76" s="37"/>
      <c r="I76" s="36"/>
    </row>
    <row r="77" spans="1:9" x14ac:dyDescent="0.25">
      <c r="A77" s="37"/>
      <c r="B77" s="37"/>
      <c r="C77" s="37"/>
      <c r="D77" s="37"/>
      <c r="E77" s="37"/>
      <c r="F77" s="37"/>
      <c r="G77" s="37"/>
      <c r="H77" s="37"/>
      <c r="I77" s="36"/>
    </row>
    <row r="78" spans="1:9" x14ac:dyDescent="0.25">
      <c r="A78" s="37"/>
      <c r="B78" s="37"/>
      <c r="C78" s="37"/>
      <c r="D78" s="37"/>
      <c r="E78" s="37"/>
      <c r="F78" s="37"/>
      <c r="G78" s="37"/>
      <c r="H78" s="37"/>
      <c r="I78" s="36"/>
    </row>
    <row r="79" spans="1:9" x14ac:dyDescent="0.25">
      <c r="A79" s="37"/>
      <c r="B79" s="37"/>
      <c r="C79" s="37"/>
      <c r="D79" s="37"/>
      <c r="E79" s="37"/>
      <c r="F79" s="37"/>
      <c r="G79" s="37"/>
      <c r="H79" s="37"/>
      <c r="I79" s="36"/>
    </row>
    <row r="80" spans="1:9" x14ac:dyDescent="0.25">
      <c r="A80" s="37"/>
      <c r="B80" s="37"/>
      <c r="C80" s="37"/>
      <c r="D80" s="37"/>
      <c r="E80" s="37"/>
      <c r="F80" s="37"/>
      <c r="G80" s="37"/>
      <c r="H80" s="37"/>
      <c r="I80" s="36"/>
    </row>
    <row r="81" spans="1:9" x14ac:dyDescent="0.25">
      <c r="A81" s="37"/>
      <c r="B81" s="37"/>
      <c r="C81" s="37"/>
      <c r="D81" s="37"/>
      <c r="E81" s="37"/>
      <c r="F81" s="37"/>
      <c r="G81" s="37"/>
      <c r="H81" s="37"/>
      <c r="I81" s="36"/>
    </row>
    <row r="82" spans="1:9" x14ac:dyDescent="0.25">
      <c r="A82" s="37"/>
      <c r="B82" s="37"/>
      <c r="C82" s="37"/>
      <c r="D82" s="37"/>
      <c r="E82" s="37"/>
      <c r="F82" s="37"/>
      <c r="G82" s="37"/>
      <c r="H82" s="37"/>
      <c r="I82" s="36"/>
    </row>
    <row r="83" spans="1:9" x14ac:dyDescent="0.25">
      <c r="A83" s="37"/>
      <c r="B83" s="37"/>
      <c r="C83" s="37"/>
      <c r="D83" s="37"/>
      <c r="E83" s="37"/>
      <c r="F83" s="37"/>
      <c r="G83" s="37"/>
      <c r="H83" s="37"/>
      <c r="I83" s="36"/>
    </row>
    <row r="84" spans="1:9" x14ac:dyDescent="0.25">
      <c r="A84" s="37"/>
      <c r="B84" s="37"/>
      <c r="C84" s="37"/>
      <c r="D84" s="37"/>
      <c r="E84" s="37"/>
      <c r="F84" s="37"/>
      <c r="G84" s="37"/>
      <c r="H84" s="37"/>
      <c r="I84" s="36"/>
    </row>
    <row r="85" spans="1:9" x14ac:dyDescent="0.25">
      <c r="A85" s="37"/>
      <c r="B85" s="37"/>
      <c r="C85" s="37"/>
      <c r="D85" s="37"/>
      <c r="E85" s="37"/>
      <c r="F85" s="37"/>
      <c r="G85" s="37"/>
      <c r="H85" s="37"/>
      <c r="I85" s="36"/>
    </row>
    <row r="86" spans="1:9" x14ac:dyDescent="0.25">
      <c r="A86" s="37"/>
      <c r="B86" s="37"/>
      <c r="C86" s="37"/>
      <c r="D86" s="37"/>
      <c r="E86" s="37"/>
      <c r="F86" s="37"/>
      <c r="G86" s="37"/>
      <c r="H86" s="37"/>
      <c r="I86" s="36"/>
    </row>
    <row r="87" spans="1:9" x14ac:dyDescent="0.25">
      <c r="A87" s="37"/>
      <c r="B87" s="37"/>
      <c r="C87" s="37"/>
      <c r="D87" s="37"/>
      <c r="E87" s="37"/>
      <c r="F87" s="37"/>
      <c r="G87" s="37"/>
      <c r="H87" s="37"/>
      <c r="I87" s="36"/>
    </row>
    <row r="88" spans="1:9" x14ac:dyDescent="0.25">
      <c r="A88" s="37"/>
      <c r="B88" s="37"/>
      <c r="C88" s="37"/>
      <c r="D88" s="37"/>
      <c r="E88" s="37"/>
      <c r="F88" s="37"/>
      <c r="G88" s="37"/>
      <c r="H88" s="37"/>
      <c r="I88" s="36"/>
    </row>
    <row r="89" spans="1:9" x14ac:dyDescent="0.25">
      <c r="A89" s="37"/>
      <c r="B89" s="37"/>
      <c r="C89" s="37"/>
      <c r="D89" s="37"/>
      <c r="E89" s="37"/>
      <c r="F89" s="37"/>
      <c r="G89" s="37"/>
      <c r="H89" s="37"/>
      <c r="I89" s="36"/>
    </row>
    <row r="90" spans="1:9" x14ac:dyDescent="0.25">
      <c r="A90" s="37"/>
      <c r="B90" s="37"/>
      <c r="C90" s="37"/>
      <c r="D90" s="37"/>
      <c r="E90" s="37"/>
      <c r="F90" s="37"/>
      <c r="G90" s="37"/>
      <c r="H90" s="37"/>
      <c r="I90" s="36"/>
    </row>
    <row r="91" spans="1:9" x14ac:dyDescent="0.25">
      <c r="A91" s="37"/>
      <c r="B91" s="37"/>
      <c r="C91" s="37"/>
      <c r="D91" s="37"/>
      <c r="E91" s="37"/>
      <c r="F91" s="37"/>
      <c r="G91" s="37"/>
      <c r="H91" s="37"/>
      <c r="I91" s="36"/>
    </row>
    <row r="92" spans="1:9" x14ac:dyDescent="0.25">
      <c r="A92" s="37"/>
      <c r="B92" s="37"/>
      <c r="C92" s="37"/>
      <c r="D92" s="37"/>
      <c r="E92" s="37"/>
      <c r="F92" s="37"/>
      <c r="G92" s="37"/>
      <c r="H92" s="37"/>
      <c r="I92" s="36"/>
    </row>
    <row r="93" spans="1:9" x14ac:dyDescent="0.25">
      <c r="A93" s="37"/>
      <c r="B93" s="37"/>
      <c r="C93" s="37"/>
      <c r="D93" s="37"/>
      <c r="E93" s="37"/>
      <c r="F93" s="37"/>
      <c r="G93" s="37"/>
      <c r="H93" s="37"/>
      <c r="I93" s="36"/>
    </row>
    <row r="94" spans="1:9" x14ac:dyDescent="0.25">
      <c r="A94" s="37"/>
      <c r="B94" s="37"/>
      <c r="C94" s="37"/>
      <c r="D94" s="37"/>
      <c r="E94" s="37"/>
      <c r="F94" s="37"/>
      <c r="G94" s="37"/>
      <c r="H94" s="37"/>
      <c r="I94" s="36"/>
    </row>
    <row r="95" spans="1:9" x14ac:dyDescent="0.25">
      <c r="A95" s="37"/>
      <c r="B95" s="37"/>
      <c r="C95" s="37"/>
      <c r="D95" s="37"/>
      <c r="E95" s="37"/>
      <c r="F95" s="37"/>
      <c r="G95" s="37"/>
      <c r="H95" s="37"/>
      <c r="I95" s="36"/>
    </row>
    <row r="96" spans="1:9" x14ac:dyDescent="0.25">
      <c r="A96" s="37"/>
      <c r="B96" s="37"/>
      <c r="C96" s="37"/>
      <c r="D96" s="37"/>
      <c r="E96" s="37"/>
      <c r="F96" s="37"/>
      <c r="G96" s="37"/>
      <c r="H96" s="37"/>
      <c r="I96" s="36"/>
    </row>
    <row r="97" spans="1:9" x14ac:dyDescent="0.25">
      <c r="A97" s="37"/>
      <c r="B97" s="37"/>
      <c r="C97" s="37"/>
      <c r="D97" s="37"/>
      <c r="E97" s="37"/>
      <c r="F97" s="37"/>
      <c r="G97" s="37"/>
      <c r="H97" s="37"/>
      <c r="I97" s="36"/>
    </row>
    <row r="98" spans="1:9" x14ac:dyDescent="0.25">
      <c r="A98" s="37"/>
      <c r="B98" s="37"/>
      <c r="C98" s="37"/>
      <c r="D98" s="37"/>
      <c r="E98" s="37"/>
      <c r="F98" s="37"/>
      <c r="G98" s="37"/>
      <c r="H98" s="37"/>
      <c r="I98" s="36"/>
    </row>
    <row r="99" spans="1:9" x14ac:dyDescent="0.25">
      <c r="A99" s="37"/>
      <c r="B99" s="37"/>
      <c r="C99" s="37"/>
      <c r="D99" s="37"/>
      <c r="E99" s="37"/>
      <c r="F99" s="37"/>
      <c r="G99" s="37"/>
      <c r="H99" s="37"/>
      <c r="I99" s="36"/>
    </row>
    <row r="100" spans="1:9" x14ac:dyDescent="0.25">
      <c r="A100" s="37"/>
      <c r="B100" s="37"/>
      <c r="C100" s="37"/>
      <c r="D100" s="37"/>
      <c r="E100" s="37"/>
      <c r="F100" s="37"/>
      <c r="G100" s="37"/>
      <c r="H100" s="37"/>
      <c r="I100" s="36"/>
    </row>
    <row r="101" spans="1:9" x14ac:dyDescent="0.25">
      <c r="A101" s="37"/>
      <c r="B101" s="37"/>
      <c r="C101" s="37"/>
      <c r="D101" s="37"/>
      <c r="E101" s="37"/>
      <c r="F101" s="37"/>
      <c r="G101" s="37"/>
      <c r="H101" s="37"/>
      <c r="I101" s="36"/>
    </row>
    <row r="102" spans="1:9" x14ac:dyDescent="0.25">
      <c r="A102" s="37"/>
      <c r="B102" s="37"/>
      <c r="C102" s="37"/>
      <c r="D102" s="37"/>
      <c r="E102" s="37"/>
      <c r="F102" s="37"/>
      <c r="G102" s="37"/>
      <c r="H102" s="37"/>
      <c r="I102" s="36"/>
    </row>
    <row r="103" spans="1:9" x14ac:dyDescent="0.25">
      <c r="A103" s="37"/>
      <c r="B103" s="37"/>
      <c r="C103" s="37"/>
      <c r="D103" s="37"/>
      <c r="E103" s="37"/>
      <c r="F103" s="37"/>
      <c r="G103" s="37"/>
      <c r="H103" s="37"/>
      <c r="I103" s="36"/>
    </row>
    <row r="104" spans="1:9" x14ac:dyDescent="0.25">
      <c r="A104" s="37"/>
      <c r="B104" s="37"/>
      <c r="C104" s="37"/>
      <c r="D104" s="37"/>
      <c r="E104" s="37"/>
      <c r="F104" s="37"/>
      <c r="G104" s="37"/>
      <c r="H104" s="37"/>
      <c r="I104" s="36"/>
    </row>
    <row r="105" spans="1:9" x14ac:dyDescent="0.25">
      <c r="A105" s="37"/>
      <c r="B105" s="37"/>
      <c r="C105" s="37"/>
      <c r="D105" s="37"/>
      <c r="E105" s="37"/>
      <c r="F105" s="37"/>
      <c r="G105" s="37"/>
      <c r="H105" s="37"/>
      <c r="I105" s="36"/>
    </row>
    <row r="106" spans="1:9" x14ac:dyDescent="0.25">
      <c r="A106" s="37"/>
      <c r="B106" s="37"/>
      <c r="C106" s="37"/>
      <c r="D106" s="37"/>
      <c r="E106" s="37"/>
      <c r="F106" s="37"/>
      <c r="G106" s="37"/>
      <c r="H106" s="37"/>
      <c r="I106" s="36"/>
    </row>
    <row r="107" spans="1:9" x14ac:dyDescent="0.25">
      <c r="A107" s="37"/>
      <c r="B107" s="37"/>
      <c r="C107" s="37"/>
      <c r="D107" s="37"/>
      <c r="E107" s="37"/>
      <c r="F107" s="37"/>
      <c r="G107" s="37"/>
      <c r="H107" s="37"/>
      <c r="I107" s="36"/>
    </row>
    <row r="108" spans="1:9" x14ac:dyDescent="0.25">
      <c r="A108" s="37"/>
      <c r="B108" s="37"/>
      <c r="C108" s="37"/>
      <c r="D108" s="37"/>
      <c r="E108" s="37"/>
      <c r="F108" s="37"/>
      <c r="G108" s="37"/>
      <c r="H108" s="37"/>
      <c r="I108" s="36"/>
    </row>
    <row r="109" spans="1:9" x14ac:dyDescent="0.25">
      <c r="A109" s="37"/>
      <c r="B109" s="37"/>
      <c r="C109" s="37"/>
      <c r="D109" s="37"/>
      <c r="E109" s="37"/>
      <c r="F109" s="37"/>
      <c r="G109" s="37"/>
      <c r="H109" s="37"/>
      <c r="I109" s="36"/>
    </row>
    <row r="110" spans="1:9" x14ac:dyDescent="0.25">
      <c r="A110" s="37"/>
      <c r="B110" s="37"/>
      <c r="C110" s="37"/>
      <c r="D110" s="37"/>
      <c r="E110" s="37"/>
      <c r="F110" s="37"/>
      <c r="G110" s="37"/>
      <c r="H110" s="37"/>
      <c r="I110" s="36"/>
    </row>
    <row r="111" spans="1:9" x14ac:dyDescent="0.25">
      <c r="A111" s="37"/>
      <c r="B111" s="37"/>
      <c r="C111" s="37"/>
      <c r="D111" s="37"/>
      <c r="E111" s="37"/>
      <c r="F111" s="37"/>
      <c r="G111" s="37"/>
      <c r="H111" s="37"/>
      <c r="I111" s="36"/>
    </row>
    <row r="112" spans="1:9" x14ac:dyDescent="0.25">
      <c r="A112" s="37"/>
      <c r="B112" s="37"/>
      <c r="C112" s="37"/>
      <c r="D112" s="37"/>
      <c r="E112" s="37"/>
      <c r="F112" s="37"/>
      <c r="G112" s="37"/>
      <c r="H112" s="37"/>
      <c r="I112" s="36"/>
    </row>
    <row r="113" spans="1:9" x14ac:dyDescent="0.25">
      <c r="A113" s="37"/>
      <c r="B113" s="37"/>
      <c r="C113" s="37"/>
      <c r="D113" s="37"/>
      <c r="E113" s="37"/>
      <c r="F113" s="37"/>
      <c r="G113" s="37"/>
      <c r="H113" s="37"/>
      <c r="I113" s="36"/>
    </row>
    <row r="114" spans="1:9" x14ac:dyDescent="0.25">
      <c r="A114" s="37"/>
      <c r="B114" s="37"/>
      <c r="C114" s="37"/>
      <c r="D114" s="37"/>
      <c r="E114" s="37"/>
      <c r="F114" s="37"/>
      <c r="G114" s="37"/>
      <c r="H114" s="37"/>
      <c r="I114" s="36"/>
    </row>
    <row r="115" spans="1:9" x14ac:dyDescent="0.25">
      <c r="A115" s="37"/>
      <c r="B115" s="37"/>
      <c r="C115" s="37"/>
      <c r="D115" s="37"/>
      <c r="E115" s="37"/>
      <c r="F115" s="37"/>
      <c r="G115" s="37"/>
      <c r="H115" s="37"/>
      <c r="I115" s="36"/>
    </row>
    <row r="116" spans="1:9" x14ac:dyDescent="0.25">
      <c r="A116" s="37"/>
      <c r="B116" s="37"/>
      <c r="C116" s="37"/>
      <c r="D116" s="37"/>
      <c r="E116" s="37"/>
      <c r="F116" s="37"/>
      <c r="G116" s="37"/>
      <c r="H116" s="37"/>
      <c r="I116" s="36"/>
    </row>
    <row r="117" spans="1:9" x14ac:dyDescent="0.25">
      <c r="A117" s="37"/>
      <c r="B117" s="37"/>
      <c r="C117" s="37"/>
      <c r="D117" s="37"/>
      <c r="E117" s="37"/>
      <c r="F117" s="37"/>
      <c r="G117" s="37"/>
      <c r="H117" s="37"/>
      <c r="I117" s="36"/>
    </row>
    <row r="118" spans="1:9" x14ac:dyDescent="0.25">
      <c r="A118" s="37"/>
      <c r="B118" s="37"/>
      <c r="C118" s="37"/>
      <c r="D118" s="37"/>
      <c r="E118" s="37"/>
      <c r="F118" s="37"/>
      <c r="G118" s="37"/>
      <c r="H118" s="37"/>
      <c r="I118" s="36"/>
    </row>
    <row r="119" spans="1:9" x14ac:dyDescent="0.25">
      <c r="A119" s="37"/>
      <c r="B119" s="37"/>
      <c r="C119" s="37"/>
      <c r="D119" s="37"/>
      <c r="E119" s="37"/>
      <c r="F119" s="37"/>
      <c r="G119" s="37"/>
      <c r="H119" s="37"/>
      <c r="I119" s="36"/>
    </row>
    <row r="120" spans="1:9" x14ac:dyDescent="0.25">
      <c r="A120" s="37"/>
      <c r="B120" s="37"/>
      <c r="C120" s="37"/>
      <c r="D120" s="37"/>
      <c r="E120" s="37"/>
      <c r="F120" s="37"/>
      <c r="G120" s="37"/>
      <c r="H120" s="37"/>
      <c r="I120" s="36"/>
    </row>
  </sheetData>
  <mergeCells count="12">
    <mergeCell ref="A1:H1"/>
    <mergeCell ref="J1:Q1"/>
    <mergeCell ref="B3:G3"/>
    <mergeCell ref="K3:P3"/>
    <mergeCell ref="B16:E16"/>
    <mergeCell ref="K16:N16"/>
    <mergeCell ref="B33:G33"/>
    <mergeCell ref="B46:E46"/>
    <mergeCell ref="B48:G48"/>
    <mergeCell ref="B61:E61"/>
    <mergeCell ref="B18:G18"/>
    <mergeCell ref="B31:E31"/>
  </mergeCells>
  <conditionalFormatting sqref="P2">
    <cfRule type="cellIs" dxfId="477" priority="106" operator="equal">
      <formula>2020</formula>
    </cfRule>
    <cfRule type="cellIs" dxfId="476" priority="107" operator="equal">
      <formula>2019</formula>
    </cfRule>
    <cfRule type="cellIs" dxfId="475" priority="108" operator="equal">
      <formula>2018</formula>
    </cfRule>
  </conditionalFormatting>
  <conditionalFormatting sqref="Q2">
    <cfRule type="cellIs" dxfId="474" priority="103" operator="equal">
      <formula>2020</formula>
    </cfRule>
    <cfRule type="cellIs" dxfId="473" priority="104" operator="equal">
      <formula>2019</formula>
    </cfRule>
    <cfRule type="cellIs" dxfId="472" priority="105" operator="equal">
      <formula>2018</formula>
    </cfRule>
  </conditionalFormatting>
  <conditionalFormatting sqref="N8:N9">
    <cfRule type="iconSet" priority="95">
      <iconSet iconSet="3Symbols2">
        <cfvo type="percent" val="0"/>
        <cfvo type="formula" val="#REF!*0.9"/>
        <cfvo type="formula" val="#REF!"/>
      </iconSet>
    </cfRule>
    <cfRule type="cellIs" dxfId="471" priority="101" operator="lessThan">
      <formula>#REF!</formula>
    </cfRule>
  </conditionalFormatting>
  <conditionalFormatting sqref="N13:N14">
    <cfRule type="cellIs" dxfId="470" priority="100" operator="lessThan">
      <formula>#REF!</formula>
    </cfRule>
  </conditionalFormatting>
  <conditionalFormatting sqref="M5">
    <cfRule type="cellIs" dxfId="469" priority="99" operator="lessThan">
      <formula>0</formula>
    </cfRule>
  </conditionalFormatting>
  <conditionalFormatting sqref="N5">
    <cfRule type="iconSet" priority="96">
      <iconSet iconSet="3Symbols">
        <cfvo type="percent" val="0"/>
        <cfvo type="formula" val="$M$5*0.9"/>
        <cfvo type="formula" val="$M$5"/>
      </iconSet>
    </cfRule>
    <cfRule type="cellIs" dxfId="468" priority="98" operator="lessThan">
      <formula>$M$5</formula>
    </cfRule>
  </conditionalFormatting>
  <conditionalFormatting sqref="M6:M7">
    <cfRule type="cellIs" dxfId="467" priority="97" operator="lessThan">
      <formula>#REF!</formula>
    </cfRule>
  </conditionalFormatting>
  <conditionalFormatting sqref="N13">
    <cfRule type="iconSet" priority="94">
      <iconSet iconSet="3Symbols2">
        <cfvo type="percent" val="0"/>
        <cfvo type="formula" val="#REF!*0.9"/>
        <cfvo type="formula" val="#REF!"/>
      </iconSet>
    </cfRule>
  </conditionalFormatting>
  <conditionalFormatting sqref="N14">
    <cfRule type="iconSet" priority="93">
      <iconSet iconSet="3Symbols2">
        <cfvo type="percent" val="0"/>
        <cfvo type="formula" val="#REF!*0.9"/>
        <cfvo type="formula" val="#REF!"/>
      </iconSet>
    </cfRule>
  </conditionalFormatting>
  <conditionalFormatting sqref="N18">
    <cfRule type="iconSet" priority="91">
      <iconSet iconSet="3Symbols2">
        <cfvo type="percent" val="0"/>
        <cfvo type="formula" val="#REF!*0.9"/>
        <cfvo type="formula" val="#REF!"/>
      </iconSet>
    </cfRule>
    <cfRule type="cellIs" dxfId="466" priority="92" operator="lessThan">
      <formula>$M$18</formula>
    </cfRule>
  </conditionalFormatting>
  <conditionalFormatting sqref="N19">
    <cfRule type="iconSet" priority="89">
      <iconSet iconSet="3Symbols2">
        <cfvo type="percent" val="0"/>
        <cfvo type="formula" val="#REF!*0.9"/>
        <cfvo type="formula" val="#REF!"/>
      </iconSet>
    </cfRule>
    <cfRule type="cellIs" dxfId="465" priority="90" operator="lessThan">
      <formula>$M$19</formula>
    </cfRule>
  </conditionalFormatting>
  <conditionalFormatting sqref="N15">
    <cfRule type="iconSet" priority="87">
      <iconSet iconSet="3Symbols">
        <cfvo type="percent" val="0"/>
        <cfvo type="formula" val="$M$15*0.9"/>
        <cfvo type="formula" val="$M$15"/>
      </iconSet>
    </cfRule>
    <cfRule type="cellIs" dxfId="464" priority="88" operator="lessThan">
      <formula>$M$15</formula>
    </cfRule>
  </conditionalFormatting>
  <conditionalFormatting sqref="N6">
    <cfRule type="iconSet" priority="85">
      <iconSet iconSet="3Symbols">
        <cfvo type="percent" val="0"/>
        <cfvo type="formula" val="$M$6*0.9"/>
        <cfvo type="formula" val="$M$6"/>
      </iconSet>
    </cfRule>
    <cfRule type="cellIs" dxfId="463" priority="86" operator="lessThan">
      <formula>$M$6</formula>
    </cfRule>
  </conditionalFormatting>
  <conditionalFormatting sqref="N10:N11">
    <cfRule type="iconSet" priority="83">
      <iconSet iconSet="3Symbols">
        <cfvo type="percent" val="0"/>
        <cfvo type="formula" val="#REF!*0.9"/>
        <cfvo type="formula" val="#REF!"/>
      </iconSet>
    </cfRule>
    <cfRule type="cellIs" dxfId="462" priority="84" operator="lessThan">
      <formula>#REF!</formula>
    </cfRule>
  </conditionalFormatting>
  <conditionalFormatting sqref="D5">
    <cfRule type="cellIs" dxfId="461" priority="80" operator="lessThan">
      <formula>0</formula>
    </cfRule>
  </conditionalFormatting>
  <conditionalFormatting sqref="E5">
    <cfRule type="iconSet" priority="77">
      <iconSet iconSet="3Symbols">
        <cfvo type="percent" val="0"/>
        <cfvo type="formula" val="$M$5*0.9"/>
        <cfvo type="formula" val="$M$5"/>
      </iconSet>
    </cfRule>
    <cfRule type="cellIs" dxfId="460" priority="79" operator="lessThan">
      <formula>$M$5</formula>
    </cfRule>
  </conditionalFormatting>
  <conditionalFormatting sqref="D6:D7">
    <cfRule type="cellIs" dxfId="459" priority="78" operator="lessThan">
      <formula>#REF!</formula>
    </cfRule>
  </conditionalFormatting>
  <conditionalFormatting sqref="E15">
    <cfRule type="iconSet" priority="75">
      <iconSet iconSet="3Symbols">
        <cfvo type="percent" val="0"/>
        <cfvo type="formula" val="$M$15*0.9"/>
        <cfvo type="formula" val="$M$15"/>
      </iconSet>
    </cfRule>
    <cfRule type="cellIs" dxfId="458" priority="76" operator="lessThan">
      <formula>$M$15</formula>
    </cfRule>
  </conditionalFormatting>
  <conditionalFormatting sqref="E6">
    <cfRule type="iconSet" priority="73">
      <iconSet iconSet="3Symbols">
        <cfvo type="percent" val="0"/>
        <cfvo type="formula" val="$M$6*0.9"/>
        <cfvo type="formula" val="$M$6"/>
      </iconSet>
    </cfRule>
    <cfRule type="cellIs" dxfId="457" priority="74" operator="lessThan">
      <formula>$M$6</formula>
    </cfRule>
  </conditionalFormatting>
  <conditionalFormatting sqref="E10:E12">
    <cfRule type="iconSet" priority="72">
      <iconSet iconSet="3Symbols">
        <cfvo type="percent" val="0"/>
        <cfvo type="formula" val="$D$10*0.9"/>
        <cfvo type="formula" val="$D$10"/>
      </iconSet>
    </cfRule>
  </conditionalFormatting>
  <conditionalFormatting sqref="E7">
    <cfRule type="iconSet" priority="70">
      <iconSet iconSet="3Symbols">
        <cfvo type="percent" val="0"/>
        <cfvo type="formula" val="$D$7*0.9"/>
        <cfvo type="formula" val="$D$7"/>
      </iconSet>
    </cfRule>
    <cfRule type="expression" dxfId="456" priority="71">
      <formula>$E$7&lt;$D$7</formula>
    </cfRule>
  </conditionalFormatting>
  <conditionalFormatting sqref="E9">
    <cfRule type="iconSet" priority="69">
      <iconSet iconSet="3Symbols2">
        <cfvo type="percent" val="0"/>
        <cfvo type="percent" val="33"/>
        <cfvo type="percent" val="67"/>
      </iconSet>
    </cfRule>
  </conditionalFormatting>
  <conditionalFormatting sqref="E8">
    <cfRule type="iconSet" priority="68">
      <iconSet iconSet="3Symbols2">
        <cfvo type="percent" val="0"/>
        <cfvo type="percent" val="33"/>
        <cfvo type="percent" val="67"/>
      </iconSet>
    </cfRule>
  </conditionalFormatting>
  <conditionalFormatting sqref="E13">
    <cfRule type="iconSet" priority="67">
      <iconSet iconSet="3Symbols2">
        <cfvo type="percent" val="0"/>
        <cfvo type="percent" val="33"/>
        <cfvo type="percent" val="67"/>
      </iconSet>
    </cfRule>
  </conditionalFormatting>
  <conditionalFormatting sqref="E14">
    <cfRule type="iconSet" priority="66">
      <iconSet iconSet="3Symbols2">
        <cfvo type="percent" val="0"/>
        <cfvo type="percent" val="33"/>
        <cfvo type="percent" val="67"/>
      </iconSet>
    </cfRule>
  </conditionalFormatting>
  <conditionalFormatting sqref="E10">
    <cfRule type="expression" priority="65">
      <formula>$E$10&lt;$D$10</formula>
    </cfRule>
  </conditionalFormatting>
  <conditionalFormatting sqref="E11">
    <cfRule type="expression" dxfId="455" priority="64">
      <formula>$E$11&lt;$D$11</formula>
    </cfRule>
  </conditionalFormatting>
  <conditionalFormatting sqref="D20">
    <cfRule type="cellIs" dxfId="454" priority="61" operator="lessThan">
      <formula>0</formula>
    </cfRule>
  </conditionalFormatting>
  <conditionalFormatting sqref="E20">
    <cfRule type="iconSet" priority="58">
      <iconSet iconSet="3Symbols">
        <cfvo type="percent" val="0"/>
        <cfvo type="formula" val="$M$5*0.9"/>
        <cfvo type="formula" val="$M$5"/>
      </iconSet>
    </cfRule>
    <cfRule type="cellIs" dxfId="453" priority="60" operator="lessThan">
      <formula>$M$5</formula>
    </cfRule>
  </conditionalFormatting>
  <conditionalFormatting sqref="D21:D22">
    <cfRule type="cellIs" dxfId="452" priority="59" operator="lessThan">
      <formula>#REF!</formula>
    </cfRule>
  </conditionalFormatting>
  <conditionalFormatting sqref="E30">
    <cfRule type="iconSet" priority="53">
      <iconSet iconSet="3Symbols">
        <cfvo type="percent" val="0"/>
        <cfvo type="formula" val="$M$15*0.9"/>
        <cfvo type="formula" val="$M$15"/>
      </iconSet>
    </cfRule>
    <cfRule type="cellIs" dxfId="451" priority="54" operator="lessThan">
      <formula>$M$15</formula>
    </cfRule>
  </conditionalFormatting>
  <conditionalFormatting sqref="E21">
    <cfRule type="iconSet" priority="51">
      <iconSet iconSet="3Symbols">
        <cfvo type="percent" val="0"/>
        <cfvo type="formula" val="$M$6*0.9"/>
        <cfvo type="formula" val="$M$6"/>
      </iconSet>
    </cfRule>
    <cfRule type="cellIs" dxfId="450" priority="52" operator="lessThan">
      <formula>$M$6</formula>
    </cfRule>
  </conditionalFormatting>
  <conditionalFormatting sqref="E25:E27">
    <cfRule type="iconSet" priority="49">
      <iconSet iconSet="3Symbols">
        <cfvo type="percent" val="0"/>
        <cfvo type="formula" val="$D$25"/>
        <cfvo type="formula" val="$D$25*0.99"/>
      </iconSet>
    </cfRule>
    <cfRule type="cellIs" dxfId="449" priority="50" operator="lessThan">
      <formula>#REF!</formula>
    </cfRule>
  </conditionalFormatting>
  <conditionalFormatting sqref="E22">
    <cfRule type="iconSet" priority="47">
      <iconSet iconSet="3Symbols">
        <cfvo type="percent" val="0"/>
        <cfvo type="formula" val="$D$22"/>
        <cfvo type="formula" val="$D$22*0.99"/>
      </iconSet>
    </cfRule>
    <cfRule type="cellIs" dxfId="448" priority="48" operator="lessThan">
      <formula>#REF!</formula>
    </cfRule>
  </conditionalFormatting>
  <conditionalFormatting sqref="E23">
    <cfRule type="iconSet" priority="46">
      <iconSet iconSet="3Symbols2">
        <cfvo type="percent" val="0"/>
        <cfvo type="percent" val="33"/>
        <cfvo type="percent" val="67"/>
      </iconSet>
    </cfRule>
  </conditionalFormatting>
  <conditionalFormatting sqref="E24">
    <cfRule type="iconSet" priority="45">
      <iconSet iconSet="3Symbols2">
        <cfvo type="percent" val="0"/>
        <cfvo type="percent" val="33"/>
        <cfvo type="percent" val="67"/>
      </iconSet>
    </cfRule>
  </conditionalFormatting>
  <conditionalFormatting sqref="E28">
    <cfRule type="iconSet" priority="43">
      <iconSet iconSet="3Symbols2">
        <cfvo type="percent" val="0"/>
        <cfvo type="percent" val="33"/>
        <cfvo type="percent" val="67"/>
      </iconSet>
    </cfRule>
  </conditionalFormatting>
  <conditionalFormatting sqref="E29">
    <cfRule type="iconSet" priority="41">
      <iconSet iconSet="3Symbols2">
        <cfvo type="percent" val="0"/>
        <cfvo type="percent" val="33"/>
        <cfvo type="percent" val="67"/>
      </iconSet>
    </cfRule>
  </conditionalFormatting>
  <conditionalFormatting sqref="N7">
    <cfRule type="iconSet" priority="39">
      <iconSet iconSet="3Symbols">
        <cfvo type="percent" val="0"/>
        <cfvo type="formula" val="$D$10*0.9"/>
        <cfvo type="formula" val="$D$10*0.98"/>
      </iconSet>
    </cfRule>
    <cfRule type="cellIs" dxfId="447" priority="40" operator="lessThan">
      <formula>$M$5*0.98</formula>
    </cfRule>
  </conditionalFormatting>
  <conditionalFormatting sqref="N12">
    <cfRule type="iconSet" priority="37">
      <iconSet iconSet="3Symbols">
        <cfvo type="percent" val="0"/>
        <cfvo type="formula" val="$D$10*0.9"/>
        <cfvo type="formula" val="$D$10*0.98"/>
      </iconSet>
    </cfRule>
    <cfRule type="cellIs" dxfId="446" priority="38" operator="lessThan">
      <formula>$M$5*0.98</formula>
    </cfRule>
  </conditionalFormatting>
  <conditionalFormatting sqref="D35">
    <cfRule type="cellIs" dxfId="445" priority="36" operator="lessThan">
      <formula>0</formula>
    </cfRule>
  </conditionalFormatting>
  <conditionalFormatting sqref="E35">
    <cfRule type="iconSet" priority="33">
      <iconSet iconSet="3Symbols">
        <cfvo type="percent" val="0"/>
        <cfvo type="formula" val="$M$5*0.9"/>
        <cfvo type="formula" val="$M$5"/>
      </iconSet>
    </cfRule>
    <cfRule type="cellIs" dxfId="444" priority="35" operator="lessThan">
      <formula>$M$5</formula>
    </cfRule>
  </conditionalFormatting>
  <conditionalFormatting sqref="D36:D37">
    <cfRule type="cellIs" dxfId="443" priority="34" operator="lessThan">
      <formula>#REF!</formula>
    </cfRule>
  </conditionalFormatting>
  <conditionalFormatting sqref="E45">
    <cfRule type="iconSet" priority="31">
      <iconSet iconSet="3Symbols">
        <cfvo type="percent" val="0"/>
        <cfvo type="formula" val="$M$15*0.9"/>
        <cfvo type="formula" val="$M$15"/>
      </iconSet>
    </cfRule>
    <cfRule type="cellIs" dxfId="442" priority="32" operator="lessThan">
      <formula>$M$15</formula>
    </cfRule>
  </conditionalFormatting>
  <conditionalFormatting sqref="E36">
    <cfRule type="iconSet" priority="29">
      <iconSet iconSet="3Symbols">
        <cfvo type="percent" val="0"/>
        <cfvo type="formula" val="$M$6*0.9"/>
        <cfvo type="formula" val="$M$6"/>
      </iconSet>
    </cfRule>
    <cfRule type="cellIs" dxfId="441" priority="30" operator="lessThan">
      <formula>$M$6</formula>
    </cfRule>
  </conditionalFormatting>
  <conditionalFormatting sqref="E40:E42">
    <cfRule type="iconSet" priority="27">
      <iconSet iconSet="3Symbols">
        <cfvo type="percent" val="0"/>
        <cfvo type="formula" val="$D$25"/>
        <cfvo type="formula" val="$D$25*0.99"/>
      </iconSet>
    </cfRule>
    <cfRule type="cellIs" dxfId="440" priority="28" operator="lessThan">
      <formula>#REF!</formula>
    </cfRule>
  </conditionalFormatting>
  <conditionalFormatting sqref="E37">
    <cfRule type="iconSet" priority="25">
      <iconSet iconSet="3Symbols">
        <cfvo type="percent" val="0"/>
        <cfvo type="formula" val="$D$22"/>
        <cfvo type="formula" val="$D$22*0.99"/>
      </iconSet>
    </cfRule>
    <cfRule type="cellIs" dxfId="439" priority="26" operator="lessThan">
      <formula>#REF!</formula>
    </cfRule>
  </conditionalFormatting>
  <conditionalFormatting sqref="E38">
    <cfRule type="iconSet" priority="24">
      <iconSet iconSet="3Symbols2">
        <cfvo type="percent" val="0"/>
        <cfvo type="percent" val="33"/>
        <cfvo type="percent" val="67"/>
      </iconSet>
    </cfRule>
  </conditionalFormatting>
  <conditionalFormatting sqref="E39">
    <cfRule type="iconSet" priority="23">
      <iconSet iconSet="3Symbols2">
        <cfvo type="percent" val="0"/>
        <cfvo type="percent" val="33"/>
        <cfvo type="percent" val="67"/>
      </iconSet>
    </cfRule>
  </conditionalFormatting>
  <conditionalFormatting sqref="E43">
    <cfRule type="iconSet" priority="22">
      <iconSet iconSet="3Symbols2">
        <cfvo type="percent" val="0"/>
        <cfvo type="formula" val="$D$43*0.99"/>
        <cfvo type="formula" val="$D$43"/>
      </iconSet>
    </cfRule>
  </conditionalFormatting>
  <conditionalFormatting sqref="E44">
    <cfRule type="iconSet" priority="21">
      <iconSet iconSet="3Symbols2">
        <cfvo type="percent" val="0"/>
        <cfvo type="percent" val="33"/>
        <cfvo type="percent" val="67"/>
      </iconSet>
    </cfRule>
  </conditionalFormatting>
  <conditionalFormatting sqref="D50">
    <cfRule type="cellIs" dxfId="438" priority="20" operator="lessThan">
      <formula>0</formula>
    </cfRule>
  </conditionalFormatting>
  <conditionalFormatting sqref="E50">
    <cfRule type="iconSet" priority="17">
      <iconSet iconSet="3Symbols">
        <cfvo type="percent" val="0"/>
        <cfvo type="formula" val="$M$5*0.9"/>
        <cfvo type="formula" val="$M$5"/>
      </iconSet>
    </cfRule>
    <cfRule type="cellIs" dxfId="437" priority="19" operator="lessThan">
      <formula>$M$5</formula>
    </cfRule>
  </conditionalFormatting>
  <conditionalFormatting sqref="D51:D52">
    <cfRule type="cellIs" dxfId="436" priority="18" operator="lessThan">
      <formula>#REF!</formula>
    </cfRule>
  </conditionalFormatting>
  <conditionalFormatting sqref="E60">
    <cfRule type="iconSet" priority="15">
      <iconSet iconSet="3Symbols">
        <cfvo type="percent" val="0"/>
        <cfvo type="formula" val="$M$15*0.9"/>
        <cfvo type="formula" val="$M$15"/>
      </iconSet>
    </cfRule>
    <cfRule type="cellIs" dxfId="435" priority="16" operator="lessThan">
      <formula>$M$15</formula>
    </cfRule>
  </conditionalFormatting>
  <conditionalFormatting sqref="E51">
    <cfRule type="iconSet" priority="13">
      <iconSet iconSet="3Symbols">
        <cfvo type="percent" val="0"/>
        <cfvo type="formula" val="$M$6*0.9"/>
        <cfvo type="formula" val="$M$6"/>
      </iconSet>
    </cfRule>
    <cfRule type="cellIs" dxfId="434" priority="14" operator="lessThan">
      <formula>$M$6</formula>
    </cfRule>
  </conditionalFormatting>
  <conditionalFormatting sqref="E55:E56">
    <cfRule type="iconSet" priority="11">
      <iconSet iconSet="3Symbols">
        <cfvo type="percent" val="0"/>
        <cfvo type="formula" val="$D$25"/>
        <cfvo type="formula" val="$D$25*0.99"/>
      </iconSet>
    </cfRule>
    <cfRule type="cellIs" dxfId="433" priority="12" operator="lessThan">
      <formula>#REF!</formula>
    </cfRule>
  </conditionalFormatting>
  <conditionalFormatting sqref="E53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E54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E58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E59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E52">
    <cfRule type="iconSet" priority="3">
      <iconSet iconSet="3Symbols">
        <cfvo type="percent" val="0"/>
        <cfvo type="formula" val="$D$10*0.9"/>
        <cfvo type="formula" val="$D$10*0.98"/>
      </iconSet>
    </cfRule>
    <cfRule type="cellIs" dxfId="432" priority="4" operator="lessThan">
      <formula>$M$5*0.98</formula>
    </cfRule>
  </conditionalFormatting>
  <conditionalFormatting sqref="E57">
    <cfRule type="iconSet" priority="1">
      <iconSet iconSet="3Symbols">
        <cfvo type="percent" val="0"/>
        <cfvo type="formula" val="$D$10*0.9"/>
        <cfvo type="formula" val="$D$10*0.98"/>
      </iconSet>
    </cfRule>
    <cfRule type="cellIs" dxfId="431" priority="2" operator="lessThan">
      <formula>$M$5*0.98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sheetPr codeName="Planilha5"/>
  <dimension ref="A1:R73"/>
  <sheetViews>
    <sheetView workbookViewId="0">
      <selection activeCell="A2" sqref="A2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19</v>
      </c>
      <c r="B2" s="17">
        <v>198501</v>
      </c>
      <c r="C2" s="18" t="s">
        <v>20</v>
      </c>
      <c r="D2" s="19" t="s">
        <v>21</v>
      </c>
      <c r="E2" s="17" t="s">
        <v>22</v>
      </c>
      <c r="F2" s="17">
        <v>4</v>
      </c>
      <c r="G2" s="74">
        <v>44132</v>
      </c>
      <c r="H2" s="74">
        <v>44216</v>
      </c>
      <c r="I2" s="74">
        <v>44218</v>
      </c>
      <c r="J2" s="20"/>
      <c r="K2" s="18" t="s">
        <v>23</v>
      </c>
      <c r="L2" s="21" t="s">
        <v>24</v>
      </c>
      <c r="M2" s="18" t="s">
        <v>25</v>
      </c>
      <c r="N2" s="18">
        <v>3</v>
      </c>
      <c r="O2" s="18" t="s">
        <v>26</v>
      </c>
      <c r="P2" s="20" t="s">
        <v>27</v>
      </c>
      <c r="Q2" s="18" t="s">
        <v>28</v>
      </c>
      <c r="R2" s="22" t="s">
        <v>29</v>
      </c>
    </row>
    <row r="3" spans="1:18" ht="30" customHeight="1" x14ac:dyDescent="0.25">
      <c r="A3" s="16" t="s">
        <v>30</v>
      </c>
      <c r="B3" s="17">
        <v>215118</v>
      </c>
      <c r="C3" s="18" t="s">
        <v>31</v>
      </c>
      <c r="D3" s="19" t="s">
        <v>32</v>
      </c>
      <c r="E3" s="17" t="s">
        <v>33</v>
      </c>
      <c r="F3" s="17">
        <v>1</v>
      </c>
      <c r="G3" s="74">
        <v>44214</v>
      </c>
      <c r="H3" s="74">
        <v>44218</v>
      </c>
      <c r="I3" s="74">
        <v>44218</v>
      </c>
      <c r="J3" s="20"/>
      <c r="K3" s="18" t="s">
        <v>23</v>
      </c>
      <c r="L3" s="21" t="s">
        <v>34</v>
      </c>
      <c r="M3" s="18" t="s">
        <v>25</v>
      </c>
      <c r="N3" s="18">
        <v>0</v>
      </c>
      <c r="O3" s="18" t="s">
        <v>27</v>
      </c>
      <c r="P3" s="20" t="s">
        <v>27</v>
      </c>
      <c r="Q3" s="18" t="s">
        <v>28</v>
      </c>
      <c r="R3" s="22" t="s">
        <v>29</v>
      </c>
    </row>
    <row r="4" spans="1:18" ht="30" customHeight="1" x14ac:dyDescent="0.25">
      <c r="A4" s="16" t="s">
        <v>30</v>
      </c>
      <c r="B4" s="17">
        <v>215118</v>
      </c>
      <c r="C4" s="18" t="s">
        <v>31</v>
      </c>
      <c r="D4" s="19" t="s">
        <v>32</v>
      </c>
      <c r="E4" s="17" t="s">
        <v>35</v>
      </c>
      <c r="F4" s="17">
        <v>1</v>
      </c>
      <c r="G4" s="74">
        <v>44214</v>
      </c>
      <c r="H4" s="74">
        <v>44218</v>
      </c>
      <c r="I4" s="74">
        <v>44218</v>
      </c>
      <c r="J4" s="20"/>
      <c r="K4" s="18" t="s">
        <v>23</v>
      </c>
      <c r="L4" s="21" t="s">
        <v>34</v>
      </c>
      <c r="M4" s="18" t="s">
        <v>25</v>
      </c>
      <c r="N4" s="18">
        <v>0</v>
      </c>
      <c r="O4" s="18" t="s">
        <v>27</v>
      </c>
      <c r="P4" s="20" t="s">
        <v>27</v>
      </c>
      <c r="Q4" s="18" t="s">
        <v>28</v>
      </c>
      <c r="R4" s="22" t="s">
        <v>29</v>
      </c>
    </row>
    <row r="5" spans="1:18" ht="30" customHeight="1" x14ac:dyDescent="0.25">
      <c r="A5" s="16" t="s">
        <v>30</v>
      </c>
      <c r="B5" s="17">
        <v>215118</v>
      </c>
      <c r="C5" s="18" t="s">
        <v>31</v>
      </c>
      <c r="D5" s="19" t="s">
        <v>32</v>
      </c>
      <c r="E5" s="17" t="s">
        <v>36</v>
      </c>
      <c r="F5" s="17">
        <v>7</v>
      </c>
      <c r="G5" s="74">
        <v>44214</v>
      </c>
      <c r="H5" s="74">
        <v>44218</v>
      </c>
      <c r="I5" s="74">
        <v>44218</v>
      </c>
      <c r="J5" s="20"/>
      <c r="K5" s="18" t="s">
        <v>23</v>
      </c>
      <c r="L5" s="21" t="s">
        <v>34</v>
      </c>
      <c r="M5" s="18" t="s">
        <v>25</v>
      </c>
      <c r="N5" s="18">
        <v>1</v>
      </c>
      <c r="O5" s="18" t="s">
        <v>27</v>
      </c>
      <c r="P5" s="20" t="s">
        <v>27</v>
      </c>
      <c r="Q5" s="18" t="s">
        <v>28</v>
      </c>
      <c r="R5" s="22" t="s">
        <v>29</v>
      </c>
    </row>
    <row r="6" spans="1:18" ht="30" customHeight="1" x14ac:dyDescent="0.25">
      <c r="A6" s="16" t="s">
        <v>37</v>
      </c>
      <c r="B6" s="17">
        <v>214003</v>
      </c>
      <c r="C6" s="18" t="s">
        <v>20</v>
      </c>
      <c r="D6" s="19" t="s">
        <v>38</v>
      </c>
      <c r="E6" s="17" t="s">
        <v>39</v>
      </c>
      <c r="F6" s="17">
        <v>1</v>
      </c>
      <c r="G6" s="74">
        <v>44210</v>
      </c>
      <c r="H6" s="74">
        <v>44215</v>
      </c>
      <c r="I6" s="74">
        <v>44215</v>
      </c>
      <c r="J6" s="20"/>
      <c r="K6" s="18" t="s">
        <v>23</v>
      </c>
      <c r="L6" s="21" t="s">
        <v>24</v>
      </c>
      <c r="M6" s="18" t="s">
        <v>25</v>
      </c>
      <c r="N6" s="18"/>
      <c r="O6" s="18" t="s">
        <v>26</v>
      </c>
      <c r="P6" s="20" t="s">
        <v>26</v>
      </c>
      <c r="Q6" s="18" t="s">
        <v>29</v>
      </c>
      <c r="R6" s="22" t="s">
        <v>29</v>
      </c>
    </row>
    <row r="7" spans="1:18" ht="30" customHeight="1" x14ac:dyDescent="0.25">
      <c r="A7" s="16" t="s">
        <v>40</v>
      </c>
      <c r="B7" s="17">
        <v>214035</v>
      </c>
      <c r="C7" s="18" t="s">
        <v>31</v>
      </c>
      <c r="D7" s="19" t="s">
        <v>41</v>
      </c>
      <c r="E7" s="17" t="s">
        <v>33</v>
      </c>
      <c r="F7" s="17">
        <v>1</v>
      </c>
      <c r="G7" s="74">
        <v>44208</v>
      </c>
      <c r="H7" s="74">
        <v>44216</v>
      </c>
      <c r="I7" s="74">
        <v>44216</v>
      </c>
      <c r="J7" s="20"/>
      <c r="K7" s="18" t="s">
        <v>23</v>
      </c>
      <c r="L7" s="21" t="s">
        <v>42</v>
      </c>
      <c r="M7" s="18" t="s">
        <v>25</v>
      </c>
      <c r="N7" s="18">
        <v>1</v>
      </c>
      <c r="O7" s="18" t="s">
        <v>27</v>
      </c>
      <c r="P7" s="20" t="s">
        <v>27</v>
      </c>
      <c r="Q7" s="18" t="s">
        <v>28</v>
      </c>
      <c r="R7" s="22" t="s">
        <v>29</v>
      </c>
    </row>
    <row r="8" spans="1:18" ht="30" customHeight="1" x14ac:dyDescent="0.25">
      <c r="A8" s="16" t="s">
        <v>40</v>
      </c>
      <c r="B8" s="17">
        <v>214035</v>
      </c>
      <c r="C8" s="18" t="s">
        <v>31</v>
      </c>
      <c r="D8" s="19" t="s">
        <v>41</v>
      </c>
      <c r="E8" s="17" t="s">
        <v>35</v>
      </c>
      <c r="F8" s="17">
        <v>1</v>
      </c>
      <c r="G8" s="74">
        <v>44208</v>
      </c>
      <c r="H8" s="74">
        <v>44216</v>
      </c>
      <c r="I8" s="74">
        <v>44216</v>
      </c>
      <c r="J8" s="20"/>
      <c r="K8" s="18" t="s">
        <v>23</v>
      </c>
      <c r="L8" s="21" t="s">
        <v>42</v>
      </c>
      <c r="M8" s="18" t="s">
        <v>25</v>
      </c>
      <c r="N8" s="18">
        <v>1</v>
      </c>
      <c r="O8" s="18" t="s">
        <v>27</v>
      </c>
      <c r="P8" s="20" t="s">
        <v>27</v>
      </c>
      <c r="Q8" s="18" t="s">
        <v>28</v>
      </c>
      <c r="R8" s="22" t="s">
        <v>29</v>
      </c>
    </row>
    <row r="9" spans="1:18" ht="30" customHeight="1" x14ac:dyDescent="0.25">
      <c r="A9" s="16" t="s">
        <v>37</v>
      </c>
      <c r="B9" s="17">
        <v>214003</v>
      </c>
      <c r="C9" s="18" t="s">
        <v>20</v>
      </c>
      <c r="D9" s="19" t="s">
        <v>38</v>
      </c>
      <c r="E9" s="17" t="s">
        <v>43</v>
      </c>
      <c r="F9" s="17">
        <v>1</v>
      </c>
      <c r="G9" s="74">
        <v>44210</v>
      </c>
      <c r="H9" s="74">
        <v>44215</v>
      </c>
      <c r="I9" s="74">
        <v>44215</v>
      </c>
      <c r="J9" s="20"/>
      <c r="K9" s="18" t="s">
        <v>23</v>
      </c>
      <c r="L9" s="21" t="s">
        <v>24</v>
      </c>
      <c r="M9" s="18" t="s">
        <v>25</v>
      </c>
      <c r="N9" s="18"/>
      <c r="O9" s="18" t="s">
        <v>26</v>
      </c>
      <c r="P9" s="20" t="s">
        <v>26</v>
      </c>
      <c r="Q9" s="18" t="s">
        <v>29</v>
      </c>
      <c r="R9" s="22" t="s">
        <v>29</v>
      </c>
    </row>
    <row r="10" spans="1:18" ht="30" customHeight="1" x14ac:dyDescent="0.25">
      <c r="A10" s="16" t="s">
        <v>37</v>
      </c>
      <c r="B10" s="17">
        <v>214003</v>
      </c>
      <c r="C10" s="18" t="s">
        <v>20</v>
      </c>
      <c r="D10" s="19" t="s">
        <v>38</v>
      </c>
      <c r="E10" s="17" t="s">
        <v>44</v>
      </c>
      <c r="F10" s="17">
        <v>1</v>
      </c>
      <c r="G10" s="74">
        <v>44210</v>
      </c>
      <c r="H10" s="74">
        <v>44215</v>
      </c>
      <c r="I10" s="74">
        <v>44215</v>
      </c>
      <c r="J10" s="20"/>
      <c r="K10" s="18" t="s">
        <v>23</v>
      </c>
      <c r="L10" s="21" t="s">
        <v>24</v>
      </c>
      <c r="M10" s="18" t="s">
        <v>25</v>
      </c>
      <c r="N10" s="18"/>
      <c r="O10" s="18" t="s">
        <v>26</v>
      </c>
      <c r="P10" s="20" t="s">
        <v>26</v>
      </c>
      <c r="Q10" s="18" t="s">
        <v>29</v>
      </c>
      <c r="R10" s="22" t="s">
        <v>29</v>
      </c>
    </row>
    <row r="11" spans="1:18" ht="30" customHeight="1" x14ac:dyDescent="0.25">
      <c r="A11" s="16" t="s">
        <v>37</v>
      </c>
      <c r="B11" s="17">
        <v>214003</v>
      </c>
      <c r="C11" s="18" t="s">
        <v>20</v>
      </c>
      <c r="D11" s="19" t="s">
        <v>38</v>
      </c>
      <c r="E11" s="17" t="s">
        <v>35</v>
      </c>
      <c r="F11" s="17">
        <v>1</v>
      </c>
      <c r="G11" s="74">
        <v>44210</v>
      </c>
      <c r="H11" s="74">
        <v>44215</v>
      </c>
      <c r="I11" s="74">
        <v>44215</v>
      </c>
      <c r="J11" s="20"/>
      <c r="K11" s="18" t="s">
        <v>23</v>
      </c>
      <c r="L11" s="21" t="s">
        <v>24</v>
      </c>
      <c r="M11" s="18" t="s">
        <v>25</v>
      </c>
      <c r="N11" s="18"/>
      <c r="O11" s="18" t="s">
        <v>26</v>
      </c>
      <c r="P11" s="20" t="s">
        <v>26</v>
      </c>
      <c r="Q11" s="18" t="s">
        <v>29</v>
      </c>
      <c r="R11" s="22" t="s">
        <v>29</v>
      </c>
    </row>
    <row r="12" spans="1:18" ht="30" customHeight="1" x14ac:dyDescent="0.25">
      <c r="A12" s="16" t="s">
        <v>37</v>
      </c>
      <c r="B12" s="17">
        <v>214003</v>
      </c>
      <c r="C12" s="18" t="s">
        <v>20</v>
      </c>
      <c r="D12" s="19" t="s">
        <v>38</v>
      </c>
      <c r="E12" s="17" t="s">
        <v>45</v>
      </c>
      <c r="F12" s="17">
        <v>1</v>
      </c>
      <c r="G12" s="74">
        <v>44210</v>
      </c>
      <c r="H12" s="74">
        <v>44215</v>
      </c>
      <c r="I12" s="74">
        <v>44215</v>
      </c>
      <c r="J12" s="20"/>
      <c r="K12" s="18" t="s">
        <v>23</v>
      </c>
      <c r="L12" s="21" t="s">
        <v>24</v>
      </c>
      <c r="M12" s="18" t="s">
        <v>25</v>
      </c>
      <c r="N12" s="18"/>
      <c r="O12" s="18" t="s">
        <v>26</v>
      </c>
      <c r="P12" s="20" t="s">
        <v>26</v>
      </c>
      <c r="Q12" s="18" t="s">
        <v>29</v>
      </c>
      <c r="R12" s="22" t="s">
        <v>29</v>
      </c>
    </row>
    <row r="13" spans="1:18" ht="30" customHeight="1" x14ac:dyDescent="0.25">
      <c r="A13" s="16" t="s">
        <v>37</v>
      </c>
      <c r="B13" s="17">
        <v>214003</v>
      </c>
      <c r="C13" s="18" t="s">
        <v>20</v>
      </c>
      <c r="D13" s="19" t="s">
        <v>38</v>
      </c>
      <c r="E13" s="17" t="s">
        <v>33</v>
      </c>
      <c r="F13" s="17">
        <v>1</v>
      </c>
      <c r="G13" s="74">
        <v>44210</v>
      </c>
      <c r="H13" s="74">
        <v>44215</v>
      </c>
      <c r="I13" s="74">
        <v>44215</v>
      </c>
      <c r="J13" s="20"/>
      <c r="K13" s="18" t="s">
        <v>23</v>
      </c>
      <c r="L13" s="21" t="s">
        <v>24</v>
      </c>
      <c r="M13" s="18" t="s">
        <v>25</v>
      </c>
      <c r="N13" s="18"/>
      <c r="O13" s="18" t="s">
        <v>26</v>
      </c>
      <c r="P13" s="20" t="s">
        <v>26</v>
      </c>
      <c r="Q13" s="18" t="s">
        <v>29</v>
      </c>
      <c r="R13" s="22" t="s">
        <v>29</v>
      </c>
    </row>
    <row r="14" spans="1:18" ht="30" customHeight="1" x14ac:dyDescent="0.25">
      <c r="A14" s="16" t="s">
        <v>37</v>
      </c>
      <c r="B14" s="17">
        <v>214003</v>
      </c>
      <c r="C14" s="18" t="s">
        <v>20</v>
      </c>
      <c r="D14" s="19" t="s">
        <v>38</v>
      </c>
      <c r="E14" s="17" t="s">
        <v>46</v>
      </c>
      <c r="F14" s="17">
        <v>1</v>
      </c>
      <c r="G14" s="74">
        <v>44210</v>
      </c>
      <c r="H14" s="74">
        <v>44215</v>
      </c>
      <c r="I14" s="74">
        <v>44215</v>
      </c>
      <c r="J14" s="20"/>
      <c r="K14" s="18" t="s">
        <v>23</v>
      </c>
      <c r="L14" s="21" t="s">
        <v>24</v>
      </c>
      <c r="M14" s="18" t="s">
        <v>25</v>
      </c>
      <c r="N14" s="18"/>
      <c r="O14" s="18" t="s">
        <v>26</v>
      </c>
      <c r="P14" s="20" t="s">
        <v>26</v>
      </c>
      <c r="Q14" s="18" t="s">
        <v>29</v>
      </c>
      <c r="R14" s="22" t="s">
        <v>29</v>
      </c>
    </row>
    <row r="15" spans="1:18" ht="30" customHeight="1" x14ac:dyDescent="0.25">
      <c r="A15" s="16" t="s">
        <v>47</v>
      </c>
      <c r="B15" s="17">
        <v>213500</v>
      </c>
      <c r="C15" s="18" t="s">
        <v>20</v>
      </c>
      <c r="D15" s="19" t="s">
        <v>48</v>
      </c>
      <c r="E15" s="17" t="s">
        <v>49</v>
      </c>
      <c r="F15" s="17">
        <v>1</v>
      </c>
      <c r="G15" s="74">
        <v>44207</v>
      </c>
      <c r="H15" s="74">
        <v>44211</v>
      </c>
      <c r="I15" s="74">
        <v>44222</v>
      </c>
      <c r="J15" s="20"/>
      <c r="K15" s="18" t="s">
        <v>23</v>
      </c>
      <c r="L15" s="21" t="s">
        <v>24</v>
      </c>
      <c r="M15" s="18" t="s">
        <v>25</v>
      </c>
      <c r="N15" s="18">
        <v>3</v>
      </c>
      <c r="O15" s="18" t="s">
        <v>26</v>
      </c>
      <c r="P15" s="20" t="s">
        <v>26</v>
      </c>
      <c r="Q15" s="18" t="s">
        <v>28</v>
      </c>
      <c r="R15" s="22" t="s">
        <v>28</v>
      </c>
    </row>
    <row r="16" spans="1:18" ht="30" customHeight="1" x14ac:dyDescent="0.25">
      <c r="A16" s="16" t="s">
        <v>47</v>
      </c>
      <c r="B16" s="17">
        <v>213500</v>
      </c>
      <c r="C16" s="18" t="s">
        <v>20</v>
      </c>
      <c r="D16" s="19" t="s">
        <v>48</v>
      </c>
      <c r="E16" s="17" t="s">
        <v>33</v>
      </c>
      <c r="F16" s="17">
        <v>1</v>
      </c>
      <c r="G16" s="74">
        <v>44207</v>
      </c>
      <c r="H16" s="74">
        <v>44211</v>
      </c>
      <c r="I16" s="74">
        <v>44222</v>
      </c>
      <c r="J16" s="20"/>
      <c r="K16" s="18" t="s">
        <v>23</v>
      </c>
      <c r="L16" s="21" t="s">
        <v>24</v>
      </c>
      <c r="M16" s="18" t="s">
        <v>25</v>
      </c>
      <c r="N16" s="18">
        <v>3</v>
      </c>
      <c r="O16" s="18" t="s">
        <v>26</v>
      </c>
      <c r="P16" s="20" t="s">
        <v>26</v>
      </c>
      <c r="Q16" s="18" t="s">
        <v>50</v>
      </c>
      <c r="R16" s="22" t="s">
        <v>50</v>
      </c>
    </row>
    <row r="17" spans="1:18" ht="30" customHeight="1" x14ac:dyDescent="0.25">
      <c r="A17" s="16" t="s">
        <v>47</v>
      </c>
      <c r="B17" s="17">
        <v>213500</v>
      </c>
      <c r="C17" s="18" t="s">
        <v>20</v>
      </c>
      <c r="D17" s="19" t="s">
        <v>48</v>
      </c>
      <c r="E17" s="17" t="s">
        <v>46</v>
      </c>
      <c r="F17" s="17">
        <v>1</v>
      </c>
      <c r="G17" s="74">
        <v>44207</v>
      </c>
      <c r="H17" s="74">
        <v>44211</v>
      </c>
      <c r="I17" s="74">
        <v>44222</v>
      </c>
      <c r="J17" s="20"/>
      <c r="K17" s="18" t="s">
        <v>23</v>
      </c>
      <c r="L17" s="21" t="s">
        <v>24</v>
      </c>
      <c r="M17" s="18" t="s">
        <v>25</v>
      </c>
      <c r="N17" s="18">
        <v>3</v>
      </c>
      <c r="O17" s="18" t="s">
        <v>26</v>
      </c>
      <c r="P17" s="20" t="s">
        <v>26</v>
      </c>
      <c r="Q17" s="18" t="s">
        <v>51</v>
      </c>
      <c r="R17" s="22" t="s">
        <v>51</v>
      </c>
    </row>
    <row r="18" spans="1:18" ht="30" customHeight="1" x14ac:dyDescent="0.25">
      <c r="A18" s="16" t="s">
        <v>47</v>
      </c>
      <c r="B18" s="17">
        <v>213500</v>
      </c>
      <c r="C18" s="18" t="s">
        <v>20</v>
      </c>
      <c r="D18" s="19" t="s">
        <v>48</v>
      </c>
      <c r="E18" s="17" t="s">
        <v>36</v>
      </c>
      <c r="F18" s="17">
        <v>1</v>
      </c>
      <c r="G18" s="74">
        <v>44207</v>
      </c>
      <c r="H18" s="74">
        <v>44211</v>
      </c>
      <c r="I18" s="74">
        <v>44222</v>
      </c>
      <c r="J18" s="20"/>
      <c r="K18" s="18" t="s">
        <v>23</v>
      </c>
      <c r="L18" s="21" t="s">
        <v>24</v>
      </c>
      <c r="M18" s="18" t="s">
        <v>25</v>
      </c>
      <c r="N18" s="18">
        <v>3</v>
      </c>
      <c r="O18" s="18" t="s">
        <v>26</v>
      </c>
      <c r="P18" s="20" t="s">
        <v>26</v>
      </c>
      <c r="Q18" s="18" t="s">
        <v>52</v>
      </c>
      <c r="R18" s="22" t="s">
        <v>52</v>
      </c>
    </row>
    <row r="19" spans="1:18" ht="30" customHeight="1" x14ac:dyDescent="0.25">
      <c r="A19" s="16" t="s">
        <v>40</v>
      </c>
      <c r="B19" s="17">
        <v>212637</v>
      </c>
      <c r="C19" s="18" t="s">
        <v>20</v>
      </c>
      <c r="D19" s="19" t="s">
        <v>53</v>
      </c>
      <c r="E19" s="17" t="s">
        <v>35</v>
      </c>
      <c r="F19" s="17">
        <v>2</v>
      </c>
      <c r="G19" s="74">
        <v>44202</v>
      </c>
      <c r="H19" s="74">
        <v>44203</v>
      </c>
      <c r="I19" s="74">
        <v>44203</v>
      </c>
      <c r="J19" s="20"/>
      <c r="K19" s="18" t="s">
        <v>23</v>
      </c>
      <c r="L19" s="21" t="s">
        <v>34</v>
      </c>
      <c r="M19" s="18" t="s">
        <v>25</v>
      </c>
      <c r="N19" s="18">
        <v>1</v>
      </c>
      <c r="O19" s="18" t="s">
        <v>26</v>
      </c>
      <c r="P19" s="20" t="s">
        <v>27</v>
      </c>
      <c r="Q19" s="18" t="s">
        <v>29</v>
      </c>
      <c r="R19" s="22" t="s">
        <v>54</v>
      </c>
    </row>
    <row r="20" spans="1:18" ht="30" customHeight="1" x14ac:dyDescent="0.25">
      <c r="A20" s="16" t="s">
        <v>55</v>
      </c>
      <c r="B20" s="17">
        <v>179193</v>
      </c>
      <c r="C20" s="18" t="s">
        <v>56</v>
      </c>
      <c r="D20" s="19" t="s">
        <v>57</v>
      </c>
      <c r="E20" s="17" t="s">
        <v>35</v>
      </c>
      <c r="F20" s="17">
        <v>2</v>
      </c>
      <c r="G20" s="74">
        <v>44039</v>
      </c>
      <c r="H20" s="74"/>
      <c r="I20" s="74">
        <v>44046</v>
      </c>
      <c r="J20" s="20"/>
      <c r="K20" s="18" t="s">
        <v>23</v>
      </c>
      <c r="L20" s="21" t="s">
        <v>58</v>
      </c>
      <c r="M20" s="18"/>
      <c r="N20" s="18"/>
      <c r="O20" s="18" t="s">
        <v>26</v>
      </c>
      <c r="P20" s="20" t="s">
        <v>27</v>
      </c>
      <c r="Q20" s="18" t="s">
        <v>29</v>
      </c>
      <c r="R20" s="22" t="s">
        <v>28</v>
      </c>
    </row>
    <row r="21" spans="1:18" ht="30" customHeight="1" x14ac:dyDescent="0.25">
      <c r="A21" s="16" t="s">
        <v>59</v>
      </c>
      <c r="B21" s="17">
        <v>190879</v>
      </c>
      <c r="C21" s="18" t="s">
        <v>56</v>
      </c>
      <c r="D21" s="19" t="s">
        <v>60</v>
      </c>
      <c r="E21" s="17" t="s">
        <v>61</v>
      </c>
      <c r="F21" s="17">
        <v>1</v>
      </c>
      <c r="G21" s="74">
        <v>44096</v>
      </c>
      <c r="H21" s="74"/>
      <c r="I21" s="74">
        <v>44112</v>
      </c>
      <c r="J21" s="20"/>
      <c r="K21" s="18" t="s">
        <v>23</v>
      </c>
      <c r="L21" s="21" t="s">
        <v>42</v>
      </c>
      <c r="M21" s="18" t="s">
        <v>25</v>
      </c>
      <c r="N21" s="18"/>
      <c r="O21" s="18" t="s">
        <v>27</v>
      </c>
      <c r="P21" s="20" t="s">
        <v>27</v>
      </c>
      <c r="Q21" s="18" t="s">
        <v>29</v>
      </c>
      <c r="R21" s="22" t="s">
        <v>29</v>
      </c>
    </row>
    <row r="22" spans="1:18" ht="30" customHeight="1" x14ac:dyDescent="0.25">
      <c r="A22" s="16" t="s">
        <v>59</v>
      </c>
      <c r="B22" s="17">
        <v>190879</v>
      </c>
      <c r="C22" s="18" t="s">
        <v>56</v>
      </c>
      <c r="D22" s="19" t="s">
        <v>60</v>
      </c>
      <c r="E22" s="17" t="s">
        <v>62</v>
      </c>
      <c r="F22" s="17">
        <v>1</v>
      </c>
      <c r="G22" s="74">
        <v>44096</v>
      </c>
      <c r="H22" s="74"/>
      <c r="I22" s="74">
        <v>44112</v>
      </c>
      <c r="J22" s="20"/>
      <c r="K22" s="18" t="s">
        <v>23</v>
      </c>
      <c r="L22" s="21" t="s">
        <v>34</v>
      </c>
      <c r="M22" s="18" t="s">
        <v>25</v>
      </c>
      <c r="N22" s="18"/>
      <c r="O22" s="18" t="s">
        <v>27</v>
      </c>
      <c r="P22" s="20" t="s">
        <v>27</v>
      </c>
      <c r="Q22" s="18" t="s">
        <v>29</v>
      </c>
      <c r="R22" s="22" t="s">
        <v>29</v>
      </c>
    </row>
    <row r="23" spans="1:18" ht="30" customHeight="1" x14ac:dyDescent="0.25">
      <c r="A23" s="16" t="s">
        <v>59</v>
      </c>
      <c r="B23" s="17">
        <v>190879</v>
      </c>
      <c r="C23" s="18" t="s">
        <v>56</v>
      </c>
      <c r="D23" s="19" t="s">
        <v>60</v>
      </c>
      <c r="E23" s="17" t="s">
        <v>63</v>
      </c>
      <c r="F23" s="17">
        <v>3</v>
      </c>
      <c r="G23" s="74">
        <v>44096</v>
      </c>
      <c r="H23" s="74"/>
      <c r="I23" s="74">
        <v>44112</v>
      </c>
      <c r="J23" s="20"/>
      <c r="K23" s="18" t="s">
        <v>23</v>
      </c>
      <c r="L23" s="21" t="s">
        <v>42</v>
      </c>
      <c r="M23" s="18" t="s">
        <v>25</v>
      </c>
      <c r="N23" s="18"/>
      <c r="O23" s="18" t="s">
        <v>27</v>
      </c>
      <c r="P23" s="20" t="s">
        <v>27</v>
      </c>
      <c r="Q23" s="18" t="s">
        <v>29</v>
      </c>
      <c r="R23" s="22" t="s">
        <v>29</v>
      </c>
    </row>
    <row r="24" spans="1:18" ht="30" customHeight="1" x14ac:dyDescent="0.25">
      <c r="A24" s="16" t="s">
        <v>59</v>
      </c>
      <c r="B24" s="17">
        <v>190879</v>
      </c>
      <c r="C24" s="18" t="s">
        <v>64</v>
      </c>
      <c r="D24" s="19" t="s">
        <v>60</v>
      </c>
      <c r="E24" s="17" t="s">
        <v>65</v>
      </c>
      <c r="F24" s="17">
        <v>1</v>
      </c>
      <c r="G24" s="74">
        <v>44096</v>
      </c>
      <c r="H24" s="74"/>
      <c r="I24" s="74">
        <v>44221</v>
      </c>
      <c r="J24" s="20"/>
      <c r="K24" s="18" t="s">
        <v>23</v>
      </c>
      <c r="L24" s="21" t="s">
        <v>58</v>
      </c>
      <c r="M24" s="18" t="s">
        <v>25</v>
      </c>
      <c r="N24" s="18"/>
      <c r="O24" s="18" t="s">
        <v>27</v>
      </c>
      <c r="P24" s="20" t="s">
        <v>27</v>
      </c>
      <c r="Q24" s="18" t="s">
        <v>29</v>
      </c>
      <c r="R24" s="22" t="s">
        <v>29</v>
      </c>
    </row>
    <row r="25" spans="1:18" ht="30" customHeight="1" x14ac:dyDescent="0.25">
      <c r="A25" s="16" t="s">
        <v>59</v>
      </c>
      <c r="B25" s="17">
        <v>214128</v>
      </c>
      <c r="C25" s="18" t="s">
        <v>64</v>
      </c>
      <c r="D25" s="19" t="s">
        <v>66</v>
      </c>
      <c r="E25" s="17" t="s">
        <v>67</v>
      </c>
      <c r="F25" s="17">
        <v>1</v>
      </c>
      <c r="G25" s="74">
        <v>44209</v>
      </c>
      <c r="H25" s="74"/>
      <c r="I25" s="74">
        <v>44216</v>
      </c>
      <c r="J25" s="20"/>
      <c r="K25" s="18" t="s">
        <v>23</v>
      </c>
      <c r="L25" s="21" t="s">
        <v>58</v>
      </c>
      <c r="M25" s="18" t="s">
        <v>25</v>
      </c>
      <c r="N25" s="18"/>
      <c r="O25" s="18" t="s">
        <v>26</v>
      </c>
      <c r="P25" s="20" t="s">
        <v>26</v>
      </c>
      <c r="Q25" s="18" t="s">
        <v>54</v>
      </c>
      <c r="R25" s="22" t="s">
        <v>54</v>
      </c>
    </row>
    <row r="26" spans="1:18" ht="30" customHeight="1" x14ac:dyDescent="0.25">
      <c r="A26" s="16" t="s">
        <v>59</v>
      </c>
      <c r="B26" s="17">
        <v>214128</v>
      </c>
      <c r="C26" s="18" t="s">
        <v>64</v>
      </c>
      <c r="D26" s="19" t="s">
        <v>66</v>
      </c>
      <c r="E26" s="17" t="s">
        <v>62</v>
      </c>
      <c r="F26" s="17">
        <v>1</v>
      </c>
      <c r="G26" s="74">
        <v>44209</v>
      </c>
      <c r="H26" s="74"/>
      <c r="I26" s="74">
        <v>44216</v>
      </c>
      <c r="J26" s="20"/>
      <c r="K26" s="18" t="s">
        <v>23</v>
      </c>
      <c r="L26" s="21" t="s">
        <v>58</v>
      </c>
      <c r="M26" s="18" t="s">
        <v>25</v>
      </c>
      <c r="N26" s="18"/>
      <c r="O26" s="18" t="s">
        <v>26</v>
      </c>
      <c r="P26" s="20" t="s">
        <v>26</v>
      </c>
      <c r="Q26" s="18" t="s">
        <v>54</v>
      </c>
      <c r="R26" s="22" t="s">
        <v>54</v>
      </c>
    </row>
    <row r="27" spans="1:18" ht="30" customHeight="1" x14ac:dyDescent="0.25">
      <c r="A27" s="16" t="s">
        <v>68</v>
      </c>
      <c r="B27" s="17">
        <v>216194</v>
      </c>
      <c r="C27" s="18" t="s">
        <v>64</v>
      </c>
      <c r="D27" s="19" t="s">
        <v>69</v>
      </c>
      <c r="E27" s="17" t="s">
        <v>49</v>
      </c>
      <c r="F27" s="17">
        <v>2</v>
      </c>
      <c r="G27" s="74">
        <v>44218</v>
      </c>
      <c r="H27" s="74">
        <v>44218</v>
      </c>
      <c r="I27" s="74">
        <v>44218</v>
      </c>
      <c r="J27" s="20"/>
      <c r="K27" s="18" t="s">
        <v>23</v>
      </c>
      <c r="L27" s="21" t="s">
        <v>58</v>
      </c>
      <c r="M27" s="18" t="s">
        <v>25</v>
      </c>
      <c r="N27" s="18"/>
      <c r="O27" s="18" t="s">
        <v>26</v>
      </c>
      <c r="P27" s="20" t="s">
        <v>27</v>
      </c>
      <c r="Q27" s="18" t="s">
        <v>28</v>
      </c>
      <c r="R27" s="22" t="s">
        <v>29</v>
      </c>
    </row>
    <row r="28" spans="1:18" ht="30" customHeight="1" x14ac:dyDescent="0.25">
      <c r="A28" s="16" t="s">
        <v>68</v>
      </c>
      <c r="B28" s="17">
        <v>216194</v>
      </c>
      <c r="C28" s="18" t="s">
        <v>64</v>
      </c>
      <c r="D28" s="19" t="s">
        <v>69</v>
      </c>
      <c r="E28" s="17" t="s">
        <v>35</v>
      </c>
      <c r="F28" s="17">
        <v>2</v>
      </c>
      <c r="G28" s="74">
        <v>44218</v>
      </c>
      <c r="H28" s="74">
        <v>44218</v>
      </c>
      <c r="I28" s="74">
        <v>44218</v>
      </c>
      <c r="J28" s="20"/>
      <c r="K28" s="18" t="s">
        <v>23</v>
      </c>
      <c r="L28" s="21" t="s">
        <v>58</v>
      </c>
      <c r="M28" s="18" t="s">
        <v>25</v>
      </c>
      <c r="N28" s="18"/>
      <c r="O28" s="18" t="s">
        <v>26</v>
      </c>
      <c r="P28" s="20" t="s">
        <v>27</v>
      </c>
      <c r="Q28" s="18" t="s">
        <v>28</v>
      </c>
      <c r="R28" s="22" t="s">
        <v>29</v>
      </c>
    </row>
    <row r="29" spans="1:18" ht="30" customHeight="1" x14ac:dyDescent="0.25">
      <c r="A29" s="16" t="s">
        <v>68</v>
      </c>
      <c r="B29" s="17">
        <v>216194</v>
      </c>
      <c r="C29" s="18" t="s">
        <v>64</v>
      </c>
      <c r="D29" s="19" t="s">
        <v>69</v>
      </c>
      <c r="E29" s="17" t="s">
        <v>36</v>
      </c>
      <c r="F29" s="17">
        <v>2</v>
      </c>
      <c r="G29" s="74">
        <v>44218</v>
      </c>
      <c r="H29" s="74">
        <v>44218</v>
      </c>
      <c r="I29" s="74">
        <v>44218</v>
      </c>
      <c r="J29" s="20"/>
      <c r="K29" s="18" t="s">
        <v>23</v>
      </c>
      <c r="L29" s="21" t="s">
        <v>58</v>
      </c>
      <c r="M29" s="18" t="s">
        <v>25</v>
      </c>
      <c r="N29" s="18"/>
      <c r="O29" s="18" t="s">
        <v>26</v>
      </c>
      <c r="P29" s="20" t="s">
        <v>27</v>
      </c>
      <c r="Q29" s="18" t="s">
        <v>28</v>
      </c>
      <c r="R29" s="22" t="s">
        <v>29</v>
      </c>
    </row>
    <row r="30" spans="1:18" ht="30" customHeight="1" x14ac:dyDescent="0.25">
      <c r="A30" s="16" t="s">
        <v>30</v>
      </c>
      <c r="B30" s="17">
        <v>212059</v>
      </c>
      <c r="C30" s="18" t="s">
        <v>20</v>
      </c>
      <c r="D30" s="19" t="s">
        <v>70</v>
      </c>
      <c r="E30" s="17" t="s">
        <v>44</v>
      </c>
      <c r="F30" s="17">
        <v>1</v>
      </c>
      <c r="G30" s="74">
        <v>44210</v>
      </c>
      <c r="H30" s="74">
        <v>44214</v>
      </c>
      <c r="I30" s="74">
        <v>44211</v>
      </c>
      <c r="J30" s="20"/>
      <c r="K30" s="18" t="s">
        <v>23</v>
      </c>
      <c r="L30" s="21" t="s">
        <v>34</v>
      </c>
      <c r="M30" s="18" t="s">
        <v>25</v>
      </c>
      <c r="N30" s="18"/>
      <c r="O30" s="18" t="s">
        <v>26</v>
      </c>
      <c r="P30" s="20" t="s">
        <v>26</v>
      </c>
      <c r="Q30" s="18" t="s">
        <v>54</v>
      </c>
      <c r="R30" s="22" t="s">
        <v>54</v>
      </c>
    </row>
    <row r="31" spans="1:18" ht="30" customHeight="1" x14ac:dyDescent="0.25">
      <c r="A31" s="16" t="s">
        <v>71</v>
      </c>
      <c r="B31" s="17">
        <v>215322</v>
      </c>
      <c r="C31" s="18" t="s">
        <v>31</v>
      </c>
      <c r="D31" s="19" t="s">
        <v>72</v>
      </c>
      <c r="E31" s="17" t="s">
        <v>73</v>
      </c>
      <c r="F31" s="17">
        <v>1</v>
      </c>
      <c r="G31" s="74">
        <v>44215</v>
      </c>
      <c r="H31" s="74">
        <v>44221</v>
      </c>
      <c r="I31" s="74">
        <v>44221</v>
      </c>
      <c r="J31" s="20"/>
      <c r="K31" s="18" t="s">
        <v>23</v>
      </c>
      <c r="L31" s="21" t="s">
        <v>58</v>
      </c>
      <c r="M31" s="18" t="s">
        <v>25</v>
      </c>
      <c r="N31" s="18">
        <v>0</v>
      </c>
      <c r="O31" s="18" t="s">
        <v>26</v>
      </c>
      <c r="P31" s="20" t="s">
        <v>27</v>
      </c>
      <c r="Q31" s="18" t="s">
        <v>54</v>
      </c>
      <c r="R31" s="22" t="s">
        <v>74</v>
      </c>
    </row>
    <row r="32" spans="1:18" ht="30" customHeight="1" x14ac:dyDescent="0.25">
      <c r="A32" s="16" t="s">
        <v>47</v>
      </c>
      <c r="B32" s="17">
        <v>215073</v>
      </c>
      <c r="C32" s="18" t="s">
        <v>64</v>
      </c>
      <c r="D32" s="19" t="s">
        <v>75</v>
      </c>
      <c r="E32" s="17" t="s">
        <v>67</v>
      </c>
      <c r="F32" s="17">
        <v>1</v>
      </c>
      <c r="G32" s="74">
        <v>44214</v>
      </c>
      <c r="H32" s="74">
        <v>44218</v>
      </c>
      <c r="I32" s="74"/>
      <c r="J32" s="20"/>
      <c r="K32" s="18" t="s">
        <v>23</v>
      </c>
      <c r="L32" s="21" t="s">
        <v>58</v>
      </c>
      <c r="M32" s="18" t="s">
        <v>25</v>
      </c>
      <c r="N32" s="18"/>
      <c r="O32" s="18" t="s">
        <v>26</v>
      </c>
      <c r="P32" s="20" t="s">
        <v>27</v>
      </c>
      <c r="Q32" s="18" t="s">
        <v>29</v>
      </c>
      <c r="R32" s="22" t="s">
        <v>54</v>
      </c>
    </row>
    <row r="33" spans="1:18" ht="30" customHeight="1" x14ac:dyDescent="0.25">
      <c r="A33" s="16" t="s">
        <v>30</v>
      </c>
      <c r="B33" s="17">
        <v>212059</v>
      </c>
      <c r="C33" s="18" t="s">
        <v>20</v>
      </c>
      <c r="D33" s="19" t="s">
        <v>70</v>
      </c>
      <c r="E33" s="17" t="s">
        <v>35</v>
      </c>
      <c r="F33" s="17">
        <v>1</v>
      </c>
      <c r="G33" s="74">
        <v>44210</v>
      </c>
      <c r="H33" s="74">
        <v>44214</v>
      </c>
      <c r="I33" s="74">
        <v>44211</v>
      </c>
      <c r="J33" s="20"/>
      <c r="K33" s="18" t="s">
        <v>23</v>
      </c>
      <c r="L33" s="21" t="s">
        <v>34</v>
      </c>
      <c r="M33" s="18" t="s">
        <v>25</v>
      </c>
      <c r="N33" s="18"/>
      <c r="O33" s="18" t="s">
        <v>26</v>
      </c>
      <c r="P33" s="20" t="s">
        <v>26</v>
      </c>
      <c r="Q33" s="18" t="s">
        <v>54</v>
      </c>
      <c r="R33" s="22" t="s">
        <v>54</v>
      </c>
    </row>
    <row r="34" spans="1:18" ht="30" customHeight="1" x14ac:dyDescent="0.25">
      <c r="A34" s="16" t="s">
        <v>30</v>
      </c>
      <c r="B34" s="17">
        <v>212059</v>
      </c>
      <c r="C34" s="18" t="s">
        <v>20</v>
      </c>
      <c r="D34" s="19" t="s">
        <v>70</v>
      </c>
      <c r="E34" s="17" t="s">
        <v>33</v>
      </c>
      <c r="F34" s="17">
        <v>1</v>
      </c>
      <c r="G34" s="74">
        <v>44210</v>
      </c>
      <c r="H34" s="74">
        <v>44214</v>
      </c>
      <c r="I34" s="74">
        <v>44211</v>
      </c>
      <c r="J34" s="20"/>
      <c r="K34" s="18" t="s">
        <v>23</v>
      </c>
      <c r="L34" s="21" t="s">
        <v>34</v>
      </c>
      <c r="M34" s="18" t="s">
        <v>25</v>
      </c>
      <c r="N34" s="18"/>
      <c r="O34" s="18" t="s">
        <v>26</v>
      </c>
      <c r="P34" s="20" t="s">
        <v>26</v>
      </c>
      <c r="Q34" s="18" t="s">
        <v>54</v>
      </c>
      <c r="R34" s="22" t="s">
        <v>54</v>
      </c>
    </row>
    <row r="35" spans="1:18" ht="30" customHeight="1" x14ac:dyDescent="0.25">
      <c r="A35" s="16" t="s">
        <v>30</v>
      </c>
      <c r="B35" s="17">
        <v>212059</v>
      </c>
      <c r="C35" s="18" t="s">
        <v>20</v>
      </c>
      <c r="D35" s="19" t="s">
        <v>70</v>
      </c>
      <c r="E35" s="17" t="s">
        <v>76</v>
      </c>
      <c r="F35" s="17">
        <v>1</v>
      </c>
      <c r="G35" s="74">
        <v>44210</v>
      </c>
      <c r="H35" s="74">
        <v>44214</v>
      </c>
      <c r="I35" s="74">
        <v>44211</v>
      </c>
      <c r="J35" s="20"/>
      <c r="K35" s="18" t="s">
        <v>23</v>
      </c>
      <c r="L35" s="21" t="s">
        <v>34</v>
      </c>
      <c r="M35" s="18" t="s">
        <v>25</v>
      </c>
      <c r="N35" s="18"/>
      <c r="O35" s="18" t="s">
        <v>26</v>
      </c>
      <c r="P35" s="20" t="s">
        <v>26</v>
      </c>
      <c r="Q35" s="18" t="s">
        <v>54</v>
      </c>
      <c r="R35" s="22" t="s">
        <v>54</v>
      </c>
    </row>
    <row r="36" spans="1:18" ht="30" customHeight="1" x14ac:dyDescent="0.25">
      <c r="A36" s="16" t="s">
        <v>30</v>
      </c>
      <c r="B36" s="17">
        <v>212059</v>
      </c>
      <c r="C36" s="18" t="s">
        <v>20</v>
      </c>
      <c r="D36" s="19" t="s">
        <v>70</v>
      </c>
      <c r="E36" s="17" t="s">
        <v>49</v>
      </c>
      <c r="F36" s="17">
        <v>1</v>
      </c>
      <c r="G36" s="74">
        <v>44210</v>
      </c>
      <c r="H36" s="74">
        <v>44214</v>
      </c>
      <c r="I36" s="74">
        <v>44211</v>
      </c>
      <c r="J36" s="20"/>
      <c r="K36" s="18" t="s">
        <v>23</v>
      </c>
      <c r="L36" s="21" t="s">
        <v>34</v>
      </c>
      <c r="M36" s="18" t="s">
        <v>25</v>
      </c>
      <c r="N36" s="18"/>
      <c r="O36" s="18" t="s">
        <v>26</v>
      </c>
      <c r="P36" s="20" t="s">
        <v>26</v>
      </c>
      <c r="Q36" s="18" t="s">
        <v>54</v>
      </c>
      <c r="R36" s="22" t="s">
        <v>54</v>
      </c>
    </row>
    <row r="37" spans="1:18" ht="30" customHeight="1" x14ac:dyDescent="0.25">
      <c r="A37" s="16" t="s">
        <v>30</v>
      </c>
      <c r="B37" s="17">
        <v>212059</v>
      </c>
      <c r="C37" s="18" t="s">
        <v>20</v>
      </c>
      <c r="D37" s="19" t="s">
        <v>70</v>
      </c>
      <c r="E37" s="17" t="s">
        <v>36</v>
      </c>
      <c r="F37" s="17">
        <v>5</v>
      </c>
      <c r="G37" s="74">
        <v>44210</v>
      </c>
      <c r="H37" s="74">
        <v>44214</v>
      </c>
      <c r="I37" s="74">
        <v>44211</v>
      </c>
      <c r="J37" s="20"/>
      <c r="K37" s="18" t="s">
        <v>23</v>
      </c>
      <c r="L37" s="21" t="s">
        <v>34</v>
      </c>
      <c r="M37" s="18" t="s">
        <v>25</v>
      </c>
      <c r="N37" s="18"/>
      <c r="O37" s="18" t="s">
        <v>26</v>
      </c>
      <c r="P37" s="20" t="s">
        <v>26</v>
      </c>
      <c r="Q37" s="18" t="s">
        <v>54</v>
      </c>
      <c r="R37" s="22" t="s">
        <v>54</v>
      </c>
    </row>
    <row r="38" spans="1:18" ht="30" customHeight="1" x14ac:dyDescent="0.25">
      <c r="A38" s="16" t="s">
        <v>77</v>
      </c>
      <c r="B38" s="17">
        <v>215220</v>
      </c>
      <c r="C38" s="18" t="s">
        <v>20</v>
      </c>
      <c r="D38" s="19" t="s">
        <v>78</v>
      </c>
      <c r="E38" s="17" t="s">
        <v>36</v>
      </c>
      <c r="F38" s="17">
        <v>1</v>
      </c>
      <c r="G38" s="74">
        <v>44214</v>
      </c>
      <c r="H38" s="74">
        <v>44221</v>
      </c>
      <c r="I38" s="74">
        <v>44224</v>
      </c>
      <c r="J38" s="20"/>
      <c r="K38" s="18" t="s">
        <v>23</v>
      </c>
      <c r="L38" s="21" t="s">
        <v>24</v>
      </c>
      <c r="M38" s="18" t="s">
        <v>25</v>
      </c>
      <c r="N38" s="18">
        <v>1</v>
      </c>
      <c r="O38" s="18" t="s">
        <v>26</v>
      </c>
      <c r="P38" s="20" t="s">
        <v>26</v>
      </c>
      <c r="Q38" s="18" t="s">
        <v>29</v>
      </c>
      <c r="R38" s="22" t="s">
        <v>54</v>
      </c>
    </row>
    <row r="39" spans="1:18" ht="30" customHeight="1" x14ac:dyDescent="0.25">
      <c r="A39" s="16" t="s">
        <v>40</v>
      </c>
      <c r="B39" s="17">
        <v>189842</v>
      </c>
      <c r="C39" s="18" t="s">
        <v>31</v>
      </c>
      <c r="D39" s="19" t="s">
        <v>79</v>
      </c>
      <c r="E39" s="17" t="s">
        <v>35</v>
      </c>
      <c r="F39" s="17">
        <v>7</v>
      </c>
      <c r="G39" s="74">
        <v>44221</v>
      </c>
      <c r="H39" s="74">
        <v>44221</v>
      </c>
      <c r="I39" s="74">
        <v>44221</v>
      </c>
      <c r="J39" s="20"/>
      <c r="K39" s="18" t="s">
        <v>23</v>
      </c>
      <c r="L39" s="21" t="s">
        <v>34</v>
      </c>
      <c r="M39" s="18" t="s">
        <v>25</v>
      </c>
      <c r="N39" s="18">
        <v>2</v>
      </c>
      <c r="O39" s="18" t="s">
        <v>26</v>
      </c>
      <c r="P39" s="20" t="s">
        <v>27</v>
      </c>
      <c r="Q39" s="18" t="s">
        <v>29</v>
      </c>
      <c r="R39" s="22" t="s">
        <v>54</v>
      </c>
    </row>
    <row r="40" spans="1:18" ht="30" customHeight="1" x14ac:dyDescent="0.25">
      <c r="A40" s="16" t="s">
        <v>40</v>
      </c>
      <c r="B40" s="17">
        <v>189842</v>
      </c>
      <c r="C40" s="18" t="s">
        <v>31</v>
      </c>
      <c r="D40" s="19" t="s">
        <v>79</v>
      </c>
      <c r="E40" s="17" t="s">
        <v>33</v>
      </c>
      <c r="F40" s="17">
        <v>1</v>
      </c>
      <c r="G40" s="74">
        <v>44221</v>
      </c>
      <c r="H40" s="74">
        <v>44221</v>
      </c>
      <c r="I40" s="74">
        <v>44221</v>
      </c>
      <c r="J40" s="20"/>
      <c r="K40" s="18" t="s">
        <v>23</v>
      </c>
      <c r="L40" s="21" t="s">
        <v>34</v>
      </c>
      <c r="M40" s="18" t="s">
        <v>25</v>
      </c>
      <c r="N40" s="18">
        <v>2</v>
      </c>
      <c r="O40" s="18" t="s">
        <v>26</v>
      </c>
      <c r="P40" s="20" t="s">
        <v>27</v>
      </c>
      <c r="Q40" s="18" t="s">
        <v>29</v>
      </c>
      <c r="R40" s="22" t="s">
        <v>54</v>
      </c>
    </row>
    <row r="41" spans="1:18" ht="30" customHeight="1" x14ac:dyDescent="0.25">
      <c r="A41" s="16" t="s">
        <v>40</v>
      </c>
      <c r="B41" s="17">
        <v>189842</v>
      </c>
      <c r="C41" s="18" t="s">
        <v>31</v>
      </c>
      <c r="D41" s="19" t="s">
        <v>79</v>
      </c>
      <c r="E41" s="17" t="s">
        <v>67</v>
      </c>
      <c r="F41" s="17">
        <v>5</v>
      </c>
      <c r="G41" s="74">
        <v>44221</v>
      </c>
      <c r="H41" s="74">
        <v>44221</v>
      </c>
      <c r="I41" s="74">
        <v>44221</v>
      </c>
      <c r="J41" s="20"/>
      <c r="K41" s="18" t="s">
        <v>23</v>
      </c>
      <c r="L41" s="21" t="s">
        <v>34</v>
      </c>
      <c r="M41" s="18" t="s">
        <v>25</v>
      </c>
      <c r="N41" s="18">
        <v>2</v>
      </c>
      <c r="O41" s="18" t="s">
        <v>26</v>
      </c>
      <c r="P41" s="20" t="s">
        <v>27</v>
      </c>
      <c r="Q41" s="18" t="s">
        <v>29</v>
      </c>
      <c r="R41" s="22" t="s">
        <v>54</v>
      </c>
    </row>
    <row r="42" spans="1:18" ht="30" customHeight="1" x14ac:dyDescent="0.25">
      <c r="A42" s="16" t="s">
        <v>40</v>
      </c>
      <c r="B42" s="17">
        <v>189842</v>
      </c>
      <c r="C42" s="18" t="s">
        <v>56</v>
      </c>
      <c r="D42" s="19" t="s">
        <v>79</v>
      </c>
      <c r="E42" s="17" t="s">
        <v>35</v>
      </c>
      <c r="F42" s="17">
        <v>24</v>
      </c>
      <c r="G42" s="74">
        <v>44090</v>
      </c>
      <c r="H42" s="74">
        <v>44211</v>
      </c>
      <c r="I42" s="74">
        <v>44211</v>
      </c>
      <c r="J42" s="20"/>
      <c r="K42" s="18" t="s">
        <v>23</v>
      </c>
      <c r="L42" s="21" t="s">
        <v>34</v>
      </c>
      <c r="M42" s="18" t="s">
        <v>25</v>
      </c>
      <c r="N42" s="18"/>
      <c r="O42" s="18"/>
      <c r="P42" s="20"/>
      <c r="Q42" s="18"/>
      <c r="R42" s="22"/>
    </row>
    <row r="43" spans="1:18" ht="30" customHeight="1" x14ac:dyDescent="0.25">
      <c r="A43" s="16" t="s">
        <v>40</v>
      </c>
      <c r="B43" s="17">
        <v>189842</v>
      </c>
      <c r="C43" s="18" t="s">
        <v>56</v>
      </c>
      <c r="D43" s="19" t="s">
        <v>79</v>
      </c>
      <c r="E43" s="17" t="s">
        <v>80</v>
      </c>
      <c r="F43" s="17">
        <v>11</v>
      </c>
      <c r="G43" s="74">
        <v>44090</v>
      </c>
      <c r="H43" s="74">
        <v>44211</v>
      </c>
      <c r="I43" s="74">
        <v>44211</v>
      </c>
      <c r="J43" s="20"/>
      <c r="K43" s="18" t="s">
        <v>23</v>
      </c>
      <c r="L43" s="21" t="s">
        <v>34</v>
      </c>
      <c r="M43" s="18" t="s">
        <v>80</v>
      </c>
      <c r="N43" s="18"/>
      <c r="O43" s="18"/>
      <c r="P43" s="20"/>
      <c r="Q43" s="18"/>
      <c r="R43" s="22"/>
    </row>
    <row r="44" spans="1:18" ht="30" customHeight="1" x14ac:dyDescent="0.25">
      <c r="A44" s="16" t="s">
        <v>40</v>
      </c>
      <c r="B44" s="17">
        <v>189842</v>
      </c>
      <c r="C44" s="18" t="s">
        <v>56</v>
      </c>
      <c r="D44" s="19" t="s">
        <v>79</v>
      </c>
      <c r="E44" s="17" t="s">
        <v>81</v>
      </c>
      <c r="F44" s="17">
        <v>31</v>
      </c>
      <c r="G44" s="74">
        <v>44090</v>
      </c>
      <c r="H44" s="74">
        <v>44211</v>
      </c>
      <c r="I44" s="74">
        <v>44211</v>
      </c>
      <c r="J44" s="20"/>
      <c r="K44" s="18" t="s">
        <v>23</v>
      </c>
      <c r="L44" s="21" t="s">
        <v>34</v>
      </c>
      <c r="M44" s="18" t="s">
        <v>80</v>
      </c>
      <c r="N44" s="18"/>
      <c r="O44" s="18"/>
      <c r="P44" s="20"/>
      <c r="Q44" s="18"/>
      <c r="R44" s="22"/>
    </row>
    <row r="45" spans="1:18" ht="30" customHeight="1" x14ac:dyDescent="0.25">
      <c r="A45" s="16" t="s">
        <v>40</v>
      </c>
      <c r="B45" s="17">
        <v>189842</v>
      </c>
      <c r="C45" s="18" t="s">
        <v>56</v>
      </c>
      <c r="D45" s="19" t="s">
        <v>79</v>
      </c>
      <c r="E45" s="17" t="s">
        <v>82</v>
      </c>
      <c r="F45" s="17">
        <v>20</v>
      </c>
      <c r="G45" s="74">
        <v>44090</v>
      </c>
      <c r="H45" s="74">
        <v>44211</v>
      </c>
      <c r="I45" s="74">
        <v>44211</v>
      </c>
      <c r="J45" s="20"/>
      <c r="K45" s="18" t="s">
        <v>23</v>
      </c>
      <c r="L45" s="21" t="s">
        <v>34</v>
      </c>
      <c r="M45" s="18" t="s">
        <v>25</v>
      </c>
      <c r="N45" s="18"/>
      <c r="O45" s="18"/>
      <c r="P45" s="20"/>
      <c r="Q45" s="18"/>
      <c r="R45" s="22"/>
    </row>
    <row r="46" spans="1:18" ht="30" customHeight="1" x14ac:dyDescent="0.25">
      <c r="A46" s="16" t="s">
        <v>40</v>
      </c>
      <c r="B46" s="17">
        <v>189842</v>
      </c>
      <c r="C46" s="18" t="s">
        <v>56</v>
      </c>
      <c r="D46" s="19" t="s">
        <v>79</v>
      </c>
      <c r="E46" s="17" t="s">
        <v>83</v>
      </c>
      <c r="F46" s="17">
        <v>1</v>
      </c>
      <c r="G46" s="74">
        <v>44090</v>
      </c>
      <c r="H46" s="74">
        <v>44211</v>
      </c>
      <c r="I46" s="74">
        <v>44211</v>
      </c>
      <c r="J46" s="20"/>
      <c r="K46" s="18" t="s">
        <v>23</v>
      </c>
      <c r="L46" s="21" t="s">
        <v>42</v>
      </c>
      <c r="M46" s="18" t="s">
        <v>25</v>
      </c>
      <c r="N46" s="18"/>
      <c r="O46" s="18"/>
      <c r="P46" s="20"/>
      <c r="Q46" s="18"/>
      <c r="R46" s="22"/>
    </row>
    <row r="47" spans="1:18" ht="30" customHeight="1" x14ac:dyDescent="0.25">
      <c r="A47" s="16" t="s">
        <v>40</v>
      </c>
      <c r="B47" s="17">
        <v>189842</v>
      </c>
      <c r="C47" s="18" t="s">
        <v>56</v>
      </c>
      <c r="D47" s="19" t="s">
        <v>79</v>
      </c>
      <c r="E47" s="17" t="s">
        <v>67</v>
      </c>
      <c r="F47" s="17">
        <v>1</v>
      </c>
      <c r="G47" s="74">
        <v>44090</v>
      </c>
      <c r="H47" s="74">
        <v>44211</v>
      </c>
      <c r="I47" s="74">
        <v>44211</v>
      </c>
      <c r="J47" s="20"/>
      <c r="K47" s="18" t="s">
        <v>23</v>
      </c>
      <c r="L47" s="21" t="s">
        <v>42</v>
      </c>
      <c r="M47" s="18" t="s">
        <v>25</v>
      </c>
      <c r="N47" s="18"/>
      <c r="O47" s="18"/>
      <c r="P47" s="20"/>
      <c r="Q47" s="18"/>
      <c r="R47" s="22"/>
    </row>
    <row r="48" spans="1:18" ht="30" customHeight="1" x14ac:dyDescent="0.25">
      <c r="A48" s="16" t="s">
        <v>77</v>
      </c>
      <c r="B48" s="17">
        <v>215220</v>
      </c>
      <c r="C48" s="18" t="s">
        <v>20</v>
      </c>
      <c r="D48" s="19" t="s">
        <v>78</v>
      </c>
      <c r="E48" s="17" t="s">
        <v>49</v>
      </c>
      <c r="F48" s="17">
        <v>1</v>
      </c>
      <c r="G48" s="74">
        <v>44214</v>
      </c>
      <c r="H48" s="74">
        <v>44221</v>
      </c>
      <c r="I48" s="74">
        <v>44224</v>
      </c>
      <c r="J48" s="20"/>
      <c r="K48" s="18" t="s">
        <v>23</v>
      </c>
      <c r="L48" s="21" t="s">
        <v>24</v>
      </c>
      <c r="M48" s="18" t="s">
        <v>25</v>
      </c>
      <c r="N48" s="18">
        <v>1</v>
      </c>
      <c r="O48" s="18" t="s">
        <v>26</v>
      </c>
      <c r="P48" s="20" t="s">
        <v>26</v>
      </c>
      <c r="Q48" s="18" t="s">
        <v>29</v>
      </c>
      <c r="R48" s="22" t="s">
        <v>54</v>
      </c>
    </row>
    <row r="49" spans="1:18" ht="30" customHeight="1" x14ac:dyDescent="0.25">
      <c r="A49" s="16" t="s">
        <v>77</v>
      </c>
      <c r="B49" s="17">
        <v>215220</v>
      </c>
      <c r="C49" s="18" t="s">
        <v>20</v>
      </c>
      <c r="D49" s="19" t="s">
        <v>78</v>
      </c>
      <c r="E49" s="17" t="s">
        <v>33</v>
      </c>
      <c r="F49" s="17">
        <v>1</v>
      </c>
      <c r="G49" s="74">
        <v>44214</v>
      </c>
      <c r="H49" s="74">
        <v>44221</v>
      </c>
      <c r="I49" s="74">
        <v>44224</v>
      </c>
      <c r="J49" s="20"/>
      <c r="K49" s="18" t="s">
        <v>23</v>
      </c>
      <c r="L49" s="21" t="s">
        <v>24</v>
      </c>
      <c r="M49" s="18" t="s">
        <v>25</v>
      </c>
      <c r="N49" s="18">
        <v>1</v>
      </c>
      <c r="O49" s="18" t="s">
        <v>26</v>
      </c>
      <c r="P49" s="20" t="s">
        <v>26</v>
      </c>
      <c r="Q49" s="18" t="s">
        <v>29</v>
      </c>
      <c r="R49" s="22" t="s">
        <v>54</v>
      </c>
    </row>
    <row r="50" spans="1:18" ht="30" customHeight="1" x14ac:dyDescent="0.25">
      <c r="A50" s="16" t="s">
        <v>77</v>
      </c>
      <c r="B50" s="17">
        <v>215220</v>
      </c>
      <c r="C50" s="18" t="s">
        <v>20</v>
      </c>
      <c r="D50" s="19" t="s">
        <v>78</v>
      </c>
      <c r="E50" s="17" t="s">
        <v>46</v>
      </c>
      <c r="F50" s="17">
        <v>1</v>
      </c>
      <c r="G50" s="74">
        <v>44214</v>
      </c>
      <c r="H50" s="74">
        <v>44221</v>
      </c>
      <c r="I50" s="74">
        <v>44224</v>
      </c>
      <c r="J50" s="20"/>
      <c r="K50" s="18" t="s">
        <v>23</v>
      </c>
      <c r="L50" s="21" t="s">
        <v>24</v>
      </c>
      <c r="M50" s="18" t="s">
        <v>25</v>
      </c>
      <c r="N50" s="18">
        <v>1</v>
      </c>
      <c r="O50" s="18" t="s">
        <v>26</v>
      </c>
      <c r="P50" s="20" t="s">
        <v>26</v>
      </c>
      <c r="Q50" s="18" t="s">
        <v>29</v>
      </c>
      <c r="R50" s="22" t="s">
        <v>54</v>
      </c>
    </row>
    <row r="51" spans="1:18" ht="30" customHeight="1" x14ac:dyDescent="0.25">
      <c r="A51" s="16" t="s">
        <v>68</v>
      </c>
      <c r="B51" s="17">
        <v>217161</v>
      </c>
      <c r="C51" s="18" t="s">
        <v>31</v>
      </c>
      <c r="D51" s="19" t="s">
        <v>84</v>
      </c>
      <c r="E51" s="17" t="s">
        <v>44</v>
      </c>
      <c r="F51" s="17">
        <v>2</v>
      </c>
      <c r="G51" s="74">
        <v>44223</v>
      </c>
      <c r="H51" s="74">
        <v>44224</v>
      </c>
      <c r="I51" s="74">
        <v>44224</v>
      </c>
      <c r="J51" s="20"/>
      <c r="K51" s="18" t="s">
        <v>23</v>
      </c>
      <c r="L51" s="21" t="s">
        <v>34</v>
      </c>
      <c r="M51" s="18" t="s">
        <v>25</v>
      </c>
      <c r="N51" s="18"/>
      <c r="O51" s="18" t="s">
        <v>26</v>
      </c>
      <c r="P51" s="20" t="s">
        <v>27</v>
      </c>
      <c r="Q51" s="18" t="s">
        <v>29</v>
      </c>
      <c r="R51" s="22" t="s">
        <v>28</v>
      </c>
    </row>
    <row r="52" spans="1:18" ht="30" customHeight="1" x14ac:dyDescent="0.25">
      <c r="A52" s="16" t="s">
        <v>55</v>
      </c>
      <c r="B52" s="17">
        <v>179192</v>
      </c>
      <c r="C52" s="18" t="s">
        <v>56</v>
      </c>
      <c r="D52" s="19" t="s">
        <v>85</v>
      </c>
      <c r="E52" s="17" t="s">
        <v>67</v>
      </c>
      <c r="F52" s="17">
        <v>3</v>
      </c>
      <c r="G52" s="74">
        <v>44039</v>
      </c>
      <c r="H52" s="74"/>
      <c r="I52" s="74">
        <v>44211</v>
      </c>
      <c r="J52" s="20"/>
      <c r="K52" s="18" t="s">
        <v>23</v>
      </c>
      <c r="L52" s="21" t="s">
        <v>42</v>
      </c>
      <c r="M52" s="18" t="s">
        <v>25</v>
      </c>
      <c r="N52" s="18"/>
      <c r="O52" s="18" t="s">
        <v>27</v>
      </c>
      <c r="P52" s="20" t="s">
        <v>26</v>
      </c>
      <c r="Q52" s="18" t="s">
        <v>29</v>
      </c>
      <c r="R52" s="22" t="s">
        <v>54</v>
      </c>
    </row>
    <row r="53" spans="1:18" ht="30" customHeight="1" x14ac:dyDescent="0.25">
      <c r="A53" s="16" t="s">
        <v>55</v>
      </c>
      <c r="B53" s="17">
        <v>179192</v>
      </c>
      <c r="C53" s="18" t="s">
        <v>56</v>
      </c>
      <c r="D53" s="19" t="s">
        <v>85</v>
      </c>
      <c r="E53" s="17" t="s">
        <v>35</v>
      </c>
      <c r="F53" s="17">
        <v>4</v>
      </c>
      <c r="G53" s="74">
        <v>44039</v>
      </c>
      <c r="H53" s="74"/>
      <c r="I53" s="74">
        <v>44211</v>
      </c>
      <c r="J53" s="20" t="s">
        <v>86</v>
      </c>
      <c r="K53" s="18" t="s">
        <v>23</v>
      </c>
      <c r="L53" s="21" t="s">
        <v>34</v>
      </c>
      <c r="M53" s="18" t="s">
        <v>25</v>
      </c>
      <c r="N53" s="18"/>
      <c r="O53" s="18" t="s">
        <v>26</v>
      </c>
      <c r="P53" s="20" t="s">
        <v>26</v>
      </c>
      <c r="Q53" s="18" t="s">
        <v>29</v>
      </c>
      <c r="R53" s="22" t="s">
        <v>54</v>
      </c>
    </row>
    <row r="54" spans="1:18" ht="30" customHeight="1" x14ac:dyDescent="0.25">
      <c r="A54" s="16" t="s">
        <v>55</v>
      </c>
      <c r="B54" s="17">
        <v>179192</v>
      </c>
      <c r="C54" s="18" t="s">
        <v>56</v>
      </c>
      <c r="D54" s="19" t="s">
        <v>85</v>
      </c>
      <c r="E54" s="17" t="s">
        <v>35</v>
      </c>
      <c r="F54" s="17">
        <v>5</v>
      </c>
      <c r="G54" s="74">
        <v>44039</v>
      </c>
      <c r="H54" s="74"/>
      <c r="I54" s="74">
        <v>44211</v>
      </c>
      <c r="J54" s="20" t="s">
        <v>87</v>
      </c>
      <c r="K54" s="18" t="s">
        <v>23</v>
      </c>
      <c r="L54" s="21" t="s">
        <v>42</v>
      </c>
      <c r="M54" s="18" t="s">
        <v>25</v>
      </c>
      <c r="N54" s="18"/>
      <c r="O54" s="18" t="s">
        <v>27</v>
      </c>
      <c r="P54" s="20" t="s">
        <v>26</v>
      </c>
      <c r="Q54" s="18" t="s">
        <v>29</v>
      </c>
      <c r="R54" s="22" t="s">
        <v>54</v>
      </c>
    </row>
    <row r="55" spans="1:18" ht="30" customHeight="1" x14ac:dyDescent="0.25">
      <c r="A55" s="16" t="s">
        <v>55</v>
      </c>
      <c r="B55" s="17">
        <v>179192</v>
      </c>
      <c r="C55" s="18" t="s">
        <v>56</v>
      </c>
      <c r="D55" s="19" t="s">
        <v>85</v>
      </c>
      <c r="E55" s="17" t="s">
        <v>81</v>
      </c>
      <c r="F55" s="17">
        <v>5</v>
      </c>
      <c r="G55" s="74">
        <v>44039</v>
      </c>
      <c r="H55" s="74"/>
      <c r="I55" s="74">
        <v>44211</v>
      </c>
      <c r="J55" s="20" t="s">
        <v>88</v>
      </c>
      <c r="K55" s="18" t="s">
        <v>23</v>
      </c>
      <c r="L55" s="21" t="s">
        <v>42</v>
      </c>
      <c r="M55" s="18" t="s">
        <v>25</v>
      </c>
      <c r="N55" s="18"/>
      <c r="O55" s="18" t="s">
        <v>27</v>
      </c>
      <c r="P55" s="20" t="s">
        <v>26</v>
      </c>
      <c r="Q55" s="18" t="s">
        <v>29</v>
      </c>
      <c r="R55" s="22" t="s">
        <v>54</v>
      </c>
    </row>
    <row r="56" spans="1:18" ht="30" customHeight="1" x14ac:dyDescent="0.25">
      <c r="A56" s="16" t="s">
        <v>55</v>
      </c>
      <c r="B56" s="17">
        <v>179192</v>
      </c>
      <c r="C56" s="18" t="s">
        <v>56</v>
      </c>
      <c r="D56" s="19" t="s">
        <v>85</v>
      </c>
      <c r="E56" s="17" t="s">
        <v>62</v>
      </c>
      <c r="F56" s="17">
        <v>2</v>
      </c>
      <c r="G56" s="74">
        <v>44039</v>
      </c>
      <c r="H56" s="74"/>
      <c r="I56" s="74">
        <v>44211</v>
      </c>
      <c r="J56" s="20"/>
      <c r="K56" s="18" t="s">
        <v>23</v>
      </c>
      <c r="L56" s="21" t="s">
        <v>34</v>
      </c>
      <c r="M56" s="18" t="s">
        <v>25</v>
      </c>
      <c r="N56" s="18"/>
      <c r="O56" s="18" t="s">
        <v>26</v>
      </c>
      <c r="P56" s="20" t="s">
        <v>26</v>
      </c>
      <c r="Q56" s="18" t="s">
        <v>29</v>
      </c>
      <c r="R56" s="22" t="s">
        <v>54</v>
      </c>
    </row>
    <row r="57" spans="1:18" ht="30" customHeight="1" x14ac:dyDescent="0.25">
      <c r="A57" s="16" t="s">
        <v>55</v>
      </c>
      <c r="B57" s="17">
        <v>179192</v>
      </c>
      <c r="C57" s="18" t="s">
        <v>56</v>
      </c>
      <c r="D57" s="19" t="s">
        <v>85</v>
      </c>
      <c r="E57" s="17" t="s">
        <v>89</v>
      </c>
      <c r="F57" s="17">
        <v>1</v>
      </c>
      <c r="G57" s="74">
        <v>44039</v>
      </c>
      <c r="H57" s="74"/>
      <c r="I57" s="74">
        <v>44211</v>
      </c>
      <c r="J57" s="20"/>
      <c r="K57" s="18" t="s">
        <v>23</v>
      </c>
      <c r="L57" s="21" t="s">
        <v>42</v>
      </c>
      <c r="M57" s="18" t="s">
        <v>25</v>
      </c>
      <c r="N57" s="18"/>
      <c r="O57" s="18" t="s">
        <v>27</v>
      </c>
      <c r="P57" s="20" t="s">
        <v>26</v>
      </c>
      <c r="Q57" s="18" t="s">
        <v>29</v>
      </c>
      <c r="R57" s="22" t="s">
        <v>54</v>
      </c>
    </row>
    <row r="58" spans="1:18" ht="30" customHeight="1" x14ac:dyDescent="0.25">
      <c r="A58" s="16" t="s">
        <v>55</v>
      </c>
      <c r="B58" s="17">
        <v>179192</v>
      </c>
      <c r="C58" s="18" t="s">
        <v>56</v>
      </c>
      <c r="D58" s="19" t="s">
        <v>85</v>
      </c>
      <c r="E58" s="17" t="s">
        <v>63</v>
      </c>
      <c r="F58" s="17">
        <v>2</v>
      </c>
      <c r="G58" s="74">
        <v>44039</v>
      </c>
      <c r="H58" s="74"/>
      <c r="I58" s="74">
        <v>44211</v>
      </c>
      <c r="J58" s="20"/>
      <c r="K58" s="18" t="s">
        <v>23</v>
      </c>
      <c r="L58" s="21" t="s">
        <v>42</v>
      </c>
      <c r="M58" s="18" t="s">
        <v>25</v>
      </c>
      <c r="N58" s="18"/>
      <c r="O58" s="18" t="s">
        <v>27</v>
      </c>
      <c r="P58" s="20" t="s">
        <v>26</v>
      </c>
      <c r="Q58" s="18" t="s">
        <v>29</v>
      </c>
      <c r="R58" s="22" t="s">
        <v>54</v>
      </c>
    </row>
    <row r="59" spans="1:18" ht="30" customHeight="1" x14ac:dyDescent="0.25">
      <c r="A59" s="16" t="s">
        <v>55</v>
      </c>
      <c r="B59" s="17">
        <v>179192</v>
      </c>
      <c r="C59" s="18" t="s">
        <v>56</v>
      </c>
      <c r="D59" s="19" t="s">
        <v>85</v>
      </c>
      <c r="E59" s="17" t="s">
        <v>81</v>
      </c>
      <c r="F59" s="17">
        <v>3</v>
      </c>
      <c r="G59" s="74">
        <v>44039</v>
      </c>
      <c r="H59" s="74"/>
      <c r="I59" s="74">
        <v>44211</v>
      </c>
      <c r="J59" s="20"/>
      <c r="K59" s="18" t="s">
        <v>23</v>
      </c>
      <c r="L59" s="21" t="s">
        <v>42</v>
      </c>
      <c r="M59" s="18" t="s">
        <v>25</v>
      </c>
      <c r="N59" s="18"/>
      <c r="O59" s="18" t="s">
        <v>27</v>
      </c>
      <c r="P59" s="20" t="s">
        <v>26</v>
      </c>
      <c r="Q59" s="18" t="s">
        <v>29</v>
      </c>
      <c r="R59" s="22" t="s">
        <v>54</v>
      </c>
    </row>
    <row r="60" spans="1:18" ht="30" customHeight="1" x14ac:dyDescent="0.25">
      <c r="A60" s="16" t="s">
        <v>55</v>
      </c>
      <c r="B60" s="17">
        <v>179192</v>
      </c>
      <c r="C60" s="18" t="s">
        <v>56</v>
      </c>
      <c r="D60" s="19" t="s">
        <v>85</v>
      </c>
      <c r="E60" s="17" t="s">
        <v>80</v>
      </c>
      <c r="F60" s="17">
        <v>1</v>
      </c>
      <c r="G60" s="74">
        <v>44039</v>
      </c>
      <c r="H60" s="74"/>
      <c r="I60" s="74">
        <v>44211</v>
      </c>
      <c r="J60" s="20"/>
      <c r="K60" s="18" t="s">
        <v>23</v>
      </c>
      <c r="L60" s="21" t="s">
        <v>42</v>
      </c>
      <c r="M60" s="18" t="s">
        <v>25</v>
      </c>
      <c r="N60" s="18"/>
      <c r="O60" s="18" t="s">
        <v>27</v>
      </c>
      <c r="P60" s="20" t="s">
        <v>26</v>
      </c>
      <c r="Q60" s="18" t="s">
        <v>29</v>
      </c>
      <c r="R60" s="22" t="s">
        <v>54</v>
      </c>
    </row>
    <row r="61" spans="1:18" ht="30" customHeight="1" x14ac:dyDescent="0.25">
      <c r="A61" s="16" t="s">
        <v>55</v>
      </c>
      <c r="B61" s="17">
        <v>179192</v>
      </c>
      <c r="C61" s="18" t="s">
        <v>56</v>
      </c>
      <c r="D61" s="19" t="s">
        <v>85</v>
      </c>
      <c r="E61" s="17" t="s">
        <v>49</v>
      </c>
      <c r="F61" s="17">
        <v>6</v>
      </c>
      <c r="G61" s="74">
        <v>44039</v>
      </c>
      <c r="H61" s="74"/>
      <c r="I61" s="74">
        <v>44211</v>
      </c>
      <c r="J61" s="20"/>
      <c r="K61" s="18" t="s">
        <v>23</v>
      </c>
      <c r="L61" s="21" t="s">
        <v>34</v>
      </c>
      <c r="M61" s="18" t="s">
        <v>25</v>
      </c>
      <c r="N61" s="18"/>
      <c r="O61" s="18" t="s">
        <v>26</v>
      </c>
      <c r="P61" s="20" t="s">
        <v>26</v>
      </c>
      <c r="Q61" s="18" t="s">
        <v>29</v>
      </c>
      <c r="R61" s="22" t="s">
        <v>54</v>
      </c>
    </row>
    <row r="62" spans="1:18" ht="30" customHeight="1" x14ac:dyDescent="0.25">
      <c r="A62" s="16" t="s">
        <v>55</v>
      </c>
      <c r="B62" s="17">
        <v>179192</v>
      </c>
      <c r="C62" s="18" t="s">
        <v>56</v>
      </c>
      <c r="D62" s="19" t="s">
        <v>85</v>
      </c>
      <c r="E62" s="17" t="s">
        <v>90</v>
      </c>
      <c r="F62" s="17">
        <v>4</v>
      </c>
      <c r="G62" s="74">
        <v>44039</v>
      </c>
      <c r="H62" s="74"/>
      <c r="I62" s="74">
        <v>44211</v>
      </c>
      <c r="J62" s="20"/>
      <c r="K62" s="18" t="s">
        <v>23</v>
      </c>
      <c r="L62" s="21" t="s">
        <v>34</v>
      </c>
      <c r="M62" s="18" t="s">
        <v>25</v>
      </c>
      <c r="N62" s="18"/>
      <c r="O62" s="18" t="s">
        <v>26</v>
      </c>
      <c r="P62" s="20" t="s">
        <v>26</v>
      </c>
      <c r="Q62" s="18" t="s">
        <v>29</v>
      </c>
      <c r="R62" s="22" t="s">
        <v>54</v>
      </c>
    </row>
    <row r="63" spans="1:18" ht="30" customHeight="1" x14ac:dyDescent="0.25">
      <c r="A63" s="16" t="s">
        <v>55</v>
      </c>
      <c r="B63" s="17">
        <v>179192</v>
      </c>
      <c r="C63" s="18" t="s">
        <v>56</v>
      </c>
      <c r="D63" s="19" t="s">
        <v>85</v>
      </c>
      <c r="E63" s="17" t="s">
        <v>33</v>
      </c>
      <c r="F63" s="17">
        <v>3</v>
      </c>
      <c r="G63" s="74">
        <v>44039</v>
      </c>
      <c r="H63" s="74"/>
      <c r="I63" s="74">
        <v>44211</v>
      </c>
      <c r="J63" s="20"/>
      <c r="K63" s="18" t="s">
        <v>23</v>
      </c>
      <c r="L63" s="21" t="s">
        <v>34</v>
      </c>
      <c r="M63" s="18" t="s">
        <v>25</v>
      </c>
      <c r="N63" s="18"/>
      <c r="O63" s="18" t="s">
        <v>26</v>
      </c>
      <c r="P63" s="20" t="s">
        <v>26</v>
      </c>
      <c r="Q63" s="18" t="s">
        <v>29</v>
      </c>
      <c r="R63" s="22" t="s">
        <v>54</v>
      </c>
    </row>
    <row r="64" spans="1:18" ht="30" customHeight="1" x14ac:dyDescent="0.25">
      <c r="A64" s="16" t="s">
        <v>55</v>
      </c>
      <c r="B64" s="17">
        <v>179192</v>
      </c>
      <c r="C64" s="18" t="s">
        <v>56</v>
      </c>
      <c r="D64" s="19" t="s">
        <v>85</v>
      </c>
      <c r="E64" s="17" t="s">
        <v>36</v>
      </c>
      <c r="F64" s="17">
        <v>14</v>
      </c>
      <c r="G64" s="74">
        <v>44039</v>
      </c>
      <c r="H64" s="74"/>
      <c r="I64" s="74">
        <v>44211</v>
      </c>
      <c r="J64" s="20" t="s">
        <v>91</v>
      </c>
      <c r="K64" s="18" t="s">
        <v>23</v>
      </c>
      <c r="L64" s="21" t="s">
        <v>42</v>
      </c>
      <c r="M64" s="18" t="s">
        <v>25</v>
      </c>
      <c r="N64" s="18"/>
      <c r="O64" s="18" t="s">
        <v>27</v>
      </c>
      <c r="P64" s="20" t="s">
        <v>26</v>
      </c>
      <c r="Q64" s="18" t="s">
        <v>29</v>
      </c>
      <c r="R64" s="22" t="s">
        <v>54</v>
      </c>
    </row>
    <row r="65" spans="1:18" ht="30" customHeight="1" x14ac:dyDescent="0.25">
      <c r="A65" s="16" t="s">
        <v>55</v>
      </c>
      <c r="B65" s="17">
        <v>179192</v>
      </c>
      <c r="C65" s="18" t="s">
        <v>56</v>
      </c>
      <c r="D65" s="19" t="s">
        <v>85</v>
      </c>
      <c r="E65" s="17" t="s">
        <v>36</v>
      </c>
      <c r="F65" s="17">
        <v>2</v>
      </c>
      <c r="G65" s="74">
        <v>44039</v>
      </c>
      <c r="H65" s="74"/>
      <c r="I65" s="74">
        <v>44211</v>
      </c>
      <c r="J65" s="20" t="s">
        <v>92</v>
      </c>
      <c r="K65" s="18" t="s">
        <v>23</v>
      </c>
      <c r="L65" s="21" t="s">
        <v>42</v>
      </c>
      <c r="M65" s="18" t="s">
        <v>25</v>
      </c>
      <c r="N65" s="18"/>
      <c r="O65" s="18" t="s">
        <v>27</v>
      </c>
      <c r="P65" s="20" t="s">
        <v>26</v>
      </c>
      <c r="Q65" s="18" t="s">
        <v>29</v>
      </c>
      <c r="R65" s="22" t="s">
        <v>54</v>
      </c>
    </row>
    <row r="66" spans="1:18" ht="30" customHeight="1" x14ac:dyDescent="0.25">
      <c r="A66" s="16" t="s">
        <v>55</v>
      </c>
      <c r="B66" s="17">
        <v>179192</v>
      </c>
      <c r="C66" s="18" t="s">
        <v>56</v>
      </c>
      <c r="D66" s="19" t="s">
        <v>85</v>
      </c>
      <c r="E66" s="17" t="s">
        <v>93</v>
      </c>
      <c r="F66" s="17">
        <v>5</v>
      </c>
      <c r="G66" s="74">
        <v>44039</v>
      </c>
      <c r="H66" s="74"/>
      <c r="I66" s="74">
        <v>44211</v>
      </c>
      <c r="J66" s="20"/>
      <c r="K66" s="18" t="s">
        <v>23</v>
      </c>
      <c r="L66" s="21" t="s">
        <v>34</v>
      </c>
      <c r="M66" s="18" t="s">
        <v>25</v>
      </c>
      <c r="N66" s="18"/>
      <c r="O66" s="18" t="s">
        <v>26</v>
      </c>
      <c r="P66" s="20" t="s">
        <v>26</v>
      </c>
      <c r="Q66" s="18" t="s">
        <v>29</v>
      </c>
      <c r="R66" s="22" t="s">
        <v>54</v>
      </c>
    </row>
    <row r="67" spans="1:18" ht="30" customHeight="1" x14ac:dyDescent="0.25">
      <c r="A67" s="16" t="s">
        <v>55</v>
      </c>
      <c r="B67" s="17">
        <v>179192</v>
      </c>
      <c r="C67" s="18" t="s">
        <v>56</v>
      </c>
      <c r="D67" s="19" t="s">
        <v>85</v>
      </c>
      <c r="E67" s="17" t="s">
        <v>43</v>
      </c>
      <c r="F67" s="17">
        <v>2</v>
      </c>
      <c r="G67" s="74">
        <v>44039</v>
      </c>
      <c r="H67" s="74"/>
      <c r="I67" s="74">
        <v>44211</v>
      </c>
      <c r="J67" s="20"/>
      <c r="K67" s="18" t="s">
        <v>23</v>
      </c>
      <c r="L67" s="21" t="s">
        <v>34</v>
      </c>
      <c r="M67" s="18" t="s">
        <v>25</v>
      </c>
      <c r="N67" s="18"/>
      <c r="O67" s="18" t="s">
        <v>26</v>
      </c>
      <c r="P67" s="20" t="s">
        <v>26</v>
      </c>
      <c r="Q67" s="18" t="s">
        <v>29</v>
      </c>
      <c r="R67" s="22" t="s">
        <v>54</v>
      </c>
    </row>
    <row r="68" spans="1:18" ht="30" customHeight="1" x14ac:dyDescent="0.25">
      <c r="A68" s="16" t="s">
        <v>55</v>
      </c>
      <c r="B68" s="17"/>
      <c r="C68" s="18" t="s">
        <v>56</v>
      </c>
      <c r="D68" s="19" t="s">
        <v>85</v>
      </c>
      <c r="E68" s="17" t="s">
        <v>94</v>
      </c>
      <c r="F68" s="17">
        <v>1</v>
      </c>
      <c r="G68" s="74">
        <v>44039</v>
      </c>
      <c r="H68" s="74"/>
      <c r="I68" s="74">
        <v>44211</v>
      </c>
      <c r="J68" s="20"/>
      <c r="K68" s="18" t="s">
        <v>23</v>
      </c>
      <c r="L68" s="21" t="s">
        <v>34</v>
      </c>
      <c r="M68" s="18" t="s">
        <v>25</v>
      </c>
      <c r="N68" s="18"/>
      <c r="O68" s="18" t="s">
        <v>26</v>
      </c>
      <c r="P68" s="20" t="s">
        <v>26</v>
      </c>
      <c r="Q68" s="18" t="s">
        <v>29</v>
      </c>
      <c r="R68" s="22" t="s">
        <v>54</v>
      </c>
    </row>
    <row r="69" spans="1:18" ht="30" customHeight="1" x14ac:dyDescent="0.25">
      <c r="A69" s="16" t="s">
        <v>55</v>
      </c>
      <c r="B69" s="17">
        <v>179192</v>
      </c>
      <c r="C69" s="18" t="s">
        <v>56</v>
      </c>
      <c r="D69" s="19" t="s">
        <v>85</v>
      </c>
      <c r="E69" s="17" t="s">
        <v>83</v>
      </c>
      <c r="F69" s="17">
        <v>6</v>
      </c>
      <c r="G69" s="74">
        <v>44039</v>
      </c>
      <c r="H69" s="74"/>
      <c r="I69" s="74">
        <v>44211</v>
      </c>
      <c r="J69" s="20"/>
      <c r="K69" s="18" t="s">
        <v>23</v>
      </c>
      <c r="L69" s="21" t="s">
        <v>42</v>
      </c>
      <c r="M69" s="18" t="s">
        <v>25</v>
      </c>
      <c r="N69" s="18"/>
      <c r="O69" s="18" t="s">
        <v>27</v>
      </c>
      <c r="P69" s="20" t="s">
        <v>26</v>
      </c>
      <c r="Q69" s="18" t="s">
        <v>29</v>
      </c>
      <c r="R69" s="22" t="s">
        <v>54</v>
      </c>
    </row>
    <row r="70" spans="1:18" ht="30" customHeight="1" x14ac:dyDescent="0.25">
      <c r="A70" s="16" t="s">
        <v>95</v>
      </c>
      <c r="B70" s="17" t="s">
        <v>96</v>
      </c>
      <c r="C70" s="18" t="s">
        <v>31</v>
      </c>
      <c r="D70" s="19" t="s">
        <v>97</v>
      </c>
      <c r="E70" s="17" t="s">
        <v>35</v>
      </c>
      <c r="F70" s="17">
        <v>1</v>
      </c>
      <c r="G70" s="74">
        <v>44224</v>
      </c>
      <c r="H70" s="74">
        <v>44224</v>
      </c>
      <c r="I70" s="74">
        <v>44224</v>
      </c>
      <c r="J70" s="20"/>
      <c r="K70" s="18" t="s">
        <v>23</v>
      </c>
      <c r="L70" s="21" t="s">
        <v>42</v>
      </c>
      <c r="M70" s="18" t="s">
        <v>25</v>
      </c>
      <c r="N70" s="18">
        <v>3</v>
      </c>
      <c r="O70" s="18" t="s">
        <v>27</v>
      </c>
      <c r="P70" s="20" t="s">
        <v>27</v>
      </c>
      <c r="Q70" s="18" t="s">
        <v>29</v>
      </c>
      <c r="R70" s="22" t="s">
        <v>29</v>
      </c>
    </row>
    <row r="71" spans="1:18" ht="30" customHeight="1" x14ac:dyDescent="0.25">
      <c r="A71" s="16" t="s">
        <v>40</v>
      </c>
      <c r="B71" s="17" t="s">
        <v>96</v>
      </c>
      <c r="C71" s="18" t="s">
        <v>31</v>
      </c>
      <c r="D71" s="19" t="s">
        <v>98</v>
      </c>
      <c r="E71" s="17" t="s">
        <v>67</v>
      </c>
      <c r="F71" s="17">
        <v>4</v>
      </c>
      <c r="G71" s="74">
        <v>44222</v>
      </c>
      <c r="H71" s="74">
        <v>44222</v>
      </c>
      <c r="I71" s="74">
        <v>44222</v>
      </c>
      <c r="J71" s="20"/>
      <c r="K71" s="18" t="s">
        <v>23</v>
      </c>
      <c r="L71" s="21" t="s">
        <v>24</v>
      </c>
      <c r="M71" s="18" t="s">
        <v>25</v>
      </c>
      <c r="N71" s="18">
        <v>2</v>
      </c>
      <c r="O71" s="18" t="s">
        <v>26</v>
      </c>
      <c r="P71" s="20" t="s">
        <v>27</v>
      </c>
      <c r="Q71" s="18" t="s">
        <v>29</v>
      </c>
      <c r="R71" s="22" t="s">
        <v>29</v>
      </c>
    </row>
    <row r="72" spans="1:18" ht="30" customHeight="1" x14ac:dyDescent="0.25"/>
    <row r="73" spans="1:18" ht="30" customHeight="1" x14ac:dyDescent="0.25"/>
  </sheetData>
  <conditionalFormatting sqref="A2:R2 O16:R18 K16:K18 A41:R47 A8:R8 A15:R15 L9:L14 A38:R38 A31:R32 A19:R29 A5:R6 A51:R71">
    <cfRule type="expression" dxfId="430" priority="161">
      <formula>$K2="CANCELADO"</formula>
    </cfRule>
    <cfRule type="expression" dxfId="429" priority="162">
      <formula>$K2="STAND-BY"</formula>
    </cfRule>
    <cfRule type="expression" dxfId="428" priority="163">
      <formula>$K2="AGUARDANDO APROVAÇÃO"</formula>
    </cfRule>
    <cfRule type="expression" dxfId="427" priority="164">
      <formula>$K2="OK"</formula>
    </cfRule>
    <cfRule type="expression" dxfId="426" priority="165">
      <formula>AND((TODAY()-$H2)&gt;0,$H2&lt;&gt;"",$I2="")=TRUE</formula>
    </cfRule>
  </conditionalFormatting>
  <conditionalFormatting sqref="A30:R30">
    <cfRule type="expression" dxfId="425" priority="156">
      <formula>$K30="CANCELADO"</formula>
    </cfRule>
    <cfRule type="expression" dxfId="424" priority="157">
      <formula>$K30="STAND-BY"</formula>
    </cfRule>
    <cfRule type="expression" dxfId="423" priority="158">
      <formula>$K30="AGUARDANDO APROVAÇÃO"</formula>
    </cfRule>
    <cfRule type="expression" dxfId="422" priority="159">
      <formula>$K30="OK"</formula>
    </cfRule>
    <cfRule type="expression" dxfId="421" priority="160">
      <formula>AND((TODAY()-$H30)&gt;0,$H30&lt;&gt;"",$I30="")=TRUE</formula>
    </cfRule>
  </conditionalFormatting>
  <conditionalFormatting sqref="A16:H18 L16:N18 J16:J18">
    <cfRule type="expression" dxfId="420" priority="151">
      <formula>$K16="CANCELADO"</formula>
    </cfRule>
    <cfRule type="expression" dxfId="419" priority="152">
      <formula>$K16="STAND-BY"</formula>
    </cfRule>
    <cfRule type="expression" dxfId="418" priority="153">
      <formula>$K16="AGUARDANDO APROVAÇÃO"</formula>
    </cfRule>
    <cfRule type="expression" dxfId="417" priority="154">
      <formula>$K16="OK"</formula>
    </cfRule>
    <cfRule type="expression" dxfId="416" priority="155">
      <formula>AND((TODAY()-$H16)&gt;0,$H16&lt;&gt;"",$I16="")=TRUE</formula>
    </cfRule>
  </conditionalFormatting>
  <conditionalFormatting sqref="I16:I18">
    <cfRule type="expression" dxfId="415" priority="146">
      <formula>$K16="CANCELADO"</formula>
    </cfRule>
    <cfRule type="expression" dxfId="414" priority="147">
      <formula>$K16="STAND-BY"</formula>
    </cfRule>
    <cfRule type="expression" dxfId="413" priority="148">
      <formula>$K16="AGUARDANDO APROVAÇÃO"</formula>
    </cfRule>
    <cfRule type="expression" dxfId="412" priority="149">
      <formula>$K16="OK"</formula>
    </cfRule>
    <cfRule type="expression" dxfId="411" priority="150">
      <formula>AND((TODAY()-$H16)&gt;0,$H16&lt;&gt;"",$I16="")=TRUE</formula>
    </cfRule>
  </conditionalFormatting>
  <conditionalFormatting sqref="A4:R4">
    <cfRule type="expression" dxfId="410" priority="136">
      <formula>$K4="CANCELADO"</formula>
    </cfRule>
    <cfRule type="expression" dxfId="409" priority="137">
      <formula>$K4="STAND-BY"</formula>
    </cfRule>
    <cfRule type="expression" dxfId="408" priority="138">
      <formula>$K4="AGUARDANDO APROVAÇÃO"</formula>
    </cfRule>
    <cfRule type="expression" dxfId="407" priority="139">
      <formula>$K4="OK"</formula>
    </cfRule>
    <cfRule type="expression" dxfId="406" priority="140">
      <formula>AND((TODAY()-$H4)&gt;0,$H4&lt;&gt;"",$I4="")=TRUE</formula>
    </cfRule>
  </conditionalFormatting>
  <conditionalFormatting sqref="A3:R3">
    <cfRule type="expression" dxfId="405" priority="131">
      <formula>$K3="CANCELADO"</formula>
    </cfRule>
    <cfRule type="expression" dxfId="404" priority="132">
      <formula>$K3="STAND-BY"</formula>
    </cfRule>
    <cfRule type="expression" dxfId="403" priority="133">
      <formula>$K3="AGUARDANDO APROVAÇÃO"</formula>
    </cfRule>
    <cfRule type="expression" dxfId="402" priority="134">
      <formula>$K3="OK"</formula>
    </cfRule>
    <cfRule type="expression" dxfId="401" priority="135">
      <formula>AND((TODAY()-$H3)&gt;0,$H3&lt;&gt;"",$I3="")=TRUE</formula>
    </cfRule>
  </conditionalFormatting>
  <conditionalFormatting sqref="A7:R7">
    <cfRule type="expression" dxfId="400" priority="121">
      <formula>$K7="CANCELADO"</formula>
    </cfRule>
    <cfRule type="expression" dxfId="399" priority="122">
      <formula>$K7="STAND-BY"</formula>
    </cfRule>
    <cfRule type="expression" dxfId="398" priority="123">
      <formula>$K7="AGUARDANDO APROVAÇÃO"</formula>
    </cfRule>
    <cfRule type="expression" dxfId="397" priority="124">
      <formula>$K7="OK"</formula>
    </cfRule>
    <cfRule type="expression" dxfId="396" priority="125">
      <formula>AND((TODAY()-$H7)&gt;0,$H7&lt;&gt;"",$I7="")=TRUE</formula>
    </cfRule>
  </conditionalFormatting>
  <conditionalFormatting sqref="A40:R40">
    <cfRule type="expression" dxfId="395" priority="116">
      <formula>$K40="CANCELADO"</formula>
    </cfRule>
    <cfRule type="expression" dxfId="394" priority="117">
      <formula>$K40="STAND-BY"</formula>
    </cfRule>
    <cfRule type="expression" dxfId="393" priority="118">
      <formula>$K40="AGUARDANDO APROVAÇÃO"</formula>
    </cfRule>
    <cfRule type="expression" dxfId="392" priority="119">
      <formula>$K40="OK"</formula>
    </cfRule>
    <cfRule type="expression" dxfId="391" priority="120">
      <formula>AND((TODAY()-$H40)&gt;0,$H40&lt;&gt;"",$I40="")=TRUE</formula>
    </cfRule>
  </conditionalFormatting>
  <conditionalFormatting sqref="A39:R39">
    <cfRule type="expression" dxfId="390" priority="111">
      <formula>$K39="CANCELADO"</formula>
    </cfRule>
    <cfRule type="expression" dxfId="389" priority="112">
      <formula>$K39="STAND-BY"</formula>
    </cfRule>
    <cfRule type="expression" dxfId="388" priority="113">
      <formula>$K39="AGUARDANDO APROVAÇÃO"</formula>
    </cfRule>
    <cfRule type="expression" dxfId="387" priority="114">
      <formula>$K39="OK"</formula>
    </cfRule>
    <cfRule type="expression" dxfId="386" priority="115">
      <formula>AND((TODAY()-$H39)&gt;0,$H39&lt;&gt;"",$I39="")=TRUE</formula>
    </cfRule>
  </conditionalFormatting>
  <conditionalFormatting sqref="A9:K14 M9:R14">
    <cfRule type="expression" dxfId="385" priority="56">
      <formula>$K9="CANCELADO"</formula>
    </cfRule>
    <cfRule type="expression" dxfId="384" priority="57">
      <formula>$K9="STAND-BY"</formula>
    </cfRule>
    <cfRule type="expression" dxfId="383" priority="58">
      <formula>$K9="AGUARDANDO APROVAÇÃO"</formula>
    </cfRule>
    <cfRule type="expression" dxfId="382" priority="59">
      <formula>$K9="OK"</formula>
    </cfRule>
    <cfRule type="expression" dxfId="381" priority="60">
      <formula>AND((TODAY()-$H9)&gt;0,$H9&lt;&gt;"",$I9="")=TRUE</formula>
    </cfRule>
  </conditionalFormatting>
  <conditionalFormatting sqref="A33:R33">
    <cfRule type="expression" dxfId="380" priority="46">
      <formula>$K33="CANCELADO"</formula>
    </cfRule>
    <cfRule type="expression" dxfId="379" priority="47">
      <formula>$K33="STAND-BY"</formula>
    </cfRule>
    <cfRule type="expression" dxfId="378" priority="48">
      <formula>$K33="AGUARDANDO APROVAÇÃO"</formula>
    </cfRule>
    <cfRule type="expression" dxfId="377" priority="49">
      <formula>$K33="OK"</formula>
    </cfRule>
    <cfRule type="expression" dxfId="376" priority="50">
      <formula>AND((TODAY()-$H33)&gt;0,$H33&lt;&gt;"",$I33="")=TRUE</formula>
    </cfRule>
  </conditionalFormatting>
  <conditionalFormatting sqref="A34:R34">
    <cfRule type="expression" dxfId="375" priority="41">
      <formula>$K34="CANCELADO"</formula>
    </cfRule>
    <cfRule type="expression" dxfId="374" priority="42">
      <formula>$K34="STAND-BY"</formula>
    </cfRule>
    <cfRule type="expression" dxfId="373" priority="43">
      <formula>$K34="AGUARDANDO APROVAÇÃO"</formula>
    </cfRule>
    <cfRule type="expression" dxfId="372" priority="44">
      <formula>$K34="OK"</formula>
    </cfRule>
    <cfRule type="expression" dxfId="371" priority="45">
      <formula>AND((TODAY()-$H34)&gt;0,$H34&lt;&gt;"",$I34="")=TRUE</formula>
    </cfRule>
  </conditionalFormatting>
  <conditionalFormatting sqref="A35:R35">
    <cfRule type="expression" dxfId="370" priority="36">
      <formula>$K35="CANCELADO"</formula>
    </cfRule>
    <cfRule type="expression" dxfId="369" priority="37">
      <formula>$K35="STAND-BY"</formula>
    </cfRule>
    <cfRule type="expression" dxfId="368" priority="38">
      <formula>$K35="AGUARDANDO APROVAÇÃO"</formula>
    </cfRule>
    <cfRule type="expression" dxfId="367" priority="39">
      <formula>$K35="OK"</formula>
    </cfRule>
    <cfRule type="expression" dxfId="366" priority="40">
      <formula>AND((TODAY()-$H35)&gt;0,$H35&lt;&gt;"",$I35="")=TRUE</formula>
    </cfRule>
  </conditionalFormatting>
  <conditionalFormatting sqref="A36:R36">
    <cfRule type="expression" dxfId="365" priority="31">
      <formula>$K36="CANCELADO"</formula>
    </cfRule>
    <cfRule type="expression" dxfId="364" priority="32">
      <formula>$K36="STAND-BY"</formula>
    </cfRule>
    <cfRule type="expression" dxfId="363" priority="33">
      <formula>$K36="AGUARDANDO APROVAÇÃO"</formula>
    </cfRule>
    <cfRule type="expression" dxfId="362" priority="34">
      <formula>$K36="OK"</formula>
    </cfRule>
    <cfRule type="expression" dxfId="361" priority="35">
      <formula>AND((TODAY()-$H36)&gt;0,$H36&lt;&gt;"",$I36="")=TRUE</formula>
    </cfRule>
  </conditionalFormatting>
  <conditionalFormatting sqref="A37:R37">
    <cfRule type="expression" dxfId="360" priority="26">
      <formula>$K37="CANCELADO"</formula>
    </cfRule>
    <cfRule type="expression" dxfId="359" priority="27">
      <formula>$K37="STAND-BY"</formula>
    </cfRule>
    <cfRule type="expression" dxfId="358" priority="28">
      <formula>$K37="AGUARDANDO APROVAÇÃO"</formula>
    </cfRule>
    <cfRule type="expression" dxfId="357" priority="29">
      <formula>$K37="OK"</formula>
    </cfRule>
    <cfRule type="expression" dxfId="356" priority="30">
      <formula>AND((TODAY()-$H37)&gt;0,$H37&lt;&gt;"",$I37="")=TRUE</formula>
    </cfRule>
  </conditionalFormatting>
  <conditionalFormatting sqref="A48:R48">
    <cfRule type="expression" dxfId="355" priority="21">
      <formula>$K48="CANCELADO"</formula>
    </cfRule>
    <cfRule type="expression" dxfId="354" priority="22">
      <formula>$K48="STAND-BY"</formula>
    </cfRule>
    <cfRule type="expression" dxfId="353" priority="23">
      <formula>$K48="AGUARDANDO APROVAÇÃO"</formula>
    </cfRule>
    <cfRule type="expression" dxfId="352" priority="24">
      <formula>$K48="OK"</formula>
    </cfRule>
    <cfRule type="expression" dxfId="351" priority="25">
      <formula>AND((TODAY()-$H48)&gt;0,$H48&lt;&gt;"",$I48="")=TRUE</formula>
    </cfRule>
  </conditionalFormatting>
  <conditionalFormatting sqref="A49:R49">
    <cfRule type="expression" dxfId="350" priority="16">
      <formula>$K49="CANCELADO"</formula>
    </cfRule>
    <cfRule type="expression" dxfId="349" priority="17">
      <formula>$K49="STAND-BY"</formula>
    </cfRule>
    <cfRule type="expression" dxfId="348" priority="18">
      <formula>$K49="AGUARDANDO APROVAÇÃO"</formula>
    </cfRule>
    <cfRule type="expression" dxfId="347" priority="19">
      <formula>$K49="OK"</formula>
    </cfRule>
    <cfRule type="expression" dxfId="346" priority="20">
      <formula>AND((TODAY()-$H49)&gt;0,$H49&lt;&gt;"",$I49="")=TRUE</formula>
    </cfRule>
  </conditionalFormatting>
  <conditionalFormatting sqref="A50:R50">
    <cfRule type="expression" dxfId="345" priority="11">
      <formula>$K50="CANCELADO"</formula>
    </cfRule>
    <cfRule type="expression" dxfId="344" priority="12">
      <formula>$K50="STAND-BY"</formula>
    </cfRule>
    <cfRule type="expression" dxfId="343" priority="13">
      <formula>$K50="AGUARDANDO APROVAÇÃO"</formula>
    </cfRule>
    <cfRule type="expression" dxfId="342" priority="14">
      <formula>$K50="OK"</formula>
    </cfRule>
    <cfRule type="expression" dxfId="341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  <x14:dataValidation type="list" allowBlank="1" showInputMessage="1" showErrorMessage="1" xr:uid="{78DFE66C-8CEB-49D1-B292-DDBA78546F0A}">
          <x14:formula1>
            <xm:f>'NÃO MEXER'!$B$2:$B$15</xm:f>
          </x14:formula1>
          <xm:sqref>C2:C71</xm:sqref>
        </x14:dataValidation>
        <x14:dataValidation type="list" allowBlank="1" showInputMessage="1" showErrorMessage="1" xr:uid="{DDF14F13-503C-4121-A825-BA104BA6FEBB}">
          <x14:formula1>
            <xm:f>'NÃO MEXER'!$C$2:$C$84</xm:f>
          </x14:formula1>
          <xm:sqref>E2:E71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372E-3A90-4716-B2B2-1DF34E265F2C}">
  <sheetPr codeName="Planilha6"/>
  <dimension ref="A1:R97"/>
  <sheetViews>
    <sheetView workbookViewId="0">
      <selection activeCell="A2" sqref="A2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55</v>
      </c>
      <c r="B2" s="17"/>
      <c r="C2" s="18" t="s">
        <v>56</v>
      </c>
      <c r="D2" s="19" t="s">
        <v>99</v>
      </c>
      <c r="E2" s="17" t="s">
        <v>35</v>
      </c>
      <c r="F2" s="17">
        <v>34</v>
      </c>
      <c r="G2" s="74">
        <v>44188</v>
      </c>
      <c r="H2" s="74">
        <v>44194</v>
      </c>
      <c r="I2" s="74">
        <v>44194</v>
      </c>
      <c r="J2" s="20"/>
      <c r="K2" s="18" t="s">
        <v>23</v>
      </c>
      <c r="L2" s="21" t="s">
        <v>42</v>
      </c>
      <c r="M2" s="18" t="s">
        <v>25</v>
      </c>
      <c r="N2" s="18"/>
      <c r="O2" s="18" t="s">
        <v>27</v>
      </c>
      <c r="P2" s="20"/>
      <c r="Q2" s="18" t="s">
        <v>54</v>
      </c>
      <c r="R2" s="22" t="s">
        <v>29</v>
      </c>
    </row>
    <row r="3" spans="1:18" ht="30" customHeight="1" x14ac:dyDescent="0.25">
      <c r="A3" s="16" t="s">
        <v>19</v>
      </c>
      <c r="B3" s="17">
        <v>208701</v>
      </c>
      <c r="C3" s="18" t="s">
        <v>56</v>
      </c>
      <c r="D3" s="19" t="s">
        <v>100</v>
      </c>
      <c r="E3" s="17" t="s">
        <v>33</v>
      </c>
      <c r="F3" s="17">
        <v>10</v>
      </c>
      <c r="G3" s="74">
        <v>44180</v>
      </c>
      <c r="H3" s="74">
        <v>44194</v>
      </c>
      <c r="I3" s="74">
        <v>44183</v>
      </c>
      <c r="J3" s="20"/>
      <c r="K3" s="18" t="s">
        <v>23</v>
      </c>
      <c r="L3" s="21" t="s">
        <v>24</v>
      </c>
      <c r="M3" s="18" t="s">
        <v>25</v>
      </c>
      <c r="N3" s="18">
        <v>3</v>
      </c>
      <c r="O3" s="18" t="s">
        <v>26</v>
      </c>
      <c r="P3" s="20"/>
      <c r="Q3" s="18" t="s">
        <v>29</v>
      </c>
      <c r="R3" s="22" t="s">
        <v>74</v>
      </c>
    </row>
    <row r="4" spans="1:18" ht="30" customHeight="1" x14ac:dyDescent="0.25">
      <c r="A4" s="16" t="s">
        <v>55</v>
      </c>
      <c r="B4" s="17">
        <v>179192</v>
      </c>
      <c r="C4" s="18" t="s">
        <v>56</v>
      </c>
      <c r="D4" s="19" t="s">
        <v>99</v>
      </c>
      <c r="E4" s="17" t="s">
        <v>35</v>
      </c>
      <c r="F4" s="17">
        <v>3</v>
      </c>
      <c r="G4" s="74">
        <v>44180.510289351849</v>
      </c>
      <c r="H4" s="74">
        <v>44174</v>
      </c>
      <c r="I4" s="74">
        <v>44174</v>
      </c>
      <c r="J4" s="20"/>
      <c r="K4" s="18" t="s">
        <v>23</v>
      </c>
      <c r="L4" s="21" t="s">
        <v>42</v>
      </c>
      <c r="M4" s="18" t="s">
        <v>25</v>
      </c>
      <c r="N4" s="18"/>
      <c r="O4" s="18" t="s">
        <v>27</v>
      </c>
      <c r="P4" s="20"/>
      <c r="Q4" s="18" t="s">
        <v>54</v>
      </c>
      <c r="R4" s="22" t="s">
        <v>29</v>
      </c>
    </row>
    <row r="5" spans="1:18" ht="30" customHeight="1" x14ac:dyDescent="0.25">
      <c r="A5" s="16" t="s">
        <v>55</v>
      </c>
      <c r="B5" s="17">
        <v>179192</v>
      </c>
      <c r="C5" s="18" t="s">
        <v>56</v>
      </c>
      <c r="D5" s="19" t="s">
        <v>99</v>
      </c>
      <c r="E5" s="17" t="s">
        <v>33</v>
      </c>
      <c r="F5" s="17">
        <v>12</v>
      </c>
      <c r="G5" s="74">
        <v>44173</v>
      </c>
      <c r="H5" s="74">
        <v>44174</v>
      </c>
      <c r="I5" s="74">
        <v>44174</v>
      </c>
      <c r="J5" s="20"/>
      <c r="K5" s="18" t="s">
        <v>23</v>
      </c>
      <c r="L5" s="21" t="s">
        <v>42</v>
      </c>
      <c r="M5" s="18" t="s">
        <v>25</v>
      </c>
      <c r="N5" s="18">
        <v>4</v>
      </c>
      <c r="O5" s="18" t="s">
        <v>27</v>
      </c>
      <c r="P5" s="20"/>
      <c r="Q5" s="18" t="s">
        <v>29</v>
      </c>
      <c r="R5" s="22" t="s">
        <v>29</v>
      </c>
    </row>
    <row r="6" spans="1:18" ht="30" customHeight="1" x14ac:dyDescent="0.25">
      <c r="A6" s="16" t="s">
        <v>55</v>
      </c>
      <c r="B6" s="17">
        <v>179192</v>
      </c>
      <c r="C6" s="18" t="s">
        <v>56</v>
      </c>
      <c r="D6" s="19" t="s">
        <v>99</v>
      </c>
      <c r="E6" s="17" t="s">
        <v>63</v>
      </c>
      <c r="F6" s="17">
        <v>3</v>
      </c>
      <c r="G6" s="74">
        <v>44134</v>
      </c>
      <c r="H6" s="74">
        <v>44134</v>
      </c>
      <c r="I6" s="74">
        <v>44134</v>
      </c>
      <c r="J6" s="20"/>
      <c r="K6" s="18" t="s">
        <v>23</v>
      </c>
      <c r="L6" s="21" t="s">
        <v>42</v>
      </c>
      <c r="M6" s="18" t="s">
        <v>25</v>
      </c>
      <c r="N6" s="18">
        <v>2</v>
      </c>
      <c r="O6" s="18" t="s">
        <v>27</v>
      </c>
      <c r="P6" s="20"/>
      <c r="Q6" s="18" t="s">
        <v>29</v>
      </c>
      <c r="R6" s="22" t="s">
        <v>29</v>
      </c>
    </row>
    <row r="7" spans="1:18" ht="30" customHeight="1" x14ac:dyDescent="0.25">
      <c r="A7" s="16" t="s">
        <v>40</v>
      </c>
      <c r="B7" s="17">
        <v>198253</v>
      </c>
      <c r="C7" s="18" t="s">
        <v>20</v>
      </c>
      <c r="D7" s="19" t="s">
        <v>101</v>
      </c>
      <c r="E7" s="17" t="s">
        <v>22</v>
      </c>
      <c r="F7" s="17">
        <v>2</v>
      </c>
      <c r="G7" s="74">
        <v>44140.671620370369</v>
      </c>
      <c r="H7" s="74">
        <v>44140</v>
      </c>
      <c r="I7" s="74">
        <v>44159</v>
      </c>
      <c r="J7" s="20"/>
      <c r="K7" s="18" t="s">
        <v>23</v>
      </c>
      <c r="L7" s="21" t="s">
        <v>24</v>
      </c>
      <c r="M7" s="18" t="s">
        <v>25</v>
      </c>
      <c r="N7" s="18">
        <v>1</v>
      </c>
      <c r="O7" s="18" t="s">
        <v>26</v>
      </c>
      <c r="P7" s="20" t="s">
        <v>26</v>
      </c>
      <c r="Q7" s="18" t="s">
        <v>29</v>
      </c>
      <c r="R7" s="22" t="s">
        <v>29</v>
      </c>
    </row>
    <row r="8" spans="1:18" ht="30" customHeight="1" x14ac:dyDescent="0.25">
      <c r="A8" s="16" t="s">
        <v>68</v>
      </c>
      <c r="B8" s="17">
        <v>216194</v>
      </c>
      <c r="C8" s="18" t="s">
        <v>20</v>
      </c>
      <c r="D8" s="19" t="s">
        <v>69</v>
      </c>
      <c r="E8" s="17" t="s">
        <v>33</v>
      </c>
      <c r="F8" s="17">
        <v>1</v>
      </c>
      <c r="G8" s="74">
        <v>44218</v>
      </c>
      <c r="H8" s="74">
        <v>44221</v>
      </c>
      <c r="I8" s="74">
        <v>44221</v>
      </c>
      <c r="J8" s="20"/>
      <c r="K8" s="18" t="s">
        <v>23</v>
      </c>
      <c r="L8" s="21" t="s">
        <v>58</v>
      </c>
      <c r="M8" s="18" t="s">
        <v>25</v>
      </c>
      <c r="N8" s="18">
        <v>2</v>
      </c>
      <c r="O8" s="18" t="s">
        <v>26</v>
      </c>
      <c r="P8" s="20" t="s">
        <v>27</v>
      </c>
      <c r="Q8" s="18" t="s">
        <v>28</v>
      </c>
      <c r="R8" s="22" t="s">
        <v>29</v>
      </c>
    </row>
    <row r="9" spans="1:18" ht="30" customHeight="1" x14ac:dyDescent="0.25">
      <c r="A9" s="16" t="s">
        <v>68</v>
      </c>
      <c r="B9" s="17">
        <v>216194</v>
      </c>
      <c r="C9" s="18" t="s">
        <v>20</v>
      </c>
      <c r="D9" s="19" t="s">
        <v>69</v>
      </c>
      <c r="E9" s="17" t="s">
        <v>33</v>
      </c>
      <c r="F9" s="17">
        <v>1</v>
      </c>
      <c r="G9" s="74">
        <v>44218</v>
      </c>
      <c r="H9" s="74">
        <v>44221</v>
      </c>
      <c r="I9" s="74">
        <v>44221</v>
      </c>
      <c r="J9" s="20"/>
      <c r="K9" s="18" t="s">
        <v>23</v>
      </c>
      <c r="L9" s="21"/>
      <c r="M9" s="18"/>
      <c r="N9" s="18">
        <v>2</v>
      </c>
      <c r="O9" s="18" t="s">
        <v>26</v>
      </c>
      <c r="P9" s="20" t="s">
        <v>27</v>
      </c>
      <c r="Q9" s="18" t="s">
        <v>28</v>
      </c>
      <c r="R9" s="22" t="s">
        <v>29</v>
      </c>
    </row>
    <row r="10" spans="1:18" ht="30" customHeight="1" x14ac:dyDescent="0.25">
      <c r="A10" s="16" t="s">
        <v>68</v>
      </c>
      <c r="B10" s="17">
        <v>216194</v>
      </c>
      <c r="C10" s="18" t="s">
        <v>20</v>
      </c>
      <c r="D10" s="19" t="s">
        <v>69</v>
      </c>
      <c r="E10" s="17" t="s">
        <v>93</v>
      </c>
      <c r="F10" s="17">
        <v>1</v>
      </c>
      <c r="G10" s="74">
        <v>44218</v>
      </c>
      <c r="H10" s="74">
        <v>44221</v>
      </c>
      <c r="I10" s="74">
        <v>44221</v>
      </c>
      <c r="J10" s="20"/>
      <c r="K10" s="18" t="s">
        <v>23</v>
      </c>
      <c r="L10" s="21"/>
      <c r="M10" s="18"/>
      <c r="N10" s="18"/>
      <c r="O10" s="18"/>
      <c r="P10" s="20"/>
      <c r="Q10" s="18"/>
      <c r="R10" s="22"/>
    </row>
    <row r="11" spans="1:18" ht="30" customHeight="1" x14ac:dyDescent="0.25">
      <c r="A11" s="16" t="s">
        <v>37</v>
      </c>
      <c r="B11" s="17">
        <v>214006</v>
      </c>
      <c r="C11" s="18" t="s">
        <v>31</v>
      </c>
      <c r="D11" s="19" t="s">
        <v>102</v>
      </c>
      <c r="E11" s="17" t="s">
        <v>35</v>
      </c>
      <c r="F11" s="17">
        <v>1</v>
      </c>
      <c r="G11" s="74">
        <v>44208</v>
      </c>
      <c r="H11" s="74">
        <v>44232</v>
      </c>
      <c r="I11" s="74">
        <v>44236</v>
      </c>
      <c r="J11" s="20"/>
      <c r="K11" s="18" t="s">
        <v>23</v>
      </c>
      <c r="L11" s="21" t="s">
        <v>42</v>
      </c>
      <c r="M11" s="18" t="s">
        <v>25</v>
      </c>
      <c r="N11" s="18"/>
      <c r="O11" s="18" t="s">
        <v>27</v>
      </c>
      <c r="P11" s="20" t="s">
        <v>27</v>
      </c>
      <c r="Q11" s="18" t="s">
        <v>29</v>
      </c>
      <c r="R11" s="22"/>
    </row>
    <row r="12" spans="1:18" ht="30" customHeight="1" x14ac:dyDescent="0.25">
      <c r="A12" s="16" t="s">
        <v>37</v>
      </c>
      <c r="B12" s="17">
        <v>214006</v>
      </c>
      <c r="C12" s="18" t="s">
        <v>31</v>
      </c>
      <c r="D12" s="19" t="s">
        <v>102</v>
      </c>
      <c r="E12" s="17" t="s">
        <v>49</v>
      </c>
      <c r="F12" s="17">
        <v>1</v>
      </c>
      <c r="G12" s="74">
        <v>44208</v>
      </c>
      <c r="H12" s="74">
        <v>44232</v>
      </c>
      <c r="I12" s="74">
        <v>44236</v>
      </c>
      <c r="J12" s="20"/>
      <c r="K12" s="18" t="s">
        <v>23</v>
      </c>
      <c r="L12" s="21" t="s">
        <v>42</v>
      </c>
      <c r="M12" s="18" t="s">
        <v>25</v>
      </c>
      <c r="N12" s="18"/>
      <c r="O12" s="18" t="s">
        <v>27</v>
      </c>
      <c r="P12" s="20" t="s">
        <v>27</v>
      </c>
      <c r="Q12" s="18" t="s">
        <v>29</v>
      </c>
      <c r="R12" s="22"/>
    </row>
    <row r="13" spans="1:18" ht="30" customHeight="1" x14ac:dyDescent="0.25">
      <c r="A13" s="16" t="s">
        <v>37</v>
      </c>
      <c r="B13" s="17">
        <v>214006</v>
      </c>
      <c r="C13" s="18" t="s">
        <v>31</v>
      </c>
      <c r="D13" s="19" t="s">
        <v>102</v>
      </c>
      <c r="E13" s="17" t="s">
        <v>33</v>
      </c>
      <c r="F13" s="17">
        <v>1</v>
      </c>
      <c r="G13" s="74">
        <v>44208</v>
      </c>
      <c r="H13" s="74">
        <v>44232</v>
      </c>
      <c r="I13" s="74">
        <v>44236</v>
      </c>
      <c r="J13" s="20"/>
      <c r="K13" s="18" t="s">
        <v>23</v>
      </c>
      <c r="L13" s="21" t="s">
        <v>42</v>
      </c>
      <c r="M13" s="18" t="s">
        <v>25</v>
      </c>
      <c r="N13" s="18"/>
      <c r="O13" s="18" t="s">
        <v>27</v>
      </c>
      <c r="P13" s="20" t="s">
        <v>27</v>
      </c>
      <c r="Q13" s="18" t="s">
        <v>29</v>
      </c>
      <c r="R13" s="22"/>
    </row>
    <row r="14" spans="1:18" ht="30" customHeight="1" x14ac:dyDescent="0.25">
      <c r="A14" s="16" t="s">
        <v>37</v>
      </c>
      <c r="B14" s="17">
        <v>214001</v>
      </c>
      <c r="C14" s="18" t="s">
        <v>31</v>
      </c>
      <c r="D14" s="19" t="s">
        <v>103</v>
      </c>
      <c r="E14" s="17" t="s">
        <v>35</v>
      </c>
      <c r="F14" s="17">
        <v>1</v>
      </c>
      <c r="G14" s="74">
        <v>44208</v>
      </c>
      <c r="H14" s="74">
        <v>44228</v>
      </c>
      <c r="I14" s="74">
        <v>44229</v>
      </c>
      <c r="J14" s="20"/>
      <c r="K14" s="18" t="s">
        <v>23</v>
      </c>
      <c r="L14" s="21" t="s">
        <v>42</v>
      </c>
      <c r="M14" s="18" t="s">
        <v>25</v>
      </c>
      <c r="N14" s="18"/>
      <c r="O14" s="18" t="s">
        <v>27</v>
      </c>
      <c r="P14" s="20" t="s">
        <v>27</v>
      </c>
      <c r="Q14" s="18" t="s">
        <v>29</v>
      </c>
      <c r="R14" s="22"/>
    </row>
    <row r="15" spans="1:18" ht="30" customHeight="1" x14ac:dyDescent="0.25">
      <c r="A15" s="16" t="s">
        <v>37</v>
      </c>
      <c r="B15" s="17">
        <v>214001</v>
      </c>
      <c r="C15" s="18" t="s">
        <v>31</v>
      </c>
      <c r="D15" s="19" t="s">
        <v>103</v>
      </c>
      <c r="E15" s="17" t="s">
        <v>49</v>
      </c>
      <c r="F15" s="17">
        <v>1</v>
      </c>
      <c r="G15" s="74">
        <v>44208</v>
      </c>
      <c r="H15" s="74">
        <v>44228</v>
      </c>
      <c r="I15" s="74">
        <v>44229</v>
      </c>
      <c r="J15" s="20"/>
      <c r="K15" s="18" t="s">
        <v>23</v>
      </c>
      <c r="L15" s="21" t="s">
        <v>42</v>
      </c>
      <c r="M15" s="18" t="s">
        <v>25</v>
      </c>
      <c r="N15" s="18"/>
      <c r="O15" s="18" t="s">
        <v>27</v>
      </c>
      <c r="P15" s="20" t="s">
        <v>27</v>
      </c>
      <c r="Q15" s="18" t="s">
        <v>29</v>
      </c>
      <c r="R15" s="22"/>
    </row>
    <row r="16" spans="1:18" ht="30" customHeight="1" x14ac:dyDescent="0.25">
      <c r="A16" s="16" t="s">
        <v>37</v>
      </c>
      <c r="B16" s="17">
        <v>214001</v>
      </c>
      <c r="C16" s="18" t="s">
        <v>31</v>
      </c>
      <c r="D16" s="19" t="s">
        <v>103</v>
      </c>
      <c r="E16" s="17" t="s">
        <v>33</v>
      </c>
      <c r="F16" s="17">
        <v>1</v>
      </c>
      <c r="G16" s="74">
        <v>44208</v>
      </c>
      <c r="H16" s="74">
        <v>44228</v>
      </c>
      <c r="I16" s="74">
        <v>44229</v>
      </c>
      <c r="J16" s="20"/>
      <c r="K16" s="18" t="s">
        <v>23</v>
      </c>
      <c r="L16" s="21" t="s">
        <v>42</v>
      </c>
      <c r="M16" s="18" t="s">
        <v>25</v>
      </c>
      <c r="N16" s="18"/>
      <c r="O16" s="18" t="s">
        <v>27</v>
      </c>
      <c r="P16" s="20" t="s">
        <v>27</v>
      </c>
      <c r="Q16" s="18" t="s">
        <v>29</v>
      </c>
      <c r="R16" s="22"/>
    </row>
    <row r="17" spans="1:18" ht="30" customHeight="1" x14ac:dyDescent="0.25">
      <c r="A17" s="16" t="s">
        <v>37</v>
      </c>
      <c r="B17" s="17">
        <v>214001</v>
      </c>
      <c r="C17" s="18" t="s">
        <v>31</v>
      </c>
      <c r="D17" s="19" t="s">
        <v>103</v>
      </c>
      <c r="E17" s="17" t="s">
        <v>44</v>
      </c>
      <c r="F17" s="17">
        <v>1</v>
      </c>
      <c r="G17" s="74">
        <v>44208</v>
      </c>
      <c r="H17" s="74">
        <v>44228</v>
      </c>
      <c r="I17" s="74">
        <v>44229</v>
      </c>
      <c r="J17" s="20"/>
      <c r="K17" s="18" t="s">
        <v>23</v>
      </c>
      <c r="L17" s="21" t="s">
        <v>42</v>
      </c>
      <c r="M17" s="18" t="s">
        <v>25</v>
      </c>
      <c r="N17" s="18"/>
      <c r="O17" s="18" t="s">
        <v>27</v>
      </c>
      <c r="P17" s="20" t="s">
        <v>27</v>
      </c>
      <c r="Q17" s="18" t="s">
        <v>29</v>
      </c>
      <c r="R17" s="22"/>
    </row>
    <row r="18" spans="1:18" ht="30" customHeight="1" x14ac:dyDescent="0.25">
      <c r="A18" s="16" t="s">
        <v>37</v>
      </c>
      <c r="B18" s="17">
        <v>214001</v>
      </c>
      <c r="C18" s="18" t="s">
        <v>31</v>
      </c>
      <c r="D18" s="19" t="s">
        <v>103</v>
      </c>
      <c r="E18" s="17" t="s">
        <v>36</v>
      </c>
      <c r="F18" s="17">
        <v>3</v>
      </c>
      <c r="G18" s="74">
        <v>44208</v>
      </c>
      <c r="H18" s="74">
        <v>44228</v>
      </c>
      <c r="I18" s="74">
        <v>44229</v>
      </c>
      <c r="J18" s="20"/>
      <c r="K18" s="18" t="s">
        <v>23</v>
      </c>
      <c r="L18" s="21" t="s">
        <v>42</v>
      </c>
      <c r="M18" s="18" t="s">
        <v>25</v>
      </c>
      <c r="N18" s="18"/>
      <c r="O18" s="18" t="s">
        <v>27</v>
      </c>
      <c r="P18" s="20" t="s">
        <v>27</v>
      </c>
      <c r="Q18" s="18" t="s">
        <v>29</v>
      </c>
      <c r="R18" s="22"/>
    </row>
    <row r="19" spans="1:18" ht="30" customHeight="1" x14ac:dyDescent="0.25">
      <c r="A19" s="16" t="s">
        <v>37</v>
      </c>
      <c r="B19" s="17">
        <v>214001</v>
      </c>
      <c r="C19" s="18" t="s">
        <v>31</v>
      </c>
      <c r="D19" s="19" t="s">
        <v>103</v>
      </c>
      <c r="E19" s="17" t="s">
        <v>67</v>
      </c>
      <c r="F19" s="17">
        <v>1</v>
      </c>
      <c r="G19" s="74">
        <v>44208</v>
      </c>
      <c r="H19" s="74">
        <v>44228</v>
      </c>
      <c r="I19" s="74">
        <v>44229</v>
      </c>
      <c r="J19" s="20"/>
      <c r="K19" s="18" t="s">
        <v>23</v>
      </c>
      <c r="L19" s="21" t="s">
        <v>42</v>
      </c>
      <c r="M19" s="18" t="s">
        <v>25</v>
      </c>
      <c r="N19" s="18"/>
      <c r="O19" s="18" t="s">
        <v>27</v>
      </c>
      <c r="P19" s="20" t="s">
        <v>27</v>
      </c>
      <c r="Q19" s="18" t="s">
        <v>29</v>
      </c>
      <c r="R19" s="22"/>
    </row>
    <row r="20" spans="1:18" ht="30" customHeight="1" x14ac:dyDescent="0.25">
      <c r="A20" s="16" t="s">
        <v>68</v>
      </c>
      <c r="B20" s="17">
        <v>216500</v>
      </c>
      <c r="C20" s="18" t="s">
        <v>20</v>
      </c>
      <c r="D20" s="19" t="s">
        <v>104</v>
      </c>
      <c r="E20" s="17" t="s">
        <v>22</v>
      </c>
      <c r="F20" s="17">
        <v>1</v>
      </c>
      <c r="G20" s="74">
        <v>44223</v>
      </c>
      <c r="H20" s="74">
        <v>44224</v>
      </c>
      <c r="I20" s="74">
        <v>44229</v>
      </c>
      <c r="J20" s="20"/>
      <c r="K20" s="18" t="s">
        <v>23</v>
      </c>
      <c r="L20" s="21" t="s">
        <v>34</v>
      </c>
      <c r="M20" s="18" t="s">
        <v>25</v>
      </c>
      <c r="N20" s="18"/>
      <c r="O20" s="18" t="s">
        <v>26</v>
      </c>
      <c r="P20" s="20" t="s">
        <v>27</v>
      </c>
      <c r="Q20" s="18" t="s">
        <v>29</v>
      </c>
      <c r="R20" s="22" t="s">
        <v>54</v>
      </c>
    </row>
    <row r="21" spans="1:18" ht="30" customHeight="1" x14ac:dyDescent="0.25">
      <c r="A21" s="16" t="s">
        <v>68</v>
      </c>
      <c r="B21" s="17">
        <v>216500</v>
      </c>
      <c r="C21" s="18" t="s">
        <v>20</v>
      </c>
      <c r="D21" s="19" t="s">
        <v>104</v>
      </c>
      <c r="E21" s="17" t="s">
        <v>63</v>
      </c>
      <c r="F21" s="17">
        <v>1</v>
      </c>
      <c r="G21" s="74">
        <v>44223</v>
      </c>
      <c r="H21" s="74">
        <v>44224</v>
      </c>
      <c r="I21" s="74">
        <v>44229</v>
      </c>
      <c r="J21" s="20"/>
      <c r="K21" s="18" t="s">
        <v>23</v>
      </c>
      <c r="L21" s="21" t="s">
        <v>34</v>
      </c>
      <c r="M21" s="18" t="s">
        <v>25</v>
      </c>
      <c r="N21" s="18"/>
      <c r="O21" s="18" t="s">
        <v>26</v>
      </c>
      <c r="P21" s="20" t="s">
        <v>27</v>
      </c>
      <c r="Q21" s="18" t="s">
        <v>29</v>
      </c>
      <c r="R21" s="22" t="s">
        <v>54</v>
      </c>
    </row>
    <row r="22" spans="1:18" ht="30" customHeight="1" x14ac:dyDescent="0.25">
      <c r="A22" s="16" t="s">
        <v>40</v>
      </c>
      <c r="B22" s="17" t="s">
        <v>96</v>
      </c>
      <c r="C22" s="18" t="s">
        <v>31</v>
      </c>
      <c r="D22" s="19" t="s">
        <v>105</v>
      </c>
      <c r="E22" s="17" t="s">
        <v>106</v>
      </c>
      <c r="F22" s="17">
        <v>1</v>
      </c>
      <c r="G22" s="74">
        <v>44218</v>
      </c>
      <c r="H22" s="74">
        <v>44225</v>
      </c>
      <c r="I22" s="74">
        <v>44225</v>
      </c>
      <c r="J22" s="20"/>
      <c r="K22" s="18" t="s">
        <v>23</v>
      </c>
      <c r="L22" s="21" t="s">
        <v>24</v>
      </c>
      <c r="M22" s="18" t="s">
        <v>107</v>
      </c>
      <c r="N22" s="18"/>
      <c r="O22" s="18" t="s">
        <v>26</v>
      </c>
      <c r="P22" s="20" t="s">
        <v>27</v>
      </c>
      <c r="Q22" s="18" t="s">
        <v>54</v>
      </c>
      <c r="R22" s="22" t="s">
        <v>54</v>
      </c>
    </row>
    <row r="23" spans="1:18" ht="30" customHeight="1" x14ac:dyDescent="0.25">
      <c r="A23" s="16" t="s">
        <v>40</v>
      </c>
      <c r="B23" s="17" t="s">
        <v>96</v>
      </c>
      <c r="C23" s="18" t="s">
        <v>31</v>
      </c>
      <c r="D23" s="19" t="s">
        <v>105</v>
      </c>
      <c r="E23" s="17" t="s">
        <v>35</v>
      </c>
      <c r="F23" s="17">
        <v>2</v>
      </c>
      <c r="G23" s="74">
        <v>44218</v>
      </c>
      <c r="H23" s="74">
        <v>44225</v>
      </c>
      <c r="I23" s="74">
        <v>44225</v>
      </c>
      <c r="J23" s="20" t="s">
        <v>108</v>
      </c>
      <c r="K23" s="18" t="s">
        <v>23</v>
      </c>
      <c r="L23" s="21" t="s">
        <v>24</v>
      </c>
      <c r="M23" s="18" t="s">
        <v>25</v>
      </c>
      <c r="N23" s="18"/>
      <c r="O23" s="18" t="s">
        <v>27</v>
      </c>
      <c r="P23" s="20" t="s">
        <v>27</v>
      </c>
      <c r="Q23" s="18" t="s">
        <v>54</v>
      </c>
      <c r="R23" s="22" t="s">
        <v>54</v>
      </c>
    </row>
    <row r="24" spans="1:18" ht="30" customHeight="1" x14ac:dyDescent="0.25">
      <c r="A24" s="16" t="s">
        <v>40</v>
      </c>
      <c r="B24" s="17" t="s">
        <v>96</v>
      </c>
      <c r="C24" s="18" t="s">
        <v>31</v>
      </c>
      <c r="D24" s="19" t="s">
        <v>105</v>
      </c>
      <c r="E24" s="17" t="s">
        <v>109</v>
      </c>
      <c r="F24" s="17">
        <v>1</v>
      </c>
      <c r="G24" s="74">
        <v>44218</v>
      </c>
      <c r="H24" s="74">
        <v>44225</v>
      </c>
      <c r="I24" s="74">
        <v>44225</v>
      </c>
      <c r="J24" s="20" t="s">
        <v>110</v>
      </c>
      <c r="K24" s="18" t="s">
        <v>23</v>
      </c>
      <c r="L24" s="21" t="s">
        <v>24</v>
      </c>
      <c r="M24" s="18" t="s">
        <v>25</v>
      </c>
      <c r="N24" s="18"/>
      <c r="O24" s="18" t="s">
        <v>27</v>
      </c>
      <c r="P24" s="20" t="s">
        <v>27</v>
      </c>
      <c r="Q24" s="18" t="s">
        <v>54</v>
      </c>
      <c r="R24" s="22" t="s">
        <v>54</v>
      </c>
    </row>
    <row r="25" spans="1:18" ht="30" customHeight="1" x14ac:dyDescent="0.25">
      <c r="A25" s="16" t="s">
        <v>40</v>
      </c>
      <c r="B25" s="17" t="s">
        <v>96</v>
      </c>
      <c r="C25" s="18" t="s">
        <v>31</v>
      </c>
      <c r="D25" s="19" t="s">
        <v>105</v>
      </c>
      <c r="E25" s="17" t="s">
        <v>33</v>
      </c>
      <c r="F25" s="17">
        <v>1</v>
      </c>
      <c r="G25" s="74">
        <v>44218</v>
      </c>
      <c r="H25" s="74">
        <v>44225</v>
      </c>
      <c r="I25" s="74">
        <v>44225</v>
      </c>
      <c r="J25" s="20" t="s">
        <v>110</v>
      </c>
      <c r="K25" s="18" t="s">
        <v>23</v>
      </c>
      <c r="L25" s="21" t="s">
        <v>24</v>
      </c>
      <c r="M25" s="18" t="s">
        <v>25</v>
      </c>
      <c r="N25" s="18"/>
      <c r="O25" s="18" t="s">
        <v>27</v>
      </c>
      <c r="P25" s="20" t="s">
        <v>27</v>
      </c>
      <c r="Q25" s="18" t="s">
        <v>54</v>
      </c>
      <c r="R25" s="22" t="s">
        <v>54</v>
      </c>
    </row>
    <row r="26" spans="1:18" ht="30" customHeight="1" x14ac:dyDescent="0.25">
      <c r="A26" s="16" t="s">
        <v>40</v>
      </c>
      <c r="B26" s="17" t="s">
        <v>96</v>
      </c>
      <c r="C26" s="18" t="s">
        <v>31</v>
      </c>
      <c r="D26" s="19" t="s">
        <v>105</v>
      </c>
      <c r="E26" s="17" t="s">
        <v>49</v>
      </c>
      <c r="F26" s="17">
        <v>1</v>
      </c>
      <c r="G26" s="74">
        <v>44218</v>
      </c>
      <c r="H26" s="74">
        <v>44225</v>
      </c>
      <c r="I26" s="74">
        <v>44225</v>
      </c>
      <c r="J26" s="20" t="s">
        <v>111</v>
      </c>
      <c r="K26" s="18" t="s">
        <v>23</v>
      </c>
      <c r="L26" s="21" t="s">
        <v>24</v>
      </c>
      <c r="M26" s="18" t="s">
        <v>25</v>
      </c>
      <c r="N26" s="18"/>
      <c r="O26" s="18" t="s">
        <v>27</v>
      </c>
      <c r="P26" s="20" t="s">
        <v>27</v>
      </c>
      <c r="Q26" s="18" t="s">
        <v>54</v>
      </c>
      <c r="R26" s="22" t="s">
        <v>54</v>
      </c>
    </row>
    <row r="27" spans="1:18" ht="30" customHeight="1" x14ac:dyDescent="0.25">
      <c r="A27" s="16" t="s">
        <v>71</v>
      </c>
      <c r="B27" s="17">
        <v>216974</v>
      </c>
      <c r="C27" s="18" t="s">
        <v>20</v>
      </c>
      <c r="D27" s="19" t="s">
        <v>112</v>
      </c>
      <c r="E27" s="17" t="s">
        <v>45</v>
      </c>
      <c r="F27" s="17">
        <v>1</v>
      </c>
      <c r="G27" s="74">
        <v>44222</v>
      </c>
      <c r="H27" s="74">
        <v>44229</v>
      </c>
      <c r="I27" s="74">
        <v>44229</v>
      </c>
      <c r="J27" s="20"/>
      <c r="K27" s="18" t="s">
        <v>23</v>
      </c>
      <c r="L27" s="21" t="s">
        <v>58</v>
      </c>
      <c r="M27" s="18" t="s">
        <v>25</v>
      </c>
      <c r="N27" s="18"/>
      <c r="O27" s="18" t="s">
        <v>26</v>
      </c>
      <c r="P27" s="20" t="s">
        <v>27</v>
      </c>
      <c r="Q27" s="18" t="s">
        <v>29</v>
      </c>
      <c r="R27" s="22" t="s">
        <v>28</v>
      </c>
    </row>
    <row r="28" spans="1:18" ht="30" customHeight="1" x14ac:dyDescent="0.25">
      <c r="A28" s="16" t="s">
        <v>113</v>
      </c>
      <c r="B28" s="17">
        <v>217140</v>
      </c>
      <c r="C28" s="18" t="s">
        <v>20</v>
      </c>
      <c r="D28" s="19" t="s">
        <v>114</v>
      </c>
      <c r="E28" s="17" t="s">
        <v>44</v>
      </c>
      <c r="F28" s="17">
        <v>1</v>
      </c>
      <c r="G28" s="74">
        <v>44223</v>
      </c>
      <c r="H28" s="74">
        <v>44229</v>
      </c>
      <c r="I28" s="74">
        <v>44229</v>
      </c>
      <c r="J28" s="20"/>
      <c r="K28" s="18" t="s">
        <v>23</v>
      </c>
      <c r="L28" s="21" t="s">
        <v>58</v>
      </c>
      <c r="M28" s="18" t="s">
        <v>25</v>
      </c>
      <c r="N28" s="18"/>
      <c r="O28" s="18" t="s">
        <v>26</v>
      </c>
      <c r="P28" s="20" t="s">
        <v>27</v>
      </c>
      <c r="Q28" s="18" t="s">
        <v>28</v>
      </c>
      <c r="R28" s="22"/>
    </row>
    <row r="29" spans="1:18" ht="30" customHeight="1" x14ac:dyDescent="0.25">
      <c r="A29" s="16" t="s">
        <v>113</v>
      </c>
      <c r="B29" s="17">
        <v>217140</v>
      </c>
      <c r="C29" s="18" t="s">
        <v>20</v>
      </c>
      <c r="D29" s="19" t="s">
        <v>114</v>
      </c>
      <c r="E29" s="17" t="s">
        <v>35</v>
      </c>
      <c r="F29" s="17">
        <v>1</v>
      </c>
      <c r="G29" s="74">
        <v>44223</v>
      </c>
      <c r="H29" s="74">
        <v>44229</v>
      </c>
      <c r="I29" s="74">
        <v>44229</v>
      </c>
      <c r="J29" s="20"/>
      <c r="K29" s="18" t="s">
        <v>23</v>
      </c>
      <c r="L29" s="21" t="s">
        <v>58</v>
      </c>
      <c r="M29" s="18" t="s">
        <v>25</v>
      </c>
      <c r="N29" s="18"/>
      <c r="O29" s="18" t="s">
        <v>26</v>
      </c>
      <c r="P29" s="20" t="s">
        <v>27</v>
      </c>
      <c r="Q29" s="18" t="s">
        <v>28</v>
      </c>
      <c r="R29" s="22"/>
    </row>
    <row r="30" spans="1:18" ht="30" customHeight="1" x14ac:dyDescent="0.25">
      <c r="A30" s="16" t="s">
        <v>113</v>
      </c>
      <c r="B30" s="17">
        <v>217140</v>
      </c>
      <c r="C30" s="18" t="s">
        <v>20</v>
      </c>
      <c r="D30" s="19" t="s">
        <v>114</v>
      </c>
      <c r="E30" s="17" t="s">
        <v>45</v>
      </c>
      <c r="F30" s="17">
        <v>1</v>
      </c>
      <c r="G30" s="74">
        <v>44223</v>
      </c>
      <c r="H30" s="74">
        <v>44229</v>
      </c>
      <c r="I30" s="74">
        <v>44229</v>
      </c>
      <c r="J30" s="20"/>
      <c r="K30" s="18" t="s">
        <v>23</v>
      </c>
      <c r="L30" s="21" t="s">
        <v>58</v>
      </c>
      <c r="M30" s="18" t="s">
        <v>25</v>
      </c>
      <c r="N30" s="18"/>
      <c r="O30" s="18" t="s">
        <v>26</v>
      </c>
      <c r="P30" s="20" t="s">
        <v>27</v>
      </c>
      <c r="Q30" s="18" t="s">
        <v>28</v>
      </c>
      <c r="R30" s="22"/>
    </row>
    <row r="31" spans="1:18" ht="30" customHeight="1" x14ac:dyDescent="0.25">
      <c r="A31" s="16" t="s">
        <v>113</v>
      </c>
      <c r="B31" s="17">
        <v>217140</v>
      </c>
      <c r="C31" s="18" t="s">
        <v>20</v>
      </c>
      <c r="D31" s="19" t="s">
        <v>114</v>
      </c>
      <c r="E31" s="17" t="s">
        <v>33</v>
      </c>
      <c r="F31" s="17">
        <v>1</v>
      </c>
      <c r="G31" s="74">
        <v>44223</v>
      </c>
      <c r="H31" s="74">
        <v>44229</v>
      </c>
      <c r="I31" s="74">
        <v>44229</v>
      </c>
      <c r="J31" s="20"/>
      <c r="K31" s="18" t="s">
        <v>23</v>
      </c>
      <c r="L31" s="21" t="s">
        <v>58</v>
      </c>
      <c r="M31" s="18" t="s">
        <v>25</v>
      </c>
      <c r="N31" s="18"/>
      <c r="O31" s="18" t="s">
        <v>26</v>
      </c>
      <c r="P31" s="20" t="s">
        <v>27</v>
      </c>
      <c r="Q31" s="18" t="s">
        <v>28</v>
      </c>
      <c r="R31" s="22"/>
    </row>
    <row r="32" spans="1:18" ht="30" customHeight="1" x14ac:dyDescent="0.25">
      <c r="A32" s="16" t="s">
        <v>113</v>
      </c>
      <c r="B32" s="17">
        <v>217140</v>
      </c>
      <c r="C32" s="18" t="s">
        <v>20</v>
      </c>
      <c r="D32" s="19" t="s">
        <v>114</v>
      </c>
      <c r="E32" s="17" t="s">
        <v>94</v>
      </c>
      <c r="F32" s="17">
        <v>1</v>
      </c>
      <c r="G32" s="74">
        <v>44223</v>
      </c>
      <c r="H32" s="74">
        <v>44229</v>
      </c>
      <c r="I32" s="74">
        <v>44229</v>
      </c>
      <c r="J32" s="20"/>
      <c r="K32" s="18" t="s">
        <v>23</v>
      </c>
      <c r="L32" s="21" t="s">
        <v>58</v>
      </c>
      <c r="M32" s="18" t="s">
        <v>25</v>
      </c>
      <c r="N32" s="18"/>
      <c r="O32" s="18" t="s">
        <v>26</v>
      </c>
      <c r="P32" s="20" t="s">
        <v>27</v>
      </c>
      <c r="Q32" s="18" t="s">
        <v>28</v>
      </c>
      <c r="R32" s="22"/>
    </row>
    <row r="33" spans="1:18" ht="30" customHeight="1" x14ac:dyDescent="0.25">
      <c r="A33" s="16" t="s">
        <v>113</v>
      </c>
      <c r="B33" s="17">
        <v>217140</v>
      </c>
      <c r="C33" s="18" t="s">
        <v>20</v>
      </c>
      <c r="D33" s="19" t="s">
        <v>114</v>
      </c>
      <c r="E33" s="17" t="s">
        <v>109</v>
      </c>
      <c r="F33" s="17">
        <v>1</v>
      </c>
      <c r="G33" s="74">
        <v>44223</v>
      </c>
      <c r="H33" s="74">
        <v>44229</v>
      </c>
      <c r="I33" s="74">
        <v>44229</v>
      </c>
      <c r="J33" s="20"/>
      <c r="K33" s="18" t="s">
        <v>23</v>
      </c>
      <c r="L33" s="21" t="s">
        <v>58</v>
      </c>
      <c r="M33" s="18" t="s">
        <v>25</v>
      </c>
      <c r="N33" s="18"/>
      <c r="O33" s="18" t="s">
        <v>26</v>
      </c>
      <c r="P33" s="20" t="s">
        <v>27</v>
      </c>
      <c r="Q33" s="18" t="s">
        <v>28</v>
      </c>
      <c r="R33" s="22"/>
    </row>
    <row r="34" spans="1:18" ht="30" customHeight="1" x14ac:dyDescent="0.25">
      <c r="A34" s="16" t="s">
        <v>113</v>
      </c>
      <c r="B34" s="17">
        <v>217140</v>
      </c>
      <c r="C34" s="18" t="s">
        <v>20</v>
      </c>
      <c r="D34" s="19" t="s">
        <v>114</v>
      </c>
      <c r="E34" s="17" t="s">
        <v>93</v>
      </c>
      <c r="F34" s="17">
        <v>1</v>
      </c>
      <c r="G34" s="74">
        <v>44223</v>
      </c>
      <c r="H34" s="74">
        <v>44229</v>
      </c>
      <c r="I34" s="74">
        <v>44229</v>
      </c>
      <c r="J34" s="20"/>
      <c r="K34" s="18" t="s">
        <v>23</v>
      </c>
      <c r="L34" s="21" t="s">
        <v>58</v>
      </c>
      <c r="M34" s="18" t="s">
        <v>25</v>
      </c>
      <c r="N34" s="18"/>
      <c r="O34" s="18" t="s">
        <v>26</v>
      </c>
      <c r="P34" s="20" t="s">
        <v>27</v>
      </c>
      <c r="Q34" s="18" t="s">
        <v>28</v>
      </c>
      <c r="R34" s="22"/>
    </row>
    <row r="35" spans="1:18" ht="30" customHeight="1" x14ac:dyDescent="0.25">
      <c r="A35" s="16" t="s">
        <v>40</v>
      </c>
      <c r="B35" s="17">
        <v>218126</v>
      </c>
      <c r="C35" s="18" t="s">
        <v>31</v>
      </c>
      <c r="D35" s="19" t="s">
        <v>115</v>
      </c>
      <c r="E35" s="17" t="s">
        <v>35</v>
      </c>
      <c r="F35" s="17">
        <v>2</v>
      </c>
      <c r="G35" s="74">
        <v>44228</v>
      </c>
      <c r="H35" s="74">
        <v>44230</v>
      </c>
      <c r="I35" s="74">
        <v>44230</v>
      </c>
      <c r="J35" s="20"/>
      <c r="K35" s="18" t="s">
        <v>23</v>
      </c>
      <c r="L35" s="21" t="s">
        <v>42</v>
      </c>
      <c r="M35" s="18" t="s">
        <v>25</v>
      </c>
      <c r="N35" s="18"/>
      <c r="O35" s="18"/>
      <c r="P35" s="20"/>
      <c r="Q35" s="18"/>
      <c r="R35" s="22"/>
    </row>
    <row r="36" spans="1:18" ht="30" customHeight="1" x14ac:dyDescent="0.25">
      <c r="A36" s="16" t="s">
        <v>19</v>
      </c>
      <c r="B36" s="17">
        <v>217549</v>
      </c>
      <c r="C36" s="18" t="s">
        <v>31</v>
      </c>
      <c r="D36" s="19" t="s">
        <v>116</v>
      </c>
      <c r="E36" s="17" t="s">
        <v>117</v>
      </c>
      <c r="F36" s="17">
        <v>1</v>
      </c>
      <c r="G36" s="74">
        <v>44255</v>
      </c>
      <c r="H36" s="74">
        <v>44231</v>
      </c>
      <c r="I36" s="74">
        <v>44232</v>
      </c>
      <c r="J36" s="20"/>
      <c r="K36" s="18" t="s">
        <v>23</v>
      </c>
      <c r="L36" s="21" t="s">
        <v>24</v>
      </c>
      <c r="M36" s="18" t="s">
        <v>25</v>
      </c>
      <c r="N36" s="18"/>
      <c r="O36" s="18" t="s">
        <v>26</v>
      </c>
      <c r="P36" s="20"/>
      <c r="Q36" s="18"/>
      <c r="R36" s="22"/>
    </row>
    <row r="37" spans="1:18" ht="30" customHeight="1" x14ac:dyDescent="0.25">
      <c r="A37" s="16" t="s">
        <v>55</v>
      </c>
      <c r="B37" s="17">
        <v>218206</v>
      </c>
      <c r="C37" s="18" t="s">
        <v>20</v>
      </c>
      <c r="D37" s="19" t="s">
        <v>118</v>
      </c>
      <c r="E37" s="17" t="s">
        <v>43</v>
      </c>
      <c r="F37" s="17">
        <v>4</v>
      </c>
      <c r="G37" s="74">
        <v>44229</v>
      </c>
      <c r="H37" s="74">
        <v>44230</v>
      </c>
      <c r="I37" s="74">
        <v>44230</v>
      </c>
      <c r="J37" s="20"/>
      <c r="K37" s="18" t="s">
        <v>23</v>
      </c>
      <c r="L37" s="21" t="s">
        <v>34</v>
      </c>
      <c r="M37" s="18" t="s">
        <v>25</v>
      </c>
      <c r="N37" s="18"/>
      <c r="O37" s="18" t="s">
        <v>26</v>
      </c>
      <c r="P37" s="20"/>
      <c r="Q37" s="18" t="s">
        <v>29</v>
      </c>
      <c r="R37" s="22" t="s">
        <v>28</v>
      </c>
    </row>
    <row r="38" spans="1:18" ht="30" customHeight="1" x14ac:dyDescent="0.25">
      <c r="A38" s="16" t="s">
        <v>55</v>
      </c>
      <c r="B38" s="17">
        <v>218206</v>
      </c>
      <c r="C38" s="18" t="s">
        <v>20</v>
      </c>
      <c r="D38" s="19" t="s">
        <v>118</v>
      </c>
      <c r="E38" s="17" t="s">
        <v>45</v>
      </c>
      <c r="F38" s="17">
        <v>2</v>
      </c>
      <c r="G38" s="74">
        <v>44229</v>
      </c>
      <c r="H38" s="74">
        <v>44230</v>
      </c>
      <c r="I38" s="74">
        <v>44230</v>
      </c>
      <c r="J38" s="20"/>
      <c r="K38" s="18" t="s">
        <v>23</v>
      </c>
      <c r="L38" s="21" t="s">
        <v>34</v>
      </c>
      <c r="M38" s="18" t="s">
        <v>25</v>
      </c>
      <c r="N38" s="18"/>
      <c r="O38" s="18" t="s">
        <v>26</v>
      </c>
      <c r="P38" s="20"/>
      <c r="Q38" s="18" t="s">
        <v>119</v>
      </c>
      <c r="R38" s="22" t="s">
        <v>50</v>
      </c>
    </row>
    <row r="39" spans="1:18" ht="30" customHeight="1" x14ac:dyDescent="0.25">
      <c r="A39" s="16" t="s">
        <v>55</v>
      </c>
      <c r="B39" s="17">
        <v>218206</v>
      </c>
      <c r="C39" s="18" t="s">
        <v>20</v>
      </c>
      <c r="D39" s="19" t="s">
        <v>118</v>
      </c>
      <c r="E39" s="17" t="s">
        <v>35</v>
      </c>
      <c r="F39" s="17">
        <v>2</v>
      </c>
      <c r="G39" s="74">
        <v>44229</v>
      </c>
      <c r="H39" s="74">
        <v>44230</v>
      </c>
      <c r="I39" s="74">
        <v>44230</v>
      </c>
      <c r="J39" s="20"/>
      <c r="K39" s="18" t="s">
        <v>23</v>
      </c>
      <c r="L39" s="21" t="s">
        <v>34</v>
      </c>
      <c r="M39" s="18" t="s">
        <v>25</v>
      </c>
      <c r="N39" s="18"/>
      <c r="O39" s="18" t="s">
        <v>26</v>
      </c>
      <c r="P39" s="20"/>
      <c r="Q39" s="18" t="s">
        <v>120</v>
      </c>
      <c r="R39" s="22" t="s">
        <v>51</v>
      </c>
    </row>
    <row r="40" spans="1:18" ht="30" customHeight="1" x14ac:dyDescent="0.25">
      <c r="A40" s="16" t="s">
        <v>55</v>
      </c>
      <c r="B40" s="17">
        <v>218206</v>
      </c>
      <c r="C40" s="18" t="s">
        <v>20</v>
      </c>
      <c r="D40" s="19" t="s">
        <v>118</v>
      </c>
      <c r="E40" s="17" t="s">
        <v>49</v>
      </c>
      <c r="F40" s="17">
        <v>4</v>
      </c>
      <c r="G40" s="74">
        <v>44229</v>
      </c>
      <c r="H40" s="74">
        <v>44230</v>
      </c>
      <c r="I40" s="74">
        <v>44230</v>
      </c>
      <c r="J40" s="20"/>
      <c r="K40" s="18" t="s">
        <v>23</v>
      </c>
      <c r="L40" s="21" t="s">
        <v>34</v>
      </c>
      <c r="M40" s="18" t="s">
        <v>25</v>
      </c>
      <c r="N40" s="18"/>
      <c r="O40" s="18" t="s">
        <v>26</v>
      </c>
      <c r="P40" s="20"/>
      <c r="Q40" s="18" t="s">
        <v>121</v>
      </c>
      <c r="R40" s="22" t="s">
        <v>52</v>
      </c>
    </row>
    <row r="41" spans="1:18" ht="30" customHeight="1" x14ac:dyDescent="0.25">
      <c r="A41" s="16" t="s">
        <v>40</v>
      </c>
      <c r="B41" s="17">
        <v>218502</v>
      </c>
      <c r="C41" s="18" t="s">
        <v>20</v>
      </c>
      <c r="D41" s="19" t="s">
        <v>122</v>
      </c>
      <c r="E41" s="17" t="s">
        <v>35</v>
      </c>
      <c r="F41" s="17">
        <v>1</v>
      </c>
      <c r="G41" s="74">
        <v>44229</v>
      </c>
      <c r="H41" s="74">
        <v>44230</v>
      </c>
      <c r="I41" s="74">
        <v>44230</v>
      </c>
      <c r="J41" s="20"/>
      <c r="K41" s="18" t="s">
        <v>23</v>
      </c>
      <c r="L41" s="21" t="s">
        <v>24</v>
      </c>
      <c r="M41" s="18" t="s">
        <v>25</v>
      </c>
      <c r="N41" s="18"/>
      <c r="O41" s="18" t="s">
        <v>26</v>
      </c>
      <c r="P41" s="20" t="s">
        <v>27</v>
      </c>
      <c r="Q41" s="18" t="s">
        <v>54</v>
      </c>
      <c r="R41" s="22" t="s">
        <v>29</v>
      </c>
    </row>
    <row r="42" spans="1:18" ht="30" customHeight="1" x14ac:dyDescent="0.25">
      <c r="A42" s="16" t="s">
        <v>40</v>
      </c>
      <c r="B42" s="17">
        <v>218502</v>
      </c>
      <c r="C42" s="18" t="s">
        <v>20</v>
      </c>
      <c r="D42" s="19" t="s">
        <v>122</v>
      </c>
      <c r="E42" s="17" t="s">
        <v>33</v>
      </c>
      <c r="F42" s="17">
        <v>1</v>
      </c>
      <c r="G42" s="74">
        <v>44229</v>
      </c>
      <c r="H42" s="74">
        <v>44230</v>
      </c>
      <c r="I42" s="74">
        <v>44230</v>
      </c>
      <c r="J42" s="20"/>
      <c r="K42" s="18" t="s">
        <v>23</v>
      </c>
      <c r="L42" s="21" t="s">
        <v>24</v>
      </c>
      <c r="M42" s="18" t="s">
        <v>25</v>
      </c>
      <c r="N42" s="18"/>
      <c r="O42" s="18" t="s">
        <v>26</v>
      </c>
      <c r="P42" s="20" t="s">
        <v>27</v>
      </c>
      <c r="Q42" s="18" t="s">
        <v>54</v>
      </c>
      <c r="R42" s="22" t="s">
        <v>29</v>
      </c>
    </row>
    <row r="43" spans="1:18" ht="30" customHeight="1" x14ac:dyDescent="0.25">
      <c r="A43" s="16" t="s">
        <v>19</v>
      </c>
      <c r="B43" s="17">
        <v>217553</v>
      </c>
      <c r="C43" s="18" t="s">
        <v>64</v>
      </c>
      <c r="D43" s="19" t="s">
        <v>123</v>
      </c>
      <c r="E43" s="17" t="s">
        <v>67</v>
      </c>
      <c r="F43" s="17">
        <v>1</v>
      </c>
      <c r="G43" s="74">
        <v>44255</v>
      </c>
      <c r="H43" s="74">
        <v>44230</v>
      </c>
      <c r="I43" s="74"/>
      <c r="J43" s="20"/>
      <c r="K43" s="18" t="s">
        <v>23</v>
      </c>
      <c r="L43" s="21" t="s">
        <v>58</v>
      </c>
      <c r="M43" s="18" t="s">
        <v>25</v>
      </c>
      <c r="N43" s="18"/>
      <c r="O43" s="18" t="s">
        <v>26</v>
      </c>
      <c r="P43" s="20"/>
      <c r="Q43" s="18"/>
      <c r="R43" s="22"/>
    </row>
    <row r="44" spans="1:18" ht="30" customHeight="1" x14ac:dyDescent="0.25">
      <c r="A44" s="16" t="s">
        <v>95</v>
      </c>
      <c r="B44" s="17">
        <v>213012</v>
      </c>
      <c r="C44" s="18" t="s">
        <v>20</v>
      </c>
      <c r="D44" s="19" t="s">
        <v>124</v>
      </c>
      <c r="E44" s="17" t="s">
        <v>45</v>
      </c>
      <c r="F44" s="17">
        <v>1</v>
      </c>
      <c r="G44" s="74">
        <v>44203</v>
      </c>
      <c r="H44" s="74">
        <v>44204</v>
      </c>
      <c r="I44" s="74"/>
      <c r="J44" s="20"/>
      <c r="K44" s="18" t="s">
        <v>23</v>
      </c>
      <c r="L44" s="21" t="s">
        <v>58</v>
      </c>
      <c r="M44" s="18" t="s">
        <v>25</v>
      </c>
      <c r="N44" s="18"/>
      <c r="O44" s="18" t="s">
        <v>26</v>
      </c>
      <c r="P44" s="20" t="s">
        <v>27</v>
      </c>
      <c r="Q44" s="18" t="s">
        <v>28</v>
      </c>
      <c r="R44" s="22" t="s">
        <v>28</v>
      </c>
    </row>
    <row r="45" spans="1:18" ht="30" customHeight="1" x14ac:dyDescent="0.25">
      <c r="A45" s="16" t="s">
        <v>95</v>
      </c>
      <c r="B45" s="17">
        <v>213012</v>
      </c>
      <c r="C45" s="18" t="s">
        <v>20</v>
      </c>
      <c r="D45" s="19" t="s">
        <v>124</v>
      </c>
      <c r="E45" s="17" t="s">
        <v>39</v>
      </c>
      <c r="F45" s="17">
        <v>1</v>
      </c>
      <c r="G45" s="74">
        <v>44203</v>
      </c>
      <c r="H45" s="74">
        <v>44204</v>
      </c>
      <c r="I45" s="74"/>
      <c r="J45" s="20"/>
      <c r="K45" s="18" t="s">
        <v>23</v>
      </c>
      <c r="L45" s="21" t="s">
        <v>58</v>
      </c>
      <c r="M45" s="18" t="s">
        <v>25</v>
      </c>
      <c r="N45" s="18"/>
      <c r="O45" s="18" t="s">
        <v>26</v>
      </c>
      <c r="P45" s="20" t="s">
        <v>27</v>
      </c>
      <c r="Q45" s="18" t="s">
        <v>28</v>
      </c>
      <c r="R45" s="22" t="s">
        <v>28</v>
      </c>
    </row>
    <row r="46" spans="1:18" ht="30" customHeight="1" x14ac:dyDescent="0.25">
      <c r="A46" s="16" t="s">
        <v>19</v>
      </c>
      <c r="B46" s="17">
        <v>213356</v>
      </c>
      <c r="C46" s="18" t="s">
        <v>56</v>
      </c>
      <c r="D46" s="19" t="s">
        <v>125</v>
      </c>
      <c r="E46" s="17" t="s">
        <v>73</v>
      </c>
      <c r="F46" s="17">
        <v>1</v>
      </c>
      <c r="G46" s="74">
        <v>44204</v>
      </c>
      <c r="H46" s="74">
        <v>44204</v>
      </c>
      <c r="I46" s="74"/>
      <c r="J46" s="20"/>
      <c r="K46" s="18" t="s">
        <v>23</v>
      </c>
      <c r="L46" s="21" t="s">
        <v>58</v>
      </c>
      <c r="M46" s="18" t="s">
        <v>25</v>
      </c>
      <c r="N46" s="18"/>
      <c r="O46" s="18" t="s">
        <v>26</v>
      </c>
      <c r="P46" s="20" t="s">
        <v>27</v>
      </c>
      <c r="Q46" s="18" t="s">
        <v>29</v>
      </c>
      <c r="R46" s="22" t="s">
        <v>29</v>
      </c>
    </row>
    <row r="47" spans="1:18" ht="30" customHeight="1" x14ac:dyDescent="0.25">
      <c r="A47" s="16" t="s">
        <v>40</v>
      </c>
      <c r="B47" s="17">
        <v>173565</v>
      </c>
      <c r="C47" s="18" t="s">
        <v>56</v>
      </c>
      <c r="D47" s="19" t="s">
        <v>126</v>
      </c>
      <c r="E47" s="17" t="s">
        <v>83</v>
      </c>
      <c r="F47" s="17">
        <v>1</v>
      </c>
      <c r="G47" s="74">
        <v>44008</v>
      </c>
      <c r="H47" s="74">
        <v>44069</v>
      </c>
      <c r="I47" s="74"/>
      <c r="J47" s="20" t="s">
        <v>127</v>
      </c>
      <c r="K47" s="18" t="s">
        <v>23</v>
      </c>
      <c r="L47" s="21" t="s">
        <v>42</v>
      </c>
      <c r="M47" s="18" t="s">
        <v>25</v>
      </c>
      <c r="N47" s="18">
        <v>1</v>
      </c>
      <c r="O47" s="18" t="s">
        <v>27</v>
      </c>
      <c r="P47" s="20" t="s">
        <v>27</v>
      </c>
      <c r="Q47" s="18" t="s">
        <v>29</v>
      </c>
      <c r="R47" s="22" t="s">
        <v>29</v>
      </c>
    </row>
    <row r="48" spans="1:18" ht="30" customHeight="1" x14ac:dyDescent="0.25">
      <c r="A48" s="16" t="s">
        <v>40</v>
      </c>
      <c r="B48" s="17">
        <v>173565</v>
      </c>
      <c r="C48" s="18" t="s">
        <v>56</v>
      </c>
      <c r="D48" s="19" t="s">
        <v>126</v>
      </c>
      <c r="E48" s="17" t="s">
        <v>83</v>
      </c>
      <c r="F48" s="17">
        <v>1</v>
      </c>
      <c r="G48" s="74">
        <v>44008</v>
      </c>
      <c r="H48" s="74">
        <v>44069</v>
      </c>
      <c r="I48" s="74"/>
      <c r="J48" s="20" t="s">
        <v>128</v>
      </c>
      <c r="K48" s="18" t="s">
        <v>23</v>
      </c>
      <c r="L48" s="21" t="s">
        <v>42</v>
      </c>
      <c r="M48" s="18" t="s">
        <v>25</v>
      </c>
      <c r="N48" s="18">
        <v>1</v>
      </c>
      <c r="O48" s="18" t="s">
        <v>27</v>
      </c>
      <c r="P48" s="20" t="s">
        <v>27</v>
      </c>
      <c r="Q48" s="18" t="s">
        <v>29</v>
      </c>
      <c r="R48" s="22" t="s">
        <v>29</v>
      </c>
    </row>
    <row r="49" spans="1:18" ht="30" customHeight="1" x14ac:dyDescent="0.25">
      <c r="A49" s="16" t="s">
        <v>40</v>
      </c>
      <c r="B49" s="17">
        <v>173565</v>
      </c>
      <c r="C49" s="18" t="s">
        <v>56</v>
      </c>
      <c r="D49" s="19" t="s">
        <v>126</v>
      </c>
      <c r="E49" s="17" t="s">
        <v>67</v>
      </c>
      <c r="F49" s="17">
        <v>1</v>
      </c>
      <c r="G49" s="74">
        <v>44008</v>
      </c>
      <c r="H49" s="74">
        <v>44069</v>
      </c>
      <c r="I49" s="74"/>
      <c r="J49" s="20"/>
      <c r="K49" s="18" t="s">
        <v>23</v>
      </c>
      <c r="L49" s="21" t="s">
        <v>42</v>
      </c>
      <c r="M49" s="18" t="s">
        <v>25</v>
      </c>
      <c r="N49" s="18">
        <v>1</v>
      </c>
      <c r="O49" s="18" t="s">
        <v>27</v>
      </c>
      <c r="P49" s="20" t="s">
        <v>27</v>
      </c>
      <c r="Q49" s="18" t="s">
        <v>29</v>
      </c>
      <c r="R49" s="22" t="s">
        <v>29</v>
      </c>
    </row>
    <row r="50" spans="1:18" ht="30" customHeight="1" x14ac:dyDescent="0.25">
      <c r="A50" s="16" t="s">
        <v>129</v>
      </c>
      <c r="B50" s="17">
        <v>218925</v>
      </c>
      <c r="C50" s="18" t="s">
        <v>20</v>
      </c>
      <c r="D50" s="19" t="s">
        <v>130</v>
      </c>
      <c r="E50" s="17" t="s">
        <v>44</v>
      </c>
      <c r="F50" s="17">
        <v>1</v>
      </c>
      <c r="G50" s="74">
        <v>44230</v>
      </c>
      <c r="H50" s="74">
        <v>44236</v>
      </c>
      <c r="I50" s="74">
        <v>44236</v>
      </c>
      <c r="J50" s="20"/>
      <c r="K50" s="18" t="s">
        <v>23</v>
      </c>
      <c r="L50" s="21" t="s">
        <v>34</v>
      </c>
      <c r="M50" s="18" t="s">
        <v>25</v>
      </c>
      <c r="N50" s="18">
        <v>1</v>
      </c>
      <c r="O50" s="18" t="s">
        <v>26</v>
      </c>
      <c r="P50" s="20" t="s">
        <v>27</v>
      </c>
      <c r="Q50" s="18" t="s">
        <v>29</v>
      </c>
      <c r="R50" s="22" t="s">
        <v>54</v>
      </c>
    </row>
    <row r="51" spans="1:18" ht="30" customHeight="1" x14ac:dyDescent="0.25">
      <c r="A51" s="16" t="s">
        <v>71</v>
      </c>
      <c r="B51" s="17">
        <v>218864</v>
      </c>
      <c r="C51" s="18" t="s">
        <v>64</v>
      </c>
      <c r="D51" s="19" t="s">
        <v>131</v>
      </c>
      <c r="E51" s="17" t="s">
        <v>131</v>
      </c>
      <c r="F51" s="17">
        <v>1</v>
      </c>
      <c r="G51" s="74">
        <v>44230</v>
      </c>
      <c r="H51" s="74">
        <v>44232</v>
      </c>
      <c r="I51" s="74"/>
      <c r="J51" s="20"/>
      <c r="K51" s="18" t="s">
        <v>23</v>
      </c>
      <c r="L51" s="21" t="s">
        <v>58</v>
      </c>
      <c r="M51" s="18" t="s">
        <v>25</v>
      </c>
      <c r="N51" s="18"/>
      <c r="O51" s="18" t="s">
        <v>26</v>
      </c>
      <c r="P51" s="20" t="s">
        <v>27</v>
      </c>
      <c r="Q51" s="18" t="s">
        <v>54</v>
      </c>
      <c r="R51" s="22" t="s">
        <v>54</v>
      </c>
    </row>
    <row r="52" spans="1:18" ht="30" customHeight="1" x14ac:dyDescent="0.25">
      <c r="A52" s="16" t="s">
        <v>30</v>
      </c>
      <c r="B52" s="17">
        <v>219822</v>
      </c>
      <c r="C52" s="18" t="s">
        <v>20</v>
      </c>
      <c r="D52" s="19" t="s">
        <v>132</v>
      </c>
      <c r="E52" s="17" t="s">
        <v>62</v>
      </c>
      <c r="F52" s="17">
        <v>1</v>
      </c>
      <c r="G52" s="74">
        <v>44235</v>
      </c>
      <c r="H52" s="74">
        <v>44235</v>
      </c>
      <c r="I52" s="74">
        <v>44235</v>
      </c>
      <c r="J52" s="20"/>
      <c r="K52" s="18" t="s">
        <v>23</v>
      </c>
      <c r="L52" s="21" t="s">
        <v>24</v>
      </c>
      <c r="M52" s="18" t="s">
        <v>25</v>
      </c>
      <c r="N52" s="18"/>
      <c r="O52" s="18" t="s">
        <v>26</v>
      </c>
      <c r="P52" s="20"/>
      <c r="Q52" s="18" t="s">
        <v>54</v>
      </c>
      <c r="R52" s="22" t="s">
        <v>54</v>
      </c>
    </row>
    <row r="53" spans="1:18" ht="30" customHeight="1" x14ac:dyDescent="0.25">
      <c r="A53" s="16" t="s">
        <v>129</v>
      </c>
      <c r="B53" s="17">
        <v>218925</v>
      </c>
      <c r="C53" s="18" t="s">
        <v>20</v>
      </c>
      <c r="D53" s="19" t="s">
        <v>130</v>
      </c>
      <c r="E53" s="17" t="s">
        <v>33</v>
      </c>
      <c r="F53" s="17">
        <v>1</v>
      </c>
      <c r="G53" s="74">
        <v>44230</v>
      </c>
      <c r="H53" s="74">
        <v>44236</v>
      </c>
      <c r="I53" s="74">
        <v>44236</v>
      </c>
      <c r="J53" s="20"/>
      <c r="K53" s="18" t="s">
        <v>23</v>
      </c>
      <c r="L53" s="21" t="s">
        <v>34</v>
      </c>
      <c r="M53" s="18" t="s">
        <v>25</v>
      </c>
      <c r="N53" s="18">
        <v>1</v>
      </c>
      <c r="O53" s="18" t="s">
        <v>26</v>
      </c>
      <c r="P53" s="20" t="s">
        <v>27</v>
      </c>
      <c r="Q53" s="18" t="s">
        <v>29</v>
      </c>
      <c r="R53" s="22" t="s">
        <v>54</v>
      </c>
    </row>
    <row r="54" spans="1:18" ht="30" customHeight="1" x14ac:dyDescent="0.25">
      <c r="A54" s="16" t="s">
        <v>133</v>
      </c>
      <c r="B54" s="17">
        <v>218963</v>
      </c>
      <c r="C54" s="18" t="s">
        <v>20</v>
      </c>
      <c r="D54" s="19" t="s">
        <v>134</v>
      </c>
      <c r="E54" s="17" t="s">
        <v>62</v>
      </c>
      <c r="F54" s="17">
        <v>1</v>
      </c>
      <c r="G54" s="74">
        <v>44230</v>
      </c>
      <c r="H54" s="74">
        <v>44236</v>
      </c>
      <c r="I54" s="74">
        <v>44236</v>
      </c>
      <c r="J54" s="20"/>
      <c r="K54" s="18" t="s">
        <v>23</v>
      </c>
      <c r="L54" s="21" t="s">
        <v>24</v>
      </c>
      <c r="M54" s="18" t="s">
        <v>25</v>
      </c>
      <c r="N54" s="18"/>
      <c r="O54" s="18" t="s">
        <v>26</v>
      </c>
      <c r="P54" s="20"/>
      <c r="Q54" s="18" t="s">
        <v>29</v>
      </c>
      <c r="R54" s="22" t="s">
        <v>28</v>
      </c>
    </row>
    <row r="55" spans="1:18" ht="30" customHeight="1" x14ac:dyDescent="0.25">
      <c r="A55" s="16" t="s">
        <v>71</v>
      </c>
      <c r="B55" s="17">
        <v>219755</v>
      </c>
      <c r="C55" s="18" t="s">
        <v>31</v>
      </c>
      <c r="D55" s="19" t="s">
        <v>135</v>
      </c>
      <c r="E55" s="17" t="s">
        <v>49</v>
      </c>
      <c r="F55" s="17">
        <v>1</v>
      </c>
      <c r="G55" s="74">
        <v>44232</v>
      </c>
      <c r="H55" s="74">
        <v>44237</v>
      </c>
      <c r="I55" s="74">
        <v>44248</v>
      </c>
      <c r="J55" s="20"/>
      <c r="K55" s="18" t="s">
        <v>23</v>
      </c>
      <c r="L55" s="21" t="s">
        <v>42</v>
      </c>
      <c r="M55" s="18" t="s">
        <v>25</v>
      </c>
      <c r="N55" s="18"/>
      <c r="O55" s="18" t="s">
        <v>27</v>
      </c>
      <c r="P55" s="20" t="s">
        <v>27</v>
      </c>
      <c r="Q55" s="18" t="s">
        <v>74</v>
      </c>
      <c r="R55" s="22"/>
    </row>
    <row r="56" spans="1:18" ht="30" customHeight="1" x14ac:dyDescent="0.25">
      <c r="A56" s="16" t="s">
        <v>71</v>
      </c>
      <c r="B56" s="17">
        <v>219755</v>
      </c>
      <c r="C56" s="18" t="s">
        <v>31</v>
      </c>
      <c r="D56" s="19" t="s">
        <v>135</v>
      </c>
      <c r="E56" s="17" t="s">
        <v>35</v>
      </c>
      <c r="F56" s="17">
        <v>1</v>
      </c>
      <c r="G56" s="74">
        <v>44232</v>
      </c>
      <c r="H56" s="74">
        <v>44237</v>
      </c>
      <c r="I56" s="74">
        <v>44248</v>
      </c>
      <c r="J56" s="20"/>
      <c r="K56" s="18" t="s">
        <v>23</v>
      </c>
      <c r="L56" s="21" t="s">
        <v>42</v>
      </c>
      <c r="M56" s="18" t="s">
        <v>25</v>
      </c>
      <c r="N56" s="18"/>
      <c r="O56" s="18" t="s">
        <v>27</v>
      </c>
      <c r="P56" s="20" t="s">
        <v>27</v>
      </c>
      <c r="Q56" s="18" t="s">
        <v>74</v>
      </c>
      <c r="R56" s="22"/>
    </row>
    <row r="57" spans="1:18" ht="30" customHeight="1" x14ac:dyDescent="0.25">
      <c r="A57" s="16" t="s">
        <v>37</v>
      </c>
      <c r="B57" s="17">
        <v>219991</v>
      </c>
      <c r="C57" s="18" t="s">
        <v>20</v>
      </c>
      <c r="D57" s="19" t="s">
        <v>136</v>
      </c>
      <c r="E57" s="17" t="s">
        <v>44</v>
      </c>
      <c r="F57" s="17">
        <v>13</v>
      </c>
      <c r="G57" s="74">
        <v>44235</v>
      </c>
      <c r="H57" s="74">
        <v>44244</v>
      </c>
      <c r="I57" s="74">
        <v>44238</v>
      </c>
      <c r="J57" s="20"/>
      <c r="K57" s="18" t="s">
        <v>23</v>
      </c>
      <c r="L57" s="21" t="s">
        <v>24</v>
      </c>
      <c r="M57" s="18" t="s">
        <v>25</v>
      </c>
      <c r="N57" s="18"/>
      <c r="O57" s="18" t="s">
        <v>26</v>
      </c>
      <c r="P57" s="20" t="s">
        <v>27</v>
      </c>
      <c r="Q57" s="18" t="s">
        <v>54</v>
      </c>
      <c r="R57" s="22" t="s">
        <v>54</v>
      </c>
    </row>
    <row r="58" spans="1:18" ht="30" customHeight="1" x14ac:dyDescent="0.25">
      <c r="A58" s="16" t="s">
        <v>37</v>
      </c>
      <c r="B58" s="17">
        <v>219991</v>
      </c>
      <c r="C58" s="18" t="s">
        <v>20</v>
      </c>
      <c r="D58" s="19" t="s">
        <v>136</v>
      </c>
      <c r="E58" s="17" t="s">
        <v>39</v>
      </c>
      <c r="F58" s="17">
        <v>13</v>
      </c>
      <c r="G58" s="74">
        <v>44235</v>
      </c>
      <c r="H58" s="74">
        <v>44244</v>
      </c>
      <c r="I58" s="74">
        <v>44238</v>
      </c>
      <c r="J58" s="20"/>
      <c r="K58" s="18" t="s">
        <v>23</v>
      </c>
      <c r="L58" s="21" t="s">
        <v>24</v>
      </c>
      <c r="M58" s="18" t="s">
        <v>25</v>
      </c>
      <c r="N58" s="18"/>
      <c r="O58" s="18" t="s">
        <v>26</v>
      </c>
      <c r="P58" s="20" t="s">
        <v>27</v>
      </c>
      <c r="Q58" s="18" t="s">
        <v>54</v>
      </c>
      <c r="R58" s="22" t="s">
        <v>54</v>
      </c>
    </row>
    <row r="59" spans="1:18" ht="30" customHeight="1" x14ac:dyDescent="0.25">
      <c r="A59" s="16" t="s">
        <v>37</v>
      </c>
      <c r="B59" s="17">
        <v>219991</v>
      </c>
      <c r="C59" s="18" t="s">
        <v>20</v>
      </c>
      <c r="D59" s="19" t="s">
        <v>136</v>
      </c>
      <c r="E59" s="17" t="s">
        <v>33</v>
      </c>
      <c r="F59" s="17">
        <v>13</v>
      </c>
      <c r="G59" s="74">
        <v>44235</v>
      </c>
      <c r="H59" s="74">
        <v>44244</v>
      </c>
      <c r="I59" s="74">
        <v>44238</v>
      </c>
      <c r="J59" s="20"/>
      <c r="K59" s="18" t="s">
        <v>23</v>
      </c>
      <c r="L59" s="21" t="s">
        <v>24</v>
      </c>
      <c r="M59" s="18" t="s">
        <v>25</v>
      </c>
      <c r="N59" s="18"/>
      <c r="O59" s="18" t="s">
        <v>26</v>
      </c>
      <c r="P59" s="20" t="s">
        <v>27</v>
      </c>
      <c r="Q59" s="18" t="s">
        <v>54</v>
      </c>
      <c r="R59" s="22" t="s">
        <v>54</v>
      </c>
    </row>
    <row r="60" spans="1:18" ht="30" customHeight="1" x14ac:dyDescent="0.25">
      <c r="A60" s="16" t="s">
        <v>37</v>
      </c>
      <c r="B60" s="17">
        <v>219991</v>
      </c>
      <c r="C60" s="18" t="s">
        <v>20</v>
      </c>
      <c r="D60" s="19" t="s">
        <v>136</v>
      </c>
      <c r="E60" s="17" t="s">
        <v>49</v>
      </c>
      <c r="F60" s="17">
        <v>1</v>
      </c>
      <c r="G60" s="74">
        <v>44235</v>
      </c>
      <c r="H60" s="74">
        <v>44244</v>
      </c>
      <c r="I60" s="74">
        <v>44238</v>
      </c>
      <c r="J60" s="20"/>
      <c r="K60" s="18" t="s">
        <v>23</v>
      </c>
      <c r="L60" s="21" t="s">
        <v>24</v>
      </c>
      <c r="M60" s="18" t="s">
        <v>25</v>
      </c>
      <c r="N60" s="18"/>
      <c r="O60" s="18" t="s">
        <v>26</v>
      </c>
      <c r="P60" s="20" t="s">
        <v>27</v>
      </c>
      <c r="Q60" s="18" t="s">
        <v>54</v>
      </c>
      <c r="R60" s="22" t="s">
        <v>54</v>
      </c>
    </row>
    <row r="61" spans="1:18" ht="30" customHeight="1" x14ac:dyDescent="0.25">
      <c r="A61" s="16" t="s">
        <v>37</v>
      </c>
      <c r="B61" s="17">
        <v>219991</v>
      </c>
      <c r="C61" s="18" t="s">
        <v>20</v>
      </c>
      <c r="D61" s="19" t="s">
        <v>136</v>
      </c>
      <c r="E61" s="17" t="s">
        <v>93</v>
      </c>
      <c r="F61" s="17">
        <v>1</v>
      </c>
      <c r="G61" s="74">
        <v>44235</v>
      </c>
      <c r="H61" s="74">
        <v>44244</v>
      </c>
      <c r="I61" s="74">
        <v>44238</v>
      </c>
      <c r="J61" s="20"/>
      <c r="K61" s="18" t="s">
        <v>23</v>
      </c>
      <c r="L61" s="21" t="s">
        <v>24</v>
      </c>
      <c r="M61" s="18" t="s">
        <v>25</v>
      </c>
      <c r="N61" s="18"/>
      <c r="O61" s="18" t="s">
        <v>26</v>
      </c>
      <c r="P61" s="20" t="s">
        <v>27</v>
      </c>
      <c r="Q61" s="18" t="s">
        <v>54</v>
      </c>
      <c r="R61" s="22" t="s">
        <v>54</v>
      </c>
    </row>
    <row r="62" spans="1:18" ht="30" customHeight="1" x14ac:dyDescent="0.25">
      <c r="A62" s="16" t="s">
        <v>37</v>
      </c>
      <c r="B62" s="17">
        <v>213148</v>
      </c>
      <c r="C62" s="18" t="s">
        <v>20</v>
      </c>
      <c r="D62" s="19" t="s">
        <v>137</v>
      </c>
      <c r="E62" s="17" t="s">
        <v>35</v>
      </c>
      <c r="F62" s="17">
        <v>2</v>
      </c>
      <c r="G62" s="74">
        <v>44203</v>
      </c>
      <c r="H62" s="74">
        <v>44221</v>
      </c>
      <c r="I62" s="74">
        <v>44236</v>
      </c>
      <c r="J62" s="20"/>
      <c r="K62" s="18" t="s">
        <v>23</v>
      </c>
      <c r="L62" s="21" t="s">
        <v>42</v>
      </c>
      <c r="M62" s="18" t="s">
        <v>25</v>
      </c>
      <c r="N62" s="18"/>
      <c r="O62" s="18" t="s">
        <v>27</v>
      </c>
      <c r="P62" s="20" t="s">
        <v>27</v>
      </c>
      <c r="Q62" s="18" t="s">
        <v>29</v>
      </c>
      <c r="R62" s="22" t="s">
        <v>54</v>
      </c>
    </row>
    <row r="63" spans="1:18" ht="30" customHeight="1" x14ac:dyDescent="0.25">
      <c r="A63" s="16" t="s">
        <v>37</v>
      </c>
      <c r="B63" s="17">
        <v>213148</v>
      </c>
      <c r="C63" s="18" t="s">
        <v>20</v>
      </c>
      <c r="D63" s="19" t="s">
        <v>137</v>
      </c>
      <c r="E63" s="17" t="s">
        <v>44</v>
      </c>
      <c r="F63" s="17">
        <v>2</v>
      </c>
      <c r="G63" s="74">
        <v>44203</v>
      </c>
      <c r="H63" s="74">
        <v>44221</v>
      </c>
      <c r="I63" s="74">
        <v>44236</v>
      </c>
      <c r="J63" s="20"/>
      <c r="K63" s="18" t="s">
        <v>23</v>
      </c>
      <c r="L63" s="21" t="s">
        <v>42</v>
      </c>
      <c r="M63" s="18" t="s">
        <v>25</v>
      </c>
      <c r="N63" s="18"/>
      <c r="O63" s="18" t="s">
        <v>27</v>
      </c>
      <c r="P63" s="20" t="s">
        <v>27</v>
      </c>
      <c r="Q63" s="18" t="s">
        <v>29</v>
      </c>
      <c r="R63" s="22" t="s">
        <v>54</v>
      </c>
    </row>
    <row r="64" spans="1:18" ht="30" customHeight="1" x14ac:dyDescent="0.25">
      <c r="A64" s="16" t="s">
        <v>37</v>
      </c>
      <c r="B64" s="17">
        <v>213148</v>
      </c>
      <c r="C64" s="18" t="s">
        <v>20</v>
      </c>
      <c r="D64" s="19" t="s">
        <v>137</v>
      </c>
      <c r="E64" s="17" t="s">
        <v>49</v>
      </c>
      <c r="F64" s="17">
        <v>2</v>
      </c>
      <c r="G64" s="74">
        <v>44203</v>
      </c>
      <c r="H64" s="74">
        <v>44221</v>
      </c>
      <c r="I64" s="74">
        <v>44236</v>
      </c>
      <c r="J64" s="20"/>
      <c r="K64" s="18" t="s">
        <v>23</v>
      </c>
      <c r="L64" s="21" t="s">
        <v>42</v>
      </c>
      <c r="M64" s="18" t="s">
        <v>25</v>
      </c>
      <c r="N64" s="18"/>
      <c r="O64" s="18" t="s">
        <v>27</v>
      </c>
      <c r="P64" s="20" t="s">
        <v>27</v>
      </c>
      <c r="Q64" s="18" t="s">
        <v>29</v>
      </c>
      <c r="R64" s="22" t="s">
        <v>54</v>
      </c>
    </row>
    <row r="65" spans="1:18" ht="30" customHeight="1" x14ac:dyDescent="0.25">
      <c r="A65" s="16" t="s">
        <v>37</v>
      </c>
      <c r="B65" s="17">
        <v>213148</v>
      </c>
      <c r="C65" s="18" t="s">
        <v>20</v>
      </c>
      <c r="D65" s="19" t="s">
        <v>137</v>
      </c>
      <c r="E65" s="17" t="s">
        <v>49</v>
      </c>
      <c r="F65" s="17">
        <v>8</v>
      </c>
      <c r="G65" s="74">
        <v>44203</v>
      </c>
      <c r="H65" s="74">
        <v>44221</v>
      </c>
      <c r="I65" s="74">
        <v>44236</v>
      </c>
      <c r="J65" s="20"/>
      <c r="K65" s="18" t="s">
        <v>23</v>
      </c>
      <c r="L65" s="21" t="s">
        <v>42</v>
      </c>
      <c r="M65" s="18" t="s">
        <v>25</v>
      </c>
      <c r="N65" s="18"/>
      <c r="O65" s="18" t="s">
        <v>27</v>
      </c>
      <c r="P65" s="20" t="s">
        <v>27</v>
      </c>
      <c r="Q65" s="18" t="s">
        <v>29</v>
      </c>
      <c r="R65" s="22" t="s">
        <v>54</v>
      </c>
    </row>
    <row r="66" spans="1:18" ht="30" customHeight="1" x14ac:dyDescent="0.25">
      <c r="A66" s="16" t="s">
        <v>40</v>
      </c>
      <c r="B66" s="17">
        <v>220827</v>
      </c>
      <c r="C66" s="18" t="s">
        <v>31</v>
      </c>
      <c r="D66" s="19" t="s">
        <v>138</v>
      </c>
      <c r="E66" s="17" t="s">
        <v>35</v>
      </c>
      <c r="F66" s="17">
        <v>1</v>
      </c>
      <c r="G66" s="74">
        <v>44238</v>
      </c>
      <c r="H66" s="74">
        <v>44238</v>
      </c>
      <c r="I66" s="74">
        <v>44238</v>
      </c>
      <c r="J66" s="20"/>
      <c r="K66" s="18" t="s">
        <v>23</v>
      </c>
      <c r="L66" s="21" t="s">
        <v>24</v>
      </c>
      <c r="M66" s="18" t="s">
        <v>25</v>
      </c>
      <c r="N66" s="18"/>
      <c r="O66" s="18" t="s">
        <v>26</v>
      </c>
      <c r="P66" s="20" t="s">
        <v>27</v>
      </c>
      <c r="Q66" s="18" t="s">
        <v>29</v>
      </c>
      <c r="R66" s="22"/>
    </row>
    <row r="67" spans="1:18" ht="30" customHeight="1" x14ac:dyDescent="0.25">
      <c r="A67" s="16" t="s">
        <v>30</v>
      </c>
      <c r="B67" s="17">
        <v>220694</v>
      </c>
      <c r="C67" s="18" t="s">
        <v>20</v>
      </c>
      <c r="D67" s="19" t="s">
        <v>139</v>
      </c>
      <c r="E67" s="17" t="s">
        <v>140</v>
      </c>
      <c r="F67" s="17">
        <v>2</v>
      </c>
      <c r="G67" s="74">
        <v>44237</v>
      </c>
      <c r="H67" s="74">
        <v>44238</v>
      </c>
      <c r="I67" s="74">
        <v>44239</v>
      </c>
      <c r="J67" s="20"/>
      <c r="K67" s="18" t="s">
        <v>23</v>
      </c>
      <c r="L67" s="21" t="s">
        <v>34</v>
      </c>
      <c r="M67" s="18" t="s">
        <v>25</v>
      </c>
      <c r="N67" s="18"/>
      <c r="O67" s="18" t="s">
        <v>26</v>
      </c>
      <c r="P67" s="20" t="s">
        <v>26</v>
      </c>
      <c r="Q67" s="18" t="s">
        <v>29</v>
      </c>
      <c r="R67" s="22" t="s">
        <v>54</v>
      </c>
    </row>
    <row r="68" spans="1:18" ht="30" customHeight="1" x14ac:dyDescent="0.25">
      <c r="A68" s="16" t="s">
        <v>30</v>
      </c>
      <c r="B68" s="17">
        <v>220694</v>
      </c>
      <c r="C68" s="18" t="s">
        <v>20</v>
      </c>
      <c r="D68" s="19" t="s">
        <v>139</v>
      </c>
      <c r="E68" s="17" t="s">
        <v>90</v>
      </c>
      <c r="F68" s="17">
        <v>6</v>
      </c>
      <c r="G68" s="74">
        <v>44237</v>
      </c>
      <c r="H68" s="74">
        <v>44238</v>
      </c>
      <c r="I68" s="74">
        <v>44239</v>
      </c>
      <c r="J68" s="20"/>
      <c r="K68" s="18" t="s">
        <v>23</v>
      </c>
      <c r="L68" s="21" t="s">
        <v>34</v>
      </c>
      <c r="M68" s="18" t="s">
        <v>25</v>
      </c>
      <c r="N68" s="18"/>
      <c r="O68" s="18" t="s">
        <v>26</v>
      </c>
      <c r="P68" s="20" t="s">
        <v>26</v>
      </c>
      <c r="Q68" s="18" t="s">
        <v>29</v>
      </c>
      <c r="R68" s="22" t="s">
        <v>54</v>
      </c>
    </row>
    <row r="69" spans="1:18" ht="30" customHeight="1" x14ac:dyDescent="0.25">
      <c r="A69" s="16" t="s">
        <v>30</v>
      </c>
      <c r="B69" s="17">
        <v>220594</v>
      </c>
      <c r="C69" s="18" t="s">
        <v>20</v>
      </c>
      <c r="D69" s="19" t="s">
        <v>141</v>
      </c>
      <c r="E69" s="17" t="s">
        <v>142</v>
      </c>
      <c r="F69" s="17">
        <v>1</v>
      </c>
      <c r="G69" s="74">
        <v>44237</v>
      </c>
      <c r="H69" s="74">
        <v>44238</v>
      </c>
      <c r="I69" s="74">
        <v>44238</v>
      </c>
      <c r="J69" s="20"/>
      <c r="K69" s="18" t="s">
        <v>23</v>
      </c>
      <c r="L69" s="21" t="s">
        <v>58</v>
      </c>
      <c r="M69" s="18" t="s">
        <v>25</v>
      </c>
      <c r="N69" s="18"/>
      <c r="O69" s="18" t="s">
        <v>26</v>
      </c>
      <c r="P69" s="20"/>
      <c r="Q69" s="18" t="s">
        <v>29</v>
      </c>
      <c r="R69" s="22"/>
    </row>
    <row r="70" spans="1:18" ht="30" customHeight="1" x14ac:dyDescent="0.25">
      <c r="A70" s="16" t="s">
        <v>30</v>
      </c>
      <c r="B70" s="17">
        <v>221313</v>
      </c>
      <c r="C70" s="18" t="s">
        <v>20</v>
      </c>
      <c r="D70" s="19" t="s">
        <v>143</v>
      </c>
      <c r="E70" s="17" t="s">
        <v>62</v>
      </c>
      <c r="F70" s="17">
        <v>1</v>
      </c>
      <c r="G70" s="74">
        <v>44239</v>
      </c>
      <c r="H70" s="74">
        <v>44245</v>
      </c>
      <c r="I70" s="74">
        <v>44249</v>
      </c>
      <c r="J70" s="20"/>
      <c r="K70" s="18" t="s">
        <v>23</v>
      </c>
      <c r="L70" s="21" t="s">
        <v>34</v>
      </c>
      <c r="M70" s="18" t="s">
        <v>25</v>
      </c>
      <c r="N70" s="18">
        <v>1</v>
      </c>
      <c r="O70" s="18" t="s">
        <v>26</v>
      </c>
      <c r="P70" s="20" t="s">
        <v>26</v>
      </c>
      <c r="Q70" s="18" t="s">
        <v>29</v>
      </c>
      <c r="R70" s="22" t="s">
        <v>54</v>
      </c>
    </row>
    <row r="71" spans="1:18" ht="30" customHeight="1" x14ac:dyDescent="0.25">
      <c r="A71" s="16" t="s">
        <v>68</v>
      </c>
      <c r="B71" s="17">
        <v>218839</v>
      </c>
      <c r="C71" s="18" t="s">
        <v>64</v>
      </c>
      <c r="D71" s="19" t="s">
        <v>144</v>
      </c>
      <c r="E71" s="17" t="s">
        <v>73</v>
      </c>
      <c r="F71" s="17">
        <v>1</v>
      </c>
      <c r="G71" s="74">
        <v>44230</v>
      </c>
      <c r="H71" s="74">
        <v>44235</v>
      </c>
      <c r="I71" s="74"/>
      <c r="J71" s="20"/>
      <c r="K71" s="18" t="s">
        <v>23</v>
      </c>
      <c r="L71" s="21" t="s">
        <v>58</v>
      </c>
      <c r="M71" s="18" t="s">
        <v>25</v>
      </c>
      <c r="N71" s="18"/>
      <c r="O71" s="18" t="s">
        <v>26</v>
      </c>
      <c r="P71" s="20"/>
      <c r="Q71" s="18" t="s">
        <v>29</v>
      </c>
      <c r="R71" s="22" t="s">
        <v>54</v>
      </c>
    </row>
    <row r="72" spans="1:18" ht="30" customHeight="1" x14ac:dyDescent="0.25">
      <c r="A72" s="16" t="s">
        <v>40</v>
      </c>
      <c r="B72" s="17">
        <v>221808</v>
      </c>
      <c r="C72" s="18" t="s">
        <v>31</v>
      </c>
      <c r="D72" s="19" t="s">
        <v>138</v>
      </c>
      <c r="E72" s="17" t="s">
        <v>35</v>
      </c>
      <c r="F72" s="17">
        <v>1</v>
      </c>
      <c r="G72" s="74">
        <v>44245</v>
      </c>
      <c r="H72" s="74">
        <v>44245</v>
      </c>
      <c r="I72" s="74">
        <v>44245</v>
      </c>
      <c r="J72" s="20"/>
      <c r="K72" s="18" t="s">
        <v>23</v>
      </c>
      <c r="L72" s="21" t="s">
        <v>24</v>
      </c>
      <c r="M72" s="18" t="s">
        <v>25</v>
      </c>
      <c r="N72" s="18"/>
      <c r="O72" s="18" t="s">
        <v>26</v>
      </c>
      <c r="P72" s="20"/>
      <c r="Q72" s="18" t="s">
        <v>29</v>
      </c>
      <c r="R72" s="22"/>
    </row>
    <row r="73" spans="1:18" ht="30" customHeight="1" x14ac:dyDescent="0.25">
      <c r="A73" s="16" t="s">
        <v>145</v>
      </c>
      <c r="B73" s="17" t="s">
        <v>96</v>
      </c>
      <c r="C73" s="18" t="s">
        <v>31</v>
      </c>
      <c r="D73" s="19" t="s">
        <v>146</v>
      </c>
      <c r="E73" s="17" t="s">
        <v>147</v>
      </c>
      <c r="F73" s="17">
        <v>2</v>
      </c>
      <c r="G73" s="74">
        <v>44236</v>
      </c>
      <c r="H73" s="74">
        <v>44236</v>
      </c>
      <c r="I73" s="74">
        <v>44236</v>
      </c>
      <c r="J73" s="20"/>
      <c r="K73" s="18" t="s">
        <v>23</v>
      </c>
      <c r="L73" s="21" t="s">
        <v>42</v>
      </c>
      <c r="M73" s="18" t="s">
        <v>25</v>
      </c>
      <c r="N73" s="18">
        <v>2</v>
      </c>
      <c r="O73" s="18" t="s">
        <v>27</v>
      </c>
      <c r="P73" s="20" t="s">
        <v>27</v>
      </c>
      <c r="Q73" s="18" t="s">
        <v>28</v>
      </c>
      <c r="R73" s="22" t="s">
        <v>28</v>
      </c>
    </row>
    <row r="74" spans="1:18" ht="30" customHeight="1" x14ac:dyDescent="0.25">
      <c r="A74" s="16" t="s">
        <v>40</v>
      </c>
      <c r="B74" s="17" t="s">
        <v>96</v>
      </c>
      <c r="C74" s="18" t="s">
        <v>31</v>
      </c>
      <c r="D74" s="19" t="s">
        <v>148</v>
      </c>
      <c r="E74" s="17" t="s">
        <v>67</v>
      </c>
      <c r="F74" s="17">
        <v>1</v>
      </c>
      <c r="G74" s="74">
        <v>44229</v>
      </c>
      <c r="H74" s="74">
        <v>44229</v>
      </c>
      <c r="I74" s="74">
        <v>44229</v>
      </c>
      <c r="J74" s="20"/>
      <c r="K74" s="18" t="s">
        <v>23</v>
      </c>
      <c r="L74" s="21" t="s">
        <v>24</v>
      </c>
      <c r="M74" s="18" t="s">
        <v>25</v>
      </c>
      <c r="N74" s="18"/>
      <c r="O74" s="18" t="s">
        <v>26</v>
      </c>
      <c r="P74" s="20" t="s">
        <v>27</v>
      </c>
      <c r="Q74" s="18" t="s">
        <v>54</v>
      </c>
      <c r="R74" s="22" t="s">
        <v>54</v>
      </c>
    </row>
    <row r="75" spans="1:18" ht="30" customHeight="1" x14ac:dyDescent="0.25">
      <c r="A75" s="16" t="s">
        <v>40</v>
      </c>
      <c r="B75" s="17">
        <v>209685</v>
      </c>
      <c r="C75" s="18" t="s">
        <v>20</v>
      </c>
      <c r="D75" s="19" t="s">
        <v>149</v>
      </c>
      <c r="E75" s="17" t="s">
        <v>35</v>
      </c>
      <c r="F75" s="17">
        <v>1</v>
      </c>
      <c r="G75" s="74">
        <v>44551</v>
      </c>
      <c r="H75" s="74">
        <v>44553</v>
      </c>
      <c r="I75" s="74">
        <v>44198</v>
      </c>
      <c r="J75" s="20"/>
      <c r="K75" s="18" t="s">
        <v>23</v>
      </c>
      <c r="L75" s="21" t="s">
        <v>42</v>
      </c>
      <c r="M75" s="18" t="s">
        <v>25</v>
      </c>
      <c r="N75" s="18"/>
      <c r="O75" s="18" t="s">
        <v>27</v>
      </c>
      <c r="P75" s="20"/>
      <c r="Q75" s="18"/>
      <c r="R75" s="22"/>
    </row>
    <row r="76" spans="1:18" ht="30" customHeight="1" x14ac:dyDescent="0.25">
      <c r="A76" s="16" t="s">
        <v>68</v>
      </c>
      <c r="B76" s="17">
        <v>222213</v>
      </c>
      <c r="C76" s="18" t="s">
        <v>20</v>
      </c>
      <c r="D76" s="19" t="s">
        <v>150</v>
      </c>
      <c r="E76" s="17" t="s">
        <v>35</v>
      </c>
      <c r="F76" s="17">
        <v>2</v>
      </c>
      <c r="G76" s="74">
        <v>44246</v>
      </c>
      <c r="H76" s="74">
        <v>44250</v>
      </c>
      <c r="I76" s="74">
        <v>44250</v>
      </c>
      <c r="J76" s="20"/>
      <c r="K76" s="18" t="s">
        <v>23</v>
      </c>
      <c r="L76" s="21" t="s">
        <v>34</v>
      </c>
      <c r="M76" s="18" t="s">
        <v>25</v>
      </c>
      <c r="N76" s="18"/>
      <c r="O76" s="18" t="s">
        <v>26</v>
      </c>
      <c r="P76" s="20" t="s">
        <v>27</v>
      </c>
      <c r="Q76" s="18" t="s">
        <v>29</v>
      </c>
      <c r="R76" s="22" t="s">
        <v>29</v>
      </c>
    </row>
    <row r="77" spans="1:18" ht="30" customHeight="1" x14ac:dyDescent="0.25">
      <c r="A77" s="16" t="s">
        <v>68</v>
      </c>
      <c r="B77" s="17">
        <v>222213</v>
      </c>
      <c r="C77" s="18" t="s">
        <v>20</v>
      </c>
      <c r="D77" s="19" t="s">
        <v>150</v>
      </c>
      <c r="E77" s="17" t="s">
        <v>33</v>
      </c>
      <c r="F77" s="17">
        <v>2</v>
      </c>
      <c r="G77" s="74">
        <v>44246</v>
      </c>
      <c r="H77" s="74">
        <v>44250</v>
      </c>
      <c r="I77" s="74">
        <v>44250</v>
      </c>
      <c r="J77" s="20"/>
      <c r="K77" s="18" t="s">
        <v>23</v>
      </c>
      <c r="L77" s="21" t="s">
        <v>34</v>
      </c>
      <c r="M77" s="18" t="s">
        <v>25</v>
      </c>
      <c r="N77" s="18"/>
      <c r="O77" s="18" t="s">
        <v>26</v>
      </c>
      <c r="P77" s="20" t="s">
        <v>27</v>
      </c>
      <c r="Q77" s="18" t="s">
        <v>29</v>
      </c>
      <c r="R77" s="22" t="s">
        <v>29</v>
      </c>
    </row>
    <row r="78" spans="1:18" ht="30" customHeight="1" x14ac:dyDescent="0.25">
      <c r="A78" s="16" t="s">
        <v>55</v>
      </c>
      <c r="B78" s="17">
        <v>222473</v>
      </c>
      <c r="C78" s="18" t="s">
        <v>64</v>
      </c>
      <c r="D78" s="19" t="s">
        <v>151</v>
      </c>
      <c r="E78" s="17" t="s">
        <v>152</v>
      </c>
      <c r="F78" s="17">
        <v>7</v>
      </c>
      <c r="G78" s="74">
        <v>44249</v>
      </c>
      <c r="H78" s="74">
        <v>44249</v>
      </c>
      <c r="I78" s="74"/>
      <c r="J78" s="20"/>
      <c r="K78" s="18" t="s">
        <v>23</v>
      </c>
      <c r="L78" s="21" t="s">
        <v>58</v>
      </c>
      <c r="M78" s="18" t="s">
        <v>25</v>
      </c>
      <c r="N78" s="18"/>
      <c r="O78" s="18" t="s">
        <v>27</v>
      </c>
      <c r="P78" s="20"/>
      <c r="Q78" s="18" t="s">
        <v>29</v>
      </c>
      <c r="R78" s="22" t="s">
        <v>29</v>
      </c>
    </row>
    <row r="79" spans="1:18" ht="30" customHeight="1" x14ac:dyDescent="0.25">
      <c r="A79" s="16" t="s">
        <v>40</v>
      </c>
      <c r="B79" s="17">
        <v>223252</v>
      </c>
      <c r="C79" s="18" t="s">
        <v>31</v>
      </c>
      <c r="D79" s="19" t="s">
        <v>153</v>
      </c>
      <c r="E79" s="17" t="s">
        <v>35</v>
      </c>
      <c r="F79" s="17">
        <v>1</v>
      </c>
      <c r="G79" s="74">
        <v>44251</v>
      </c>
      <c r="H79" s="74">
        <v>44251</v>
      </c>
      <c r="I79" s="74">
        <v>44251</v>
      </c>
      <c r="J79" s="20"/>
      <c r="K79" s="18" t="s">
        <v>23</v>
      </c>
      <c r="L79" s="21" t="s">
        <v>24</v>
      </c>
      <c r="M79" s="18" t="s">
        <v>25</v>
      </c>
      <c r="N79" s="18">
        <v>3</v>
      </c>
      <c r="O79" s="18" t="s">
        <v>26</v>
      </c>
      <c r="P79" s="20"/>
      <c r="Q79" s="18" t="s">
        <v>29</v>
      </c>
      <c r="R79" s="22"/>
    </row>
    <row r="80" spans="1:18" ht="30" customHeight="1" x14ac:dyDescent="0.25">
      <c r="A80" s="16" t="s">
        <v>47</v>
      </c>
      <c r="B80" s="17">
        <v>222723</v>
      </c>
      <c r="C80" s="18" t="s">
        <v>31</v>
      </c>
      <c r="D80" s="19" t="s">
        <v>154</v>
      </c>
      <c r="E80" s="17" t="s">
        <v>73</v>
      </c>
      <c r="F80" s="17">
        <v>1</v>
      </c>
      <c r="G80" s="74">
        <v>44250</v>
      </c>
      <c r="H80" s="74">
        <v>44253</v>
      </c>
      <c r="I80" s="74">
        <v>44250</v>
      </c>
      <c r="J80" s="20"/>
      <c r="K80" s="18" t="s">
        <v>23</v>
      </c>
      <c r="L80" s="21" t="s">
        <v>58</v>
      </c>
      <c r="M80" s="18" t="s">
        <v>25</v>
      </c>
      <c r="N80" s="18"/>
      <c r="O80" s="18" t="s">
        <v>26</v>
      </c>
      <c r="P80" s="20"/>
      <c r="Q80" s="18" t="s">
        <v>28</v>
      </c>
      <c r="R80" s="22"/>
    </row>
    <row r="81" spans="1:18" ht="30" customHeight="1" x14ac:dyDescent="0.25">
      <c r="A81" s="16" t="s">
        <v>30</v>
      </c>
      <c r="B81" s="17">
        <v>22281</v>
      </c>
      <c r="C81" s="18" t="s">
        <v>64</v>
      </c>
      <c r="D81" s="19" t="s">
        <v>155</v>
      </c>
      <c r="E81" s="17" t="s">
        <v>156</v>
      </c>
      <c r="F81" s="17">
        <v>1</v>
      </c>
      <c r="G81" s="74">
        <v>44246</v>
      </c>
      <c r="H81" s="74">
        <v>44251</v>
      </c>
      <c r="I81" s="74"/>
      <c r="J81" s="20"/>
      <c r="K81" s="18" t="s">
        <v>23</v>
      </c>
      <c r="L81" s="21" t="s">
        <v>58</v>
      </c>
      <c r="M81" s="18" t="s">
        <v>25</v>
      </c>
      <c r="N81" s="18"/>
      <c r="O81" s="18" t="s">
        <v>26</v>
      </c>
      <c r="P81" s="20"/>
      <c r="Q81" s="18" t="s">
        <v>54</v>
      </c>
      <c r="R81" s="22" t="s">
        <v>54</v>
      </c>
    </row>
    <row r="82" spans="1:18" ht="30" customHeight="1" x14ac:dyDescent="0.25">
      <c r="A82" s="16" t="s">
        <v>129</v>
      </c>
      <c r="B82" s="17">
        <v>222424</v>
      </c>
      <c r="C82" s="18" t="s">
        <v>64</v>
      </c>
      <c r="D82" s="19" t="s">
        <v>157</v>
      </c>
      <c r="E82" s="17" t="s">
        <v>80</v>
      </c>
      <c r="F82" s="17">
        <v>0</v>
      </c>
      <c r="G82" s="74">
        <v>44249</v>
      </c>
      <c r="H82" s="74">
        <v>44253</v>
      </c>
      <c r="I82" s="74"/>
      <c r="J82" s="20"/>
      <c r="K82" s="18" t="s">
        <v>23</v>
      </c>
      <c r="L82" s="21" t="s">
        <v>42</v>
      </c>
      <c r="M82" s="18" t="s">
        <v>80</v>
      </c>
      <c r="N82" s="18"/>
      <c r="O82" s="18" t="s">
        <v>27</v>
      </c>
      <c r="P82" s="20"/>
      <c r="Q82" s="18" t="s">
        <v>28</v>
      </c>
      <c r="R82" s="22"/>
    </row>
    <row r="83" spans="1:18" ht="30" customHeight="1" x14ac:dyDescent="0.25">
      <c r="A83" s="16" t="s">
        <v>40</v>
      </c>
      <c r="B83" s="17">
        <v>223640</v>
      </c>
      <c r="C83" s="18" t="s">
        <v>20</v>
      </c>
      <c r="D83" s="19" t="s">
        <v>158</v>
      </c>
      <c r="E83" s="17" t="s">
        <v>35</v>
      </c>
      <c r="F83" s="17">
        <v>1</v>
      </c>
      <c r="G83" s="74">
        <v>44252</v>
      </c>
      <c r="H83" s="74">
        <v>44253</v>
      </c>
      <c r="I83" s="74">
        <v>44253</v>
      </c>
      <c r="J83" s="20"/>
      <c r="K83" s="18" t="s">
        <v>23</v>
      </c>
      <c r="L83" s="21" t="s">
        <v>24</v>
      </c>
      <c r="M83" s="18" t="s">
        <v>25</v>
      </c>
      <c r="N83" s="18"/>
      <c r="O83" s="18" t="s">
        <v>26</v>
      </c>
      <c r="P83" s="20"/>
      <c r="Q83" s="18" t="s">
        <v>54</v>
      </c>
      <c r="R83" s="22" t="s">
        <v>54</v>
      </c>
    </row>
    <row r="84" spans="1:18" ht="30" customHeight="1" x14ac:dyDescent="0.25">
      <c r="A84" s="16" t="s">
        <v>40</v>
      </c>
      <c r="B84" s="17">
        <v>223640</v>
      </c>
      <c r="C84" s="18" t="s">
        <v>20</v>
      </c>
      <c r="D84" s="19" t="s">
        <v>158</v>
      </c>
      <c r="E84" s="17" t="s">
        <v>33</v>
      </c>
      <c r="F84" s="17">
        <v>1</v>
      </c>
      <c r="G84" s="74">
        <v>44252</v>
      </c>
      <c r="H84" s="74">
        <v>44253</v>
      </c>
      <c r="I84" s="74">
        <v>44253</v>
      </c>
      <c r="J84" s="20"/>
      <c r="K84" s="18" t="s">
        <v>23</v>
      </c>
      <c r="L84" s="21" t="s">
        <v>24</v>
      </c>
      <c r="M84" s="18" t="s">
        <v>25</v>
      </c>
      <c r="N84" s="18"/>
      <c r="O84" s="18" t="s">
        <v>26</v>
      </c>
      <c r="P84" s="20"/>
      <c r="Q84" s="18" t="s">
        <v>54</v>
      </c>
      <c r="R84" s="22" t="s">
        <v>54</v>
      </c>
    </row>
    <row r="85" spans="1:18" ht="30" customHeight="1" x14ac:dyDescent="0.25">
      <c r="A85" s="16" t="s">
        <v>40</v>
      </c>
      <c r="B85" s="17">
        <v>223735</v>
      </c>
      <c r="C85" s="18" t="s">
        <v>31</v>
      </c>
      <c r="D85" s="19" t="s">
        <v>159</v>
      </c>
      <c r="E85" s="17" t="s">
        <v>35</v>
      </c>
      <c r="F85" s="17">
        <v>1</v>
      </c>
      <c r="G85" s="74">
        <v>44252</v>
      </c>
      <c r="H85" s="74">
        <v>44256</v>
      </c>
      <c r="I85" s="74">
        <v>44256</v>
      </c>
      <c r="J85" s="20"/>
      <c r="K85" s="18" t="s">
        <v>23</v>
      </c>
      <c r="L85" s="21" t="s">
        <v>24</v>
      </c>
      <c r="M85" s="18" t="s">
        <v>25</v>
      </c>
      <c r="N85" s="18"/>
      <c r="O85" s="18" t="s">
        <v>26</v>
      </c>
      <c r="P85" s="20"/>
      <c r="Q85" s="18" t="s">
        <v>54</v>
      </c>
      <c r="R85" s="22"/>
    </row>
    <row r="86" spans="1:18" x14ac:dyDescent="0.25">
      <c r="A86" s="16"/>
      <c r="B86" s="17"/>
      <c r="C86" s="18"/>
      <c r="D86" s="19"/>
      <c r="E86" s="17"/>
      <c r="F86" s="17"/>
      <c r="G86" s="74"/>
      <c r="H86" s="74"/>
      <c r="I86" s="74"/>
      <c r="J86" s="20"/>
      <c r="K86" s="18"/>
      <c r="L86" s="21"/>
      <c r="M86" s="18"/>
      <c r="N86" s="18"/>
      <c r="O86" s="18"/>
      <c r="P86" s="20"/>
      <c r="Q86" s="18"/>
      <c r="R86" s="22"/>
    </row>
    <row r="87" spans="1:18" x14ac:dyDescent="0.25">
      <c r="A87" s="16"/>
      <c r="B87" s="17"/>
      <c r="C87" s="18"/>
      <c r="D87" s="19"/>
      <c r="E87" s="17"/>
      <c r="F87" s="17"/>
      <c r="G87" s="74"/>
      <c r="H87" s="74"/>
      <c r="I87" s="74"/>
      <c r="J87" s="20"/>
      <c r="K87" s="18"/>
      <c r="L87" s="21"/>
      <c r="M87" s="18"/>
      <c r="N87" s="18"/>
      <c r="O87" s="18"/>
      <c r="P87" s="20"/>
      <c r="Q87" s="18"/>
      <c r="R87" s="22"/>
    </row>
    <row r="88" spans="1:18" x14ac:dyDescent="0.25">
      <c r="A88" s="16"/>
      <c r="B88" s="17"/>
      <c r="C88" s="18"/>
      <c r="D88" s="19"/>
      <c r="E88" s="17"/>
      <c r="F88" s="17"/>
      <c r="G88" s="74"/>
      <c r="H88" s="74"/>
      <c r="I88" s="74"/>
      <c r="J88" s="20"/>
      <c r="K88" s="18"/>
      <c r="L88" s="21"/>
      <c r="M88" s="18"/>
      <c r="N88" s="18"/>
      <c r="O88" s="18"/>
      <c r="P88" s="20"/>
      <c r="Q88" s="18"/>
      <c r="R88" s="22"/>
    </row>
    <row r="89" spans="1:18" x14ac:dyDescent="0.25">
      <c r="A89" s="16"/>
      <c r="B89" s="17"/>
      <c r="C89" s="18"/>
      <c r="D89" s="19"/>
      <c r="E89" s="17"/>
      <c r="F89" s="17"/>
      <c r="G89" s="74"/>
      <c r="H89" s="74"/>
      <c r="I89" s="74"/>
      <c r="J89" s="20"/>
      <c r="K89" s="18"/>
      <c r="L89" s="21"/>
      <c r="M89" s="18"/>
      <c r="N89" s="18"/>
      <c r="O89" s="18"/>
      <c r="P89" s="20"/>
      <c r="Q89" s="18"/>
      <c r="R89" s="22"/>
    </row>
    <row r="90" spans="1:18" x14ac:dyDescent="0.25">
      <c r="A90" s="16"/>
      <c r="B90" s="17"/>
      <c r="C90" s="18"/>
      <c r="D90" s="19"/>
      <c r="E90" s="17"/>
      <c r="F90" s="17"/>
      <c r="G90" s="74"/>
      <c r="H90" s="74"/>
      <c r="I90" s="74"/>
      <c r="J90" s="20"/>
      <c r="K90" s="18"/>
      <c r="L90" s="21"/>
      <c r="M90" s="18"/>
      <c r="N90" s="18"/>
      <c r="O90" s="18"/>
      <c r="P90" s="20"/>
      <c r="Q90" s="18"/>
      <c r="R90" s="22"/>
    </row>
    <row r="91" spans="1:18" x14ac:dyDescent="0.25">
      <c r="A91" s="16"/>
      <c r="B91" s="17"/>
      <c r="C91" s="18"/>
      <c r="D91" s="19"/>
      <c r="E91" s="17"/>
      <c r="F91" s="17"/>
      <c r="G91" s="74"/>
      <c r="H91" s="74"/>
      <c r="I91" s="74"/>
      <c r="J91" s="20"/>
      <c r="K91" s="18"/>
      <c r="L91" s="21"/>
      <c r="M91" s="18"/>
      <c r="N91" s="18"/>
      <c r="O91" s="18"/>
      <c r="P91" s="20"/>
      <c r="Q91" s="18"/>
      <c r="R91" s="22"/>
    </row>
    <row r="92" spans="1:18" x14ac:dyDescent="0.25">
      <c r="A92" s="16"/>
      <c r="B92" s="17"/>
      <c r="C92" s="18"/>
      <c r="D92" s="19"/>
      <c r="E92" s="17"/>
      <c r="F92" s="17"/>
      <c r="G92" s="74"/>
      <c r="H92" s="74"/>
      <c r="I92" s="74"/>
      <c r="J92" s="20"/>
      <c r="K92" s="18"/>
      <c r="L92" s="21"/>
      <c r="M92" s="18"/>
      <c r="N92" s="18"/>
      <c r="O92" s="18"/>
      <c r="P92" s="20"/>
      <c r="Q92" s="18"/>
      <c r="R92" s="22"/>
    </row>
    <row r="93" spans="1:18" x14ac:dyDescent="0.25">
      <c r="A93" s="16"/>
      <c r="B93" s="17"/>
      <c r="C93" s="18"/>
      <c r="D93" s="19"/>
      <c r="E93" s="17"/>
      <c r="F93" s="17"/>
      <c r="G93" s="74"/>
      <c r="H93" s="74"/>
      <c r="I93" s="74"/>
      <c r="J93" s="20"/>
      <c r="K93" s="18"/>
      <c r="L93" s="21"/>
      <c r="M93" s="18"/>
      <c r="N93" s="18"/>
      <c r="O93" s="18"/>
      <c r="P93" s="20"/>
      <c r="Q93" s="18"/>
      <c r="R93" s="22"/>
    </row>
    <row r="94" spans="1:18" x14ac:dyDescent="0.25">
      <c r="A94" s="16"/>
      <c r="B94" s="17"/>
      <c r="C94" s="18"/>
      <c r="D94" s="19"/>
      <c r="E94" s="17"/>
      <c r="F94" s="17"/>
      <c r="G94" s="74"/>
      <c r="H94" s="74"/>
      <c r="I94" s="74"/>
      <c r="J94" s="20"/>
      <c r="K94" s="18"/>
      <c r="L94" s="21"/>
      <c r="M94" s="18"/>
      <c r="N94" s="18"/>
      <c r="O94" s="18"/>
      <c r="P94" s="20"/>
      <c r="Q94" s="18"/>
      <c r="R94" s="22"/>
    </row>
    <row r="95" spans="1:18" x14ac:dyDescent="0.25">
      <c r="A95" s="16"/>
      <c r="B95" s="17"/>
      <c r="C95" s="18"/>
      <c r="D95" s="19"/>
      <c r="E95" s="17"/>
      <c r="F95" s="17"/>
      <c r="G95" s="74"/>
      <c r="H95" s="74"/>
      <c r="I95" s="74"/>
      <c r="J95" s="20"/>
      <c r="K95" s="18"/>
      <c r="L95" s="21"/>
      <c r="M95" s="18"/>
      <c r="N95" s="18"/>
      <c r="O95" s="18"/>
      <c r="P95" s="20"/>
      <c r="Q95" s="18"/>
      <c r="R95" s="22"/>
    </row>
    <row r="96" spans="1:18" x14ac:dyDescent="0.25">
      <c r="A96" s="16"/>
      <c r="B96" s="17"/>
      <c r="C96" s="18"/>
      <c r="D96" s="19"/>
      <c r="E96" s="17"/>
      <c r="F96" s="17"/>
      <c r="G96" s="74"/>
      <c r="H96" s="74"/>
      <c r="I96" s="74"/>
      <c r="J96" s="20"/>
      <c r="K96" s="18"/>
      <c r="L96" s="21"/>
      <c r="M96" s="18"/>
      <c r="N96" s="18"/>
      <c r="O96" s="18"/>
      <c r="P96" s="20"/>
      <c r="Q96" s="18"/>
      <c r="R96" s="22"/>
    </row>
    <row r="97" spans="1:18" x14ac:dyDescent="0.25">
      <c r="A97" s="23"/>
      <c r="B97" s="24"/>
      <c r="C97" s="25"/>
      <c r="D97" s="26"/>
      <c r="E97" s="24"/>
      <c r="F97" s="24"/>
      <c r="G97" s="75"/>
      <c r="H97" s="75"/>
      <c r="I97" s="75"/>
      <c r="J97" s="27"/>
      <c r="K97" s="25"/>
      <c r="L97" s="28"/>
      <c r="M97" s="25"/>
      <c r="N97" s="25"/>
      <c r="O97" s="25"/>
      <c r="P97" s="27"/>
      <c r="Q97" s="25"/>
      <c r="R97" s="29"/>
    </row>
  </sheetData>
  <conditionalFormatting sqref="A78:R85 A56:R76 A2:R54">
    <cfRule type="expression" dxfId="317" priority="196">
      <formula>$K2="CANCELADO"</formula>
    </cfRule>
    <cfRule type="expression" dxfId="316" priority="197">
      <formula>$K2="STAND-BY"</formula>
    </cfRule>
    <cfRule type="expression" dxfId="315" priority="198">
      <formula>$K2="AGUARDANDO APROVAÇÃO"</formula>
    </cfRule>
    <cfRule type="expression" dxfId="314" priority="199">
      <formula>$K2="OK"</formula>
    </cfRule>
    <cfRule type="expression" dxfId="313" priority="200">
      <formula>AND((TODAY()-$H2)&gt;0,$H2&lt;&gt;"",$I2="")=TRUE</formula>
    </cfRule>
  </conditionalFormatting>
  <conditionalFormatting sqref="A77:H77 J77:R77">
    <cfRule type="expression" dxfId="312" priority="41">
      <formula>$K77="CANCELADO"</formula>
    </cfRule>
    <cfRule type="expression" dxfId="311" priority="42">
      <formula>$K77="STAND-BY"</formula>
    </cfRule>
    <cfRule type="expression" dxfId="310" priority="43">
      <formula>$K77="AGUARDANDO APROVAÇÃO"</formula>
    </cfRule>
    <cfRule type="expression" dxfId="309" priority="44">
      <formula>$K77="OK"</formula>
    </cfRule>
    <cfRule type="expression" dxfId="308" priority="45">
      <formula>AND((TODAY()-$H77)&gt;0,$H77&lt;&gt;"",$I77="")=TRUE</formula>
    </cfRule>
  </conditionalFormatting>
  <conditionalFormatting sqref="I77">
    <cfRule type="expression" dxfId="307" priority="21">
      <formula>$K77="CANCELADO"</formula>
    </cfRule>
    <cfRule type="expression" dxfId="306" priority="22">
      <formula>$K77="STAND-BY"</formula>
    </cfRule>
    <cfRule type="expression" dxfId="305" priority="23">
      <formula>$K77="AGUARDANDO APROVAÇÃO"</formula>
    </cfRule>
    <cfRule type="expression" dxfId="304" priority="24">
      <formula>$K77="OK"</formula>
    </cfRule>
    <cfRule type="expression" dxfId="303" priority="25">
      <formula>AND((TODAY()-$H77)&gt;0,$H77&lt;&gt;"",$I77="")=TRUE</formula>
    </cfRule>
  </conditionalFormatting>
  <conditionalFormatting sqref="A55:R55">
    <cfRule type="expression" dxfId="302" priority="1">
      <formula>$K55="CANCELADO"</formula>
    </cfRule>
    <cfRule type="expression" dxfId="301" priority="2">
      <formula>$K55="STAND-BY"</formula>
    </cfRule>
    <cfRule type="expression" dxfId="300" priority="3">
      <formula>$K55="AGUARDANDO APROVAÇÃO"</formula>
    </cfRule>
    <cfRule type="expression" dxfId="299" priority="4">
      <formula>$K55="OK"</formula>
    </cfRule>
    <cfRule type="expression" dxfId="298" priority="5">
      <formula>AND((TODAY()-$H55)&gt;0,$H55&lt;&gt;"",$I55="")=TRUE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ADBD15-C67E-42E6-B7F1-35F454F0D4B8}">
          <x14:formula1>
            <xm:f>'NÃO MEXER'!$B$2:$B$15</xm:f>
          </x14:formula1>
          <xm:sqref>C2:C85</xm:sqref>
        </x14:dataValidation>
        <x14:dataValidation type="list" allowBlank="1" showInputMessage="1" showErrorMessage="1" xr:uid="{47BFC60F-A79F-41CE-AC18-B80E7FB19313}">
          <x14:formula1>
            <xm:f>'NÃO MEXER'!$A$2:$A$25</xm:f>
          </x14:formula1>
          <xm:sqref>A2:A85</xm:sqref>
        </x14:dataValidation>
        <x14:dataValidation type="list" allowBlank="1" showInputMessage="1" showErrorMessage="1" xr:uid="{48BC3A3D-E0D4-486E-AD1F-1DA593922478}">
          <x14:formula1>
            <xm:f>'NÃO MEXER'!$E$2:$E$6</xm:f>
          </x14:formula1>
          <xm:sqref>K2:K85</xm:sqref>
        </x14:dataValidation>
        <x14:dataValidation type="list" allowBlank="1" showInputMessage="1" showErrorMessage="1" xr:uid="{54CA2EFB-9E57-4336-8910-35034988C21C}">
          <x14:formula1>
            <xm:f>'NÃO MEXER'!$F$2:$F$6</xm:f>
          </x14:formula1>
          <xm:sqref>L2:L85</xm:sqref>
        </x14:dataValidation>
        <x14:dataValidation type="list" allowBlank="1" showInputMessage="1" showErrorMessage="1" xr:uid="{4B2B1BC1-8643-4E60-A389-51796F479490}">
          <x14:formula1>
            <xm:f>'NÃO MEXER'!$G$2:$G$7</xm:f>
          </x14:formula1>
          <xm:sqref>M2:M85</xm:sqref>
        </x14:dataValidation>
        <x14:dataValidation type="list" allowBlank="1" showInputMessage="1" showErrorMessage="1" xr:uid="{8D4FE25F-F876-4A1B-A6F4-D28EFFF25F9F}">
          <x14:formula1>
            <xm:f>'NÃO MEXER'!$H$2:$H$3</xm:f>
          </x14:formula1>
          <xm:sqref>O2:P85</xm:sqref>
        </x14:dataValidation>
        <x14:dataValidation type="list" allowBlank="1" showInputMessage="1" showErrorMessage="1" xr:uid="{F24CDAE0-0016-4BAE-9D1D-79362C4EA6FE}">
          <x14:formula1>
            <xm:f>'NÃO MEXER'!$I$2:$I$6</xm:f>
          </x14:formula1>
          <xm:sqref>Q2:Q85</xm:sqref>
        </x14:dataValidation>
        <x14:dataValidation type="list" allowBlank="1" showInputMessage="1" showErrorMessage="1" xr:uid="{AA82C5A2-585B-400D-887D-F8E5B08893F2}">
          <x14:formula1>
            <xm:f>'NÃO MEXER'!$J$2:$J$6</xm:f>
          </x14:formula1>
          <xm:sqref>R2:R85</xm:sqref>
        </x14:dataValidation>
        <x14:dataValidation type="list" allowBlank="1" showInputMessage="1" showErrorMessage="1" xr:uid="{387D5EBD-F459-4EF3-BDDC-A9DA352EC42F}">
          <x14:formula1>
            <xm:f>'NÃO MEXER'!$C$2:$C$85</xm:f>
          </x14:formula1>
          <xm:sqref>E2:E85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1FAC3-C6B7-4CE5-B906-7FD87EA6737A}">
  <sheetPr codeName="Planilha8"/>
  <dimension ref="A1:R103"/>
  <sheetViews>
    <sheetView topLeftCell="H105" workbookViewId="0">
      <selection activeCell="P37" sqref="P37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</row>
    <row r="2" spans="1:18" ht="30" customHeight="1" x14ac:dyDescent="0.25">
      <c r="A2" s="16" t="s">
        <v>37</v>
      </c>
      <c r="B2" s="17">
        <v>216047</v>
      </c>
      <c r="C2" s="18" t="s">
        <v>31</v>
      </c>
      <c r="D2" s="19" t="s">
        <v>160</v>
      </c>
      <c r="E2" s="17" t="s">
        <v>35</v>
      </c>
      <c r="F2" s="17">
        <v>1</v>
      </c>
      <c r="G2" s="74">
        <v>44266</v>
      </c>
      <c r="H2" s="74">
        <v>44272</v>
      </c>
      <c r="I2" s="74">
        <v>44271</v>
      </c>
      <c r="J2" s="20"/>
      <c r="K2" s="18" t="s">
        <v>23</v>
      </c>
      <c r="L2" s="21" t="s">
        <v>34</v>
      </c>
      <c r="M2" s="18" t="s">
        <v>161</v>
      </c>
      <c r="N2" s="18"/>
      <c r="O2" s="18" t="s">
        <v>27</v>
      </c>
      <c r="P2" s="20" t="s">
        <v>27</v>
      </c>
      <c r="Q2" s="18" t="s">
        <v>29</v>
      </c>
      <c r="R2" s="18"/>
    </row>
    <row r="3" spans="1:18" ht="30" customHeight="1" x14ac:dyDescent="0.25">
      <c r="A3" s="16" t="s">
        <v>37</v>
      </c>
      <c r="B3" s="17">
        <v>216047</v>
      </c>
      <c r="C3" s="18" t="s">
        <v>31</v>
      </c>
      <c r="D3" s="19" t="s">
        <v>160</v>
      </c>
      <c r="E3" s="17" t="s">
        <v>35</v>
      </c>
      <c r="F3" s="17">
        <v>1</v>
      </c>
      <c r="G3" s="74">
        <v>44266</v>
      </c>
      <c r="H3" s="74">
        <v>44272</v>
      </c>
      <c r="I3" s="74">
        <v>44271</v>
      </c>
      <c r="J3" s="20"/>
      <c r="K3" s="18" t="s">
        <v>23</v>
      </c>
      <c r="L3" s="21" t="s">
        <v>34</v>
      </c>
      <c r="M3" s="18" t="s">
        <v>161</v>
      </c>
      <c r="N3" s="18"/>
      <c r="O3" s="18" t="s">
        <v>27</v>
      </c>
      <c r="P3" s="20" t="s">
        <v>27</v>
      </c>
      <c r="Q3" s="18" t="s">
        <v>29</v>
      </c>
      <c r="R3" s="18"/>
    </row>
    <row r="4" spans="1:18" ht="30" customHeight="1" x14ac:dyDescent="0.25">
      <c r="A4" s="16" t="s">
        <v>37</v>
      </c>
      <c r="B4" s="17">
        <v>216047</v>
      </c>
      <c r="C4" s="18" t="s">
        <v>31</v>
      </c>
      <c r="D4" s="19" t="s">
        <v>160</v>
      </c>
      <c r="E4" s="17" t="s">
        <v>36</v>
      </c>
      <c r="F4" s="17">
        <v>3</v>
      </c>
      <c r="G4" s="74">
        <v>44266</v>
      </c>
      <c r="H4" s="74">
        <v>44272</v>
      </c>
      <c r="I4" s="74">
        <v>44271</v>
      </c>
      <c r="J4" s="20"/>
      <c r="K4" s="18" t="s">
        <v>23</v>
      </c>
      <c r="L4" s="21" t="s">
        <v>34</v>
      </c>
      <c r="M4" s="18" t="s">
        <v>161</v>
      </c>
      <c r="N4" s="18"/>
      <c r="O4" s="18" t="s">
        <v>27</v>
      </c>
      <c r="P4" s="20" t="s">
        <v>27</v>
      </c>
      <c r="Q4" s="18" t="s">
        <v>29</v>
      </c>
      <c r="R4" s="18"/>
    </row>
    <row r="5" spans="1:18" ht="30" customHeight="1" x14ac:dyDescent="0.25">
      <c r="A5" s="16" t="s">
        <v>37</v>
      </c>
      <c r="B5" s="17">
        <v>216047</v>
      </c>
      <c r="C5" s="18" t="s">
        <v>31</v>
      </c>
      <c r="D5" s="19" t="s">
        <v>160</v>
      </c>
      <c r="E5" s="17" t="s">
        <v>49</v>
      </c>
      <c r="F5" s="17">
        <v>1</v>
      </c>
      <c r="G5" s="74">
        <v>44266</v>
      </c>
      <c r="H5" s="74">
        <v>44272</v>
      </c>
      <c r="I5" s="74">
        <v>44271</v>
      </c>
      <c r="J5" s="20"/>
      <c r="K5" s="18" t="s">
        <v>23</v>
      </c>
      <c r="L5" s="21" t="s">
        <v>34</v>
      </c>
      <c r="M5" s="18" t="s">
        <v>161</v>
      </c>
      <c r="N5" s="18"/>
      <c r="O5" s="18" t="s">
        <v>27</v>
      </c>
      <c r="P5" s="20" t="s">
        <v>27</v>
      </c>
      <c r="Q5" s="18" t="s">
        <v>29</v>
      </c>
      <c r="R5" s="18"/>
    </row>
    <row r="6" spans="1:18" ht="30" customHeight="1" x14ac:dyDescent="0.25">
      <c r="A6" s="16" t="s">
        <v>37</v>
      </c>
      <c r="B6" s="17">
        <v>216047</v>
      </c>
      <c r="C6" s="18" t="s">
        <v>31</v>
      </c>
      <c r="D6" s="19" t="s">
        <v>160</v>
      </c>
      <c r="E6" s="17" t="s">
        <v>43</v>
      </c>
      <c r="F6" s="17">
        <v>1</v>
      </c>
      <c r="G6" s="74">
        <v>44266</v>
      </c>
      <c r="H6" s="74">
        <v>44272</v>
      </c>
      <c r="I6" s="74">
        <v>44271</v>
      </c>
      <c r="J6" s="20"/>
      <c r="K6" s="18" t="s">
        <v>23</v>
      </c>
      <c r="L6" s="21" t="s">
        <v>34</v>
      </c>
      <c r="M6" s="18" t="s">
        <v>161</v>
      </c>
      <c r="N6" s="18"/>
      <c r="O6" s="18" t="s">
        <v>27</v>
      </c>
      <c r="P6" s="20" t="s">
        <v>27</v>
      </c>
      <c r="Q6" s="18" t="s">
        <v>29</v>
      </c>
      <c r="R6" s="18"/>
    </row>
    <row r="7" spans="1:18" ht="30" customHeight="1" x14ac:dyDescent="0.25">
      <c r="A7" s="16" t="s">
        <v>37</v>
      </c>
      <c r="B7" s="17">
        <v>216047</v>
      </c>
      <c r="C7" s="18" t="s">
        <v>31</v>
      </c>
      <c r="D7" s="19" t="s">
        <v>160</v>
      </c>
      <c r="E7" s="17" t="s">
        <v>33</v>
      </c>
      <c r="F7" s="17">
        <v>1</v>
      </c>
      <c r="G7" s="74">
        <v>44266</v>
      </c>
      <c r="H7" s="74">
        <v>44272</v>
      </c>
      <c r="I7" s="74">
        <v>44271</v>
      </c>
      <c r="J7" s="20"/>
      <c r="K7" s="18" t="s">
        <v>23</v>
      </c>
      <c r="L7" s="21" t="s">
        <v>34</v>
      </c>
      <c r="M7" s="18" t="s">
        <v>161</v>
      </c>
      <c r="N7" s="18"/>
      <c r="O7" s="18" t="s">
        <v>27</v>
      </c>
      <c r="P7" s="20" t="s">
        <v>27</v>
      </c>
      <c r="Q7" s="18" t="s">
        <v>29</v>
      </c>
      <c r="R7" s="18"/>
    </row>
    <row r="8" spans="1:18" ht="30" customHeight="1" x14ac:dyDescent="0.25">
      <c r="A8" s="16" t="s">
        <v>37</v>
      </c>
      <c r="B8" s="17">
        <v>216047</v>
      </c>
      <c r="C8" s="18" t="s">
        <v>31</v>
      </c>
      <c r="D8" s="19" t="s">
        <v>160</v>
      </c>
      <c r="E8" s="17" t="s">
        <v>67</v>
      </c>
      <c r="F8" s="17">
        <v>1</v>
      </c>
      <c r="G8" s="74">
        <v>44217</v>
      </c>
      <c r="H8" s="74">
        <v>44246</v>
      </c>
      <c r="I8" s="74">
        <v>44246</v>
      </c>
      <c r="J8" s="20"/>
      <c r="K8" s="18" t="s">
        <v>23</v>
      </c>
      <c r="L8" s="21" t="s">
        <v>42</v>
      </c>
      <c r="M8" s="18" t="s">
        <v>161</v>
      </c>
      <c r="N8" s="18"/>
      <c r="O8" s="18" t="s">
        <v>27</v>
      </c>
      <c r="P8" s="20" t="s">
        <v>27</v>
      </c>
      <c r="Q8" s="18" t="s">
        <v>29</v>
      </c>
      <c r="R8" s="18"/>
    </row>
    <row r="9" spans="1:18" ht="30" customHeight="1" x14ac:dyDescent="0.25">
      <c r="A9" s="16" t="s">
        <v>37</v>
      </c>
      <c r="B9" s="17">
        <v>216047</v>
      </c>
      <c r="C9" s="18" t="s">
        <v>31</v>
      </c>
      <c r="D9" s="19" t="s">
        <v>160</v>
      </c>
      <c r="E9" s="17" t="s">
        <v>73</v>
      </c>
      <c r="F9" s="17">
        <v>1</v>
      </c>
      <c r="G9" s="74">
        <v>44217</v>
      </c>
      <c r="H9" s="74">
        <v>44246</v>
      </c>
      <c r="I9" s="74">
        <v>44246</v>
      </c>
      <c r="J9" s="20"/>
      <c r="K9" s="18" t="s">
        <v>23</v>
      </c>
      <c r="L9" s="21" t="s">
        <v>42</v>
      </c>
      <c r="M9" s="18" t="s">
        <v>161</v>
      </c>
      <c r="N9" s="18"/>
      <c r="O9" s="18" t="s">
        <v>27</v>
      </c>
      <c r="P9" s="20" t="s">
        <v>27</v>
      </c>
      <c r="Q9" s="18" t="s">
        <v>29</v>
      </c>
      <c r="R9" s="18"/>
    </row>
    <row r="10" spans="1:18" ht="30" customHeight="1" x14ac:dyDescent="0.25">
      <c r="A10" s="16" t="s">
        <v>30</v>
      </c>
      <c r="B10" s="17">
        <v>217017</v>
      </c>
      <c r="C10" s="18" t="s">
        <v>20</v>
      </c>
      <c r="D10" s="19" t="s">
        <v>162</v>
      </c>
      <c r="E10" s="17" t="s">
        <v>73</v>
      </c>
      <c r="F10" s="17">
        <v>1</v>
      </c>
      <c r="G10" s="74">
        <v>44224</v>
      </c>
      <c r="H10" s="74">
        <v>44229</v>
      </c>
      <c r="I10" s="74">
        <v>44258</v>
      </c>
      <c r="J10" s="20"/>
      <c r="K10" s="18" t="s">
        <v>23</v>
      </c>
      <c r="L10" s="21" t="s">
        <v>58</v>
      </c>
      <c r="M10" s="18" t="s">
        <v>25</v>
      </c>
      <c r="N10" s="18"/>
      <c r="O10" s="18" t="s">
        <v>26</v>
      </c>
      <c r="P10" s="20" t="s">
        <v>27</v>
      </c>
      <c r="Q10" s="18" t="s">
        <v>29</v>
      </c>
      <c r="R10" s="18" t="s">
        <v>29</v>
      </c>
    </row>
    <row r="11" spans="1:18" ht="30" customHeight="1" x14ac:dyDescent="0.25">
      <c r="A11" s="16" t="s">
        <v>47</v>
      </c>
      <c r="B11" s="17">
        <v>221895</v>
      </c>
      <c r="C11" s="18" t="s">
        <v>20</v>
      </c>
      <c r="D11" s="19" t="s">
        <v>163</v>
      </c>
      <c r="E11" s="17" t="s">
        <v>43</v>
      </c>
      <c r="F11" s="17">
        <v>1</v>
      </c>
      <c r="G11" s="74">
        <v>44245</v>
      </c>
      <c r="H11" s="74">
        <v>44246</v>
      </c>
      <c r="I11" s="74">
        <v>44245</v>
      </c>
      <c r="J11" s="20"/>
      <c r="K11" s="18" t="s">
        <v>23</v>
      </c>
      <c r="L11" s="21" t="s">
        <v>34</v>
      </c>
      <c r="M11" s="18" t="s">
        <v>25</v>
      </c>
      <c r="N11" s="18"/>
      <c r="O11" s="18" t="s">
        <v>26</v>
      </c>
      <c r="P11" s="20" t="s">
        <v>26</v>
      </c>
      <c r="Q11" s="18" t="s">
        <v>29</v>
      </c>
      <c r="R11" s="18" t="s">
        <v>29</v>
      </c>
    </row>
    <row r="12" spans="1:18" ht="30" customHeight="1" x14ac:dyDescent="0.25">
      <c r="A12" s="16" t="s">
        <v>37</v>
      </c>
      <c r="B12" s="17">
        <v>222168</v>
      </c>
      <c r="C12" s="18" t="s">
        <v>20</v>
      </c>
      <c r="D12" s="19" t="s">
        <v>164</v>
      </c>
      <c r="E12" s="17" t="s">
        <v>35</v>
      </c>
      <c r="F12" s="17">
        <v>2</v>
      </c>
      <c r="G12" s="74">
        <v>44246</v>
      </c>
      <c r="H12" s="74">
        <v>44253</v>
      </c>
      <c r="I12" s="74">
        <v>44253</v>
      </c>
      <c r="J12" s="20"/>
      <c r="K12" s="18" t="s">
        <v>23</v>
      </c>
      <c r="L12" s="21" t="s">
        <v>34</v>
      </c>
      <c r="M12" s="18" t="s">
        <v>25</v>
      </c>
      <c r="N12" s="18"/>
      <c r="O12" s="18" t="s">
        <v>27</v>
      </c>
      <c r="P12" s="20" t="s">
        <v>27</v>
      </c>
      <c r="Q12" s="18" t="s">
        <v>29</v>
      </c>
      <c r="R12" s="18" t="s">
        <v>54</v>
      </c>
    </row>
    <row r="13" spans="1:18" ht="30" customHeight="1" x14ac:dyDescent="0.25">
      <c r="A13" s="16" t="s">
        <v>37</v>
      </c>
      <c r="B13" s="17">
        <v>222168</v>
      </c>
      <c r="C13" s="18" t="s">
        <v>20</v>
      </c>
      <c r="D13" s="19" t="s">
        <v>164</v>
      </c>
      <c r="E13" s="17" t="s">
        <v>44</v>
      </c>
      <c r="F13" s="17">
        <v>2</v>
      </c>
      <c r="G13" s="74">
        <v>44246</v>
      </c>
      <c r="H13" s="74">
        <v>44253</v>
      </c>
      <c r="I13" s="74">
        <v>44253</v>
      </c>
      <c r="J13" s="20"/>
      <c r="K13" s="18" t="s">
        <v>23</v>
      </c>
      <c r="L13" s="21" t="s">
        <v>34</v>
      </c>
      <c r="M13" s="18" t="s">
        <v>25</v>
      </c>
      <c r="N13" s="18"/>
      <c r="O13" s="18" t="s">
        <v>27</v>
      </c>
      <c r="P13" s="20" t="s">
        <v>27</v>
      </c>
      <c r="Q13" s="18" t="s">
        <v>29</v>
      </c>
      <c r="R13" s="18" t="s">
        <v>54</v>
      </c>
    </row>
    <row r="14" spans="1:18" ht="30" customHeight="1" x14ac:dyDescent="0.25">
      <c r="A14" s="16" t="s">
        <v>37</v>
      </c>
      <c r="B14" s="17">
        <v>222168</v>
      </c>
      <c r="C14" s="18" t="s">
        <v>20</v>
      </c>
      <c r="D14" s="19" t="s">
        <v>164</v>
      </c>
      <c r="E14" s="17" t="s">
        <v>36</v>
      </c>
      <c r="F14" s="17">
        <v>4</v>
      </c>
      <c r="G14" s="74">
        <v>44246</v>
      </c>
      <c r="H14" s="74">
        <v>44253</v>
      </c>
      <c r="I14" s="74">
        <v>44253</v>
      </c>
      <c r="J14" s="20"/>
      <c r="K14" s="18" t="s">
        <v>23</v>
      </c>
      <c r="L14" s="21" t="s">
        <v>34</v>
      </c>
      <c r="M14" s="18" t="s">
        <v>25</v>
      </c>
      <c r="N14" s="18"/>
      <c r="O14" s="18" t="s">
        <v>27</v>
      </c>
      <c r="P14" s="20" t="s">
        <v>27</v>
      </c>
      <c r="Q14" s="18" t="s">
        <v>29</v>
      </c>
      <c r="R14" s="18" t="s">
        <v>54</v>
      </c>
    </row>
    <row r="15" spans="1:18" ht="30" customHeight="1" x14ac:dyDescent="0.25">
      <c r="A15" s="16" t="s">
        <v>37</v>
      </c>
      <c r="B15" s="17">
        <v>222168</v>
      </c>
      <c r="C15" s="18" t="s">
        <v>20</v>
      </c>
      <c r="D15" s="19" t="s">
        <v>164</v>
      </c>
      <c r="E15" s="17" t="s">
        <v>93</v>
      </c>
      <c r="F15" s="17">
        <v>2</v>
      </c>
      <c r="G15" s="74">
        <v>44246</v>
      </c>
      <c r="H15" s="74">
        <v>44253</v>
      </c>
      <c r="I15" s="74">
        <v>44253</v>
      </c>
      <c r="J15" s="20"/>
      <c r="K15" s="18" t="s">
        <v>23</v>
      </c>
      <c r="L15" s="21" t="s">
        <v>34</v>
      </c>
      <c r="M15" s="18" t="s">
        <v>25</v>
      </c>
      <c r="N15" s="18"/>
      <c r="O15" s="18" t="s">
        <v>27</v>
      </c>
      <c r="P15" s="20" t="s">
        <v>27</v>
      </c>
      <c r="Q15" s="18" t="s">
        <v>29</v>
      </c>
      <c r="R15" s="18" t="s">
        <v>54</v>
      </c>
    </row>
    <row r="16" spans="1:18" ht="30" customHeight="1" x14ac:dyDescent="0.25">
      <c r="A16" s="16" t="s">
        <v>37</v>
      </c>
      <c r="B16" s="17">
        <v>222168</v>
      </c>
      <c r="C16" s="18" t="s">
        <v>20</v>
      </c>
      <c r="D16" s="19" t="s">
        <v>164</v>
      </c>
      <c r="E16" s="17" t="s">
        <v>76</v>
      </c>
      <c r="F16" s="17">
        <v>1</v>
      </c>
      <c r="G16" s="74">
        <v>44246</v>
      </c>
      <c r="H16" s="74">
        <v>44256</v>
      </c>
      <c r="I16" s="74">
        <v>44256</v>
      </c>
      <c r="J16" s="20"/>
      <c r="K16" s="18" t="s">
        <v>23</v>
      </c>
      <c r="L16" s="21" t="s">
        <v>34</v>
      </c>
      <c r="M16" s="18" t="s">
        <v>25</v>
      </c>
      <c r="N16" s="18"/>
      <c r="O16" s="18" t="s">
        <v>27</v>
      </c>
      <c r="P16" s="20" t="s">
        <v>27</v>
      </c>
      <c r="Q16" s="18" t="s">
        <v>29</v>
      </c>
      <c r="R16" s="18" t="s">
        <v>54</v>
      </c>
    </row>
    <row r="17" spans="1:18" ht="30" customHeight="1" x14ac:dyDescent="0.25">
      <c r="A17" s="16" t="s">
        <v>145</v>
      </c>
      <c r="B17" s="17">
        <v>222495</v>
      </c>
      <c r="C17" s="18" t="s">
        <v>20</v>
      </c>
      <c r="D17" s="19" t="s">
        <v>165</v>
      </c>
      <c r="E17" s="17" t="s">
        <v>73</v>
      </c>
      <c r="F17" s="17">
        <v>2</v>
      </c>
      <c r="G17" s="74">
        <v>44249</v>
      </c>
      <c r="H17" s="74">
        <v>44257</v>
      </c>
      <c r="I17" s="74">
        <v>44250</v>
      </c>
      <c r="J17" s="20"/>
      <c r="K17" s="18" t="s">
        <v>23</v>
      </c>
      <c r="L17" s="21" t="s">
        <v>58</v>
      </c>
      <c r="M17" s="18" t="s">
        <v>25</v>
      </c>
      <c r="N17" s="18"/>
      <c r="O17" s="18" t="s">
        <v>26</v>
      </c>
      <c r="P17" s="20"/>
      <c r="Q17" s="18" t="s">
        <v>29</v>
      </c>
      <c r="R17" s="18" t="s">
        <v>28</v>
      </c>
    </row>
    <row r="18" spans="1:18" ht="30" customHeight="1" x14ac:dyDescent="0.25">
      <c r="A18" s="16" t="s">
        <v>37</v>
      </c>
      <c r="B18" s="17">
        <v>221022</v>
      </c>
      <c r="C18" s="18" t="s">
        <v>31</v>
      </c>
      <c r="D18" s="19" t="s">
        <v>166</v>
      </c>
      <c r="E18" s="17" t="s">
        <v>36</v>
      </c>
      <c r="F18" s="17">
        <v>1</v>
      </c>
      <c r="G18" s="74">
        <v>44258</v>
      </c>
      <c r="H18" s="74">
        <v>44259</v>
      </c>
      <c r="I18" s="74">
        <v>44259</v>
      </c>
      <c r="J18" s="20"/>
      <c r="K18" s="18" t="s">
        <v>23</v>
      </c>
      <c r="L18" s="21" t="s">
        <v>24</v>
      </c>
      <c r="M18" s="18" t="s">
        <v>25</v>
      </c>
      <c r="N18" s="18"/>
      <c r="O18" s="18" t="s">
        <v>26</v>
      </c>
      <c r="P18" s="20" t="s">
        <v>26</v>
      </c>
      <c r="Q18" s="18" t="s">
        <v>54</v>
      </c>
      <c r="R18" s="18"/>
    </row>
    <row r="19" spans="1:18" ht="30" customHeight="1" x14ac:dyDescent="0.25">
      <c r="A19" s="16" t="s">
        <v>37</v>
      </c>
      <c r="B19" s="17">
        <v>221022</v>
      </c>
      <c r="C19" s="18" t="s">
        <v>31</v>
      </c>
      <c r="D19" s="19" t="s">
        <v>166</v>
      </c>
      <c r="E19" s="17" t="s">
        <v>49</v>
      </c>
      <c r="F19" s="17">
        <v>1</v>
      </c>
      <c r="G19" s="74">
        <v>44258</v>
      </c>
      <c r="H19" s="74">
        <v>44259</v>
      </c>
      <c r="I19" s="74">
        <v>44259</v>
      </c>
      <c r="J19" s="20"/>
      <c r="K19" s="18" t="s">
        <v>23</v>
      </c>
      <c r="L19" s="21" t="s">
        <v>24</v>
      </c>
      <c r="M19" s="18" t="s">
        <v>25</v>
      </c>
      <c r="N19" s="18"/>
      <c r="O19" s="18" t="s">
        <v>26</v>
      </c>
      <c r="P19" s="20" t="s">
        <v>26</v>
      </c>
      <c r="Q19" s="18" t="s">
        <v>54</v>
      </c>
      <c r="R19" s="18"/>
    </row>
    <row r="20" spans="1:18" ht="30" customHeight="1" x14ac:dyDescent="0.25">
      <c r="A20" s="16" t="s">
        <v>37</v>
      </c>
      <c r="B20" s="17">
        <v>221022</v>
      </c>
      <c r="C20" s="18" t="s">
        <v>31</v>
      </c>
      <c r="D20" s="19" t="s">
        <v>166</v>
      </c>
      <c r="E20" s="17" t="s">
        <v>33</v>
      </c>
      <c r="F20" s="17">
        <v>1</v>
      </c>
      <c r="G20" s="74">
        <v>44258</v>
      </c>
      <c r="H20" s="74">
        <v>44259</v>
      </c>
      <c r="I20" s="74">
        <v>44259</v>
      </c>
      <c r="J20" s="20"/>
      <c r="K20" s="18" t="s">
        <v>23</v>
      </c>
      <c r="L20" s="21" t="s">
        <v>24</v>
      </c>
      <c r="M20" s="18" t="s">
        <v>25</v>
      </c>
      <c r="N20" s="18"/>
      <c r="O20" s="18" t="s">
        <v>26</v>
      </c>
      <c r="P20" s="20" t="s">
        <v>26</v>
      </c>
      <c r="Q20" s="18" t="s">
        <v>54</v>
      </c>
      <c r="R20" s="18"/>
    </row>
    <row r="21" spans="1:18" ht="30" customHeight="1" x14ac:dyDescent="0.25">
      <c r="A21" s="16" t="s">
        <v>37</v>
      </c>
      <c r="B21" s="17">
        <v>221022</v>
      </c>
      <c r="C21" s="18" t="s">
        <v>31</v>
      </c>
      <c r="D21" s="19" t="s">
        <v>166</v>
      </c>
      <c r="E21" s="17" t="s">
        <v>35</v>
      </c>
      <c r="F21" s="17">
        <v>1</v>
      </c>
      <c r="G21" s="74">
        <v>44258</v>
      </c>
      <c r="H21" s="74">
        <v>44259</v>
      </c>
      <c r="I21" s="74">
        <v>44259</v>
      </c>
      <c r="J21" s="20"/>
      <c r="K21" s="18" t="s">
        <v>23</v>
      </c>
      <c r="L21" s="21" t="s">
        <v>24</v>
      </c>
      <c r="M21" s="18" t="s">
        <v>25</v>
      </c>
      <c r="N21" s="18"/>
      <c r="O21" s="18" t="s">
        <v>26</v>
      </c>
      <c r="P21" s="20" t="s">
        <v>26</v>
      </c>
      <c r="Q21" s="18" t="s">
        <v>54</v>
      </c>
      <c r="R21" s="18"/>
    </row>
    <row r="22" spans="1:18" ht="30" customHeight="1" x14ac:dyDescent="0.25">
      <c r="A22" s="16" t="s">
        <v>37</v>
      </c>
      <c r="B22" s="17">
        <v>221022</v>
      </c>
      <c r="C22" s="18" t="s">
        <v>31</v>
      </c>
      <c r="D22" s="19" t="s">
        <v>166</v>
      </c>
      <c r="E22" s="17" t="s">
        <v>167</v>
      </c>
      <c r="F22" s="17">
        <v>2</v>
      </c>
      <c r="G22" s="74">
        <v>44258</v>
      </c>
      <c r="H22" s="74">
        <v>44259</v>
      </c>
      <c r="I22" s="74">
        <v>44259</v>
      </c>
      <c r="J22" s="20"/>
      <c r="K22" s="18" t="s">
        <v>23</v>
      </c>
      <c r="L22" s="21" t="s">
        <v>24</v>
      </c>
      <c r="M22" s="18" t="s">
        <v>25</v>
      </c>
      <c r="N22" s="18"/>
      <c r="O22" s="18" t="s">
        <v>26</v>
      </c>
      <c r="P22" s="20" t="s">
        <v>26</v>
      </c>
      <c r="Q22" s="18" t="s">
        <v>54</v>
      </c>
      <c r="R22" s="18"/>
    </row>
    <row r="23" spans="1:18" ht="30" customHeight="1" x14ac:dyDescent="0.25">
      <c r="A23" s="16" t="s">
        <v>37</v>
      </c>
      <c r="B23" s="17">
        <v>221022</v>
      </c>
      <c r="C23" s="18" t="s">
        <v>31</v>
      </c>
      <c r="D23" s="19" t="s">
        <v>166</v>
      </c>
      <c r="E23" s="17" t="s">
        <v>43</v>
      </c>
      <c r="F23" s="17">
        <v>1</v>
      </c>
      <c r="G23" s="74">
        <v>44258</v>
      </c>
      <c r="H23" s="74">
        <v>44259</v>
      </c>
      <c r="I23" s="74">
        <v>44259</v>
      </c>
      <c r="J23" s="20"/>
      <c r="K23" s="18" t="s">
        <v>23</v>
      </c>
      <c r="L23" s="21" t="s">
        <v>24</v>
      </c>
      <c r="M23" s="18" t="s">
        <v>25</v>
      </c>
      <c r="N23" s="18"/>
      <c r="O23" s="18" t="s">
        <v>26</v>
      </c>
      <c r="P23" s="20" t="s">
        <v>26</v>
      </c>
      <c r="Q23" s="18" t="s">
        <v>54</v>
      </c>
      <c r="R23" s="18"/>
    </row>
    <row r="24" spans="1:18" ht="30" customHeight="1" x14ac:dyDescent="0.25">
      <c r="A24" s="16" t="s">
        <v>37</v>
      </c>
      <c r="B24" s="17">
        <v>221022</v>
      </c>
      <c r="C24" s="18" t="s">
        <v>31</v>
      </c>
      <c r="D24" s="19" t="s">
        <v>166</v>
      </c>
      <c r="E24" s="17" t="s">
        <v>62</v>
      </c>
      <c r="F24" s="17">
        <v>1</v>
      </c>
      <c r="G24" s="74">
        <v>44238</v>
      </c>
      <c r="H24" s="74">
        <v>44252</v>
      </c>
      <c r="I24" s="74">
        <v>44252</v>
      </c>
      <c r="J24" s="20"/>
      <c r="K24" s="18" t="s">
        <v>23</v>
      </c>
      <c r="L24" s="21" t="s">
        <v>24</v>
      </c>
      <c r="M24" s="18" t="s">
        <v>25</v>
      </c>
      <c r="N24" s="18"/>
      <c r="O24" s="18" t="s">
        <v>26</v>
      </c>
      <c r="P24" s="20" t="s">
        <v>26</v>
      </c>
      <c r="Q24" s="18" t="s">
        <v>54</v>
      </c>
      <c r="R24" s="18"/>
    </row>
    <row r="25" spans="1:18" ht="30" customHeight="1" x14ac:dyDescent="0.25">
      <c r="A25" s="16" t="s">
        <v>19</v>
      </c>
      <c r="B25" s="17">
        <v>223415</v>
      </c>
      <c r="C25" s="18" t="s">
        <v>31</v>
      </c>
      <c r="D25" s="19" t="s">
        <v>168</v>
      </c>
      <c r="E25" s="17" t="s">
        <v>80</v>
      </c>
      <c r="F25" s="17">
        <v>1</v>
      </c>
      <c r="G25" s="74">
        <v>44252</v>
      </c>
      <c r="H25" s="74">
        <v>44256</v>
      </c>
      <c r="I25" s="74">
        <v>44256</v>
      </c>
      <c r="J25" s="20" t="s">
        <v>169</v>
      </c>
      <c r="K25" s="18" t="s">
        <v>23</v>
      </c>
      <c r="L25" s="21" t="s">
        <v>42</v>
      </c>
      <c r="M25" s="18" t="s">
        <v>25</v>
      </c>
      <c r="N25" s="18"/>
      <c r="O25" s="18" t="s">
        <v>27</v>
      </c>
      <c r="P25" s="20"/>
      <c r="Q25" s="18"/>
      <c r="R25" s="18"/>
    </row>
    <row r="26" spans="1:18" ht="30" customHeight="1" x14ac:dyDescent="0.25">
      <c r="A26" s="16" t="s">
        <v>37</v>
      </c>
      <c r="B26" s="17">
        <v>224201</v>
      </c>
      <c r="C26" s="18" t="s">
        <v>20</v>
      </c>
      <c r="D26" s="19" t="s">
        <v>170</v>
      </c>
      <c r="E26" s="17" t="s">
        <v>44</v>
      </c>
      <c r="F26" s="17">
        <v>4</v>
      </c>
      <c r="G26" s="74">
        <v>44256</v>
      </c>
      <c r="H26" s="74">
        <v>44258</v>
      </c>
      <c r="I26" s="74">
        <v>44267</v>
      </c>
      <c r="J26" s="20"/>
      <c r="K26" s="18" t="s">
        <v>23</v>
      </c>
      <c r="L26" s="21" t="s">
        <v>42</v>
      </c>
      <c r="M26" s="18" t="s">
        <v>25</v>
      </c>
      <c r="N26" s="18">
        <v>1</v>
      </c>
      <c r="O26" s="18" t="s">
        <v>27</v>
      </c>
      <c r="P26" s="20" t="s">
        <v>27</v>
      </c>
      <c r="Q26" s="18" t="s">
        <v>28</v>
      </c>
      <c r="R26" s="18" t="s">
        <v>54</v>
      </c>
    </row>
    <row r="27" spans="1:18" ht="30" customHeight="1" x14ac:dyDescent="0.25">
      <c r="A27" s="16" t="s">
        <v>129</v>
      </c>
      <c r="B27" s="17">
        <v>224161</v>
      </c>
      <c r="C27" s="18" t="s">
        <v>20</v>
      </c>
      <c r="D27" s="19" t="s">
        <v>171</v>
      </c>
      <c r="E27" s="17" t="s">
        <v>172</v>
      </c>
      <c r="F27" s="17">
        <v>2</v>
      </c>
      <c r="G27" s="74">
        <v>44256</v>
      </c>
      <c r="H27" s="74">
        <v>44257</v>
      </c>
      <c r="I27" s="74">
        <v>44258</v>
      </c>
      <c r="J27" s="20"/>
      <c r="K27" s="18" t="s">
        <v>23</v>
      </c>
      <c r="L27" s="21" t="s">
        <v>34</v>
      </c>
      <c r="M27" s="18" t="s">
        <v>25</v>
      </c>
      <c r="N27" s="18"/>
      <c r="O27" s="18" t="s">
        <v>26</v>
      </c>
      <c r="P27" s="20"/>
      <c r="Q27" s="18" t="s">
        <v>29</v>
      </c>
      <c r="R27" s="18" t="s">
        <v>54</v>
      </c>
    </row>
    <row r="28" spans="1:18" ht="30" customHeight="1" x14ac:dyDescent="0.25">
      <c r="A28" s="16" t="s">
        <v>37</v>
      </c>
      <c r="B28" s="17">
        <v>224201</v>
      </c>
      <c r="C28" s="18" t="s">
        <v>20</v>
      </c>
      <c r="D28" s="19" t="s">
        <v>170</v>
      </c>
      <c r="E28" s="17" t="s">
        <v>49</v>
      </c>
      <c r="F28" s="17">
        <v>2</v>
      </c>
      <c r="G28" s="74">
        <v>44256</v>
      </c>
      <c r="H28" s="74">
        <v>44258</v>
      </c>
      <c r="I28" s="74">
        <v>44267</v>
      </c>
      <c r="J28" s="20"/>
      <c r="K28" s="18" t="s">
        <v>23</v>
      </c>
      <c r="L28" s="21" t="s">
        <v>42</v>
      </c>
      <c r="M28" s="18" t="s">
        <v>25</v>
      </c>
      <c r="N28" s="18">
        <v>1</v>
      </c>
      <c r="O28" s="18" t="s">
        <v>27</v>
      </c>
      <c r="P28" s="20" t="s">
        <v>27</v>
      </c>
      <c r="Q28" s="18" t="s">
        <v>28</v>
      </c>
      <c r="R28" s="18" t="s">
        <v>54</v>
      </c>
    </row>
    <row r="29" spans="1:18" ht="30" customHeight="1" x14ac:dyDescent="0.25">
      <c r="A29" s="16" t="s">
        <v>37</v>
      </c>
      <c r="B29" s="17">
        <v>224201</v>
      </c>
      <c r="C29" s="18" t="s">
        <v>20</v>
      </c>
      <c r="D29" s="19" t="s">
        <v>170</v>
      </c>
      <c r="E29" s="17" t="s">
        <v>33</v>
      </c>
      <c r="F29" s="17">
        <v>2</v>
      </c>
      <c r="G29" s="74">
        <v>44256</v>
      </c>
      <c r="H29" s="74">
        <v>44258</v>
      </c>
      <c r="I29" s="74">
        <v>44267</v>
      </c>
      <c r="J29" s="20"/>
      <c r="K29" s="18" t="s">
        <v>23</v>
      </c>
      <c r="L29" s="21" t="s">
        <v>42</v>
      </c>
      <c r="M29" s="18" t="s">
        <v>25</v>
      </c>
      <c r="N29" s="18">
        <v>1</v>
      </c>
      <c r="O29" s="18" t="s">
        <v>27</v>
      </c>
      <c r="P29" s="20" t="s">
        <v>27</v>
      </c>
      <c r="Q29" s="18" t="s">
        <v>28</v>
      </c>
      <c r="R29" s="18" t="s">
        <v>54</v>
      </c>
    </row>
    <row r="30" spans="1:18" ht="30" customHeight="1" x14ac:dyDescent="0.25">
      <c r="A30" s="16" t="s">
        <v>37</v>
      </c>
      <c r="B30" s="17">
        <v>224201</v>
      </c>
      <c r="C30" s="18" t="s">
        <v>20</v>
      </c>
      <c r="D30" s="19" t="s">
        <v>170</v>
      </c>
      <c r="E30" s="17" t="s">
        <v>36</v>
      </c>
      <c r="F30" s="17">
        <v>6</v>
      </c>
      <c r="G30" s="74">
        <v>44256</v>
      </c>
      <c r="H30" s="74">
        <v>44258</v>
      </c>
      <c r="I30" s="74">
        <v>44267</v>
      </c>
      <c r="J30" s="20"/>
      <c r="K30" s="18" t="s">
        <v>23</v>
      </c>
      <c r="L30" s="21" t="s">
        <v>42</v>
      </c>
      <c r="M30" s="18" t="s">
        <v>25</v>
      </c>
      <c r="N30" s="18">
        <v>1</v>
      </c>
      <c r="O30" s="18" t="s">
        <v>27</v>
      </c>
      <c r="P30" s="20" t="s">
        <v>27</v>
      </c>
      <c r="Q30" s="18" t="s">
        <v>28</v>
      </c>
      <c r="R30" s="18" t="s">
        <v>54</v>
      </c>
    </row>
    <row r="31" spans="1:18" ht="30" customHeight="1" x14ac:dyDescent="0.25">
      <c r="A31" s="16" t="s">
        <v>37</v>
      </c>
      <c r="B31" s="17">
        <v>224201</v>
      </c>
      <c r="C31" s="18" t="s">
        <v>20</v>
      </c>
      <c r="D31" s="19" t="s">
        <v>170</v>
      </c>
      <c r="E31" s="17" t="s">
        <v>93</v>
      </c>
      <c r="F31" s="17">
        <v>2</v>
      </c>
      <c r="G31" s="74">
        <v>44256</v>
      </c>
      <c r="H31" s="74">
        <v>44258</v>
      </c>
      <c r="I31" s="74">
        <v>44267</v>
      </c>
      <c r="J31" s="20"/>
      <c r="K31" s="18" t="s">
        <v>23</v>
      </c>
      <c r="L31" s="21" t="s">
        <v>42</v>
      </c>
      <c r="M31" s="18" t="s">
        <v>25</v>
      </c>
      <c r="N31" s="18">
        <v>1</v>
      </c>
      <c r="O31" s="18" t="s">
        <v>27</v>
      </c>
      <c r="P31" s="20" t="s">
        <v>27</v>
      </c>
      <c r="Q31" s="18" t="s">
        <v>28</v>
      </c>
      <c r="R31" s="18" t="s">
        <v>54</v>
      </c>
    </row>
    <row r="32" spans="1:18" ht="30" customHeight="1" x14ac:dyDescent="0.25">
      <c r="A32" s="16" t="s">
        <v>68</v>
      </c>
      <c r="B32" s="17">
        <v>223817</v>
      </c>
      <c r="C32" s="18" t="s">
        <v>20</v>
      </c>
      <c r="D32" s="19" t="s">
        <v>173</v>
      </c>
      <c r="E32" s="17" t="s">
        <v>152</v>
      </c>
      <c r="F32" s="17">
        <v>6</v>
      </c>
      <c r="G32" s="74">
        <v>44253</v>
      </c>
      <c r="H32" s="74">
        <v>44257</v>
      </c>
      <c r="I32" s="74">
        <v>44270</v>
      </c>
      <c r="J32" s="20"/>
      <c r="K32" s="18" t="s">
        <v>23</v>
      </c>
      <c r="L32" s="21" t="s">
        <v>34</v>
      </c>
      <c r="M32" s="18" t="s">
        <v>25</v>
      </c>
      <c r="N32" s="18"/>
      <c r="O32" s="18" t="s">
        <v>26</v>
      </c>
      <c r="P32" s="20"/>
      <c r="Q32" s="18" t="s">
        <v>28</v>
      </c>
      <c r="R32" s="18" t="s">
        <v>54</v>
      </c>
    </row>
    <row r="33" spans="1:18" ht="30" customHeight="1" x14ac:dyDescent="0.25">
      <c r="A33" s="16" t="s">
        <v>68</v>
      </c>
      <c r="B33" s="17">
        <v>223817</v>
      </c>
      <c r="C33" s="18" t="s">
        <v>20</v>
      </c>
      <c r="D33" s="19" t="s">
        <v>173</v>
      </c>
      <c r="E33" s="17" t="s">
        <v>63</v>
      </c>
      <c r="F33" s="17">
        <v>2</v>
      </c>
      <c r="G33" s="74">
        <v>44253</v>
      </c>
      <c r="H33" s="74">
        <v>44257</v>
      </c>
      <c r="I33" s="74">
        <v>44270</v>
      </c>
      <c r="J33" s="20"/>
      <c r="K33" s="18" t="s">
        <v>23</v>
      </c>
      <c r="L33" s="21" t="s">
        <v>34</v>
      </c>
      <c r="M33" s="18" t="s">
        <v>25</v>
      </c>
      <c r="N33" s="18"/>
      <c r="O33" s="18" t="s">
        <v>26</v>
      </c>
      <c r="P33" s="20"/>
      <c r="Q33" s="18" t="s">
        <v>28</v>
      </c>
      <c r="R33" s="18" t="s">
        <v>54</v>
      </c>
    </row>
    <row r="34" spans="1:18" ht="30" customHeight="1" x14ac:dyDescent="0.25">
      <c r="A34" s="16" t="s">
        <v>30</v>
      </c>
      <c r="B34" s="17">
        <v>225001</v>
      </c>
      <c r="C34" s="18" t="s">
        <v>31</v>
      </c>
      <c r="D34" s="19" t="s">
        <v>174</v>
      </c>
      <c r="E34" s="17" t="s">
        <v>36</v>
      </c>
      <c r="F34" s="17">
        <v>4</v>
      </c>
      <c r="G34" s="74">
        <v>44258</v>
      </c>
      <c r="H34" s="74">
        <v>44263</v>
      </c>
      <c r="I34" s="74">
        <v>44263</v>
      </c>
      <c r="J34" s="20"/>
      <c r="K34" s="18" t="s">
        <v>23</v>
      </c>
      <c r="L34" s="21" t="s">
        <v>42</v>
      </c>
      <c r="M34" s="18" t="s">
        <v>25</v>
      </c>
      <c r="N34" s="18"/>
      <c r="O34" s="18"/>
      <c r="P34" s="20"/>
      <c r="Q34" s="18"/>
      <c r="R34" s="18"/>
    </row>
    <row r="35" spans="1:18" ht="30" customHeight="1" x14ac:dyDescent="0.25">
      <c r="A35" s="16" t="s">
        <v>30</v>
      </c>
      <c r="B35" s="17">
        <v>225001</v>
      </c>
      <c r="C35" s="18" t="s">
        <v>31</v>
      </c>
      <c r="D35" s="19" t="s">
        <v>174</v>
      </c>
      <c r="E35" s="17" t="s">
        <v>49</v>
      </c>
      <c r="F35" s="17">
        <v>1</v>
      </c>
      <c r="G35" s="74">
        <v>44258</v>
      </c>
      <c r="H35" s="74">
        <v>44263</v>
      </c>
      <c r="I35" s="74">
        <v>44263</v>
      </c>
      <c r="J35" s="20"/>
      <c r="K35" s="18" t="s">
        <v>23</v>
      </c>
      <c r="L35" s="21" t="s">
        <v>42</v>
      </c>
      <c r="M35" s="18" t="s">
        <v>25</v>
      </c>
      <c r="N35" s="18"/>
      <c r="O35" s="18"/>
      <c r="P35" s="20"/>
      <c r="Q35" s="18"/>
      <c r="R35" s="18"/>
    </row>
    <row r="36" spans="1:18" ht="30" customHeight="1" x14ac:dyDescent="0.25">
      <c r="A36" s="16" t="s">
        <v>30</v>
      </c>
      <c r="B36" s="17">
        <v>225001</v>
      </c>
      <c r="C36" s="18" t="s">
        <v>31</v>
      </c>
      <c r="D36" s="19" t="s">
        <v>174</v>
      </c>
      <c r="E36" s="17" t="s">
        <v>33</v>
      </c>
      <c r="F36" s="17">
        <v>1</v>
      </c>
      <c r="G36" s="74">
        <v>44258</v>
      </c>
      <c r="H36" s="74">
        <v>44263</v>
      </c>
      <c r="I36" s="74">
        <v>44263</v>
      </c>
      <c r="J36" s="20"/>
      <c r="K36" s="18" t="s">
        <v>23</v>
      </c>
      <c r="L36" s="21" t="s">
        <v>42</v>
      </c>
      <c r="M36" s="18" t="s">
        <v>25</v>
      </c>
      <c r="N36" s="18"/>
      <c r="O36" s="18" t="s">
        <v>27</v>
      </c>
      <c r="P36" s="20"/>
      <c r="Q36" s="18" t="s">
        <v>29</v>
      </c>
      <c r="R36" s="18"/>
    </row>
    <row r="37" spans="1:18" ht="30" customHeight="1" x14ac:dyDescent="0.25">
      <c r="A37" s="16" t="s">
        <v>37</v>
      </c>
      <c r="B37" s="17">
        <v>224536</v>
      </c>
      <c r="C37" s="18" t="s">
        <v>20</v>
      </c>
      <c r="D37" s="19" t="s">
        <v>175</v>
      </c>
      <c r="E37" s="17" t="s">
        <v>22</v>
      </c>
      <c r="F37" s="17">
        <v>1</v>
      </c>
      <c r="G37" s="74">
        <v>44257</v>
      </c>
      <c r="H37" s="74">
        <v>44260</v>
      </c>
      <c r="I37" s="74">
        <v>44264</v>
      </c>
      <c r="J37" s="20"/>
      <c r="K37" s="18" t="s">
        <v>23</v>
      </c>
      <c r="L37" s="21" t="s">
        <v>34</v>
      </c>
      <c r="M37" s="18" t="s">
        <v>25</v>
      </c>
      <c r="N37" s="18">
        <v>1</v>
      </c>
      <c r="O37" s="18" t="s">
        <v>26</v>
      </c>
      <c r="P37" s="20" t="s">
        <v>27</v>
      </c>
      <c r="Q37" s="18" t="s">
        <v>29</v>
      </c>
      <c r="R37" s="18" t="s">
        <v>54</v>
      </c>
    </row>
    <row r="38" spans="1:18" ht="30" customHeight="1" x14ac:dyDescent="0.25">
      <c r="A38" s="16" t="s">
        <v>47</v>
      </c>
      <c r="B38" s="17">
        <v>222723</v>
      </c>
      <c r="C38" s="18" t="s">
        <v>31</v>
      </c>
      <c r="D38" s="19" t="s">
        <v>154</v>
      </c>
      <c r="E38" s="17" t="s">
        <v>73</v>
      </c>
      <c r="F38" s="17">
        <v>1</v>
      </c>
      <c r="G38" s="74">
        <v>44250</v>
      </c>
      <c r="H38" s="74">
        <v>44263</v>
      </c>
      <c r="I38" s="74"/>
      <c r="J38" s="20"/>
      <c r="K38" s="18" t="s">
        <v>23</v>
      </c>
      <c r="L38" s="21" t="s">
        <v>58</v>
      </c>
      <c r="M38" s="18" t="s">
        <v>25</v>
      </c>
      <c r="N38" s="18"/>
      <c r="O38" s="18" t="s">
        <v>26</v>
      </c>
      <c r="P38" s="20"/>
      <c r="Q38" s="18" t="s">
        <v>28</v>
      </c>
      <c r="R38" s="18" t="s">
        <v>28</v>
      </c>
    </row>
    <row r="39" spans="1:18" ht="30" customHeight="1" x14ac:dyDescent="0.25">
      <c r="A39" s="16" t="s">
        <v>47</v>
      </c>
      <c r="B39" s="17">
        <v>224892</v>
      </c>
      <c r="C39" s="18" t="s">
        <v>31</v>
      </c>
      <c r="D39" s="19" t="s">
        <v>176</v>
      </c>
      <c r="E39" s="17" t="s">
        <v>94</v>
      </c>
      <c r="F39" s="17">
        <v>1</v>
      </c>
      <c r="G39" s="74">
        <v>44267</v>
      </c>
      <c r="H39" s="74">
        <v>44271</v>
      </c>
      <c r="I39" s="74">
        <v>44286</v>
      </c>
      <c r="J39" s="20"/>
      <c r="K39" s="18" t="s">
        <v>23</v>
      </c>
      <c r="L39" s="21" t="s">
        <v>34</v>
      </c>
      <c r="M39" s="18" t="s">
        <v>25</v>
      </c>
      <c r="N39" s="18">
        <v>2</v>
      </c>
      <c r="O39" s="18" t="s">
        <v>26</v>
      </c>
      <c r="P39" s="20"/>
      <c r="Q39" s="18" t="s">
        <v>29</v>
      </c>
      <c r="R39" s="18"/>
    </row>
    <row r="40" spans="1:18" ht="30" customHeight="1" x14ac:dyDescent="0.25">
      <c r="A40" s="16" t="s">
        <v>47</v>
      </c>
      <c r="B40" s="17">
        <v>224892</v>
      </c>
      <c r="C40" s="18" t="s">
        <v>31</v>
      </c>
      <c r="D40" s="19" t="s">
        <v>176</v>
      </c>
      <c r="E40" s="17" t="s">
        <v>35</v>
      </c>
      <c r="F40" s="17">
        <v>1</v>
      </c>
      <c r="G40" s="74">
        <v>44267</v>
      </c>
      <c r="H40" s="74">
        <v>44271</v>
      </c>
      <c r="I40" s="74">
        <v>44271</v>
      </c>
      <c r="J40" s="20"/>
      <c r="K40" s="18" t="s">
        <v>23</v>
      </c>
      <c r="L40" s="21" t="s">
        <v>34</v>
      </c>
      <c r="M40" s="18" t="s">
        <v>25</v>
      </c>
      <c r="N40" s="18">
        <v>2</v>
      </c>
      <c r="O40" s="18" t="s">
        <v>26</v>
      </c>
      <c r="P40" s="20"/>
      <c r="Q40" s="18" t="s">
        <v>29</v>
      </c>
      <c r="R40" s="18"/>
    </row>
    <row r="41" spans="1:18" ht="30" customHeight="1" x14ac:dyDescent="0.25">
      <c r="A41" s="16" t="s">
        <v>47</v>
      </c>
      <c r="B41" s="17">
        <v>224892</v>
      </c>
      <c r="C41" s="18" t="s">
        <v>31</v>
      </c>
      <c r="D41" s="19" t="s">
        <v>176</v>
      </c>
      <c r="E41" s="17" t="s">
        <v>90</v>
      </c>
      <c r="F41" s="17">
        <v>5</v>
      </c>
      <c r="G41" s="74">
        <v>44267</v>
      </c>
      <c r="H41" s="74">
        <v>44271</v>
      </c>
      <c r="I41" s="74">
        <v>44271</v>
      </c>
      <c r="J41" s="20"/>
      <c r="K41" s="18" t="s">
        <v>23</v>
      </c>
      <c r="L41" s="21" t="s">
        <v>34</v>
      </c>
      <c r="M41" s="18" t="s">
        <v>25</v>
      </c>
      <c r="N41" s="18">
        <v>2</v>
      </c>
      <c r="O41" s="18" t="s">
        <v>26</v>
      </c>
      <c r="P41" s="20"/>
      <c r="Q41" s="18" t="s">
        <v>29</v>
      </c>
      <c r="R41" s="18"/>
    </row>
    <row r="42" spans="1:18" ht="30" customHeight="1" x14ac:dyDescent="0.25">
      <c r="A42" s="16" t="s">
        <v>47</v>
      </c>
      <c r="B42" s="17">
        <v>224892</v>
      </c>
      <c r="C42" s="18" t="s">
        <v>31</v>
      </c>
      <c r="D42" s="19" t="s">
        <v>176</v>
      </c>
      <c r="E42" s="17" t="s">
        <v>36</v>
      </c>
      <c r="F42" s="17">
        <v>4</v>
      </c>
      <c r="G42" s="74">
        <v>44267</v>
      </c>
      <c r="H42" s="74">
        <v>44271</v>
      </c>
      <c r="I42" s="74">
        <v>44271</v>
      </c>
      <c r="J42" s="20"/>
      <c r="K42" s="18" t="s">
        <v>23</v>
      </c>
      <c r="L42" s="21" t="s">
        <v>34</v>
      </c>
      <c r="M42" s="18" t="s">
        <v>25</v>
      </c>
      <c r="N42" s="18">
        <v>2</v>
      </c>
      <c r="O42" s="18" t="s">
        <v>26</v>
      </c>
      <c r="P42" s="20"/>
      <c r="Q42" s="18" t="s">
        <v>29</v>
      </c>
      <c r="R42" s="18"/>
    </row>
    <row r="43" spans="1:18" ht="30" customHeight="1" x14ac:dyDescent="0.25">
      <c r="A43" s="16" t="s">
        <v>47</v>
      </c>
      <c r="B43" s="17">
        <v>224892</v>
      </c>
      <c r="C43" s="18" t="s">
        <v>31</v>
      </c>
      <c r="D43" s="19" t="s">
        <v>176</v>
      </c>
      <c r="E43" s="17" t="s">
        <v>43</v>
      </c>
      <c r="F43" s="17">
        <v>3</v>
      </c>
      <c r="G43" s="74">
        <v>44267</v>
      </c>
      <c r="H43" s="74">
        <v>44271</v>
      </c>
      <c r="I43" s="74">
        <v>44271</v>
      </c>
      <c r="J43" s="20"/>
      <c r="K43" s="18" t="s">
        <v>23</v>
      </c>
      <c r="L43" s="21" t="s">
        <v>34</v>
      </c>
      <c r="M43" s="18" t="s">
        <v>25</v>
      </c>
      <c r="N43" s="18">
        <v>2</v>
      </c>
      <c r="O43" s="18" t="s">
        <v>26</v>
      </c>
      <c r="P43" s="20"/>
      <c r="Q43" s="18" t="s">
        <v>29</v>
      </c>
      <c r="R43" s="18"/>
    </row>
    <row r="44" spans="1:18" ht="30" customHeight="1" x14ac:dyDescent="0.25">
      <c r="A44" s="16" t="s">
        <v>47</v>
      </c>
      <c r="B44" s="17">
        <v>224892</v>
      </c>
      <c r="C44" s="18" t="s">
        <v>31</v>
      </c>
      <c r="D44" s="19" t="s">
        <v>176</v>
      </c>
      <c r="E44" s="17" t="s">
        <v>33</v>
      </c>
      <c r="F44" s="17">
        <v>1</v>
      </c>
      <c r="G44" s="74">
        <v>44267</v>
      </c>
      <c r="H44" s="74">
        <v>44271</v>
      </c>
      <c r="I44" s="74">
        <v>44271</v>
      </c>
      <c r="J44" s="20"/>
      <c r="K44" s="18" t="s">
        <v>23</v>
      </c>
      <c r="L44" s="21" t="s">
        <v>34</v>
      </c>
      <c r="M44" s="18" t="s">
        <v>25</v>
      </c>
      <c r="N44" s="18">
        <v>2</v>
      </c>
      <c r="O44" s="18" t="s">
        <v>26</v>
      </c>
      <c r="P44" s="20"/>
      <c r="Q44" s="18" t="s">
        <v>29</v>
      </c>
      <c r="R44" s="18"/>
    </row>
    <row r="45" spans="1:18" ht="30" customHeight="1" x14ac:dyDescent="0.25">
      <c r="A45" s="16" t="s">
        <v>47</v>
      </c>
      <c r="B45" s="17">
        <v>224892</v>
      </c>
      <c r="C45" s="18" t="s">
        <v>31</v>
      </c>
      <c r="D45" s="19" t="s">
        <v>176</v>
      </c>
      <c r="E45" s="17" t="s">
        <v>89</v>
      </c>
      <c r="F45" s="17">
        <v>1</v>
      </c>
      <c r="G45" s="74">
        <v>44267</v>
      </c>
      <c r="H45" s="74">
        <v>44271</v>
      </c>
      <c r="I45" s="74">
        <v>44271</v>
      </c>
      <c r="J45" s="20" t="s">
        <v>177</v>
      </c>
      <c r="K45" s="18" t="s">
        <v>23</v>
      </c>
      <c r="L45" s="21" t="s">
        <v>34</v>
      </c>
      <c r="M45" s="18" t="s">
        <v>25</v>
      </c>
      <c r="N45" s="18">
        <v>2</v>
      </c>
      <c r="O45" s="18" t="s">
        <v>26</v>
      </c>
      <c r="P45" s="20"/>
      <c r="Q45" s="18" t="s">
        <v>29</v>
      </c>
      <c r="R45" s="18"/>
    </row>
    <row r="46" spans="1:18" ht="30" customHeight="1" x14ac:dyDescent="0.25">
      <c r="A46" s="16" t="s">
        <v>47</v>
      </c>
      <c r="B46" s="17">
        <v>224892</v>
      </c>
      <c r="C46" s="18" t="s">
        <v>31</v>
      </c>
      <c r="D46" s="19" t="s">
        <v>176</v>
      </c>
      <c r="E46" s="17" t="s">
        <v>62</v>
      </c>
      <c r="F46" s="17">
        <v>1</v>
      </c>
      <c r="G46" s="74">
        <v>44260</v>
      </c>
      <c r="H46" s="74">
        <v>44265</v>
      </c>
      <c r="I46" s="74">
        <v>44265</v>
      </c>
      <c r="J46" s="20"/>
      <c r="K46" s="18" t="s">
        <v>23</v>
      </c>
      <c r="L46" s="21" t="s">
        <v>34</v>
      </c>
      <c r="M46" s="18" t="s">
        <v>25</v>
      </c>
      <c r="N46" s="18">
        <v>2</v>
      </c>
      <c r="O46" s="18" t="s">
        <v>26</v>
      </c>
      <c r="P46" s="20"/>
      <c r="Q46" s="18" t="s">
        <v>29</v>
      </c>
      <c r="R46" s="18"/>
    </row>
    <row r="47" spans="1:18" ht="30" customHeight="1" x14ac:dyDescent="0.25">
      <c r="A47" s="16" t="s">
        <v>178</v>
      </c>
      <c r="B47" s="17">
        <v>225692</v>
      </c>
      <c r="C47" s="18" t="s">
        <v>31</v>
      </c>
      <c r="D47" s="19" t="s">
        <v>179</v>
      </c>
      <c r="E47" s="17" t="s">
        <v>36</v>
      </c>
      <c r="F47" s="17">
        <v>1</v>
      </c>
      <c r="G47" s="74">
        <v>44260</v>
      </c>
      <c r="H47" s="74">
        <v>44266</v>
      </c>
      <c r="I47" s="74">
        <v>44266</v>
      </c>
      <c r="J47" s="20"/>
      <c r="K47" s="18" t="s">
        <v>23</v>
      </c>
      <c r="L47" s="21" t="s">
        <v>42</v>
      </c>
      <c r="M47" s="18" t="s">
        <v>25</v>
      </c>
      <c r="N47" s="18"/>
      <c r="O47" s="18" t="s">
        <v>27</v>
      </c>
      <c r="P47" s="20"/>
      <c r="Q47" s="18" t="s">
        <v>29</v>
      </c>
      <c r="R47" s="18"/>
    </row>
    <row r="48" spans="1:18" ht="30" customHeight="1" x14ac:dyDescent="0.25">
      <c r="A48" s="16" t="s">
        <v>178</v>
      </c>
      <c r="B48" s="17">
        <v>225692</v>
      </c>
      <c r="C48" s="18" t="s">
        <v>31</v>
      </c>
      <c r="D48" s="19" t="s">
        <v>179</v>
      </c>
      <c r="E48" s="17" t="s">
        <v>49</v>
      </c>
      <c r="F48" s="17">
        <v>1</v>
      </c>
      <c r="G48" s="74">
        <v>44260</v>
      </c>
      <c r="H48" s="74">
        <v>44266</v>
      </c>
      <c r="I48" s="74">
        <v>44266</v>
      </c>
      <c r="J48" s="20"/>
      <c r="K48" s="18" t="s">
        <v>23</v>
      </c>
      <c r="L48" s="21" t="s">
        <v>42</v>
      </c>
      <c r="M48" s="18" t="s">
        <v>25</v>
      </c>
      <c r="N48" s="18"/>
      <c r="O48" s="18" t="s">
        <v>27</v>
      </c>
      <c r="P48" s="20"/>
      <c r="Q48" s="18" t="s">
        <v>29</v>
      </c>
      <c r="R48" s="18"/>
    </row>
    <row r="49" spans="1:18" ht="30" customHeight="1" x14ac:dyDescent="0.25">
      <c r="A49" s="16" t="s">
        <v>30</v>
      </c>
      <c r="B49" s="17">
        <v>225795</v>
      </c>
      <c r="C49" s="18" t="s">
        <v>20</v>
      </c>
      <c r="D49" s="19" t="s">
        <v>180</v>
      </c>
      <c r="E49" s="17" t="s">
        <v>35</v>
      </c>
      <c r="F49" s="17">
        <v>2</v>
      </c>
      <c r="G49" s="74">
        <v>44263</v>
      </c>
      <c r="H49" s="74">
        <v>44265</v>
      </c>
      <c r="I49" s="74">
        <v>44265</v>
      </c>
      <c r="J49" s="20"/>
      <c r="K49" s="18" t="s">
        <v>23</v>
      </c>
      <c r="L49" s="21" t="s">
        <v>34</v>
      </c>
      <c r="M49" s="18" t="s">
        <v>25</v>
      </c>
      <c r="N49" s="18"/>
      <c r="O49" s="18" t="s">
        <v>26</v>
      </c>
      <c r="P49" s="20"/>
      <c r="Q49" s="18" t="s">
        <v>29</v>
      </c>
      <c r="R49" s="18" t="s">
        <v>54</v>
      </c>
    </row>
    <row r="50" spans="1:18" ht="30" customHeight="1" x14ac:dyDescent="0.25">
      <c r="A50" s="16" t="s">
        <v>30</v>
      </c>
      <c r="B50" s="17">
        <v>225795</v>
      </c>
      <c r="C50" s="18" t="s">
        <v>20</v>
      </c>
      <c r="D50" s="19" t="s">
        <v>180</v>
      </c>
      <c r="E50" s="17" t="s">
        <v>43</v>
      </c>
      <c r="F50" s="17">
        <v>4</v>
      </c>
      <c r="G50" s="74">
        <v>44263</v>
      </c>
      <c r="H50" s="74">
        <v>44265</v>
      </c>
      <c r="I50" s="74">
        <v>44265</v>
      </c>
      <c r="J50" s="20"/>
      <c r="K50" s="18" t="s">
        <v>23</v>
      </c>
      <c r="L50" s="21" t="s">
        <v>34</v>
      </c>
      <c r="M50" s="18" t="s">
        <v>25</v>
      </c>
      <c r="N50" s="18"/>
      <c r="O50" s="18" t="s">
        <v>26</v>
      </c>
      <c r="P50" s="20"/>
      <c r="Q50" s="18" t="s">
        <v>29</v>
      </c>
      <c r="R50" s="18" t="s">
        <v>54</v>
      </c>
    </row>
    <row r="51" spans="1:18" ht="30" customHeight="1" x14ac:dyDescent="0.25">
      <c r="A51" s="16" t="s">
        <v>30</v>
      </c>
      <c r="B51" s="17">
        <v>225795</v>
      </c>
      <c r="C51" s="18" t="s">
        <v>20</v>
      </c>
      <c r="D51" s="19" t="s">
        <v>180</v>
      </c>
      <c r="E51" s="17" t="s">
        <v>33</v>
      </c>
      <c r="F51" s="17">
        <v>4</v>
      </c>
      <c r="G51" s="74">
        <v>44263</v>
      </c>
      <c r="H51" s="74">
        <v>44265</v>
      </c>
      <c r="I51" s="74">
        <v>44265</v>
      </c>
      <c r="J51" s="20"/>
      <c r="K51" s="18" t="s">
        <v>23</v>
      </c>
      <c r="L51" s="21" t="s">
        <v>34</v>
      </c>
      <c r="M51" s="18" t="s">
        <v>25</v>
      </c>
      <c r="N51" s="18"/>
      <c r="O51" s="18" t="s">
        <v>26</v>
      </c>
      <c r="P51" s="20"/>
      <c r="Q51" s="18" t="s">
        <v>29</v>
      </c>
      <c r="R51" s="18" t="s">
        <v>54</v>
      </c>
    </row>
    <row r="52" spans="1:18" ht="30" customHeight="1" x14ac:dyDescent="0.25">
      <c r="A52" s="16" t="s">
        <v>30</v>
      </c>
      <c r="B52" s="17">
        <v>225795</v>
      </c>
      <c r="C52" s="18" t="s">
        <v>20</v>
      </c>
      <c r="D52" s="19" t="s">
        <v>180</v>
      </c>
      <c r="E52" s="17" t="s">
        <v>45</v>
      </c>
      <c r="F52" s="17">
        <v>2</v>
      </c>
      <c r="G52" s="74">
        <v>44263</v>
      </c>
      <c r="H52" s="74">
        <v>44265</v>
      </c>
      <c r="I52" s="74">
        <v>44265</v>
      </c>
      <c r="J52" s="20"/>
      <c r="K52" s="18" t="s">
        <v>23</v>
      </c>
      <c r="L52" s="21" t="s">
        <v>34</v>
      </c>
      <c r="M52" s="18" t="s">
        <v>25</v>
      </c>
      <c r="N52" s="18"/>
      <c r="O52" s="18" t="s">
        <v>26</v>
      </c>
      <c r="P52" s="20"/>
      <c r="Q52" s="18" t="s">
        <v>29</v>
      </c>
      <c r="R52" s="18" t="s">
        <v>54</v>
      </c>
    </row>
    <row r="53" spans="1:18" ht="30" customHeight="1" x14ac:dyDescent="0.25">
      <c r="A53" s="16" t="s">
        <v>40</v>
      </c>
      <c r="B53" s="17" t="s">
        <v>96</v>
      </c>
      <c r="C53" s="18" t="s">
        <v>31</v>
      </c>
      <c r="D53" s="19" t="s">
        <v>181</v>
      </c>
      <c r="E53" s="17" t="s">
        <v>182</v>
      </c>
      <c r="F53" s="17">
        <v>3</v>
      </c>
      <c r="G53" s="74">
        <v>44264</v>
      </c>
      <c r="H53" s="74">
        <v>44266</v>
      </c>
      <c r="I53" s="74">
        <v>44266</v>
      </c>
      <c r="J53" s="20"/>
      <c r="K53" s="18" t="s">
        <v>23</v>
      </c>
      <c r="L53" s="21" t="s">
        <v>24</v>
      </c>
      <c r="M53" s="18" t="s">
        <v>25</v>
      </c>
      <c r="N53" s="18"/>
      <c r="O53" s="18" t="s">
        <v>26</v>
      </c>
      <c r="P53" s="20"/>
      <c r="Q53" s="18" t="s">
        <v>29</v>
      </c>
      <c r="R53" s="18"/>
    </row>
    <row r="54" spans="1:18" ht="30" customHeight="1" x14ac:dyDescent="0.25">
      <c r="A54" s="16" t="s">
        <v>40</v>
      </c>
      <c r="B54" s="17">
        <v>226583</v>
      </c>
      <c r="C54" s="18" t="s">
        <v>20</v>
      </c>
      <c r="D54" s="19" t="s">
        <v>138</v>
      </c>
      <c r="E54" s="17" t="s">
        <v>35</v>
      </c>
      <c r="F54" s="17">
        <v>1</v>
      </c>
      <c r="G54" s="74">
        <v>44267</v>
      </c>
      <c r="H54" s="74">
        <v>44270</v>
      </c>
      <c r="I54" s="74">
        <v>44270</v>
      </c>
      <c r="J54" s="20" t="s">
        <v>183</v>
      </c>
      <c r="K54" s="18" t="s">
        <v>23</v>
      </c>
      <c r="L54" s="21" t="s">
        <v>24</v>
      </c>
      <c r="M54" s="18" t="s">
        <v>25</v>
      </c>
      <c r="N54" s="18"/>
      <c r="O54" s="18" t="s">
        <v>26</v>
      </c>
      <c r="P54" s="20"/>
      <c r="Q54" s="18" t="s">
        <v>29</v>
      </c>
      <c r="R54" s="18" t="s">
        <v>29</v>
      </c>
    </row>
    <row r="55" spans="1:18" ht="30" customHeight="1" x14ac:dyDescent="0.25">
      <c r="A55" s="16" t="s">
        <v>40</v>
      </c>
      <c r="B55" s="17">
        <v>226583</v>
      </c>
      <c r="C55" s="18" t="s">
        <v>20</v>
      </c>
      <c r="D55" s="19" t="s">
        <v>138</v>
      </c>
      <c r="E55" s="17" t="s">
        <v>35</v>
      </c>
      <c r="F55" s="17">
        <v>1</v>
      </c>
      <c r="G55" s="74">
        <v>44267</v>
      </c>
      <c r="H55" s="74">
        <v>44267</v>
      </c>
      <c r="I55" s="74">
        <v>44267</v>
      </c>
      <c r="J55" s="20" t="s">
        <v>184</v>
      </c>
      <c r="K55" s="18" t="s">
        <v>23</v>
      </c>
      <c r="L55" s="21" t="s">
        <v>24</v>
      </c>
      <c r="M55" s="18" t="s">
        <v>25</v>
      </c>
      <c r="N55" s="18"/>
      <c r="O55" s="18" t="s">
        <v>26</v>
      </c>
      <c r="P55" s="20"/>
      <c r="Q55" s="18" t="s">
        <v>29</v>
      </c>
      <c r="R55" s="18" t="s">
        <v>29</v>
      </c>
    </row>
    <row r="56" spans="1:18" ht="30" customHeight="1" x14ac:dyDescent="0.25">
      <c r="A56" s="16" t="s">
        <v>40</v>
      </c>
      <c r="B56" s="17">
        <v>226583</v>
      </c>
      <c r="C56" s="18" t="s">
        <v>20</v>
      </c>
      <c r="D56" s="19" t="s">
        <v>138</v>
      </c>
      <c r="E56" s="17" t="s">
        <v>35</v>
      </c>
      <c r="F56" s="17">
        <v>1</v>
      </c>
      <c r="G56" s="74">
        <v>44265</v>
      </c>
      <c r="H56" s="74">
        <v>44266</v>
      </c>
      <c r="I56" s="74">
        <v>44266</v>
      </c>
      <c r="J56" s="20"/>
      <c r="K56" s="18" t="s">
        <v>23</v>
      </c>
      <c r="L56" s="21" t="s">
        <v>24</v>
      </c>
      <c r="M56" s="18" t="s">
        <v>25</v>
      </c>
      <c r="N56" s="18"/>
      <c r="O56" s="18" t="s">
        <v>26</v>
      </c>
      <c r="P56" s="20"/>
      <c r="Q56" s="18" t="s">
        <v>29</v>
      </c>
      <c r="R56" s="18" t="s">
        <v>29</v>
      </c>
    </row>
    <row r="57" spans="1:18" ht="30" customHeight="1" x14ac:dyDescent="0.25">
      <c r="A57" s="16" t="s">
        <v>40</v>
      </c>
      <c r="B57" s="17">
        <v>226583</v>
      </c>
      <c r="C57" s="18" t="s">
        <v>20</v>
      </c>
      <c r="D57" s="19" t="s">
        <v>138</v>
      </c>
      <c r="E57" s="17" t="s">
        <v>35</v>
      </c>
      <c r="F57" s="17">
        <v>1</v>
      </c>
      <c r="G57" s="74">
        <v>44267</v>
      </c>
      <c r="H57" s="74">
        <v>44270</v>
      </c>
      <c r="I57" s="74">
        <v>44272</v>
      </c>
      <c r="J57" s="20" t="s">
        <v>185</v>
      </c>
      <c r="K57" s="18" t="s">
        <v>23</v>
      </c>
      <c r="L57" s="21" t="s">
        <v>24</v>
      </c>
      <c r="M57" s="18" t="s">
        <v>25</v>
      </c>
      <c r="N57" s="18"/>
      <c r="O57" s="18" t="s">
        <v>26</v>
      </c>
      <c r="P57" s="20"/>
      <c r="Q57" s="18" t="s">
        <v>29</v>
      </c>
      <c r="R57" s="18" t="s">
        <v>29</v>
      </c>
    </row>
    <row r="58" spans="1:18" ht="30" customHeight="1" x14ac:dyDescent="0.25">
      <c r="A58" s="16" t="s">
        <v>40</v>
      </c>
      <c r="B58" s="17">
        <v>226583</v>
      </c>
      <c r="C58" s="18" t="s">
        <v>20</v>
      </c>
      <c r="D58" s="19" t="s">
        <v>138</v>
      </c>
      <c r="E58" s="17" t="s">
        <v>35</v>
      </c>
      <c r="F58" s="17">
        <v>1</v>
      </c>
      <c r="G58" s="74">
        <v>44277</v>
      </c>
      <c r="H58" s="74">
        <v>44277</v>
      </c>
      <c r="I58" s="74">
        <v>44277</v>
      </c>
      <c r="J58" s="20" t="s">
        <v>186</v>
      </c>
      <c r="K58" s="18" t="s">
        <v>23</v>
      </c>
      <c r="L58" s="21" t="s">
        <v>24</v>
      </c>
      <c r="M58" s="18" t="s">
        <v>25</v>
      </c>
      <c r="N58" s="18"/>
      <c r="O58" s="18" t="s">
        <v>26</v>
      </c>
      <c r="P58" s="20"/>
      <c r="Q58" s="18" t="s">
        <v>29</v>
      </c>
      <c r="R58" s="18" t="s">
        <v>29</v>
      </c>
    </row>
    <row r="59" spans="1:18" ht="30" customHeight="1" x14ac:dyDescent="0.25">
      <c r="A59" s="16" t="s">
        <v>40</v>
      </c>
      <c r="B59" s="17">
        <v>226583</v>
      </c>
      <c r="C59" s="18" t="s">
        <v>20</v>
      </c>
      <c r="D59" s="19" t="s">
        <v>138</v>
      </c>
      <c r="E59" s="17" t="s">
        <v>35</v>
      </c>
      <c r="F59" s="17">
        <v>1</v>
      </c>
      <c r="G59" s="74">
        <v>44279</v>
      </c>
      <c r="H59" s="74">
        <v>44279</v>
      </c>
      <c r="I59" s="74">
        <v>44279</v>
      </c>
      <c r="J59" s="20" t="s">
        <v>187</v>
      </c>
      <c r="K59" s="18" t="s">
        <v>23</v>
      </c>
      <c r="L59" s="21" t="s">
        <v>24</v>
      </c>
      <c r="M59" s="18" t="s">
        <v>25</v>
      </c>
      <c r="N59" s="18"/>
      <c r="O59" s="18" t="s">
        <v>26</v>
      </c>
      <c r="P59" s="20"/>
      <c r="Q59" s="18" t="s">
        <v>29</v>
      </c>
      <c r="R59" s="18" t="s">
        <v>29</v>
      </c>
    </row>
    <row r="60" spans="1:18" ht="30" customHeight="1" x14ac:dyDescent="0.25">
      <c r="A60" s="16" t="s">
        <v>40</v>
      </c>
      <c r="B60" s="17">
        <v>226583</v>
      </c>
      <c r="C60" s="18" t="s">
        <v>20</v>
      </c>
      <c r="D60" s="19" t="s">
        <v>138</v>
      </c>
      <c r="E60" s="17" t="s">
        <v>35</v>
      </c>
      <c r="F60" s="17">
        <v>2</v>
      </c>
      <c r="G60" s="74">
        <v>44281</v>
      </c>
      <c r="H60" s="74">
        <v>44281</v>
      </c>
      <c r="I60" s="74">
        <v>44281</v>
      </c>
      <c r="J60" s="20" t="s">
        <v>188</v>
      </c>
      <c r="K60" s="18" t="s">
        <v>23</v>
      </c>
      <c r="L60" s="21" t="s">
        <v>24</v>
      </c>
      <c r="M60" s="18" t="s">
        <v>25</v>
      </c>
      <c r="N60" s="18"/>
      <c r="O60" s="18" t="s">
        <v>26</v>
      </c>
      <c r="P60" s="20"/>
      <c r="Q60" s="18" t="s">
        <v>29</v>
      </c>
      <c r="R60" s="18" t="s">
        <v>29</v>
      </c>
    </row>
    <row r="61" spans="1:18" ht="30" customHeight="1" x14ac:dyDescent="0.25">
      <c r="A61" s="16" t="s">
        <v>40</v>
      </c>
      <c r="B61" s="17">
        <v>226583</v>
      </c>
      <c r="C61" s="18" t="s">
        <v>20</v>
      </c>
      <c r="D61" s="19" t="s">
        <v>138</v>
      </c>
      <c r="E61" s="17" t="s">
        <v>35</v>
      </c>
      <c r="F61" s="17">
        <v>2</v>
      </c>
      <c r="G61" s="74">
        <v>44284</v>
      </c>
      <c r="H61" s="74">
        <v>44284</v>
      </c>
      <c r="I61" s="74">
        <v>44284</v>
      </c>
      <c r="J61" s="20" t="s">
        <v>189</v>
      </c>
      <c r="K61" s="18" t="s">
        <v>23</v>
      </c>
      <c r="L61" s="21" t="s">
        <v>24</v>
      </c>
      <c r="M61" s="18" t="s">
        <v>25</v>
      </c>
      <c r="N61" s="18"/>
      <c r="O61" s="18" t="s">
        <v>26</v>
      </c>
      <c r="P61" s="20"/>
      <c r="Q61" s="18" t="s">
        <v>29</v>
      </c>
      <c r="R61" s="18" t="s">
        <v>29</v>
      </c>
    </row>
    <row r="62" spans="1:18" ht="30" customHeight="1" x14ac:dyDescent="0.25">
      <c r="A62" s="16" t="s">
        <v>40</v>
      </c>
      <c r="B62" s="17">
        <v>226583</v>
      </c>
      <c r="C62" s="18" t="s">
        <v>20</v>
      </c>
      <c r="D62" s="19" t="s">
        <v>138</v>
      </c>
      <c r="E62" s="17" t="s">
        <v>35</v>
      </c>
      <c r="F62" s="17">
        <v>1</v>
      </c>
      <c r="G62" s="74">
        <v>44285</v>
      </c>
      <c r="H62" s="74">
        <v>44285</v>
      </c>
      <c r="I62" s="74">
        <v>44285</v>
      </c>
      <c r="J62" s="20" t="s">
        <v>190</v>
      </c>
      <c r="K62" s="18" t="s">
        <v>23</v>
      </c>
      <c r="L62" s="21" t="s">
        <v>24</v>
      </c>
      <c r="M62" s="18" t="s">
        <v>25</v>
      </c>
      <c r="N62" s="18"/>
      <c r="O62" s="18" t="s">
        <v>26</v>
      </c>
      <c r="P62" s="20"/>
      <c r="Q62" s="18" t="s">
        <v>29</v>
      </c>
      <c r="R62" s="18" t="s">
        <v>29</v>
      </c>
    </row>
    <row r="63" spans="1:18" ht="30" customHeight="1" x14ac:dyDescent="0.25">
      <c r="A63" s="16" t="s">
        <v>40</v>
      </c>
      <c r="B63" s="17" t="s">
        <v>96</v>
      </c>
      <c r="C63" s="18" t="s">
        <v>31</v>
      </c>
      <c r="D63" s="19" t="s">
        <v>191</v>
      </c>
      <c r="E63" s="17" t="s">
        <v>182</v>
      </c>
      <c r="F63" s="17">
        <v>1</v>
      </c>
      <c r="G63" s="74">
        <v>44477</v>
      </c>
      <c r="H63" s="74">
        <v>44265</v>
      </c>
      <c r="I63" s="74">
        <v>44265</v>
      </c>
      <c r="J63" s="20"/>
      <c r="K63" s="18" t="s">
        <v>23</v>
      </c>
      <c r="L63" s="21" t="s">
        <v>34</v>
      </c>
      <c r="M63" s="18" t="s">
        <v>25</v>
      </c>
      <c r="N63" s="18"/>
      <c r="O63" s="18" t="s">
        <v>26</v>
      </c>
      <c r="P63" s="20"/>
      <c r="Q63" s="18" t="s">
        <v>54</v>
      </c>
      <c r="R63" s="18" t="s">
        <v>54</v>
      </c>
    </row>
    <row r="64" spans="1:18" ht="30" customHeight="1" x14ac:dyDescent="0.25">
      <c r="A64" s="16" t="s">
        <v>40</v>
      </c>
      <c r="B64" s="17" t="s">
        <v>96</v>
      </c>
      <c r="C64" s="18" t="s">
        <v>31</v>
      </c>
      <c r="D64" s="19" t="s">
        <v>192</v>
      </c>
      <c r="E64" s="17" t="s">
        <v>182</v>
      </c>
      <c r="F64" s="17">
        <v>1</v>
      </c>
      <c r="G64" s="74">
        <v>44477</v>
      </c>
      <c r="H64" s="74">
        <v>44265</v>
      </c>
      <c r="I64" s="74">
        <v>44265</v>
      </c>
      <c r="J64" s="20"/>
      <c r="K64" s="18" t="s">
        <v>23</v>
      </c>
      <c r="L64" s="21" t="s">
        <v>34</v>
      </c>
      <c r="M64" s="18" t="s">
        <v>25</v>
      </c>
      <c r="N64" s="18"/>
      <c r="O64" s="18" t="s">
        <v>26</v>
      </c>
      <c r="P64" s="20"/>
      <c r="Q64" s="18" t="s">
        <v>54</v>
      </c>
      <c r="R64" s="18" t="s">
        <v>54</v>
      </c>
    </row>
    <row r="65" spans="1:18" ht="30" customHeight="1" x14ac:dyDescent="0.25">
      <c r="A65" s="16" t="s">
        <v>71</v>
      </c>
      <c r="B65" s="17">
        <v>223889</v>
      </c>
      <c r="C65" s="18" t="s">
        <v>31</v>
      </c>
      <c r="D65" s="19" t="s">
        <v>193</v>
      </c>
      <c r="E65" s="17" t="s">
        <v>44</v>
      </c>
      <c r="F65" s="17">
        <v>1</v>
      </c>
      <c r="G65" s="74">
        <v>44253</v>
      </c>
      <c r="H65" s="74">
        <v>44271</v>
      </c>
      <c r="I65" s="74">
        <v>44273</v>
      </c>
      <c r="J65" s="20"/>
      <c r="K65" s="18" t="s">
        <v>23</v>
      </c>
      <c r="L65" s="21" t="s">
        <v>34</v>
      </c>
      <c r="M65" s="18" t="s">
        <v>25</v>
      </c>
      <c r="N65" s="18"/>
      <c r="O65" s="18" t="s">
        <v>26</v>
      </c>
      <c r="P65" s="20"/>
      <c r="Q65" s="18" t="s">
        <v>29</v>
      </c>
      <c r="R65" s="18"/>
    </row>
    <row r="66" spans="1:18" ht="30" customHeight="1" x14ac:dyDescent="0.25">
      <c r="A66" s="16" t="s">
        <v>30</v>
      </c>
      <c r="B66" s="17">
        <v>226373</v>
      </c>
      <c r="C66" s="18" t="s">
        <v>20</v>
      </c>
      <c r="D66" s="19" t="s">
        <v>194</v>
      </c>
      <c r="E66" s="17" t="s">
        <v>73</v>
      </c>
      <c r="F66" s="17">
        <v>1</v>
      </c>
      <c r="G66" s="74">
        <v>44265</v>
      </c>
      <c r="H66" s="74">
        <v>44267</v>
      </c>
      <c r="I66" s="74"/>
      <c r="J66" s="20"/>
      <c r="K66" s="18" t="s">
        <v>23</v>
      </c>
      <c r="L66" s="21" t="s">
        <v>58</v>
      </c>
      <c r="M66" s="18" t="s">
        <v>25</v>
      </c>
      <c r="N66" s="18"/>
      <c r="O66" s="18" t="s">
        <v>26</v>
      </c>
      <c r="P66" s="20"/>
      <c r="Q66" s="18" t="s">
        <v>29</v>
      </c>
      <c r="R66" s="18" t="s">
        <v>54</v>
      </c>
    </row>
    <row r="67" spans="1:18" ht="30" customHeight="1" x14ac:dyDescent="0.25">
      <c r="A67" s="16" t="s">
        <v>145</v>
      </c>
      <c r="B67" s="17">
        <v>226745</v>
      </c>
      <c r="C67" s="18" t="s">
        <v>20</v>
      </c>
      <c r="D67" s="19" t="s">
        <v>195</v>
      </c>
      <c r="E67" s="17" t="s">
        <v>35</v>
      </c>
      <c r="F67" s="17">
        <v>1</v>
      </c>
      <c r="G67" s="74">
        <v>44266</v>
      </c>
      <c r="H67" s="74">
        <v>44270</v>
      </c>
      <c r="I67" s="74"/>
      <c r="J67" s="20"/>
      <c r="K67" s="18" t="s">
        <v>23</v>
      </c>
      <c r="L67" s="21" t="s">
        <v>34</v>
      </c>
      <c r="M67" s="18" t="s">
        <v>25</v>
      </c>
      <c r="N67" s="18"/>
      <c r="O67" s="18" t="s">
        <v>26</v>
      </c>
      <c r="P67" s="20"/>
      <c r="Q67" s="18" t="s">
        <v>29</v>
      </c>
      <c r="R67" s="18" t="s">
        <v>54</v>
      </c>
    </row>
    <row r="68" spans="1:18" ht="30" customHeight="1" x14ac:dyDescent="0.25">
      <c r="A68" s="16" t="s">
        <v>145</v>
      </c>
      <c r="B68" s="17">
        <v>226745</v>
      </c>
      <c r="C68" s="18" t="s">
        <v>20</v>
      </c>
      <c r="D68" s="19" t="s">
        <v>195</v>
      </c>
      <c r="E68" s="17" t="s">
        <v>33</v>
      </c>
      <c r="F68" s="17">
        <v>1</v>
      </c>
      <c r="G68" s="74">
        <v>44266</v>
      </c>
      <c r="H68" s="74">
        <v>44270</v>
      </c>
      <c r="I68" s="74"/>
      <c r="J68" s="20"/>
      <c r="K68" s="18" t="s">
        <v>23</v>
      </c>
      <c r="L68" s="21" t="s">
        <v>34</v>
      </c>
      <c r="M68" s="18" t="s">
        <v>25</v>
      </c>
      <c r="N68" s="18"/>
      <c r="O68" s="18" t="s">
        <v>26</v>
      </c>
      <c r="P68" s="20"/>
      <c r="Q68" s="18" t="s">
        <v>29</v>
      </c>
      <c r="R68" s="18" t="s">
        <v>54</v>
      </c>
    </row>
    <row r="69" spans="1:18" ht="30" customHeight="1" x14ac:dyDescent="0.25">
      <c r="A69" s="16" t="s">
        <v>145</v>
      </c>
      <c r="B69" s="17">
        <v>226745</v>
      </c>
      <c r="C69" s="18" t="s">
        <v>20</v>
      </c>
      <c r="D69" s="19" t="s">
        <v>195</v>
      </c>
      <c r="E69" s="17" t="s">
        <v>93</v>
      </c>
      <c r="F69" s="17">
        <v>1</v>
      </c>
      <c r="G69" s="74">
        <v>44266</v>
      </c>
      <c r="H69" s="74">
        <v>44270</v>
      </c>
      <c r="I69" s="74"/>
      <c r="J69" s="20"/>
      <c r="K69" s="18" t="s">
        <v>23</v>
      </c>
      <c r="L69" s="21" t="s">
        <v>34</v>
      </c>
      <c r="M69" s="18" t="s">
        <v>25</v>
      </c>
      <c r="N69" s="18"/>
      <c r="O69" s="18" t="s">
        <v>26</v>
      </c>
      <c r="P69" s="20"/>
      <c r="Q69" s="18" t="s">
        <v>29</v>
      </c>
      <c r="R69" s="18" t="s">
        <v>54</v>
      </c>
    </row>
    <row r="70" spans="1:18" ht="30" customHeight="1" x14ac:dyDescent="0.25">
      <c r="A70" s="16" t="s">
        <v>19</v>
      </c>
      <c r="B70" s="17">
        <v>226949</v>
      </c>
      <c r="C70" s="18" t="s">
        <v>20</v>
      </c>
      <c r="D70" s="19" t="s">
        <v>196</v>
      </c>
      <c r="E70" s="17" t="s">
        <v>35</v>
      </c>
      <c r="F70" s="17">
        <v>2</v>
      </c>
      <c r="G70" s="74">
        <v>44266</v>
      </c>
      <c r="H70" s="74">
        <v>44267</v>
      </c>
      <c r="I70" s="74">
        <v>44271</v>
      </c>
      <c r="J70" s="20"/>
      <c r="K70" s="18" t="s">
        <v>23</v>
      </c>
      <c r="L70" s="21" t="s">
        <v>34</v>
      </c>
      <c r="M70" s="18" t="s">
        <v>25</v>
      </c>
      <c r="N70" s="18">
        <v>1</v>
      </c>
      <c r="O70" s="18" t="s">
        <v>26</v>
      </c>
      <c r="P70" s="20" t="s">
        <v>26</v>
      </c>
      <c r="Q70" s="18" t="s">
        <v>29</v>
      </c>
      <c r="R70" s="18" t="s">
        <v>54</v>
      </c>
    </row>
    <row r="71" spans="1:18" ht="30" customHeight="1" x14ac:dyDescent="0.25">
      <c r="A71" s="16" t="s">
        <v>19</v>
      </c>
      <c r="B71" s="17">
        <v>226949</v>
      </c>
      <c r="C71" s="18" t="s">
        <v>20</v>
      </c>
      <c r="D71" s="19" t="s">
        <v>196</v>
      </c>
      <c r="E71" s="17" t="s">
        <v>36</v>
      </c>
      <c r="F71" s="17">
        <v>4</v>
      </c>
      <c r="G71" s="74">
        <v>44266</v>
      </c>
      <c r="H71" s="74">
        <v>44267</v>
      </c>
      <c r="I71" s="74">
        <v>44271</v>
      </c>
      <c r="J71" s="20"/>
      <c r="K71" s="18" t="s">
        <v>23</v>
      </c>
      <c r="L71" s="21" t="s">
        <v>34</v>
      </c>
      <c r="M71" s="18" t="s">
        <v>25</v>
      </c>
      <c r="N71" s="18">
        <v>1</v>
      </c>
      <c r="O71" s="18" t="s">
        <v>26</v>
      </c>
      <c r="P71" s="20" t="s">
        <v>26</v>
      </c>
      <c r="Q71" s="18" t="s">
        <v>29</v>
      </c>
      <c r="R71" s="18" t="s">
        <v>54</v>
      </c>
    </row>
    <row r="72" spans="1:18" ht="30" customHeight="1" x14ac:dyDescent="0.25">
      <c r="A72" s="16" t="s">
        <v>19</v>
      </c>
      <c r="B72" s="17">
        <v>226949</v>
      </c>
      <c r="C72" s="18" t="s">
        <v>20</v>
      </c>
      <c r="D72" s="19" t="s">
        <v>196</v>
      </c>
      <c r="E72" s="17" t="s">
        <v>33</v>
      </c>
      <c r="F72" s="17">
        <v>1</v>
      </c>
      <c r="G72" s="74">
        <v>44266</v>
      </c>
      <c r="H72" s="74">
        <v>44267</v>
      </c>
      <c r="I72" s="74">
        <v>44271</v>
      </c>
      <c r="J72" s="20"/>
      <c r="K72" s="18" t="s">
        <v>23</v>
      </c>
      <c r="L72" s="21" t="s">
        <v>34</v>
      </c>
      <c r="M72" s="18" t="s">
        <v>25</v>
      </c>
      <c r="N72" s="18"/>
      <c r="O72" s="18" t="s">
        <v>26</v>
      </c>
      <c r="P72" s="20" t="s">
        <v>26</v>
      </c>
      <c r="Q72" s="18" t="s">
        <v>29</v>
      </c>
      <c r="R72" s="18" t="s">
        <v>54</v>
      </c>
    </row>
    <row r="73" spans="1:18" ht="30" customHeight="1" x14ac:dyDescent="0.25">
      <c r="A73" s="16" t="s">
        <v>19</v>
      </c>
      <c r="B73" s="17">
        <v>226949</v>
      </c>
      <c r="C73" s="18" t="s">
        <v>20</v>
      </c>
      <c r="D73" s="19" t="s">
        <v>196</v>
      </c>
      <c r="E73" s="17" t="s">
        <v>94</v>
      </c>
      <c r="F73" s="17">
        <v>1</v>
      </c>
      <c r="G73" s="74">
        <v>44266</v>
      </c>
      <c r="H73" s="74">
        <v>44267</v>
      </c>
      <c r="I73" s="74">
        <v>44271</v>
      </c>
      <c r="J73" s="20"/>
      <c r="K73" s="18" t="s">
        <v>23</v>
      </c>
      <c r="L73" s="21" t="s">
        <v>34</v>
      </c>
      <c r="M73" s="18" t="s">
        <v>25</v>
      </c>
      <c r="N73" s="18">
        <v>1</v>
      </c>
      <c r="O73" s="18" t="s">
        <v>26</v>
      </c>
      <c r="P73" s="20" t="s">
        <v>26</v>
      </c>
      <c r="Q73" s="18" t="s">
        <v>29</v>
      </c>
      <c r="R73" s="18" t="s">
        <v>54</v>
      </c>
    </row>
    <row r="74" spans="1:18" ht="30" customHeight="1" x14ac:dyDescent="0.25">
      <c r="A74" s="16" t="s">
        <v>19</v>
      </c>
      <c r="B74" s="17">
        <v>226949</v>
      </c>
      <c r="C74" s="18" t="s">
        <v>20</v>
      </c>
      <c r="D74" s="19" t="s">
        <v>196</v>
      </c>
      <c r="E74" s="17" t="s">
        <v>49</v>
      </c>
      <c r="F74" s="17">
        <v>1</v>
      </c>
      <c r="G74" s="74">
        <v>44266</v>
      </c>
      <c r="H74" s="74">
        <v>44267</v>
      </c>
      <c r="I74" s="74">
        <v>44271</v>
      </c>
      <c r="J74" s="20"/>
      <c r="K74" s="18" t="s">
        <v>23</v>
      </c>
      <c r="L74" s="21" t="s">
        <v>34</v>
      </c>
      <c r="M74" s="18" t="s">
        <v>25</v>
      </c>
      <c r="N74" s="18">
        <v>1</v>
      </c>
      <c r="O74" s="18" t="s">
        <v>26</v>
      </c>
      <c r="P74" s="20" t="s">
        <v>26</v>
      </c>
      <c r="Q74" s="18" t="s">
        <v>29</v>
      </c>
      <c r="R74" s="18" t="s">
        <v>54</v>
      </c>
    </row>
    <row r="75" spans="1:18" ht="30" customHeight="1" x14ac:dyDescent="0.25">
      <c r="A75" s="16" t="s">
        <v>37</v>
      </c>
      <c r="B75" s="17">
        <v>226995</v>
      </c>
      <c r="C75" s="18" t="s">
        <v>20</v>
      </c>
      <c r="D75" s="19" t="s">
        <v>197</v>
      </c>
      <c r="E75" s="17" t="s">
        <v>198</v>
      </c>
      <c r="F75" s="17">
        <v>1</v>
      </c>
      <c r="G75" s="74">
        <v>44267</v>
      </c>
      <c r="H75" s="74">
        <v>44270</v>
      </c>
      <c r="I75" s="74">
        <v>44271</v>
      </c>
      <c r="J75" s="20"/>
      <c r="K75" s="18" t="s">
        <v>23</v>
      </c>
      <c r="L75" s="21" t="s">
        <v>34</v>
      </c>
      <c r="M75" s="18" t="s">
        <v>25</v>
      </c>
      <c r="N75" s="18"/>
      <c r="O75" s="18" t="s">
        <v>26</v>
      </c>
      <c r="P75" s="20"/>
      <c r="Q75" s="18" t="s">
        <v>54</v>
      </c>
      <c r="R75" s="18"/>
    </row>
    <row r="76" spans="1:18" ht="30" customHeight="1" x14ac:dyDescent="0.25">
      <c r="A76" s="16" t="s">
        <v>37</v>
      </c>
      <c r="B76" s="17">
        <v>227227</v>
      </c>
      <c r="C76" s="18" t="s">
        <v>20</v>
      </c>
      <c r="D76" s="19" t="s">
        <v>199</v>
      </c>
      <c r="E76" s="17" t="s">
        <v>198</v>
      </c>
      <c r="F76" s="17">
        <v>1</v>
      </c>
      <c r="G76" s="74">
        <v>44267</v>
      </c>
      <c r="H76" s="74">
        <v>44271</v>
      </c>
      <c r="I76" s="74">
        <v>44277</v>
      </c>
      <c r="J76" s="20"/>
      <c r="K76" s="18" t="s">
        <v>23</v>
      </c>
      <c r="L76" s="21" t="s">
        <v>34</v>
      </c>
      <c r="M76" s="18" t="s">
        <v>25</v>
      </c>
      <c r="N76" s="18">
        <v>1</v>
      </c>
      <c r="O76" s="18" t="s">
        <v>26</v>
      </c>
      <c r="P76" s="20" t="s">
        <v>26</v>
      </c>
      <c r="Q76" s="18" t="s">
        <v>54</v>
      </c>
      <c r="R76" s="18"/>
    </row>
    <row r="77" spans="1:18" ht="30" customHeight="1" x14ac:dyDescent="0.25">
      <c r="A77" s="16" t="s">
        <v>68</v>
      </c>
      <c r="B77" s="17">
        <v>227517</v>
      </c>
      <c r="C77" s="18" t="s">
        <v>31</v>
      </c>
      <c r="D77" s="19" t="s">
        <v>200</v>
      </c>
      <c r="E77" s="17" t="s">
        <v>106</v>
      </c>
      <c r="F77" s="17">
        <v>1</v>
      </c>
      <c r="G77" s="74">
        <v>44270</v>
      </c>
      <c r="H77" s="74">
        <v>44280</v>
      </c>
      <c r="I77" s="74">
        <v>44280</v>
      </c>
      <c r="J77" s="20" t="s">
        <v>201</v>
      </c>
      <c r="K77" s="18" t="s">
        <v>23</v>
      </c>
      <c r="L77" s="21" t="s">
        <v>42</v>
      </c>
      <c r="M77" s="18" t="s">
        <v>25</v>
      </c>
      <c r="N77" s="18"/>
      <c r="O77" s="18" t="s">
        <v>27</v>
      </c>
      <c r="P77" s="20"/>
      <c r="Q77" s="18" t="s">
        <v>28</v>
      </c>
      <c r="R77" s="18"/>
    </row>
    <row r="78" spans="1:18" ht="30" customHeight="1" x14ac:dyDescent="0.25">
      <c r="A78" s="16" t="s">
        <v>68</v>
      </c>
      <c r="B78" s="17">
        <v>227517</v>
      </c>
      <c r="C78" s="18" t="s">
        <v>31</v>
      </c>
      <c r="D78" s="19" t="s">
        <v>200</v>
      </c>
      <c r="E78" s="17" t="s">
        <v>106</v>
      </c>
      <c r="F78" s="17">
        <v>1</v>
      </c>
      <c r="G78" s="74">
        <v>44270</v>
      </c>
      <c r="H78" s="74">
        <v>44280</v>
      </c>
      <c r="I78" s="74">
        <v>44280</v>
      </c>
      <c r="J78" s="20" t="s">
        <v>202</v>
      </c>
      <c r="K78" s="18" t="s">
        <v>23</v>
      </c>
      <c r="L78" s="21" t="s">
        <v>42</v>
      </c>
      <c r="M78" s="18" t="s">
        <v>25</v>
      </c>
      <c r="N78" s="18"/>
      <c r="O78" s="18" t="s">
        <v>27</v>
      </c>
      <c r="P78" s="20"/>
      <c r="Q78" s="18" t="s">
        <v>28</v>
      </c>
      <c r="R78" s="18"/>
    </row>
    <row r="79" spans="1:18" ht="30" customHeight="1" x14ac:dyDescent="0.25">
      <c r="A79" s="16" t="s">
        <v>129</v>
      </c>
      <c r="B79" s="17">
        <v>227893</v>
      </c>
      <c r="C79" s="18" t="s">
        <v>31</v>
      </c>
      <c r="D79" s="19" t="s">
        <v>203</v>
      </c>
      <c r="E79" s="17" t="s">
        <v>80</v>
      </c>
      <c r="F79" s="17">
        <v>8</v>
      </c>
      <c r="G79" s="74">
        <v>44271</v>
      </c>
      <c r="H79" s="74">
        <v>44274</v>
      </c>
      <c r="I79" s="74"/>
      <c r="J79" s="20"/>
      <c r="K79" s="18" t="s">
        <v>23</v>
      </c>
      <c r="L79" s="21" t="s">
        <v>58</v>
      </c>
      <c r="M79" s="18" t="s">
        <v>25</v>
      </c>
      <c r="N79" s="18"/>
      <c r="O79" s="18" t="s">
        <v>26</v>
      </c>
      <c r="P79" s="20"/>
      <c r="Q79" s="18" t="s">
        <v>29</v>
      </c>
      <c r="R79" s="18" t="s">
        <v>29</v>
      </c>
    </row>
    <row r="80" spans="1:18" ht="30" customHeight="1" x14ac:dyDescent="0.25">
      <c r="A80" s="16" t="s">
        <v>40</v>
      </c>
      <c r="B80" s="17" t="s">
        <v>96</v>
      </c>
      <c r="C80" s="18" t="s">
        <v>20</v>
      </c>
      <c r="D80" s="19" t="s">
        <v>204</v>
      </c>
      <c r="E80" s="17" t="s">
        <v>76</v>
      </c>
      <c r="F80" s="17">
        <v>1</v>
      </c>
      <c r="G80" s="74">
        <v>44274</v>
      </c>
      <c r="H80" s="74">
        <v>44277</v>
      </c>
      <c r="I80" s="74">
        <v>44274</v>
      </c>
      <c r="J80" s="20"/>
      <c r="K80" s="18" t="s">
        <v>23</v>
      </c>
      <c r="L80" s="21" t="s">
        <v>34</v>
      </c>
      <c r="M80" s="18" t="s">
        <v>80</v>
      </c>
      <c r="N80" s="18"/>
      <c r="O80" s="18" t="s">
        <v>27</v>
      </c>
      <c r="P80" s="20"/>
      <c r="Q80" s="18" t="s">
        <v>54</v>
      </c>
      <c r="R80" s="18" t="s">
        <v>54</v>
      </c>
    </row>
    <row r="81" spans="1:18" ht="30" customHeight="1" x14ac:dyDescent="0.25">
      <c r="A81" s="16" t="s">
        <v>40</v>
      </c>
      <c r="B81" s="17" t="s">
        <v>96</v>
      </c>
      <c r="C81" s="18" t="s">
        <v>20</v>
      </c>
      <c r="D81" s="19" t="s">
        <v>204</v>
      </c>
      <c r="E81" s="17" t="s">
        <v>94</v>
      </c>
      <c r="F81" s="17">
        <v>1</v>
      </c>
      <c r="G81" s="74">
        <v>44274</v>
      </c>
      <c r="H81" s="74">
        <v>44277</v>
      </c>
      <c r="I81" s="74">
        <v>44274</v>
      </c>
      <c r="J81" s="20"/>
      <c r="K81" s="18" t="s">
        <v>23</v>
      </c>
      <c r="L81" s="21" t="s">
        <v>34</v>
      </c>
      <c r="M81" s="18" t="s">
        <v>80</v>
      </c>
      <c r="N81" s="18"/>
      <c r="O81" s="18" t="s">
        <v>27</v>
      </c>
      <c r="P81" s="20"/>
      <c r="Q81" s="18" t="s">
        <v>54</v>
      </c>
      <c r="R81" s="18" t="s">
        <v>54</v>
      </c>
    </row>
    <row r="82" spans="1:18" ht="30" customHeight="1" x14ac:dyDescent="0.25">
      <c r="A82" s="16" t="s">
        <v>37</v>
      </c>
      <c r="B82" s="17">
        <v>229693</v>
      </c>
      <c r="C82" s="18" t="s">
        <v>20</v>
      </c>
      <c r="D82" s="19" t="s">
        <v>205</v>
      </c>
      <c r="E82" s="17" t="s">
        <v>35</v>
      </c>
      <c r="F82" s="17">
        <v>2</v>
      </c>
      <c r="G82" s="74">
        <v>44279</v>
      </c>
      <c r="H82" s="74">
        <v>44286</v>
      </c>
      <c r="I82" s="74">
        <v>44286</v>
      </c>
      <c r="J82" s="20"/>
      <c r="K82" s="18" t="s">
        <v>23</v>
      </c>
      <c r="L82" s="21" t="s">
        <v>42</v>
      </c>
      <c r="M82" s="18" t="s">
        <v>25</v>
      </c>
      <c r="N82" s="18"/>
      <c r="O82" s="18" t="s">
        <v>26</v>
      </c>
      <c r="P82" s="20"/>
      <c r="Q82" s="18" t="s">
        <v>29</v>
      </c>
      <c r="R82" s="18"/>
    </row>
    <row r="83" spans="1:18" ht="30" customHeight="1" x14ac:dyDescent="0.25">
      <c r="A83" s="16" t="s">
        <v>37</v>
      </c>
      <c r="B83" s="17">
        <v>229693</v>
      </c>
      <c r="C83" s="18" t="s">
        <v>20</v>
      </c>
      <c r="D83" s="19" t="s">
        <v>205</v>
      </c>
      <c r="E83" s="17" t="s">
        <v>33</v>
      </c>
      <c r="F83" s="17">
        <v>2</v>
      </c>
      <c r="G83" s="74">
        <v>44279</v>
      </c>
      <c r="H83" s="74">
        <v>44286</v>
      </c>
      <c r="I83" s="74">
        <v>44286</v>
      </c>
      <c r="J83" s="20"/>
      <c r="K83" s="18" t="s">
        <v>23</v>
      </c>
      <c r="L83" s="21" t="s">
        <v>42</v>
      </c>
      <c r="M83" s="18" t="s">
        <v>25</v>
      </c>
      <c r="N83" s="18"/>
      <c r="O83" s="18" t="s">
        <v>26</v>
      </c>
      <c r="P83" s="20"/>
      <c r="Q83" s="18" t="s">
        <v>29</v>
      </c>
      <c r="R83" s="18"/>
    </row>
    <row r="84" spans="1:18" ht="30" customHeight="1" x14ac:dyDescent="0.25">
      <c r="A84" s="16" t="s">
        <v>30</v>
      </c>
      <c r="B84" s="17">
        <v>228655</v>
      </c>
      <c r="C84" s="18" t="s">
        <v>64</v>
      </c>
      <c r="D84" s="19" t="s">
        <v>206</v>
      </c>
      <c r="E84" s="17" t="s">
        <v>80</v>
      </c>
      <c r="F84" s="17">
        <v>4</v>
      </c>
      <c r="G84" s="74">
        <v>44274</v>
      </c>
      <c r="H84" s="74">
        <v>44280</v>
      </c>
      <c r="I84" s="74"/>
      <c r="J84" s="20"/>
      <c r="K84" s="18" t="s">
        <v>23</v>
      </c>
      <c r="L84" s="21" t="s">
        <v>58</v>
      </c>
      <c r="M84" s="18" t="s">
        <v>80</v>
      </c>
      <c r="N84" s="18"/>
      <c r="O84" s="18" t="s">
        <v>26</v>
      </c>
      <c r="P84" s="20"/>
      <c r="Q84" s="18" t="s">
        <v>29</v>
      </c>
      <c r="R84" s="18" t="s">
        <v>54</v>
      </c>
    </row>
    <row r="85" spans="1:18" ht="30" customHeight="1" x14ac:dyDescent="0.25">
      <c r="A85" s="16" t="s">
        <v>30</v>
      </c>
      <c r="B85" s="17">
        <v>228655</v>
      </c>
      <c r="C85" s="18" t="s">
        <v>64</v>
      </c>
      <c r="D85" s="19" t="s">
        <v>206</v>
      </c>
      <c r="E85" s="17" t="s">
        <v>93</v>
      </c>
      <c r="F85" s="17">
        <v>1</v>
      </c>
      <c r="G85" s="74">
        <v>44274</v>
      </c>
      <c r="H85" s="74">
        <v>44280</v>
      </c>
      <c r="I85" s="74"/>
      <c r="J85" s="20"/>
      <c r="K85" s="18" t="s">
        <v>23</v>
      </c>
      <c r="L85" s="21" t="s">
        <v>58</v>
      </c>
      <c r="M85" s="18" t="s">
        <v>25</v>
      </c>
      <c r="N85" s="18"/>
      <c r="O85" s="18" t="s">
        <v>26</v>
      </c>
      <c r="P85" s="20"/>
      <c r="Q85" s="18" t="s">
        <v>29</v>
      </c>
      <c r="R85" s="18" t="s">
        <v>54</v>
      </c>
    </row>
    <row r="86" spans="1:18" ht="30" customHeight="1" x14ac:dyDescent="0.25">
      <c r="A86" s="16" t="s">
        <v>113</v>
      </c>
      <c r="B86" s="17">
        <v>229235</v>
      </c>
      <c r="C86" s="18" t="s">
        <v>31</v>
      </c>
      <c r="D86" s="19" t="s">
        <v>207</v>
      </c>
      <c r="E86" s="17" t="s">
        <v>73</v>
      </c>
      <c r="F86" s="17">
        <v>1</v>
      </c>
      <c r="G86" s="74">
        <v>44278</v>
      </c>
      <c r="H86" s="74">
        <v>44280</v>
      </c>
      <c r="I86" s="74">
        <v>44280</v>
      </c>
      <c r="J86" s="20"/>
      <c r="K86" s="18" t="s">
        <v>23</v>
      </c>
      <c r="L86" s="21" t="s">
        <v>58</v>
      </c>
      <c r="M86" s="18" t="s">
        <v>25</v>
      </c>
      <c r="N86" s="18"/>
      <c r="O86" s="18" t="s">
        <v>26</v>
      </c>
      <c r="P86" s="20"/>
      <c r="Q86" s="18" t="s">
        <v>29</v>
      </c>
      <c r="R86" s="18"/>
    </row>
    <row r="87" spans="1:18" ht="30" customHeight="1" x14ac:dyDescent="0.25">
      <c r="A87" s="23" t="s">
        <v>40</v>
      </c>
      <c r="B87" s="24" t="s">
        <v>96</v>
      </c>
      <c r="C87" s="25" t="s">
        <v>31</v>
      </c>
      <c r="D87" s="26" t="s">
        <v>208</v>
      </c>
      <c r="E87" s="24" t="s">
        <v>106</v>
      </c>
      <c r="F87" s="24">
        <v>1</v>
      </c>
      <c r="G87" s="75">
        <v>44265</v>
      </c>
      <c r="H87" s="75">
        <v>44275</v>
      </c>
      <c r="I87" s="75">
        <v>44270</v>
      </c>
      <c r="J87" s="27"/>
      <c r="K87" s="25" t="s">
        <v>23</v>
      </c>
      <c r="L87" s="28" t="s">
        <v>42</v>
      </c>
      <c r="M87" s="28" t="s">
        <v>161</v>
      </c>
      <c r="N87" s="25">
        <v>2</v>
      </c>
      <c r="O87" s="25" t="s">
        <v>27</v>
      </c>
      <c r="P87" s="27"/>
      <c r="Q87" s="25"/>
      <c r="R87" s="25"/>
    </row>
    <row r="88" spans="1:18" ht="30" customHeight="1" x14ac:dyDescent="0.25">
      <c r="A88" s="23" t="s">
        <v>40</v>
      </c>
      <c r="B88" s="24" t="s">
        <v>96</v>
      </c>
      <c r="C88" s="25" t="s">
        <v>31</v>
      </c>
      <c r="D88" s="26" t="s">
        <v>208</v>
      </c>
      <c r="E88" s="24" t="s">
        <v>43</v>
      </c>
      <c r="F88" s="24">
        <v>3</v>
      </c>
      <c r="G88" s="75">
        <v>44265</v>
      </c>
      <c r="H88" s="75">
        <v>44275</v>
      </c>
      <c r="I88" s="75">
        <v>44270</v>
      </c>
      <c r="J88" s="27"/>
      <c r="K88" s="25" t="s">
        <v>23</v>
      </c>
      <c r="L88" s="28" t="s">
        <v>42</v>
      </c>
      <c r="M88" s="25" t="s">
        <v>161</v>
      </c>
      <c r="N88" s="25">
        <v>2</v>
      </c>
      <c r="O88" s="25" t="s">
        <v>27</v>
      </c>
      <c r="P88" s="27"/>
      <c r="Q88" s="25"/>
      <c r="R88" s="25"/>
    </row>
    <row r="89" spans="1:18" ht="30" customHeight="1" x14ac:dyDescent="0.25">
      <c r="A89" s="16" t="s">
        <v>40</v>
      </c>
      <c r="B89" s="17" t="s">
        <v>96</v>
      </c>
      <c r="C89" s="18" t="s">
        <v>31</v>
      </c>
      <c r="D89" s="19" t="s">
        <v>208</v>
      </c>
      <c r="E89" s="17" t="s">
        <v>36</v>
      </c>
      <c r="F89" s="17">
        <v>3</v>
      </c>
      <c r="G89" s="74">
        <v>44265</v>
      </c>
      <c r="H89" s="74">
        <v>44275</v>
      </c>
      <c r="I89" s="74">
        <v>44270</v>
      </c>
      <c r="J89" s="20"/>
      <c r="K89" s="18" t="s">
        <v>23</v>
      </c>
      <c r="L89" s="21" t="s">
        <v>42</v>
      </c>
      <c r="M89" s="18" t="s">
        <v>161</v>
      </c>
      <c r="N89" s="18">
        <v>2</v>
      </c>
      <c r="O89" s="18" t="s">
        <v>27</v>
      </c>
      <c r="P89" s="20"/>
      <c r="Q89" s="18"/>
      <c r="R89" s="18"/>
    </row>
    <row r="90" spans="1:18" ht="30" customHeight="1" x14ac:dyDescent="0.25">
      <c r="A90" s="16" t="s">
        <v>40</v>
      </c>
      <c r="B90" s="17" t="s">
        <v>96</v>
      </c>
      <c r="C90" s="18" t="s">
        <v>31</v>
      </c>
      <c r="D90" s="19" t="s">
        <v>208</v>
      </c>
      <c r="E90" s="17" t="s">
        <v>35</v>
      </c>
      <c r="F90" s="17">
        <v>1</v>
      </c>
      <c r="G90" s="74">
        <v>44265</v>
      </c>
      <c r="H90" s="74">
        <v>44275</v>
      </c>
      <c r="I90" s="74">
        <v>44270</v>
      </c>
      <c r="J90" s="20"/>
      <c r="K90" s="18" t="s">
        <v>23</v>
      </c>
      <c r="L90" s="21" t="s">
        <v>42</v>
      </c>
      <c r="M90" s="18" t="s">
        <v>161</v>
      </c>
      <c r="N90" s="18">
        <v>2</v>
      </c>
      <c r="O90" s="18" t="s">
        <v>27</v>
      </c>
      <c r="P90" s="20"/>
      <c r="Q90" s="18"/>
      <c r="R90" s="18"/>
    </row>
    <row r="91" spans="1:18" ht="30" customHeight="1" x14ac:dyDescent="0.25">
      <c r="A91" s="16" t="s">
        <v>40</v>
      </c>
      <c r="B91" s="17" t="s">
        <v>96</v>
      </c>
      <c r="C91" s="18" t="s">
        <v>31</v>
      </c>
      <c r="D91" s="19" t="s">
        <v>208</v>
      </c>
      <c r="E91" s="17" t="s">
        <v>49</v>
      </c>
      <c r="F91" s="17">
        <v>1</v>
      </c>
      <c r="G91" s="74">
        <v>44265</v>
      </c>
      <c r="H91" s="74">
        <v>44275</v>
      </c>
      <c r="I91" s="74">
        <v>44270</v>
      </c>
      <c r="J91" s="20"/>
      <c r="K91" s="18" t="s">
        <v>23</v>
      </c>
      <c r="L91" s="21" t="s">
        <v>42</v>
      </c>
      <c r="M91" s="18" t="s">
        <v>161</v>
      </c>
      <c r="N91" s="18">
        <v>2</v>
      </c>
      <c r="O91" s="18" t="s">
        <v>27</v>
      </c>
      <c r="P91" s="20"/>
      <c r="Q91" s="18"/>
      <c r="R91" s="18"/>
    </row>
    <row r="92" spans="1:18" ht="30" customHeight="1" x14ac:dyDescent="0.25">
      <c r="A92" s="16" t="s">
        <v>40</v>
      </c>
      <c r="B92" s="17" t="s">
        <v>96</v>
      </c>
      <c r="C92" s="18" t="s">
        <v>31</v>
      </c>
      <c r="D92" s="19" t="s">
        <v>208</v>
      </c>
      <c r="E92" s="17" t="s">
        <v>33</v>
      </c>
      <c r="F92" s="17">
        <v>1</v>
      </c>
      <c r="G92" s="74">
        <v>44265</v>
      </c>
      <c r="H92" s="74">
        <v>44275</v>
      </c>
      <c r="I92" s="74">
        <v>44270</v>
      </c>
      <c r="J92" s="20"/>
      <c r="K92" s="18" t="s">
        <v>23</v>
      </c>
      <c r="L92" s="21" t="s">
        <v>42</v>
      </c>
      <c r="M92" s="18" t="s">
        <v>161</v>
      </c>
      <c r="N92" s="18">
        <v>2</v>
      </c>
      <c r="O92" s="18" t="s">
        <v>27</v>
      </c>
      <c r="P92" s="20"/>
      <c r="Q92" s="18"/>
      <c r="R92" s="18"/>
    </row>
    <row r="93" spans="1:18" ht="30" customHeight="1" x14ac:dyDescent="0.25">
      <c r="A93" s="16" t="s">
        <v>40</v>
      </c>
      <c r="B93" s="17" t="s">
        <v>96</v>
      </c>
      <c r="C93" s="18" t="s">
        <v>31</v>
      </c>
      <c r="D93" s="19" t="s">
        <v>208</v>
      </c>
      <c r="E93" s="17" t="s">
        <v>44</v>
      </c>
      <c r="F93" s="17">
        <v>1</v>
      </c>
      <c r="G93" s="74">
        <v>44265</v>
      </c>
      <c r="H93" s="74">
        <v>44275</v>
      </c>
      <c r="I93" s="74">
        <v>44270</v>
      </c>
      <c r="J93" s="20"/>
      <c r="K93" s="18" t="s">
        <v>23</v>
      </c>
      <c r="L93" s="21" t="s">
        <v>42</v>
      </c>
      <c r="M93" s="18" t="s">
        <v>161</v>
      </c>
      <c r="N93" s="18">
        <v>2</v>
      </c>
      <c r="O93" s="18" t="s">
        <v>27</v>
      </c>
      <c r="P93" s="20"/>
      <c r="Q93" s="18"/>
      <c r="R93" s="18"/>
    </row>
    <row r="94" spans="1:18" ht="30" customHeight="1" x14ac:dyDescent="0.25">
      <c r="A94" s="23" t="s">
        <v>40</v>
      </c>
      <c r="B94" s="24" t="s">
        <v>96</v>
      </c>
      <c r="C94" s="25" t="s">
        <v>31</v>
      </c>
      <c r="D94" s="26" t="s">
        <v>208</v>
      </c>
      <c r="E94" s="24" t="s">
        <v>67</v>
      </c>
      <c r="F94" s="24">
        <v>1</v>
      </c>
      <c r="G94" s="75">
        <v>44265</v>
      </c>
      <c r="H94" s="75">
        <v>44275</v>
      </c>
      <c r="I94" s="75">
        <v>44270</v>
      </c>
      <c r="J94" s="27"/>
      <c r="K94" s="25" t="s">
        <v>23</v>
      </c>
      <c r="L94" s="28" t="s">
        <v>42</v>
      </c>
      <c r="M94" s="25" t="s">
        <v>161</v>
      </c>
      <c r="N94" s="25">
        <v>2</v>
      </c>
      <c r="O94" s="25" t="s">
        <v>27</v>
      </c>
      <c r="P94" s="27"/>
      <c r="Q94" s="25"/>
      <c r="R94" s="25"/>
    </row>
    <row r="95" spans="1:18" ht="30" customHeight="1" x14ac:dyDescent="0.25">
      <c r="A95" s="16" t="s">
        <v>40</v>
      </c>
      <c r="B95" s="17" t="s">
        <v>96</v>
      </c>
      <c r="C95" s="18" t="s">
        <v>64</v>
      </c>
      <c r="D95" s="19" t="s">
        <v>209</v>
      </c>
      <c r="E95" s="17" t="s">
        <v>210</v>
      </c>
      <c r="F95" s="17">
        <v>7</v>
      </c>
      <c r="G95" s="74">
        <v>44272</v>
      </c>
      <c r="H95" s="74">
        <v>44284</v>
      </c>
      <c r="I95" s="74"/>
      <c r="J95" s="20"/>
      <c r="K95" s="18" t="s">
        <v>23</v>
      </c>
      <c r="L95" s="21" t="s">
        <v>42</v>
      </c>
      <c r="M95" s="18" t="s">
        <v>25</v>
      </c>
      <c r="N95" s="18">
        <v>2</v>
      </c>
      <c r="O95" s="18" t="s">
        <v>27</v>
      </c>
      <c r="P95" s="20"/>
      <c r="Q95" s="18" t="s">
        <v>54</v>
      </c>
      <c r="R95" s="18" t="s">
        <v>54</v>
      </c>
    </row>
    <row r="96" spans="1:18" ht="30" customHeight="1" x14ac:dyDescent="0.25">
      <c r="A96" s="16" t="s">
        <v>40</v>
      </c>
      <c r="B96" s="17" t="s">
        <v>96</v>
      </c>
      <c r="C96" s="18" t="s">
        <v>64</v>
      </c>
      <c r="D96" s="19" t="s">
        <v>211</v>
      </c>
      <c r="E96" s="17" t="s">
        <v>67</v>
      </c>
      <c r="F96" s="17">
        <v>1</v>
      </c>
      <c r="G96" s="74">
        <v>44263</v>
      </c>
      <c r="H96" s="74">
        <v>44272</v>
      </c>
      <c r="I96" s="74"/>
      <c r="J96" s="20"/>
      <c r="K96" s="18" t="s">
        <v>23</v>
      </c>
      <c r="L96" s="21" t="s">
        <v>42</v>
      </c>
      <c r="M96" s="18" t="s">
        <v>25</v>
      </c>
      <c r="N96" s="18">
        <v>4</v>
      </c>
      <c r="O96" s="18" t="s">
        <v>27</v>
      </c>
      <c r="P96" s="20"/>
      <c r="Q96" s="18" t="s">
        <v>54</v>
      </c>
      <c r="R96" s="18" t="s">
        <v>54</v>
      </c>
    </row>
    <row r="97" spans="1:18" ht="30" customHeight="1" x14ac:dyDescent="0.25">
      <c r="A97" s="16" t="s">
        <v>40</v>
      </c>
      <c r="B97" s="17" t="s">
        <v>96</v>
      </c>
      <c r="C97" s="18" t="s">
        <v>64</v>
      </c>
      <c r="D97" s="19" t="s">
        <v>211</v>
      </c>
      <c r="E97" s="17" t="s">
        <v>63</v>
      </c>
      <c r="F97" s="17">
        <v>3</v>
      </c>
      <c r="G97" s="74">
        <v>44263</v>
      </c>
      <c r="H97" s="74">
        <v>44272</v>
      </c>
      <c r="I97" s="74"/>
      <c r="J97" s="20"/>
      <c r="K97" s="18" t="s">
        <v>23</v>
      </c>
      <c r="L97" s="21" t="s">
        <v>42</v>
      </c>
      <c r="M97" s="18" t="s">
        <v>25</v>
      </c>
      <c r="N97" s="18">
        <v>0</v>
      </c>
      <c r="O97" s="18" t="s">
        <v>27</v>
      </c>
      <c r="P97" s="20"/>
      <c r="Q97" s="18" t="s">
        <v>54</v>
      </c>
      <c r="R97" s="18" t="s">
        <v>54</v>
      </c>
    </row>
    <row r="98" spans="1:18" ht="30" customHeight="1" x14ac:dyDescent="0.25">
      <c r="A98" s="16" t="s">
        <v>40</v>
      </c>
      <c r="B98" s="17" t="s">
        <v>96</v>
      </c>
      <c r="C98" s="18" t="s">
        <v>64</v>
      </c>
      <c r="D98" s="19" t="s">
        <v>212</v>
      </c>
      <c r="E98" s="17" t="s">
        <v>210</v>
      </c>
      <c r="F98" s="17">
        <v>2</v>
      </c>
      <c r="G98" s="74">
        <v>44260</v>
      </c>
      <c r="H98" s="74">
        <v>44265</v>
      </c>
      <c r="I98" s="74"/>
      <c r="J98" s="20"/>
      <c r="K98" s="18" t="s">
        <v>23</v>
      </c>
      <c r="L98" s="21" t="s">
        <v>42</v>
      </c>
      <c r="M98" s="18" t="s">
        <v>25</v>
      </c>
      <c r="N98" s="18">
        <v>2</v>
      </c>
      <c r="O98" s="18" t="s">
        <v>27</v>
      </c>
      <c r="P98" s="20"/>
      <c r="Q98" s="18" t="s">
        <v>54</v>
      </c>
      <c r="R98" s="18" t="s">
        <v>54</v>
      </c>
    </row>
    <row r="99" spans="1:18" x14ac:dyDescent="0.25">
      <c r="A99" s="16"/>
      <c r="B99" s="17"/>
      <c r="C99" s="18"/>
      <c r="D99" s="19"/>
      <c r="E99" s="17"/>
      <c r="F99" s="17"/>
      <c r="G99" s="74"/>
      <c r="H99" s="74"/>
      <c r="I99" s="74"/>
      <c r="J99" s="20"/>
      <c r="K99" s="18"/>
      <c r="L99" s="21"/>
      <c r="M99" s="18"/>
      <c r="N99" s="18"/>
      <c r="O99" s="18"/>
      <c r="P99" s="20"/>
      <c r="Q99" s="18"/>
      <c r="R99" s="18"/>
    </row>
    <row r="100" spans="1:18" x14ac:dyDescent="0.25">
      <c r="A100" s="16"/>
      <c r="B100" s="17"/>
      <c r="C100" s="18"/>
      <c r="D100" s="19"/>
      <c r="E100" s="17"/>
      <c r="F100" s="17"/>
      <c r="G100" s="74"/>
      <c r="H100" s="74"/>
      <c r="I100" s="74"/>
      <c r="J100" s="20"/>
      <c r="K100" s="18"/>
      <c r="L100" s="21"/>
      <c r="M100" s="18"/>
      <c r="N100" s="18"/>
      <c r="O100" s="18"/>
      <c r="P100" s="20"/>
      <c r="Q100" s="18"/>
      <c r="R100" s="18"/>
    </row>
    <row r="101" spans="1:18" x14ac:dyDescent="0.25">
      <c r="A101" s="16"/>
      <c r="B101" s="17"/>
      <c r="C101" s="18"/>
      <c r="D101" s="19"/>
      <c r="E101" s="17"/>
      <c r="F101" s="17"/>
      <c r="G101" s="74"/>
      <c r="H101" s="74"/>
      <c r="I101" s="74"/>
      <c r="J101" s="20"/>
      <c r="K101" s="18"/>
      <c r="L101" s="21"/>
      <c r="M101" s="18"/>
      <c r="N101" s="18"/>
      <c r="O101" s="18"/>
      <c r="P101" s="20"/>
      <c r="Q101" s="18"/>
      <c r="R101" s="18"/>
    </row>
    <row r="102" spans="1:18" x14ac:dyDescent="0.25">
      <c r="A102" s="16"/>
      <c r="B102" s="17"/>
      <c r="C102" s="18"/>
      <c r="D102" s="19"/>
      <c r="E102" s="17"/>
      <c r="F102" s="17"/>
      <c r="G102" s="74"/>
      <c r="H102" s="74"/>
      <c r="I102" s="74"/>
      <c r="J102" s="20"/>
      <c r="K102" s="18"/>
      <c r="L102" s="21"/>
      <c r="M102" s="18"/>
      <c r="N102" s="18"/>
      <c r="O102" s="18"/>
      <c r="P102" s="20"/>
      <c r="Q102" s="18"/>
      <c r="R102" s="18"/>
    </row>
    <row r="103" spans="1:18" x14ac:dyDescent="0.25">
      <c r="A103" s="23"/>
      <c r="B103" s="24"/>
      <c r="C103" s="25"/>
      <c r="D103" s="26"/>
      <c r="E103" s="24"/>
      <c r="F103" s="24"/>
      <c r="G103" s="75"/>
      <c r="H103" s="75"/>
      <c r="I103" s="75"/>
      <c r="J103" s="27"/>
      <c r="K103" s="25"/>
      <c r="L103" s="28"/>
      <c r="M103" s="25"/>
      <c r="N103" s="25"/>
      <c r="O103" s="25"/>
      <c r="P103" s="27"/>
      <c r="Q103" s="25"/>
      <c r="R103" s="25"/>
    </row>
  </sheetData>
  <conditionalFormatting sqref="A2:R38 A40:R86">
    <cfRule type="expression" dxfId="274" priority="201">
      <formula>$K2="CANCELADO"</formula>
    </cfRule>
    <cfRule type="expression" dxfId="273" priority="202">
      <formula>$K2="STAND-BY"</formula>
    </cfRule>
    <cfRule type="expression" dxfId="272" priority="203">
      <formula>$K2="AGUARDANDO APROVAÇÃO"</formula>
    </cfRule>
    <cfRule type="expression" dxfId="271" priority="204">
      <formula>$K2="OK"</formula>
    </cfRule>
    <cfRule type="expression" dxfId="270" priority="205">
      <formula>AND((TODAY()-$H2)&gt;0,$H2&lt;&gt;"",$I2="")=TRUE</formula>
    </cfRule>
  </conditionalFormatting>
  <conditionalFormatting sqref="A39:R39">
    <cfRule type="expression" dxfId="269" priority="41">
      <formula>$K39="CANCELADO"</formula>
    </cfRule>
    <cfRule type="expression" dxfId="268" priority="42">
      <formula>$K39="STAND-BY"</formula>
    </cfRule>
    <cfRule type="expression" dxfId="267" priority="43">
      <formula>$K39="AGUARDANDO APROVAÇÃO"</formula>
    </cfRule>
    <cfRule type="expression" dxfId="266" priority="44">
      <formula>$K39="OK"</formula>
    </cfRule>
    <cfRule type="expression" dxfId="265" priority="45">
      <formula>AND((TODAY()-$H39)&gt;0,$H39&lt;&gt;"",$I39="")=TRUE</formula>
    </cfRule>
  </conditionalFormatting>
  <conditionalFormatting sqref="A87">
    <cfRule type="expression" dxfId="264" priority="36">
      <formula>$K87="CANCELADO"</formula>
    </cfRule>
    <cfRule type="expression" dxfId="263" priority="37">
      <formula>$K87="STAND-BY"</formula>
    </cfRule>
    <cfRule type="expression" dxfId="262" priority="38">
      <formula>$K87="AGUARDANDO APROVAÇÃO"</formula>
    </cfRule>
    <cfRule type="expression" dxfId="261" priority="39">
      <formula>$K87="OK"</formula>
    </cfRule>
    <cfRule type="expression" dxfId="260" priority="40">
      <formula>AND((TODAY()-$H87)&gt;0,$H87&lt;&gt;"",$I87="")=TRUE</formula>
    </cfRule>
  </conditionalFormatting>
  <conditionalFormatting sqref="A88">
    <cfRule type="expression" dxfId="259" priority="31">
      <formula>$K88="CANCELADO"</formula>
    </cfRule>
    <cfRule type="expression" dxfId="258" priority="32">
      <formula>$K88="STAND-BY"</formula>
    </cfRule>
    <cfRule type="expression" dxfId="257" priority="33">
      <formula>$K88="AGUARDANDO APROVAÇÃO"</formula>
    </cfRule>
    <cfRule type="expression" dxfId="256" priority="34">
      <formula>$K88="OK"</formula>
    </cfRule>
    <cfRule type="expression" dxfId="255" priority="35">
      <formula>AND((TODAY()-$H88)&gt;0,$H88&lt;&gt;"",$I88="")=TRUE</formula>
    </cfRule>
  </conditionalFormatting>
  <conditionalFormatting sqref="A89">
    <cfRule type="expression" dxfId="254" priority="26">
      <formula>$K89="CANCELADO"</formula>
    </cfRule>
    <cfRule type="expression" dxfId="253" priority="27">
      <formula>$K89="STAND-BY"</formula>
    </cfRule>
    <cfRule type="expression" dxfId="252" priority="28">
      <formula>$K89="AGUARDANDO APROVAÇÃO"</formula>
    </cfRule>
    <cfRule type="expression" dxfId="251" priority="29">
      <formula>$K89="OK"</formula>
    </cfRule>
    <cfRule type="expression" dxfId="250" priority="30">
      <formula>AND((TODAY()-$H89)&gt;0,$H89&lt;&gt;"",$I89="")=TRUE</formula>
    </cfRule>
  </conditionalFormatting>
  <conditionalFormatting sqref="A90">
    <cfRule type="expression" dxfId="249" priority="21">
      <formula>$K90="CANCELADO"</formula>
    </cfRule>
    <cfRule type="expression" dxfId="248" priority="22">
      <formula>$K90="STAND-BY"</formula>
    </cfRule>
    <cfRule type="expression" dxfId="247" priority="23">
      <formula>$K90="AGUARDANDO APROVAÇÃO"</formula>
    </cfRule>
    <cfRule type="expression" dxfId="246" priority="24">
      <formula>$K90="OK"</formula>
    </cfRule>
    <cfRule type="expression" dxfId="245" priority="25">
      <formula>AND((TODAY()-$H90)&gt;0,$H90&lt;&gt;"",$I90="")=TRUE</formula>
    </cfRule>
  </conditionalFormatting>
  <conditionalFormatting sqref="A91">
    <cfRule type="expression" dxfId="244" priority="16">
      <formula>$K91="CANCELADO"</formula>
    </cfRule>
    <cfRule type="expression" dxfId="243" priority="17">
      <formula>$K91="STAND-BY"</formula>
    </cfRule>
    <cfRule type="expression" dxfId="242" priority="18">
      <formula>$K91="AGUARDANDO APROVAÇÃO"</formula>
    </cfRule>
    <cfRule type="expression" dxfId="241" priority="19">
      <formula>$K91="OK"</formula>
    </cfRule>
    <cfRule type="expression" dxfId="240" priority="20">
      <formula>AND((TODAY()-$H91)&gt;0,$H91&lt;&gt;"",$I91="")=TRUE</formula>
    </cfRule>
  </conditionalFormatting>
  <conditionalFormatting sqref="A92">
    <cfRule type="expression" dxfId="239" priority="11">
      <formula>$K92="CANCELADO"</formula>
    </cfRule>
    <cfRule type="expression" dxfId="238" priority="12">
      <formula>$K92="STAND-BY"</formula>
    </cfRule>
    <cfRule type="expression" dxfId="237" priority="13">
      <formula>$K92="AGUARDANDO APROVAÇÃO"</formula>
    </cfRule>
    <cfRule type="expression" dxfId="236" priority="14">
      <formula>$K92="OK"</formula>
    </cfRule>
    <cfRule type="expression" dxfId="235" priority="15">
      <formula>AND((TODAY()-$H92)&gt;0,$H92&lt;&gt;"",$I92="")=TRUE</formula>
    </cfRule>
  </conditionalFormatting>
  <conditionalFormatting sqref="A93">
    <cfRule type="expression" dxfId="234" priority="6">
      <formula>$K93="CANCELADO"</formula>
    </cfRule>
    <cfRule type="expression" dxfId="233" priority="7">
      <formula>$K93="STAND-BY"</formula>
    </cfRule>
    <cfRule type="expression" dxfId="232" priority="8">
      <formula>$K93="AGUARDANDO APROVAÇÃO"</formula>
    </cfRule>
    <cfRule type="expression" dxfId="231" priority="9">
      <formula>$K93="OK"</formula>
    </cfRule>
    <cfRule type="expression" dxfId="230" priority="10">
      <formula>AND((TODAY()-$H93)&gt;0,$H93&lt;&gt;"",$I93="")=TRUE</formula>
    </cfRule>
  </conditionalFormatting>
  <conditionalFormatting sqref="A94">
    <cfRule type="expression" dxfId="229" priority="1">
      <formula>$K94="CANCELADO"</formula>
    </cfRule>
    <cfRule type="expression" dxfId="228" priority="2">
      <formula>$K94="STAND-BY"</formula>
    </cfRule>
    <cfRule type="expression" dxfId="227" priority="3">
      <formula>$K94="AGUARDANDO APROVAÇÃO"</formula>
    </cfRule>
    <cfRule type="expression" dxfId="226" priority="4">
      <formula>$K94="OK"</formula>
    </cfRule>
    <cfRule type="expression" dxfId="225" priority="5">
      <formula>AND((TODAY()-$H94)&gt;0,$H94&lt;&gt;"",$I94="")=TRUE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73FFCC1-9B74-4100-A89D-3B5B460B33A1}">
          <x14:formula1>
            <xm:f>'NÃO MEXER'!$B$2:$B$15</xm:f>
          </x14:formula1>
          <xm:sqref>C2:C98</xm:sqref>
        </x14:dataValidation>
        <x14:dataValidation type="list" allowBlank="1" showInputMessage="1" showErrorMessage="1" xr:uid="{6B5F99A4-58E6-4ADD-86AC-7BADC6279436}">
          <x14:formula1>
            <xm:f>'NÃO MEXER'!$A$2:$A$25</xm:f>
          </x14:formula1>
          <xm:sqref>A2:A98</xm:sqref>
        </x14:dataValidation>
        <x14:dataValidation type="list" allowBlank="1" showInputMessage="1" showErrorMessage="1" xr:uid="{4EB4F0C0-3B56-4DCC-9882-8DEA90B1DAD0}">
          <x14:formula1>
            <xm:f>'NÃO MEXER'!$E$2:$E$6</xm:f>
          </x14:formula1>
          <xm:sqref>K2:K98</xm:sqref>
        </x14:dataValidation>
        <x14:dataValidation type="list" allowBlank="1" showInputMessage="1" showErrorMessage="1" xr:uid="{267E2694-234C-46EC-945D-A32421B64DF9}">
          <x14:formula1>
            <xm:f>'NÃO MEXER'!$F$2:$F$7</xm:f>
          </x14:formula1>
          <xm:sqref>L2:L98</xm:sqref>
        </x14:dataValidation>
        <x14:dataValidation type="list" allowBlank="1" showInputMessage="1" showErrorMessage="1" xr:uid="{E2085A64-B8E1-4B87-BB28-130D67B842B7}">
          <x14:formula1>
            <xm:f>'NÃO MEXER'!$G$2:$G$7</xm:f>
          </x14:formula1>
          <xm:sqref>M2:M98</xm:sqref>
        </x14:dataValidation>
        <x14:dataValidation type="list" allowBlank="1" showInputMessage="1" showErrorMessage="1" xr:uid="{D7291DAF-39F9-4526-838F-77795EAA6D40}">
          <x14:formula1>
            <xm:f>'NÃO MEXER'!$H$2:$H$3</xm:f>
          </x14:formula1>
          <xm:sqref>O2:P98</xm:sqref>
        </x14:dataValidation>
        <x14:dataValidation type="list" allowBlank="1" showInputMessage="1" showErrorMessage="1" xr:uid="{82BFCD5D-1ECE-4042-9FA3-C4C7FE288D0C}">
          <x14:formula1>
            <xm:f>'NÃO MEXER'!$I$2:$I$6</xm:f>
          </x14:formula1>
          <xm:sqref>Q2:Q98</xm:sqref>
        </x14:dataValidation>
        <x14:dataValidation type="list" allowBlank="1" showInputMessage="1" showErrorMessage="1" xr:uid="{D37AC5CC-B588-4B47-B294-61985C5F9EF1}">
          <x14:formula1>
            <xm:f>'NÃO MEXER'!$J$2:$J$6</xm:f>
          </x14:formula1>
          <xm:sqref>R2:R98</xm:sqref>
        </x14:dataValidation>
        <x14:dataValidation type="list" allowBlank="1" showInputMessage="1" showErrorMessage="1" xr:uid="{F7CE3872-EB07-4D9A-AA26-6310073DA5D7}">
          <x14:formula1>
            <xm:f>'NÃO MEXER'!$C$2:$C$85</xm:f>
          </x14:formula1>
          <xm:sqref>E2:E98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399E3-60AE-434E-8C1F-4BB6E00A35D7}">
  <sheetPr codeName="Planilha10"/>
  <dimension ref="A1:R230"/>
  <sheetViews>
    <sheetView topLeftCell="A164" workbookViewId="0">
      <selection activeCell="A2" sqref="A2:XFD198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0.85546875" bestFit="1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38.5703125" bestFit="1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</row>
    <row r="2" spans="1:18" ht="25.5" x14ac:dyDescent="0.25">
      <c r="A2" s="16" t="s">
        <v>47</v>
      </c>
      <c r="B2" s="17">
        <v>214279</v>
      </c>
      <c r="C2" s="18" t="s">
        <v>31</v>
      </c>
      <c r="D2" s="19" t="s">
        <v>213</v>
      </c>
      <c r="E2" s="17" t="s">
        <v>35</v>
      </c>
      <c r="F2" s="17">
        <v>1</v>
      </c>
      <c r="G2" s="74">
        <v>44209</v>
      </c>
      <c r="H2" s="74">
        <v>44216</v>
      </c>
      <c r="I2" s="74">
        <v>44216</v>
      </c>
      <c r="J2" s="20"/>
      <c r="K2" s="18" t="s">
        <v>23</v>
      </c>
      <c r="L2" s="21" t="s">
        <v>24</v>
      </c>
      <c r="M2" s="18" t="s">
        <v>25</v>
      </c>
      <c r="N2" s="18">
        <v>2</v>
      </c>
      <c r="O2" s="18" t="s">
        <v>26</v>
      </c>
      <c r="P2" s="20" t="s">
        <v>27</v>
      </c>
      <c r="Q2" s="18" t="s">
        <v>74</v>
      </c>
      <c r="R2" s="18" t="s">
        <v>74</v>
      </c>
    </row>
    <row r="3" spans="1:18" ht="25.5" x14ac:dyDescent="0.25">
      <c r="A3" s="16" t="s">
        <v>47</v>
      </c>
      <c r="B3" s="17">
        <v>214279</v>
      </c>
      <c r="C3" s="18" t="s">
        <v>31</v>
      </c>
      <c r="D3" s="19" t="s">
        <v>213</v>
      </c>
      <c r="E3" s="17" t="s">
        <v>44</v>
      </c>
      <c r="F3" s="17">
        <v>1</v>
      </c>
      <c r="G3" s="74">
        <v>44209</v>
      </c>
      <c r="H3" s="74">
        <v>44216</v>
      </c>
      <c r="I3" s="74">
        <v>44216</v>
      </c>
      <c r="J3" s="20"/>
      <c r="K3" s="18" t="s">
        <v>23</v>
      </c>
      <c r="L3" s="21" t="s">
        <v>24</v>
      </c>
      <c r="M3" s="18" t="s">
        <v>25</v>
      </c>
      <c r="N3" s="18">
        <v>4</v>
      </c>
      <c r="O3" s="18" t="s">
        <v>26</v>
      </c>
      <c r="P3" s="20" t="s">
        <v>27</v>
      </c>
      <c r="Q3" s="18" t="s">
        <v>74</v>
      </c>
      <c r="R3" s="18" t="s">
        <v>74</v>
      </c>
    </row>
    <row r="4" spans="1:18" ht="25.5" x14ac:dyDescent="0.25">
      <c r="A4" s="16" t="s">
        <v>235</v>
      </c>
      <c r="B4" s="17">
        <v>213706</v>
      </c>
      <c r="C4" s="18" t="s">
        <v>56</v>
      </c>
      <c r="D4" s="19" t="s">
        <v>236</v>
      </c>
      <c r="E4" s="17"/>
      <c r="F4" s="17">
        <v>1</v>
      </c>
      <c r="G4" s="74">
        <v>44214.760844907411</v>
      </c>
      <c r="H4" s="74">
        <v>44218</v>
      </c>
      <c r="I4" s="74"/>
      <c r="J4" s="20"/>
      <c r="K4" s="18" t="s">
        <v>23</v>
      </c>
      <c r="L4" s="21"/>
      <c r="M4" s="18"/>
      <c r="N4" s="18"/>
      <c r="O4" s="18"/>
      <c r="P4" s="20"/>
      <c r="Q4" s="18"/>
      <c r="R4" s="18"/>
    </row>
    <row r="5" spans="1:18" x14ac:dyDescent="0.25">
      <c r="A5" s="16" t="s">
        <v>37</v>
      </c>
      <c r="B5" s="17">
        <v>214915</v>
      </c>
      <c r="C5" s="18" t="s">
        <v>20</v>
      </c>
      <c r="D5" s="19" t="s">
        <v>237</v>
      </c>
      <c r="E5" s="17" t="s">
        <v>35</v>
      </c>
      <c r="F5" s="17">
        <v>1</v>
      </c>
      <c r="G5" s="74">
        <v>44211</v>
      </c>
      <c r="H5" s="74">
        <v>44215</v>
      </c>
      <c r="I5" s="74">
        <v>44214</v>
      </c>
      <c r="J5" s="20"/>
      <c r="K5" s="18" t="s">
        <v>23</v>
      </c>
      <c r="L5" s="21" t="s">
        <v>34</v>
      </c>
      <c r="M5" s="18" t="s">
        <v>25</v>
      </c>
      <c r="N5" s="18"/>
      <c r="O5" s="18" t="s">
        <v>26</v>
      </c>
      <c r="P5" s="20" t="s">
        <v>26</v>
      </c>
      <c r="Q5" s="18" t="s">
        <v>54</v>
      </c>
      <c r="R5" s="18" t="s">
        <v>28</v>
      </c>
    </row>
    <row r="6" spans="1:18" ht="25.5" x14ac:dyDescent="0.25">
      <c r="A6" s="16" t="s">
        <v>37</v>
      </c>
      <c r="B6" s="17">
        <v>215204</v>
      </c>
      <c r="C6" s="18" t="s">
        <v>56</v>
      </c>
      <c r="D6" s="19" t="s">
        <v>238</v>
      </c>
      <c r="E6" s="17"/>
      <c r="F6" s="17">
        <v>1</v>
      </c>
      <c r="G6" s="74">
        <v>44214.683125000003</v>
      </c>
      <c r="H6" s="74">
        <v>44228</v>
      </c>
      <c r="I6" s="74"/>
      <c r="J6" s="20"/>
      <c r="K6" s="18" t="s">
        <v>23</v>
      </c>
      <c r="L6" s="21"/>
      <c r="M6" s="18"/>
      <c r="N6" s="18"/>
      <c r="O6" s="18"/>
      <c r="P6" s="20"/>
      <c r="Q6" s="18"/>
      <c r="R6" s="18"/>
    </row>
    <row r="7" spans="1:18" x14ac:dyDescent="0.25">
      <c r="A7" s="16" t="s">
        <v>37</v>
      </c>
      <c r="B7" s="17">
        <v>214915</v>
      </c>
      <c r="C7" s="18" t="s">
        <v>20</v>
      </c>
      <c r="D7" s="19" t="s">
        <v>237</v>
      </c>
      <c r="E7" s="17" t="s">
        <v>33</v>
      </c>
      <c r="F7" s="17">
        <v>1</v>
      </c>
      <c r="G7" s="74">
        <v>44211</v>
      </c>
      <c r="H7" s="74">
        <v>44215</v>
      </c>
      <c r="I7" s="74">
        <v>44214</v>
      </c>
      <c r="J7" s="20"/>
      <c r="K7" s="18" t="s">
        <v>23</v>
      </c>
      <c r="L7" s="21" t="s">
        <v>34</v>
      </c>
      <c r="M7" s="18" t="s">
        <v>25</v>
      </c>
      <c r="N7" s="18"/>
      <c r="O7" s="18" t="s">
        <v>26</v>
      </c>
      <c r="P7" s="20" t="s">
        <v>26</v>
      </c>
      <c r="Q7" s="18" t="s">
        <v>54</v>
      </c>
      <c r="R7" s="18" t="s">
        <v>28</v>
      </c>
    </row>
    <row r="8" spans="1:18" x14ac:dyDescent="0.25">
      <c r="A8" s="16" t="s">
        <v>30</v>
      </c>
      <c r="B8" s="17">
        <v>212059</v>
      </c>
      <c r="C8" s="18" t="s">
        <v>20</v>
      </c>
      <c r="D8" s="19" t="s">
        <v>70</v>
      </c>
      <c r="E8" s="17" t="s">
        <v>44</v>
      </c>
      <c r="F8" s="17">
        <v>2</v>
      </c>
      <c r="G8" s="74">
        <v>44200</v>
      </c>
      <c r="H8" s="74">
        <v>44218</v>
      </c>
      <c r="I8" s="74"/>
      <c r="J8" s="20"/>
      <c r="K8" s="18" t="s">
        <v>23</v>
      </c>
      <c r="L8" s="21"/>
      <c r="M8" s="18"/>
      <c r="N8" s="18"/>
      <c r="O8" s="18"/>
      <c r="P8" s="20"/>
      <c r="Q8" s="18" t="s">
        <v>54</v>
      </c>
      <c r="R8" s="18" t="s">
        <v>54</v>
      </c>
    </row>
    <row r="9" spans="1:18" x14ac:dyDescent="0.25">
      <c r="A9" s="16" t="s">
        <v>30</v>
      </c>
      <c r="B9" s="17">
        <v>212059</v>
      </c>
      <c r="C9" s="18" t="s">
        <v>20</v>
      </c>
      <c r="D9" s="19" t="s">
        <v>70</v>
      </c>
      <c r="E9" s="17" t="s">
        <v>67</v>
      </c>
      <c r="F9" s="17">
        <v>1</v>
      </c>
      <c r="G9" s="74">
        <v>44200</v>
      </c>
      <c r="H9" s="74">
        <v>44207</v>
      </c>
      <c r="I9" s="74"/>
      <c r="J9" s="20"/>
      <c r="K9" s="18" t="s">
        <v>23</v>
      </c>
      <c r="L9" s="21"/>
      <c r="M9" s="18"/>
      <c r="N9" s="18"/>
      <c r="O9" s="18"/>
      <c r="P9" s="20"/>
      <c r="Q9" s="18" t="s">
        <v>54</v>
      </c>
      <c r="R9" s="18" t="s">
        <v>54</v>
      </c>
    </row>
    <row r="10" spans="1:18" x14ac:dyDescent="0.25">
      <c r="A10" s="16" t="s">
        <v>40</v>
      </c>
      <c r="B10" s="17">
        <v>195121</v>
      </c>
      <c r="C10" s="18" t="s">
        <v>56</v>
      </c>
      <c r="D10" s="19" t="s">
        <v>239</v>
      </c>
      <c r="E10" s="17" t="s">
        <v>22</v>
      </c>
      <c r="F10" s="17">
        <v>1</v>
      </c>
      <c r="G10" s="74">
        <v>44117</v>
      </c>
      <c r="H10" s="74">
        <v>44120</v>
      </c>
      <c r="I10" s="74">
        <v>44118</v>
      </c>
      <c r="J10" s="20"/>
      <c r="K10" s="18" t="s">
        <v>23</v>
      </c>
      <c r="L10" s="21" t="s">
        <v>24</v>
      </c>
      <c r="M10" s="18"/>
      <c r="N10" s="18"/>
      <c r="O10" s="18"/>
      <c r="P10" s="20"/>
      <c r="Q10" s="18"/>
      <c r="R10" s="18"/>
    </row>
    <row r="11" spans="1:18" ht="38.25" x14ac:dyDescent="0.25">
      <c r="A11" s="16" t="s">
        <v>40</v>
      </c>
      <c r="B11" s="17">
        <v>193661</v>
      </c>
      <c r="C11" s="18" t="s">
        <v>56</v>
      </c>
      <c r="D11" s="19" t="s">
        <v>240</v>
      </c>
      <c r="E11" s="17" t="s">
        <v>33</v>
      </c>
      <c r="F11" s="17">
        <v>2</v>
      </c>
      <c r="G11" s="74">
        <v>44109</v>
      </c>
      <c r="H11" s="74">
        <v>44130</v>
      </c>
      <c r="I11" s="74">
        <v>44119</v>
      </c>
      <c r="J11" s="20"/>
      <c r="K11" s="18" t="s">
        <v>23</v>
      </c>
      <c r="L11" s="21" t="s">
        <v>42</v>
      </c>
      <c r="M11" s="18"/>
      <c r="N11" s="18"/>
      <c r="O11" s="18"/>
      <c r="P11" s="20"/>
      <c r="Q11" s="18"/>
      <c r="R11" s="18"/>
    </row>
    <row r="12" spans="1:18" x14ac:dyDescent="0.25">
      <c r="A12" s="16" t="s">
        <v>55</v>
      </c>
      <c r="B12" s="17">
        <v>193724</v>
      </c>
      <c r="C12" s="18" t="s">
        <v>56</v>
      </c>
      <c r="D12" s="19" t="s">
        <v>241</v>
      </c>
      <c r="E12" s="17"/>
      <c r="F12" s="17">
        <v>1</v>
      </c>
      <c r="G12" s="74">
        <v>44109</v>
      </c>
      <c r="H12" s="74"/>
      <c r="I12" s="74">
        <v>44120</v>
      </c>
      <c r="J12" s="20"/>
      <c r="K12" s="18" t="s">
        <v>23</v>
      </c>
      <c r="L12" s="21" t="s">
        <v>42</v>
      </c>
      <c r="M12" s="18"/>
      <c r="N12" s="18"/>
      <c r="O12" s="18"/>
      <c r="P12" s="20"/>
      <c r="Q12" s="18"/>
      <c r="R12" s="18"/>
    </row>
    <row r="13" spans="1:18" x14ac:dyDescent="0.25">
      <c r="A13" s="16" t="s">
        <v>68</v>
      </c>
      <c r="B13" s="17">
        <v>193091</v>
      </c>
      <c r="C13" s="18" t="s">
        <v>20</v>
      </c>
      <c r="D13" s="19" t="s">
        <v>242</v>
      </c>
      <c r="E13" s="17" t="s">
        <v>76</v>
      </c>
      <c r="F13" s="17">
        <v>1</v>
      </c>
      <c r="G13" s="74">
        <v>44105</v>
      </c>
      <c r="H13" s="74">
        <v>44131</v>
      </c>
      <c r="I13" s="74">
        <v>44123</v>
      </c>
      <c r="J13" s="20"/>
      <c r="K13" s="18" t="s">
        <v>23</v>
      </c>
      <c r="L13" s="21" t="s">
        <v>42</v>
      </c>
      <c r="M13" s="18"/>
      <c r="N13" s="18"/>
      <c r="O13" s="18"/>
      <c r="P13" s="20"/>
      <c r="Q13" s="18" t="s">
        <v>29</v>
      </c>
      <c r="R13" s="18" t="s">
        <v>54</v>
      </c>
    </row>
    <row r="14" spans="1:18" x14ac:dyDescent="0.25">
      <c r="A14" s="16" t="s">
        <v>243</v>
      </c>
      <c r="B14" s="17">
        <v>193525</v>
      </c>
      <c r="C14" s="18" t="s">
        <v>56</v>
      </c>
      <c r="D14" s="19" t="s">
        <v>244</v>
      </c>
      <c r="E14" s="17" t="s">
        <v>73</v>
      </c>
      <c r="F14" s="17">
        <v>1</v>
      </c>
      <c r="G14" s="74">
        <v>44106</v>
      </c>
      <c r="H14" s="74">
        <v>44118</v>
      </c>
      <c r="I14" s="74">
        <v>44118</v>
      </c>
      <c r="J14" s="20"/>
      <c r="K14" s="18" t="s">
        <v>23</v>
      </c>
      <c r="L14" s="21" t="s">
        <v>58</v>
      </c>
      <c r="M14" s="18"/>
      <c r="N14" s="18"/>
      <c r="O14" s="18"/>
      <c r="P14" s="20"/>
      <c r="Q14" s="18" t="s">
        <v>29</v>
      </c>
      <c r="R14" s="18"/>
    </row>
    <row r="15" spans="1:18" ht="25.5" x14ac:dyDescent="0.25">
      <c r="A15" s="16" t="s">
        <v>40</v>
      </c>
      <c r="B15" s="17">
        <v>160587</v>
      </c>
      <c r="C15" s="18" t="s">
        <v>56</v>
      </c>
      <c r="D15" s="19" t="s">
        <v>245</v>
      </c>
      <c r="E15" s="17" t="s">
        <v>73</v>
      </c>
      <c r="F15" s="17">
        <v>1</v>
      </c>
      <c r="G15" s="74">
        <v>43934</v>
      </c>
      <c r="H15" s="74">
        <v>43973</v>
      </c>
      <c r="I15" s="74"/>
      <c r="J15" s="20"/>
      <c r="K15" s="18" t="s">
        <v>23</v>
      </c>
      <c r="L15" s="21" t="s">
        <v>42</v>
      </c>
      <c r="M15" s="18"/>
      <c r="N15" s="18"/>
      <c r="O15" s="18"/>
      <c r="P15" s="20"/>
      <c r="Q15" s="18"/>
      <c r="R15" s="18"/>
    </row>
    <row r="16" spans="1:18" x14ac:dyDescent="0.25">
      <c r="A16" s="16" t="s">
        <v>95</v>
      </c>
      <c r="B16" s="17">
        <v>160624</v>
      </c>
      <c r="C16" s="18" t="s">
        <v>56</v>
      </c>
      <c r="D16" s="19" t="s">
        <v>246</v>
      </c>
      <c r="E16" s="17"/>
      <c r="F16" s="17">
        <v>1</v>
      </c>
      <c r="G16" s="74">
        <v>43934</v>
      </c>
      <c r="H16" s="74"/>
      <c r="I16" s="74">
        <v>43951</v>
      </c>
      <c r="J16" s="20"/>
      <c r="K16" s="18" t="s">
        <v>23</v>
      </c>
      <c r="L16" s="21" t="s">
        <v>42</v>
      </c>
      <c r="M16" s="18"/>
      <c r="N16" s="18"/>
      <c r="O16" s="18"/>
      <c r="P16" s="20"/>
      <c r="Q16" s="18"/>
      <c r="R16" s="18"/>
    </row>
    <row r="17" spans="1:18" x14ac:dyDescent="0.25">
      <c r="A17" s="16" t="s">
        <v>40</v>
      </c>
      <c r="B17" s="17">
        <v>153722</v>
      </c>
      <c r="C17" s="18" t="s">
        <v>20</v>
      </c>
      <c r="D17" s="19" t="s">
        <v>247</v>
      </c>
      <c r="E17" s="17" t="s">
        <v>73</v>
      </c>
      <c r="F17" s="17">
        <v>1</v>
      </c>
      <c r="G17" s="74">
        <v>43894</v>
      </c>
      <c r="H17" s="74"/>
      <c r="I17" s="74">
        <v>43908</v>
      </c>
      <c r="J17" s="20"/>
      <c r="K17" s="18" t="s">
        <v>23</v>
      </c>
      <c r="L17" s="21"/>
      <c r="M17" s="18"/>
      <c r="N17" s="18"/>
      <c r="O17" s="18"/>
      <c r="P17" s="20"/>
      <c r="Q17" s="18"/>
      <c r="R17" s="18"/>
    </row>
    <row r="18" spans="1:18" x14ac:dyDescent="0.25">
      <c r="A18" s="16" t="s">
        <v>243</v>
      </c>
      <c r="B18" s="17">
        <v>193243</v>
      </c>
      <c r="C18" s="18" t="s">
        <v>56</v>
      </c>
      <c r="D18" s="19" t="s">
        <v>248</v>
      </c>
      <c r="E18" s="17"/>
      <c r="F18" s="17">
        <v>2</v>
      </c>
      <c r="G18" s="74">
        <v>44105</v>
      </c>
      <c r="H18" s="74">
        <v>44117</v>
      </c>
      <c r="I18" s="74">
        <v>44119</v>
      </c>
      <c r="J18" s="20"/>
      <c r="K18" s="18" t="s">
        <v>23</v>
      </c>
      <c r="L18" s="21" t="s">
        <v>24</v>
      </c>
      <c r="M18" s="18"/>
      <c r="N18" s="18"/>
      <c r="O18" s="18"/>
      <c r="P18" s="20"/>
      <c r="Q18" s="18"/>
      <c r="R18" s="18"/>
    </row>
    <row r="19" spans="1:18" x14ac:dyDescent="0.25">
      <c r="A19" s="16" t="s">
        <v>243</v>
      </c>
      <c r="B19" s="17">
        <v>193243</v>
      </c>
      <c r="C19" s="18" t="s">
        <v>56</v>
      </c>
      <c r="D19" s="19" t="s">
        <v>248</v>
      </c>
      <c r="E19" s="17"/>
      <c r="F19" s="17">
        <v>1</v>
      </c>
      <c r="G19" s="74">
        <v>44105</v>
      </c>
      <c r="H19" s="74">
        <v>44117</v>
      </c>
      <c r="I19" s="74">
        <v>44119</v>
      </c>
      <c r="J19" s="20"/>
      <c r="K19" s="18" t="s">
        <v>23</v>
      </c>
      <c r="L19" s="21" t="s">
        <v>24</v>
      </c>
      <c r="M19" s="18"/>
      <c r="N19" s="18"/>
      <c r="O19" s="18"/>
      <c r="P19" s="20"/>
      <c r="Q19" s="18"/>
      <c r="R19" s="18"/>
    </row>
    <row r="20" spans="1:18" x14ac:dyDescent="0.25">
      <c r="A20" s="16" t="s">
        <v>243</v>
      </c>
      <c r="B20" s="17">
        <v>193243</v>
      </c>
      <c r="C20" s="18" t="s">
        <v>56</v>
      </c>
      <c r="D20" s="19" t="s">
        <v>248</v>
      </c>
      <c r="E20" s="17"/>
      <c r="F20" s="17">
        <v>1</v>
      </c>
      <c r="G20" s="74">
        <v>44105</v>
      </c>
      <c r="H20" s="74">
        <v>44117</v>
      </c>
      <c r="I20" s="74">
        <v>44119</v>
      </c>
      <c r="J20" s="20"/>
      <c r="K20" s="18" t="s">
        <v>23</v>
      </c>
      <c r="L20" s="21" t="s">
        <v>24</v>
      </c>
      <c r="M20" s="18"/>
      <c r="N20" s="18"/>
      <c r="O20" s="18"/>
      <c r="P20" s="20"/>
      <c r="Q20" s="18"/>
      <c r="R20" s="18"/>
    </row>
    <row r="21" spans="1:18" x14ac:dyDescent="0.25">
      <c r="A21" s="16" t="s">
        <v>47</v>
      </c>
      <c r="B21" s="17">
        <v>194777</v>
      </c>
      <c r="C21" s="18" t="s">
        <v>56</v>
      </c>
      <c r="D21" s="19" t="s">
        <v>249</v>
      </c>
      <c r="E21" s="17"/>
      <c r="F21" s="17">
        <v>3</v>
      </c>
      <c r="G21" s="74">
        <v>44112</v>
      </c>
      <c r="H21" s="74">
        <v>44124</v>
      </c>
      <c r="I21" s="74">
        <v>44117</v>
      </c>
      <c r="J21" s="20"/>
      <c r="K21" s="18" t="s">
        <v>23</v>
      </c>
      <c r="L21" s="21" t="s">
        <v>34</v>
      </c>
      <c r="M21" s="18"/>
      <c r="N21" s="18"/>
      <c r="O21" s="18"/>
      <c r="P21" s="20"/>
      <c r="Q21" s="18"/>
      <c r="R21" s="18"/>
    </row>
    <row r="22" spans="1:18" x14ac:dyDescent="0.25">
      <c r="A22" s="16" t="s">
        <v>47</v>
      </c>
      <c r="B22" s="17">
        <v>194777</v>
      </c>
      <c r="C22" s="18" t="s">
        <v>56</v>
      </c>
      <c r="D22" s="19" t="s">
        <v>249</v>
      </c>
      <c r="E22" s="17"/>
      <c r="F22" s="17">
        <v>1</v>
      </c>
      <c r="G22" s="74">
        <v>44112</v>
      </c>
      <c r="H22" s="74">
        <v>44124</v>
      </c>
      <c r="I22" s="74">
        <v>44117</v>
      </c>
      <c r="J22" s="20"/>
      <c r="K22" s="18" t="s">
        <v>23</v>
      </c>
      <c r="L22" s="21" t="s">
        <v>34</v>
      </c>
      <c r="M22" s="18"/>
      <c r="N22" s="18"/>
      <c r="O22" s="18"/>
      <c r="P22" s="20"/>
      <c r="Q22" s="18"/>
      <c r="R22" s="18"/>
    </row>
    <row r="23" spans="1:18" x14ac:dyDescent="0.25">
      <c r="A23" s="16" t="s">
        <v>47</v>
      </c>
      <c r="B23" s="17">
        <v>194777</v>
      </c>
      <c r="C23" s="18" t="s">
        <v>56</v>
      </c>
      <c r="D23" s="19" t="s">
        <v>249</v>
      </c>
      <c r="E23" s="17"/>
      <c r="F23" s="17">
        <v>1</v>
      </c>
      <c r="G23" s="74">
        <v>44112</v>
      </c>
      <c r="H23" s="74">
        <v>44124</v>
      </c>
      <c r="I23" s="74">
        <v>44117</v>
      </c>
      <c r="J23" s="20"/>
      <c r="K23" s="18" t="s">
        <v>23</v>
      </c>
      <c r="L23" s="21" t="s">
        <v>34</v>
      </c>
      <c r="M23" s="18"/>
      <c r="N23" s="18"/>
      <c r="O23" s="18"/>
      <c r="P23" s="20"/>
      <c r="Q23" s="18"/>
      <c r="R23" s="18"/>
    </row>
    <row r="24" spans="1:18" ht="25.5" x14ac:dyDescent="0.25">
      <c r="A24" s="16" t="s">
        <v>40</v>
      </c>
      <c r="B24" s="17">
        <v>216830</v>
      </c>
      <c r="C24" s="18" t="s">
        <v>20</v>
      </c>
      <c r="D24" s="19" t="s">
        <v>250</v>
      </c>
      <c r="E24" s="17" t="s">
        <v>35</v>
      </c>
      <c r="F24" s="17">
        <v>1</v>
      </c>
      <c r="G24" s="74">
        <v>44223</v>
      </c>
      <c r="H24" s="74">
        <v>44223</v>
      </c>
      <c r="I24" s="74">
        <v>44223</v>
      </c>
      <c r="J24" s="20"/>
      <c r="K24" s="18" t="s">
        <v>23</v>
      </c>
      <c r="L24" s="21" t="s">
        <v>24</v>
      </c>
      <c r="M24" s="18" t="s">
        <v>25</v>
      </c>
      <c r="N24" s="18"/>
      <c r="O24" s="18" t="s">
        <v>26</v>
      </c>
      <c r="P24" s="20" t="s">
        <v>26</v>
      </c>
      <c r="Q24" s="18" t="s">
        <v>29</v>
      </c>
      <c r="R24" s="18" t="s">
        <v>54</v>
      </c>
    </row>
    <row r="25" spans="1:18" ht="25.5" x14ac:dyDescent="0.25">
      <c r="A25" s="16" t="s">
        <v>40</v>
      </c>
      <c r="B25" s="17">
        <v>216830</v>
      </c>
      <c r="C25" s="18" t="s">
        <v>20</v>
      </c>
      <c r="D25" s="19" t="s">
        <v>250</v>
      </c>
      <c r="E25" s="17" t="s">
        <v>33</v>
      </c>
      <c r="F25" s="17">
        <v>1</v>
      </c>
      <c r="G25" s="74">
        <v>44223</v>
      </c>
      <c r="H25" s="74">
        <v>44223</v>
      </c>
      <c r="I25" s="74">
        <v>44223</v>
      </c>
      <c r="J25" s="20"/>
      <c r="K25" s="18" t="s">
        <v>23</v>
      </c>
      <c r="L25" s="21" t="s">
        <v>24</v>
      </c>
      <c r="M25" s="18" t="s">
        <v>25</v>
      </c>
      <c r="N25" s="18"/>
      <c r="O25" s="18" t="s">
        <v>26</v>
      </c>
      <c r="P25" s="20" t="s">
        <v>26</v>
      </c>
      <c r="Q25" s="18" t="s">
        <v>29</v>
      </c>
      <c r="R25" s="18" t="s">
        <v>54</v>
      </c>
    </row>
    <row r="26" spans="1:18" x14ac:dyDescent="0.25">
      <c r="A26" s="16" t="s">
        <v>37</v>
      </c>
      <c r="B26" s="17">
        <v>216047</v>
      </c>
      <c r="C26" s="18" t="s">
        <v>31</v>
      </c>
      <c r="D26" s="19" t="s">
        <v>160</v>
      </c>
      <c r="E26" s="17" t="s">
        <v>217</v>
      </c>
      <c r="F26" s="17">
        <v>4</v>
      </c>
      <c r="G26" s="74">
        <v>44266</v>
      </c>
      <c r="H26" s="74">
        <v>44300</v>
      </c>
      <c r="I26" s="74">
        <v>44300</v>
      </c>
      <c r="J26" s="20"/>
      <c r="K26" s="18" t="s">
        <v>23</v>
      </c>
      <c r="L26" s="21" t="s">
        <v>42</v>
      </c>
      <c r="M26" s="18" t="s">
        <v>161</v>
      </c>
      <c r="N26" s="18"/>
      <c r="O26" s="18" t="s">
        <v>27</v>
      </c>
      <c r="P26" s="20" t="s">
        <v>27</v>
      </c>
      <c r="Q26" s="18" t="s">
        <v>29</v>
      </c>
      <c r="R26" s="18" t="s">
        <v>29</v>
      </c>
    </row>
    <row r="27" spans="1:18" x14ac:dyDescent="0.25">
      <c r="A27" s="16" t="s">
        <v>37</v>
      </c>
      <c r="B27" s="17">
        <v>216047</v>
      </c>
      <c r="C27" s="18" t="s">
        <v>31</v>
      </c>
      <c r="D27" s="19" t="s">
        <v>160</v>
      </c>
      <c r="E27" s="17" t="s">
        <v>80</v>
      </c>
      <c r="F27" s="17">
        <v>1</v>
      </c>
      <c r="G27" s="74">
        <v>44266</v>
      </c>
      <c r="H27" s="74">
        <v>44286</v>
      </c>
      <c r="I27" s="74">
        <v>44312</v>
      </c>
      <c r="J27" s="20"/>
      <c r="K27" s="18" t="s">
        <v>23</v>
      </c>
      <c r="L27" s="21" t="s">
        <v>42</v>
      </c>
      <c r="M27" s="18" t="s">
        <v>161</v>
      </c>
      <c r="N27" s="18"/>
      <c r="O27" s="18" t="s">
        <v>27</v>
      </c>
      <c r="P27" s="20" t="s">
        <v>27</v>
      </c>
      <c r="Q27" s="18" t="s">
        <v>29</v>
      </c>
      <c r="R27" s="18" t="s">
        <v>29</v>
      </c>
    </row>
    <row r="28" spans="1:18" ht="38.25" x14ac:dyDescent="0.25">
      <c r="A28" s="16" t="s">
        <v>95</v>
      </c>
      <c r="B28" s="17">
        <v>217989</v>
      </c>
      <c r="C28" s="18" t="s">
        <v>20</v>
      </c>
      <c r="D28" s="19" t="s">
        <v>251</v>
      </c>
      <c r="E28" s="17" t="s">
        <v>35</v>
      </c>
      <c r="F28" s="17">
        <v>1</v>
      </c>
      <c r="G28" s="74">
        <v>44228</v>
      </c>
      <c r="H28" s="74">
        <v>44230</v>
      </c>
      <c r="I28" s="74">
        <v>44230</v>
      </c>
      <c r="J28" s="20"/>
      <c r="K28" s="18" t="s">
        <v>23</v>
      </c>
      <c r="L28" s="21" t="s">
        <v>24</v>
      </c>
      <c r="M28" s="18" t="s">
        <v>25</v>
      </c>
      <c r="N28" s="18"/>
      <c r="O28" s="18" t="s">
        <v>26</v>
      </c>
      <c r="P28" s="20"/>
      <c r="Q28" s="18" t="s">
        <v>29</v>
      </c>
      <c r="R28" s="18" t="s">
        <v>54</v>
      </c>
    </row>
    <row r="29" spans="1:18" ht="38.25" x14ac:dyDescent="0.25">
      <c r="A29" s="16" t="s">
        <v>95</v>
      </c>
      <c r="B29" s="17">
        <v>217989</v>
      </c>
      <c r="C29" s="18" t="s">
        <v>20</v>
      </c>
      <c r="D29" s="19" t="s">
        <v>251</v>
      </c>
      <c r="E29" s="17" t="s">
        <v>33</v>
      </c>
      <c r="F29" s="17">
        <v>1</v>
      </c>
      <c r="G29" s="74">
        <v>44228</v>
      </c>
      <c r="H29" s="74">
        <v>44230</v>
      </c>
      <c r="I29" s="74">
        <v>44230</v>
      </c>
      <c r="J29" s="20"/>
      <c r="K29" s="18" t="s">
        <v>23</v>
      </c>
      <c r="L29" s="21" t="s">
        <v>24</v>
      </c>
      <c r="M29" s="18" t="s">
        <v>25</v>
      </c>
      <c r="N29" s="18"/>
      <c r="O29" s="18" t="s">
        <v>26</v>
      </c>
      <c r="P29" s="20"/>
      <c r="Q29" s="18" t="s">
        <v>29</v>
      </c>
      <c r="R29" s="18" t="s">
        <v>54</v>
      </c>
    </row>
    <row r="30" spans="1:18" x14ac:dyDescent="0.25">
      <c r="A30" s="16" t="s">
        <v>145</v>
      </c>
      <c r="B30" s="17">
        <v>218759</v>
      </c>
      <c r="C30" s="18" t="s">
        <v>20</v>
      </c>
      <c r="D30" s="19" t="s">
        <v>252</v>
      </c>
      <c r="E30" s="17" t="s">
        <v>35</v>
      </c>
      <c r="F30" s="17">
        <v>2</v>
      </c>
      <c r="G30" s="74">
        <v>44230</v>
      </c>
      <c r="H30" s="74">
        <v>44230</v>
      </c>
      <c r="I30" s="74">
        <v>44230</v>
      </c>
      <c r="J30" s="20"/>
      <c r="K30" s="18" t="s">
        <v>23</v>
      </c>
      <c r="L30" s="21" t="s">
        <v>34</v>
      </c>
      <c r="M30" s="18" t="s">
        <v>25</v>
      </c>
      <c r="N30" s="18"/>
      <c r="O30" s="18" t="s">
        <v>26</v>
      </c>
      <c r="P30" s="20"/>
      <c r="Q30" s="18" t="s">
        <v>29</v>
      </c>
      <c r="R30" s="18" t="s">
        <v>54</v>
      </c>
    </row>
    <row r="31" spans="1:18" x14ac:dyDescent="0.25">
      <c r="A31" s="16" t="s">
        <v>40</v>
      </c>
      <c r="B31" s="17">
        <v>219689</v>
      </c>
      <c r="C31" s="18" t="s">
        <v>20</v>
      </c>
      <c r="D31" s="19" t="s">
        <v>253</v>
      </c>
      <c r="E31" s="17" t="s">
        <v>83</v>
      </c>
      <c r="F31" s="17">
        <v>1</v>
      </c>
      <c r="G31" s="74">
        <v>44236</v>
      </c>
      <c r="H31" s="74">
        <v>44238</v>
      </c>
      <c r="I31" s="74">
        <v>44238</v>
      </c>
      <c r="J31" s="20"/>
      <c r="K31" s="18" t="s">
        <v>23</v>
      </c>
      <c r="L31" s="21" t="s">
        <v>42</v>
      </c>
      <c r="M31" s="18" t="s">
        <v>25</v>
      </c>
      <c r="N31" s="18"/>
      <c r="O31" s="18" t="s">
        <v>27</v>
      </c>
      <c r="P31" s="20" t="s">
        <v>26</v>
      </c>
      <c r="Q31" s="18" t="s">
        <v>29</v>
      </c>
      <c r="R31" s="18" t="s">
        <v>54</v>
      </c>
    </row>
    <row r="32" spans="1:18" x14ac:dyDescent="0.25">
      <c r="A32" s="16" t="s">
        <v>40</v>
      </c>
      <c r="B32" s="17">
        <v>219689</v>
      </c>
      <c r="C32" s="18" t="s">
        <v>20</v>
      </c>
      <c r="D32" s="19" t="s">
        <v>253</v>
      </c>
      <c r="E32" s="17" t="s">
        <v>35</v>
      </c>
      <c r="F32" s="17">
        <v>1</v>
      </c>
      <c r="G32" s="74">
        <v>44236</v>
      </c>
      <c r="H32" s="74">
        <v>44238</v>
      </c>
      <c r="I32" s="74">
        <v>44238</v>
      </c>
      <c r="J32" s="20"/>
      <c r="K32" s="18" t="s">
        <v>23</v>
      </c>
      <c r="L32" s="21" t="s">
        <v>24</v>
      </c>
      <c r="M32" s="18" t="s">
        <v>25</v>
      </c>
      <c r="N32" s="18"/>
      <c r="O32" s="18" t="s">
        <v>27</v>
      </c>
      <c r="P32" s="20" t="s">
        <v>26</v>
      </c>
      <c r="Q32" s="18" t="s">
        <v>29</v>
      </c>
      <c r="R32" s="18" t="s">
        <v>54</v>
      </c>
    </row>
    <row r="33" spans="1:18" x14ac:dyDescent="0.25">
      <c r="A33" s="16" t="s">
        <v>40</v>
      </c>
      <c r="B33" s="17">
        <v>219689</v>
      </c>
      <c r="C33" s="18" t="s">
        <v>20</v>
      </c>
      <c r="D33" s="19" t="s">
        <v>253</v>
      </c>
      <c r="E33" s="17" t="s">
        <v>33</v>
      </c>
      <c r="F33" s="17">
        <v>1</v>
      </c>
      <c r="G33" s="74">
        <v>44236</v>
      </c>
      <c r="H33" s="74">
        <v>44238</v>
      </c>
      <c r="I33" s="74">
        <v>44238</v>
      </c>
      <c r="J33" s="20"/>
      <c r="K33" s="18" t="s">
        <v>23</v>
      </c>
      <c r="L33" s="21" t="s">
        <v>24</v>
      </c>
      <c r="M33" s="18" t="s">
        <v>25</v>
      </c>
      <c r="N33" s="18"/>
      <c r="O33" s="18" t="s">
        <v>27</v>
      </c>
      <c r="P33" s="20" t="s">
        <v>26</v>
      </c>
      <c r="Q33" s="18" t="s">
        <v>29</v>
      </c>
      <c r="R33" s="18" t="s">
        <v>54</v>
      </c>
    </row>
    <row r="34" spans="1:18" x14ac:dyDescent="0.25">
      <c r="A34" s="16" t="s">
        <v>40</v>
      </c>
      <c r="B34" s="17">
        <v>220202</v>
      </c>
      <c r="C34" s="18" t="s">
        <v>20</v>
      </c>
      <c r="D34" s="19" t="s">
        <v>253</v>
      </c>
      <c r="E34" s="17" t="s">
        <v>35</v>
      </c>
      <c r="F34" s="17">
        <v>1</v>
      </c>
      <c r="G34" s="74">
        <v>44236</v>
      </c>
      <c r="H34" s="74">
        <v>44236</v>
      </c>
      <c r="I34" s="74">
        <v>44236</v>
      </c>
      <c r="J34" s="20"/>
      <c r="K34" s="18" t="s">
        <v>23</v>
      </c>
      <c r="L34" s="21" t="s">
        <v>24</v>
      </c>
      <c r="M34" s="18" t="s">
        <v>25</v>
      </c>
      <c r="N34" s="18"/>
      <c r="O34" s="18" t="s">
        <v>26</v>
      </c>
      <c r="P34" s="20" t="s">
        <v>26</v>
      </c>
      <c r="Q34" s="18" t="s">
        <v>29</v>
      </c>
      <c r="R34" s="18" t="s">
        <v>54</v>
      </c>
    </row>
    <row r="35" spans="1:18" x14ac:dyDescent="0.25">
      <c r="A35" s="16" t="s">
        <v>40</v>
      </c>
      <c r="B35" s="17">
        <v>220202</v>
      </c>
      <c r="C35" s="18" t="s">
        <v>20</v>
      </c>
      <c r="D35" s="19" t="s">
        <v>253</v>
      </c>
      <c r="E35" s="17" t="s">
        <v>33</v>
      </c>
      <c r="F35" s="17">
        <v>1</v>
      </c>
      <c r="G35" s="74">
        <v>44236</v>
      </c>
      <c r="H35" s="74">
        <v>44236</v>
      </c>
      <c r="I35" s="74">
        <v>44236</v>
      </c>
      <c r="J35" s="20"/>
      <c r="K35" s="18" t="s">
        <v>23</v>
      </c>
      <c r="L35" s="21" t="s">
        <v>24</v>
      </c>
      <c r="M35" s="18" t="s">
        <v>25</v>
      </c>
      <c r="N35" s="18"/>
      <c r="O35" s="18" t="s">
        <v>26</v>
      </c>
      <c r="P35" s="20" t="s">
        <v>26</v>
      </c>
      <c r="Q35" s="18" t="s">
        <v>29</v>
      </c>
      <c r="R35" s="18" t="s">
        <v>54</v>
      </c>
    </row>
    <row r="36" spans="1:18" x14ac:dyDescent="0.25">
      <c r="A36" s="16" t="s">
        <v>113</v>
      </c>
      <c r="B36" s="17">
        <v>218999</v>
      </c>
      <c r="C36" s="18" t="s">
        <v>20</v>
      </c>
      <c r="D36" s="19" t="s">
        <v>254</v>
      </c>
      <c r="E36" s="17" t="s">
        <v>73</v>
      </c>
      <c r="F36" s="17">
        <v>1</v>
      </c>
      <c r="G36" s="74">
        <v>44230</v>
      </c>
      <c r="H36" s="74">
        <v>44249</v>
      </c>
      <c r="I36" s="74">
        <v>44250</v>
      </c>
      <c r="J36" s="20"/>
      <c r="K36" s="18" t="s">
        <v>23</v>
      </c>
      <c r="L36" s="21" t="s">
        <v>24</v>
      </c>
      <c r="M36" s="18" t="s">
        <v>25</v>
      </c>
      <c r="N36" s="18"/>
      <c r="O36" s="18" t="s">
        <v>26</v>
      </c>
      <c r="P36" s="20"/>
      <c r="Q36" s="18" t="s">
        <v>28</v>
      </c>
      <c r="R36" s="18" t="s">
        <v>28</v>
      </c>
    </row>
    <row r="37" spans="1:18" ht="25.5" x14ac:dyDescent="0.25">
      <c r="A37" s="16" t="s">
        <v>95</v>
      </c>
      <c r="B37" s="17">
        <v>222688</v>
      </c>
      <c r="C37" s="18" t="s">
        <v>64</v>
      </c>
      <c r="D37" s="19" t="s">
        <v>255</v>
      </c>
      <c r="E37" s="17" t="s">
        <v>80</v>
      </c>
      <c r="F37" s="17">
        <v>1</v>
      </c>
      <c r="G37" s="74">
        <v>44249</v>
      </c>
      <c r="H37" s="74">
        <v>44258</v>
      </c>
      <c r="I37" s="74"/>
      <c r="J37" s="20"/>
      <c r="K37" s="18" t="s">
        <v>23</v>
      </c>
      <c r="L37" s="21" t="s">
        <v>42</v>
      </c>
      <c r="M37" s="18" t="s">
        <v>80</v>
      </c>
      <c r="N37" s="18"/>
      <c r="O37" s="18" t="s">
        <v>27</v>
      </c>
      <c r="P37" s="20"/>
      <c r="Q37" s="18" t="s">
        <v>29</v>
      </c>
      <c r="R37" s="18"/>
    </row>
    <row r="38" spans="1:18" x14ac:dyDescent="0.25">
      <c r="A38" s="16" t="s">
        <v>145</v>
      </c>
      <c r="B38" s="17">
        <v>222008</v>
      </c>
      <c r="C38" s="18" t="s">
        <v>20</v>
      </c>
      <c r="D38" s="19" t="s">
        <v>256</v>
      </c>
      <c r="E38" s="17" t="s">
        <v>225</v>
      </c>
      <c r="F38" s="17">
        <v>1</v>
      </c>
      <c r="G38" s="74">
        <v>44245</v>
      </c>
      <c r="H38" s="74">
        <v>44258</v>
      </c>
      <c r="I38" s="74">
        <v>44263</v>
      </c>
      <c r="J38" s="20"/>
      <c r="K38" s="18" t="s">
        <v>23</v>
      </c>
      <c r="L38" s="21" t="s">
        <v>34</v>
      </c>
      <c r="M38" s="18" t="s">
        <v>25</v>
      </c>
      <c r="N38" s="18"/>
      <c r="O38" s="18" t="s">
        <v>26</v>
      </c>
      <c r="P38" s="20"/>
      <c r="Q38" s="18" t="s">
        <v>29</v>
      </c>
      <c r="R38" s="18" t="s">
        <v>29</v>
      </c>
    </row>
    <row r="39" spans="1:18" x14ac:dyDescent="0.25">
      <c r="A39" s="16" t="s">
        <v>145</v>
      </c>
      <c r="B39" s="17">
        <v>222008</v>
      </c>
      <c r="C39" s="18" t="s">
        <v>20</v>
      </c>
      <c r="D39" s="19" t="s">
        <v>256</v>
      </c>
      <c r="E39" s="17" t="s">
        <v>63</v>
      </c>
      <c r="F39" s="17">
        <v>1</v>
      </c>
      <c r="G39" s="74">
        <v>44245</v>
      </c>
      <c r="H39" s="74">
        <v>44258</v>
      </c>
      <c r="I39" s="74">
        <v>44263</v>
      </c>
      <c r="J39" s="20"/>
      <c r="K39" s="18" t="s">
        <v>23</v>
      </c>
      <c r="L39" s="21" t="s">
        <v>34</v>
      </c>
      <c r="M39" s="18" t="s">
        <v>25</v>
      </c>
      <c r="N39" s="18"/>
      <c r="O39" s="18" t="s">
        <v>26</v>
      </c>
      <c r="P39" s="20"/>
      <c r="Q39" s="18" t="s">
        <v>29</v>
      </c>
      <c r="R39" s="18" t="s">
        <v>29</v>
      </c>
    </row>
    <row r="40" spans="1:18" ht="38.25" x14ac:dyDescent="0.25">
      <c r="A40" s="16" t="s">
        <v>37</v>
      </c>
      <c r="B40" s="17">
        <v>222168</v>
      </c>
      <c r="C40" s="18" t="s">
        <v>20</v>
      </c>
      <c r="D40" s="19" t="s">
        <v>137</v>
      </c>
      <c r="E40" s="17" t="s">
        <v>73</v>
      </c>
      <c r="F40" s="17">
        <v>1</v>
      </c>
      <c r="G40" s="74">
        <v>44246</v>
      </c>
      <c r="H40" s="74">
        <v>44253</v>
      </c>
      <c r="I40" s="74">
        <v>44256</v>
      </c>
      <c r="J40" s="20"/>
      <c r="K40" s="18" t="s">
        <v>23</v>
      </c>
      <c r="L40" s="21" t="s">
        <v>42</v>
      </c>
      <c r="M40" s="18" t="s">
        <v>80</v>
      </c>
      <c r="N40" s="18"/>
      <c r="O40" s="18" t="s">
        <v>27</v>
      </c>
      <c r="P40" s="20"/>
      <c r="Q40" s="18" t="s">
        <v>29</v>
      </c>
      <c r="R40" s="18" t="s">
        <v>54</v>
      </c>
    </row>
    <row r="41" spans="1:18" ht="25.5" x14ac:dyDescent="0.25">
      <c r="A41" s="16" t="s">
        <v>95</v>
      </c>
      <c r="B41" s="17">
        <v>223995</v>
      </c>
      <c r="C41" s="18" t="s">
        <v>20</v>
      </c>
      <c r="D41" s="19" t="s">
        <v>257</v>
      </c>
      <c r="E41" s="17" t="s">
        <v>35</v>
      </c>
      <c r="F41" s="17">
        <v>1</v>
      </c>
      <c r="G41" s="74">
        <v>44253</v>
      </c>
      <c r="H41" s="74">
        <v>44258</v>
      </c>
      <c r="I41" s="74">
        <v>44260</v>
      </c>
      <c r="J41" s="20"/>
      <c r="K41" s="18" t="s">
        <v>23</v>
      </c>
      <c r="L41" s="21" t="s">
        <v>42</v>
      </c>
      <c r="M41" s="18" t="s">
        <v>25</v>
      </c>
      <c r="N41" s="18"/>
      <c r="O41" s="18" t="s">
        <v>27</v>
      </c>
      <c r="P41" s="20"/>
      <c r="Q41" s="18" t="s">
        <v>29</v>
      </c>
      <c r="R41" s="18" t="s">
        <v>54</v>
      </c>
    </row>
    <row r="42" spans="1:18" ht="25.5" x14ac:dyDescent="0.25">
      <c r="A42" s="16" t="s">
        <v>95</v>
      </c>
      <c r="B42" s="17">
        <v>223995</v>
      </c>
      <c r="C42" s="18" t="s">
        <v>20</v>
      </c>
      <c r="D42" s="19" t="s">
        <v>257</v>
      </c>
      <c r="E42" s="17" t="s">
        <v>33</v>
      </c>
      <c r="F42" s="17">
        <v>1</v>
      </c>
      <c r="G42" s="74">
        <v>44253</v>
      </c>
      <c r="H42" s="74">
        <v>44258</v>
      </c>
      <c r="I42" s="74">
        <v>44260</v>
      </c>
      <c r="J42" s="20"/>
      <c r="K42" s="18" t="s">
        <v>23</v>
      </c>
      <c r="L42" s="21" t="s">
        <v>42</v>
      </c>
      <c r="M42" s="18" t="s">
        <v>25</v>
      </c>
      <c r="N42" s="18"/>
      <c r="O42" s="18" t="s">
        <v>27</v>
      </c>
      <c r="P42" s="20"/>
      <c r="Q42" s="18" t="s">
        <v>29</v>
      </c>
      <c r="R42" s="18" t="s">
        <v>54</v>
      </c>
    </row>
    <row r="43" spans="1:18" x14ac:dyDescent="0.25">
      <c r="A43" s="16" t="s">
        <v>40</v>
      </c>
      <c r="B43" s="17">
        <v>225198</v>
      </c>
      <c r="C43" s="18" t="s">
        <v>20</v>
      </c>
      <c r="D43" s="19" t="s">
        <v>158</v>
      </c>
      <c r="E43" s="17" t="s">
        <v>35</v>
      </c>
      <c r="F43" s="17">
        <v>1</v>
      </c>
      <c r="G43" s="74">
        <v>44259</v>
      </c>
      <c r="H43" s="74">
        <v>44259</v>
      </c>
      <c r="I43" s="74">
        <v>44259</v>
      </c>
      <c r="J43" s="20"/>
      <c r="K43" s="18" t="s">
        <v>23</v>
      </c>
      <c r="L43" s="21" t="s">
        <v>34</v>
      </c>
      <c r="M43" s="18" t="s">
        <v>25</v>
      </c>
      <c r="N43" s="18"/>
      <c r="O43" s="18" t="s">
        <v>27</v>
      </c>
      <c r="P43" s="20"/>
      <c r="Q43" s="18" t="s">
        <v>29</v>
      </c>
      <c r="R43" s="18" t="s">
        <v>29</v>
      </c>
    </row>
    <row r="44" spans="1:18" x14ac:dyDescent="0.25">
      <c r="A44" s="16" t="s">
        <v>77</v>
      </c>
      <c r="B44" s="17">
        <v>226301</v>
      </c>
      <c r="C44" s="18" t="s">
        <v>20</v>
      </c>
      <c r="D44" s="19" t="s">
        <v>258</v>
      </c>
      <c r="E44" s="17" t="s">
        <v>35</v>
      </c>
      <c r="F44" s="17">
        <v>1</v>
      </c>
      <c r="G44" s="74">
        <v>44264</v>
      </c>
      <c r="H44" s="74">
        <v>44267</v>
      </c>
      <c r="I44" s="74">
        <v>44270</v>
      </c>
      <c r="J44" s="20"/>
      <c r="K44" s="18" t="s">
        <v>23</v>
      </c>
      <c r="L44" s="21" t="s">
        <v>34</v>
      </c>
      <c r="M44" s="18" t="s">
        <v>25</v>
      </c>
      <c r="N44" s="18"/>
      <c r="O44" s="18" t="s">
        <v>26</v>
      </c>
      <c r="P44" s="20"/>
      <c r="Q44" s="18" t="s">
        <v>29</v>
      </c>
      <c r="R44" s="18" t="s">
        <v>28</v>
      </c>
    </row>
    <row r="45" spans="1:18" x14ac:dyDescent="0.25">
      <c r="A45" s="16" t="s">
        <v>77</v>
      </c>
      <c r="B45" s="17">
        <v>226301</v>
      </c>
      <c r="C45" s="18" t="s">
        <v>20</v>
      </c>
      <c r="D45" s="19" t="s">
        <v>258</v>
      </c>
      <c r="E45" s="17" t="s">
        <v>49</v>
      </c>
      <c r="F45" s="17">
        <v>1</v>
      </c>
      <c r="G45" s="74">
        <v>44264</v>
      </c>
      <c r="H45" s="74">
        <v>44267</v>
      </c>
      <c r="I45" s="74">
        <v>44270</v>
      </c>
      <c r="J45" s="20"/>
      <c r="K45" s="18" t="s">
        <v>23</v>
      </c>
      <c r="L45" s="21" t="s">
        <v>34</v>
      </c>
      <c r="M45" s="18" t="s">
        <v>25</v>
      </c>
      <c r="N45" s="18"/>
      <c r="O45" s="18" t="s">
        <v>26</v>
      </c>
      <c r="P45" s="20"/>
      <c r="Q45" s="18" t="s">
        <v>29</v>
      </c>
      <c r="R45" s="18" t="s">
        <v>28</v>
      </c>
    </row>
    <row r="46" spans="1:18" x14ac:dyDescent="0.25">
      <c r="A46" s="16" t="s">
        <v>77</v>
      </c>
      <c r="B46" s="17">
        <v>226301</v>
      </c>
      <c r="C46" s="18" t="s">
        <v>20</v>
      </c>
      <c r="D46" s="19" t="s">
        <v>258</v>
      </c>
      <c r="E46" s="17" t="s">
        <v>33</v>
      </c>
      <c r="F46" s="17">
        <v>1</v>
      </c>
      <c r="G46" s="74">
        <v>44264</v>
      </c>
      <c r="H46" s="74">
        <v>44267</v>
      </c>
      <c r="I46" s="74">
        <v>44270</v>
      </c>
      <c r="J46" s="20"/>
      <c r="K46" s="18" t="s">
        <v>23</v>
      </c>
      <c r="L46" s="21" t="s">
        <v>34</v>
      </c>
      <c r="M46" s="18" t="s">
        <v>25</v>
      </c>
      <c r="N46" s="18"/>
      <c r="O46" s="18" t="s">
        <v>26</v>
      </c>
      <c r="P46" s="20"/>
      <c r="Q46" s="18" t="s">
        <v>29</v>
      </c>
      <c r="R46" s="18" t="s">
        <v>28</v>
      </c>
    </row>
    <row r="47" spans="1:18" x14ac:dyDescent="0.25">
      <c r="A47" s="16" t="s">
        <v>77</v>
      </c>
      <c r="B47" s="17">
        <v>226301</v>
      </c>
      <c r="C47" s="18" t="s">
        <v>20</v>
      </c>
      <c r="D47" s="19" t="s">
        <v>258</v>
      </c>
      <c r="E47" s="17" t="s">
        <v>39</v>
      </c>
      <c r="F47" s="17">
        <v>1</v>
      </c>
      <c r="G47" s="74">
        <v>44264</v>
      </c>
      <c r="H47" s="74">
        <v>44267</v>
      </c>
      <c r="I47" s="74">
        <v>44270</v>
      </c>
      <c r="J47" s="20"/>
      <c r="K47" s="18" t="s">
        <v>23</v>
      </c>
      <c r="L47" s="21" t="s">
        <v>34</v>
      </c>
      <c r="M47" s="18" t="s">
        <v>25</v>
      </c>
      <c r="N47" s="18"/>
      <c r="O47" s="18" t="s">
        <v>26</v>
      </c>
      <c r="P47" s="20"/>
      <c r="Q47" s="18" t="s">
        <v>29</v>
      </c>
      <c r="R47" s="18" t="s">
        <v>28</v>
      </c>
    </row>
    <row r="48" spans="1:18" x14ac:dyDescent="0.25">
      <c r="A48" s="16" t="s">
        <v>77</v>
      </c>
      <c r="B48" s="17">
        <v>226301</v>
      </c>
      <c r="C48" s="18" t="s">
        <v>20</v>
      </c>
      <c r="D48" s="19" t="s">
        <v>258</v>
      </c>
      <c r="E48" s="17" t="s">
        <v>45</v>
      </c>
      <c r="F48" s="17">
        <v>1</v>
      </c>
      <c r="G48" s="74">
        <v>44264</v>
      </c>
      <c r="H48" s="74">
        <v>44267</v>
      </c>
      <c r="I48" s="74">
        <v>44270</v>
      </c>
      <c r="J48" s="20"/>
      <c r="K48" s="18" t="s">
        <v>23</v>
      </c>
      <c r="L48" s="21" t="s">
        <v>34</v>
      </c>
      <c r="M48" s="18" t="s">
        <v>25</v>
      </c>
      <c r="N48" s="18"/>
      <c r="O48" s="18" t="s">
        <v>26</v>
      </c>
      <c r="P48" s="20"/>
      <c r="Q48" s="18" t="s">
        <v>29</v>
      </c>
      <c r="R48" s="18" t="s">
        <v>28</v>
      </c>
    </row>
    <row r="49" spans="1:18" ht="25.5" x14ac:dyDescent="0.25">
      <c r="A49" s="16" t="s">
        <v>47</v>
      </c>
      <c r="B49" s="17">
        <v>226595</v>
      </c>
      <c r="C49" s="18" t="s">
        <v>31</v>
      </c>
      <c r="D49" s="19" t="s">
        <v>220</v>
      </c>
      <c r="E49" s="17" t="s">
        <v>45</v>
      </c>
      <c r="F49" s="17">
        <v>1</v>
      </c>
      <c r="G49" s="74">
        <v>44265</v>
      </c>
      <c r="H49" s="74">
        <v>44296</v>
      </c>
      <c r="I49" s="74">
        <v>44293</v>
      </c>
      <c r="J49" s="20"/>
      <c r="K49" s="18" t="s">
        <v>23</v>
      </c>
      <c r="L49" s="21" t="s">
        <v>24</v>
      </c>
      <c r="M49" s="18" t="s">
        <v>25</v>
      </c>
      <c r="N49" s="18">
        <v>3</v>
      </c>
      <c r="O49" s="18" t="s">
        <v>27</v>
      </c>
      <c r="P49" s="20" t="s">
        <v>27</v>
      </c>
      <c r="Q49" s="18" t="s">
        <v>28</v>
      </c>
      <c r="R49" s="18" t="s">
        <v>74</v>
      </c>
    </row>
    <row r="50" spans="1:18" ht="25.5" x14ac:dyDescent="0.25">
      <c r="A50" s="16" t="s">
        <v>47</v>
      </c>
      <c r="B50" s="17">
        <v>226595</v>
      </c>
      <c r="C50" s="18" t="s">
        <v>31</v>
      </c>
      <c r="D50" s="19" t="s">
        <v>220</v>
      </c>
      <c r="E50" s="17" t="s">
        <v>90</v>
      </c>
      <c r="F50" s="17">
        <v>9</v>
      </c>
      <c r="G50" s="74">
        <v>44265</v>
      </c>
      <c r="H50" s="74">
        <v>44296</v>
      </c>
      <c r="I50" s="74">
        <v>44293</v>
      </c>
      <c r="J50" s="20"/>
      <c r="K50" s="18" t="s">
        <v>23</v>
      </c>
      <c r="L50" s="21" t="s">
        <v>24</v>
      </c>
      <c r="M50" s="18" t="s">
        <v>25</v>
      </c>
      <c r="N50" s="18">
        <v>2</v>
      </c>
      <c r="O50" s="18" t="s">
        <v>27</v>
      </c>
      <c r="P50" s="20" t="s">
        <v>27</v>
      </c>
      <c r="Q50" s="18" t="s">
        <v>28</v>
      </c>
      <c r="R50" s="18" t="s">
        <v>74</v>
      </c>
    </row>
    <row r="51" spans="1:18" ht="25.5" x14ac:dyDescent="0.25">
      <c r="A51" s="16" t="s">
        <v>47</v>
      </c>
      <c r="B51" s="17">
        <v>226595</v>
      </c>
      <c r="C51" s="18" t="s">
        <v>31</v>
      </c>
      <c r="D51" s="19" t="s">
        <v>220</v>
      </c>
      <c r="E51" s="17" t="s">
        <v>39</v>
      </c>
      <c r="F51" s="17">
        <v>1</v>
      </c>
      <c r="G51" s="74">
        <v>44265</v>
      </c>
      <c r="H51" s="74">
        <v>44296</v>
      </c>
      <c r="I51" s="74">
        <v>44293</v>
      </c>
      <c r="J51" s="20"/>
      <c r="K51" s="18" t="s">
        <v>23</v>
      </c>
      <c r="L51" s="21" t="s">
        <v>24</v>
      </c>
      <c r="M51" s="18" t="s">
        <v>25</v>
      </c>
      <c r="N51" s="18">
        <v>3</v>
      </c>
      <c r="O51" s="18" t="s">
        <v>27</v>
      </c>
      <c r="P51" s="20" t="s">
        <v>27</v>
      </c>
      <c r="Q51" s="18" t="s">
        <v>28</v>
      </c>
      <c r="R51" s="18" t="s">
        <v>74</v>
      </c>
    </row>
    <row r="52" spans="1:18" ht="25.5" x14ac:dyDescent="0.25">
      <c r="A52" s="16" t="s">
        <v>47</v>
      </c>
      <c r="B52" s="17">
        <v>226595</v>
      </c>
      <c r="C52" s="18" t="s">
        <v>31</v>
      </c>
      <c r="D52" s="19" t="s">
        <v>220</v>
      </c>
      <c r="E52" s="17" t="s">
        <v>35</v>
      </c>
      <c r="F52" s="17">
        <v>1</v>
      </c>
      <c r="G52" s="74">
        <v>44265</v>
      </c>
      <c r="H52" s="74">
        <v>44272</v>
      </c>
      <c r="I52" s="74">
        <v>44274</v>
      </c>
      <c r="J52" s="20"/>
      <c r="K52" s="18" t="s">
        <v>23</v>
      </c>
      <c r="L52" s="21" t="s">
        <v>24</v>
      </c>
      <c r="M52" s="18" t="s">
        <v>25</v>
      </c>
      <c r="N52" s="18">
        <v>5</v>
      </c>
      <c r="O52" s="18" t="s">
        <v>27</v>
      </c>
      <c r="P52" s="20" t="s">
        <v>27</v>
      </c>
      <c r="Q52" s="18" t="s">
        <v>28</v>
      </c>
      <c r="R52" s="18" t="s">
        <v>74</v>
      </c>
    </row>
    <row r="53" spans="1:18" x14ac:dyDescent="0.25">
      <c r="A53" s="16" t="s">
        <v>55</v>
      </c>
      <c r="B53" s="17">
        <v>226994</v>
      </c>
      <c r="C53" s="18" t="s">
        <v>20</v>
      </c>
      <c r="D53" s="19" t="s">
        <v>259</v>
      </c>
      <c r="E53" s="17" t="s">
        <v>33</v>
      </c>
      <c r="F53" s="17">
        <v>9</v>
      </c>
      <c r="G53" s="74">
        <v>44267</v>
      </c>
      <c r="H53" s="74">
        <v>44274</v>
      </c>
      <c r="I53" s="74">
        <v>44274</v>
      </c>
      <c r="J53" s="20"/>
      <c r="K53" s="18" t="s">
        <v>23</v>
      </c>
      <c r="L53" s="21" t="s">
        <v>34</v>
      </c>
      <c r="M53" s="18" t="s">
        <v>25</v>
      </c>
      <c r="N53" s="18"/>
      <c r="O53" s="18" t="s">
        <v>26</v>
      </c>
      <c r="P53" s="20" t="s">
        <v>26</v>
      </c>
      <c r="Q53" s="18" t="s">
        <v>29</v>
      </c>
      <c r="R53" s="18" t="s">
        <v>28</v>
      </c>
    </row>
    <row r="54" spans="1:18" x14ac:dyDescent="0.25">
      <c r="A54" s="16" t="s">
        <v>55</v>
      </c>
      <c r="B54" s="17">
        <v>226994</v>
      </c>
      <c r="C54" s="18" t="s">
        <v>20</v>
      </c>
      <c r="D54" s="19" t="s">
        <v>259</v>
      </c>
      <c r="E54" s="17" t="s">
        <v>94</v>
      </c>
      <c r="F54" s="17">
        <v>9</v>
      </c>
      <c r="G54" s="74">
        <v>44267</v>
      </c>
      <c r="H54" s="74">
        <v>44274</v>
      </c>
      <c r="I54" s="74">
        <v>44274</v>
      </c>
      <c r="J54" s="20"/>
      <c r="K54" s="18" t="s">
        <v>23</v>
      </c>
      <c r="L54" s="21" t="s">
        <v>34</v>
      </c>
      <c r="M54" s="18" t="s">
        <v>25</v>
      </c>
      <c r="N54" s="18"/>
      <c r="O54" s="18" t="s">
        <v>26</v>
      </c>
      <c r="P54" s="20" t="s">
        <v>26</v>
      </c>
      <c r="Q54" s="18" t="s">
        <v>29</v>
      </c>
      <c r="R54" s="18" t="s">
        <v>28</v>
      </c>
    </row>
    <row r="55" spans="1:18" x14ac:dyDescent="0.25">
      <c r="A55" s="16" t="s">
        <v>55</v>
      </c>
      <c r="B55" s="17">
        <v>226994</v>
      </c>
      <c r="C55" s="18" t="s">
        <v>20</v>
      </c>
      <c r="D55" s="19" t="s">
        <v>259</v>
      </c>
      <c r="E55" s="17" t="s">
        <v>35</v>
      </c>
      <c r="F55" s="17">
        <v>9</v>
      </c>
      <c r="G55" s="74">
        <v>44267</v>
      </c>
      <c r="H55" s="74">
        <v>44274</v>
      </c>
      <c r="I55" s="74">
        <v>44274</v>
      </c>
      <c r="J55" s="20"/>
      <c r="K55" s="18" t="s">
        <v>23</v>
      </c>
      <c r="L55" s="21" t="s">
        <v>34</v>
      </c>
      <c r="M55" s="18" t="s">
        <v>25</v>
      </c>
      <c r="N55" s="18"/>
      <c r="O55" s="18" t="s">
        <v>26</v>
      </c>
      <c r="P55" s="20" t="s">
        <v>26</v>
      </c>
      <c r="Q55" s="18" t="s">
        <v>29</v>
      </c>
      <c r="R55" s="18" t="s">
        <v>28</v>
      </c>
    </row>
    <row r="56" spans="1:18" x14ac:dyDescent="0.25">
      <c r="A56" s="16" t="s">
        <v>55</v>
      </c>
      <c r="B56" s="17">
        <v>226994</v>
      </c>
      <c r="C56" s="18" t="s">
        <v>20</v>
      </c>
      <c r="D56" s="19" t="s">
        <v>259</v>
      </c>
      <c r="E56" s="17" t="s">
        <v>36</v>
      </c>
      <c r="F56" s="17">
        <v>30</v>
      </c>
      <c r="G56" s="74">
        <v>44267</v>
      </c>
      <c r="H56" s="74">
        <v>44274</v>
      </c>
      <c r="I56" s="74">
        <v>44274</v>
      </c>
      <c r="J56" s="20"/>
      <c r="K56" s="18" t="s">
        <v>23</v>
      </c>
      <c r="L56" s="21" t="s">
        <v>34</v>
      </c>
      <c r="M56" s="18" t="s">
        <v>25</v>
      </c>
      <c r="N56" s="18"/>
      <c r="O56" s="18" t="s">
        <v>26</v>
      </c>
      <c r="P56" s="20" t="s">
        <v>26</v>
      </c>
      <c r="Q56" s="18" t="s">
        <v>29</v>
      </c>
      <c r="R56" s="18" t="s">
        <v>28</v>
      </c>
    </row>
    <row r="57" spans="1:18" hidden="1" x14ac:dyDescent="0.25">
      <c r="A57" s="16" t="s">
        <v>30</v>
      </c>
      <c r="B57" s="17">
        <v>224197</v>
      </c>
      <c r="C57" s="18" t="s">
        <v>64</v>
      </c>
      <c r="D57" s="19" t="s">
        <v>260</v>
      </c>
      <c r="E57" s="17" t="s">
        <v>80</v>
      </c>
      <c r="F57" s="17">
        <v>1</v>
      </c>
      <c r="G57" s="74">
        <v>44256</v>
      </c>
      <c r="H57" s="74">
        <v>44274</v>
      </c>
      <c r="I57" s="74"/>
      <c r="J57" s="20"/>
      <c r="K57" s="18" t="s">
        <v>219</v>
      </c>
      <c r="L57" s="21" t="s">
        <v>42</v>
      </c>
      <c r="M57" s="18" t="s">
        <v>25</v>
      </c>
      <c r="N57" s="18"/>
      <c r="O57" s="18" t="s">
        <v>27</v>
      </c>
      <c r="P57" s="20"/>
      <c r="Q57" s="18" t="s">
        <v>29</v>
      </c>
      <c r="R57" s="18"/>
    </row>
    <row r="58" spans="1:18" ht="25.5" x14ac:dyDescent="0.25">
      <c r="A58" s="16" t="s">
        <v>68</v>
      </c>
      <c r="B58" s="17">
        <v>227517</v>
      </c>
      <c r="C58" s="18" t="s">
        <v>31</v>
      </c>
      <c r="D58" s="19" t="s">
        <v>200</v>
      </c>
      <c r="E58" s="17" t="s">
        <v>33</v>
      </c>
      <c r="F58" s="17">
        <v>2</v>
      </c>
      <c r="G58" s="74">
        <v>44270</v>
      </c>
      <c r="H58" s="74">
        <v>44284</v>
      </c>
      <c r="I58" s="74">
        <v>44285</v>
      </c>
      <c r="J58" s="20" t="s">
        <v>221</v>
      </c>
      <c r="K58" s="18" t="s">
        <v>23</v>
      </c>
      <c r="L58" s="21" t="s">
        <v>42</v>
      </c>
      <c r="M58" s="18" t="s">
        <v>25</v>
      </c>
      <c r="N58" s="18"/>
      <c r="O58" s="18" t="s">
        <v>27</v>
      </c>
      <c r="P58" s="20" t="s">
        <v>27</v>
      </c>
      <c r="Q58" s="18" t="s">
        <v>28</v>
      </c>
      <c r="R58" s="18" t="s">
        <v>29</v>
      </c>
    </row>
    <row r="59" spans="1:18" ht="25.5" x14ac:dyDescent="0.25">
      <c r="A59" s="16" t="s">
        <v>68</v>
      </c>
      <c r="B59" s="17">
        <v>227517</v>
      </c>
      <c r="C59" s="18" t="s">
        <v>31</v>
      </c>
      <c r="D59" s="19" t="s">
        <v>200</v>
      </c>
      <c r="E59" s="17" t="s">
        <v>49</v>
      </c>
      <c r="F59" s="17">
        <v>2</v>
      </c>
      <c r="G59" s="74">
        <v>44270</v>
      </c>
      <c r="H59" s="74">
        <v>44284</v>
      </c>
      <c r="I59" s="74">
        <v>44285</v>
      </c>
      <c r="J59" s="20" t="s">
        <v>221</v>
      </c>
      <c r="K59" s="18" t="s">
        <v>23</v>
      </c>
      <c r="L59" s="21" t="s">
        <v>42</v>
      </c>
      <c r="M59" s="18" t="s">
        <v>25</v>
      </c>
      <c r="N59" s="18"/>
      <c r="O59" s="18" t="s">
        <v>27</v>
      </c>
      <c r="P59" s="20" t="s">
        <v>27</v>
      </c>
      <c r="Q59" s="18" t="s">
        <v>28</v>
      </c>
      <c r="R59" s="18" t="s">
        <v>29</v>
      </c>
    </row>
    <row r="60" spans="1:18" ht="25.5" x14ac:dyDescent="0.25">
      <c r="A60" s="16" t="s">
        <v>68</v>
      </c>
      <c r="B60" s="17">
        <v>227517</v>
      </c>
      <c r="C60" s="18" t="s">
        <v>31</v>
      </c>
      <c r="D60" s="19" t="s">
        <v>200</v>
      </c>
      <c r="E60" s="17" t="s">
        <v>35</v>
      </c>
      <c r="F60" s="17">
        <v>2</v>
      </c>
      <c r="G60" s="74">
        <v>44270</v>
      </c>
      <c r="H60" s="74">
        <v>44284</v>
      </c>
      <c r="I60" s="74">
        <v>44285</v>
      </c>
      <c r="J60" s="20" t="s">
        <v>221</v>
      </c>
      <c r="K60" s="18" t="s">
        <v>23</v>
      </c>
      <c r="L60" s="21" t="s">
        <v>42</v>
      </c>
      <c r="M60" s="18" t="s">
        <v>25</v>
      </c>
      <c r="N60" s="18"/>
      <c r="O60" s="18" t="s">
        <v>27</v>
      </c>
      <c r="P60" s="20" t="s">
        <v>27</v>
      </c>
      <c r="Q60" s="18" t="s">
        <v>28</v>
      </c>
      <c r="R60" s="18" t="s">
        <v>29</v>
      </c>
    </row>
    <row r="61" spans="1:18" ht="25.5" x14ac:dyDescent="0.25">
      <c r="A61" s="16" t="s">
        <v>68</v>
      </c>
      <c r="B61" s="17">
        <v>227517</v>
      </c>
      <c r="C61" s="18" t="s">
        <v>31</v>
      </c>
      <c r="D61" s="19" t="s">
        <v>200</v>
      </c>
      <c r="E61" s="17" t="s">
        <v>44</v>
      </c>
      <c r="F61" s="17">
        <v>2</v>
      </c>
      <c r="G61" s="74">
        <v>44270</v>
      </c>
      <c r="H61" s="74">
        <v>44284</v>
      </c>
      <c r="I61" s="74">
        <v>44285</v>
      </c>
      <c r="J61" s="20" t="s">
        <v>221</v>
      </c>
      <c r="K61" s="18" t="s">
        <v>23</v>
      </c>
      <c r="L61" s="21" t="s">
        <v>42</v>
      </c>
      <c r="M61" s="18" t="s">
        <v>25</v>
      </c>
      <c r="N61" s="18"/>
      <c r="O61" s="18" t="s">
        <v>27</v>
      </c>
      <c r="P61" s="20" t="s">
        <v>27</v>
      </c>
      <c r="Q61" s="18" t="s">
        <v>28</v>
      </c>
      <c r="R61" s="18" t="s">
        <v>29</v>
      </c>
    </row>
    <row r="62" spans="1:18" ht="25.5" x14ac:dyDescent="0.25">
      <c r="A62" s="16" t="s">
        <v>68</v>
      </c>
      <c r="B62" s="17">
        <v>227517</v>
      </c>
      <c r="C62" s="18" t="s">
        <v>31</v>
      </c>
      <c r="D62" s="19" t="s">
        <v>200</v>
      </c>
      <c r="E62" s="17" t="s">
        <v>36</v>
      </c>
      <c r="F62" s="17">
        <v>8</v>
      </c>
      <c r="G62" s="74">
        <v>44270</v>
      </c>
      <c r="H62" s="74">
        <v>44284</v>
      </c>
      <c r="I62" s="74">
        <v>44285</v>
      </c>
      <c r="J62" s="20" t="s">
        <v>221</v>
      </c>
      <c r="K62" s="18" t="s">
        <v>23</v>
      </c>
      <c r="L62" s="21" t="s">
        <v>42</v>
      </c>
      <c r="M62" s="18" t="s">
        <v>25</v>
      </c>
      <c r="N62" s="18"/>
      <c r="O62" s="18" t="s">
        <v>27</v>
      </c>
      <c r="P62" s="20" t="s">
        <v>27</v>
      </c>
      <c r="Q62" s="18" t="s">
        <v>28</v>
      </c>
      <c r="R62" s="18" t="s">
        <v>29</v>
      </c>
    </row>
    <row r="63" spans="1:18" x14ac:dyDescent="0.25">
      <c r="A63" s="16" t="s">
        <v>95</v>
      </c>
      <c r="B63" s="17">
        <v>228081</v>
      </c>
      <c r="C63" s="18" t="s">
        <v>20</v>
      </c>
      <c r="D63" s="19" t="s">
        <v>261</v>
      </c>
      <c r="E63" s="17" t="s">
        <v>35</v>
      </c>
      <c r="F63" s="17">
        <v>1</v>
      </c>
      <c r="G63" s="74">
        <v>44272</v>
      </c>
      <c r="H63" s="74">
        <v>44273</v>
      </c>
      <c r="I63" s="74">
        <v>44273</v>
      </c>
      <c r="J63" s="20"/>
      <c r="K63" s="18" t="s">
        <v>23</v>
      </c>
      <c r="L63" s="21" t="s">
        <v>34</v>
      </c>
      <c r="M63" s="18" t="s">
        <v>25</v>
      </c>
      <c r="N63" s="18"/>
      <c r="O63" s="18" t="s">
        <v>26</v>
      </c>
      <c r="P63" s="20"/>
      <c r="Q63" s="18" t="s">
        <v>28</v>
      </c>
      <c r="R63" s="18" t="s">
        <v>28</v>
      </c>
    </row>
    <row r="64" spans="1:18" x14ac:dyDescent="0.25">
      <c r="A64" s="16" t="s">
        <v>40</v>
      </c>
      <c r="B64" s="17">
        <v>228488</v>
      </c>
      <c r="C64" s="18" t="s">
        <v>20</v>
      </c>
      <c r="D64" s="19" t="s">
        <v>262</v>
      </c>
      <c r="E64" s="17" t="s">
        <v>225</v>
      </c>
      <c r="F64" s="17">
        <v>6</v>
      </c>
      <c r="G64" s="74">
        <v>44273</v>
      </c>
      <c r="H64" s="74">
        <v>44277</v>
      </c>
      <c r="I64" s="74">
        <v>44295</v>
      </c>
      <c r="J64" s="20"/>
      <c r="K64" s="18" t="s">
        <v>23</v>
      </c>
      <c r="L64" s="21" t="s">
        <v>42</v>
      </c>
      <c r="M64" s="18" t="s">
        <v>25</v>
      </c>
      <c r="N64" s="18">
        <v>1</v>
      </c>
      <c r="O64" s="18" t="s">
        <v>27</v>
      </c>
      <c r="P64" s="20"/>
      <c r="Q64" s="18" t="s">
        <v>29</v>
      </c>
      <c r="R64" s="18" t="s">
        <v>29</v>
      </c>
    </row>
    <row r="65" spans="1:18" ht="25.5" x14ac:dyDescent="0.25">
      <c r="A65" s="16" t="s">
        <v>37</v>
      </c>
      <c r="B65" s="17">
        <v>227874</v>
      </c>
      <c r="C65" s="18" t="s">
        <v>20</v>
      </c>
      <c r="D65" s="19" t="s">
        <v>263</v>
      </c>
      <c r="E65" s="17" t="s">
        <v>35</v>
      </c>
      <c r="F65" s="17">
        <v>2</v>
      </c>
      <c r="G65" s="74">
        <v>44271</v>
      </c>
      <c r="H65" s="74">
        <v>44280</v>
      </c>
      <c r="I65" s="74">
        <v>44287</v>
      </c>
      <c r="J65" s="20"/>
      <c r="K65" s="18" t="s">
        <v>23</v>
      </c>
      <c r="L65" s="21" t="s">
        <v>42</v>
      </c>
      <c r="M65" s="18" t="s">
        <v>25</v>
      </c>
      <c r="N65" s="18">
        <v>1</v>
      </c>
      <c r="O65" s="18" t="s">
        <v>26</v>
      </c>
      <c r="P65" s="20"/>
      <c r="Q65" s="18" t="s">
        <v>28</v>
      </c>
      <c r="R65" s="18" t="s">
        <v>54</v>
      </c>
    </row>
    <row r="66" spans="1:18" ht="25.5" x14ac:dyDescent="0.25">
      <c r="A66" s="16" t="s">
        <v>37</v>
      </c>
      <c r="B66" s="17">
        <v>227874</v>
      </c>
      <c r="C66" s="18" t="s">
        <v>20</v>
      </c>
      <c r="D66" s="19" t="s">
        <v>263</v>
      </c>
      <c r="E66" s="17" t="s">
        <v>49</v>
      </c>
      <c r="F66" s="17">
        <v>2</v>
      </c>
      <c r="G66" s="74">
        <v>44271</v>
      </c>
      <c r="H66" s="74">
        <v>44280</v>
      </c>
      <c r="I66" s="74">
        <v>44287</v>
      </c>
      <c r="J66" s="20"/>
      <c r="K66" s="18" t="s">
        <v>23</v>
      </c>
      <c r="L66" s="21" t="s">
        <v>42</v>
      </c>
      <c r="M66" s="18" t="s">
        <v>25</v>
      </c>
      <c r="N66" s="18"/>
      <c r="O66" s="18" t="s">
        <v>26</v>
      </c>
      <c r="P66" s="20"/>
      <c r="Q66" s="18" t="s">
        <v>28</v>
      </c>
      <c r="R66" s="18" t="s">
        <v>54</v>
      </c>
    </row>
    <row r="67" spans="1:18" ht="25.5" x14ac:dyDescent="0.25">
      <c r="A67" s="16" t="s">
        <v>37</v>
      </c>
      <c r="B67" s="17">
        <v>227874</v>
      </c>
      <c r="C67" s="18" t="s">
        <v>20</v>
      </c>
      <c r="D67" s="19" t="s">
        <v>263</v>
      </c>
      <c r="E67" s="17" t="s">
        <v>93</v>
      </c>
      <c r="F67" s="17">
        <v>2</v>
      </c>
      <c r="G67" s="74">
        <v>44271</v>
      </c>
      <c r="H67" s="74">
        <v>44280</v>
      </c>
      <c r="I67" s="74">
        <v>44287</v>
      </c>
      <c r="J67" s="20"/>
      <c r="K67" s="18" t="s">
        <v>23</v>
      </c>
      <c r="L67" s="21" t="s">
        <v>42</v>
      </c>
      <c r="M67" s="18" t="s">
        <v>25</v>
      </c>
      <c r="N67" s="18">
        <v>1</v>
      </c>
      <c r="O67" s="18" t="s">
        <v>26</v>
      </c>
      <c r="P67" s="20"/>
      <c r="Q67" s="18" t="s">
        <v>28</v>
      </c>
      <c r="R67" s="18" t="s">
        <v>54</v>
      </c>
    </row>
    <row r="68" spans="1:18" x14ac:dyDescent="0.25">
      <c r="A68" s="16" t="s">
        <v>55</v>
      </c>
      <c r="B68" s="17">
        <v>228924</v>
      </c>
      <c r="C68" s="18" t="s">
        <v>20</v>
      </c>
      <c r="D68" s="19" t="s">
        <v>264</v>
      </c>
      <c r="E68" s="17" t="s">
        <v>73</v>
      </c>
      <c r="F68" s="17">
        <v>1</v>
      </c>
      <c r="G68" s="74">
        <v>44277</v>
      </c>
      <c r="H68" s="74">
        <v>44277</v>
      </c>
      <c r="I68" s="74">
        <v>44278</v>
      </c>
      <c r="J68" s="20"/>
      <c r="K68" s="18" t="s">
        <v>23</v>
      </c>
      <c r="L68" s="21" t="s">
        <v>58</v>
      </c>
      <c r="M68" s="18" t="s">
        <v>25</v>
      </c>
      <c r="N68" s="18"/>
      <c r="O68" s="18" t="s">
        <v>26</v>
      </c>
      <c r="P68" s="20"/>
      <c r="Q68" s="18" t="s">
        <v>54</v>
      </c>
      <c r="R68" s="18" t="s">
        <v>28</v>
      </c>
    </row>
    <row r="69" spans="1:18" x14ac:dyDescent="0.25">
      <c r="A69" s="16" t="s">
        <v>30</v>
      </c>
      <c r="B69" s="17">
        <v>228902</v>
      </c>
      <c r="C69" s="18" t="s">
        <v>20</v>
      </c>
      <c r="D69" s="19" t="s">
        <v>105</v>
      </c>
      <c r="E69" s="17" t="s">
        <v>73</v>
      </c>
      <c r="F69" s="17">
        <v>1</v>
      </c>
      <c r="G69" s="74">
        <v>44277</v>
      </c>
      <c r="H69" s="74">
        <v>44279</v>
      </c>
      <c r="I69" s="74">
        <v>44279</v>
      </c>
      <c r="J69" s="20"/>
      <c r="K69" s="18" t="s">
        <v>23</v>
      </c>
      <c r="L69" s="21" t="s">
        <v>58</v>
      </c>
      <c r="M69" s="18" t="s">
        <v>25</v>
      </c>
      <c r="N69" s="18"/>
      <c r="O69" s="18" t="s">
        <v>26</v>
      </c>
      <c r="P69" s="20"/>
      <c r="Q69" s="18" t="s">
        <v>29</v>
      </c>
      <c r="R69" s="18" t="s">
        <v>54</v>
      </c>
    </row>
    <row r="70" spans="1:18" x14ac:dyDescent="0.25">
      <c r="A70" s="16" t="s">
        <v>30</v>
      </c>
      <c r="B70" s="17">
        <v>228546</v>
      </c>
      <c r="C70" s="18" t="s">
        <v>31</v>
      </c>
      <c r="D70" s="19" t="s">
        <v>222</v>
      </c>
      <c r="E70" s="17" t="s">
        <v>44</v>
      </c>
      <c r="F70" s="17">
        <v>2</v>
      </c>
      <c r="G70" s="74">
        <v>44273</v>
      </c>
      <c r="H70" s="74">
        <v>44279</v>
      </c>
      <c r="I70" s="74">
        <v>44279</v>
      </c>
      <c r="J70" s="20"/>
      <c r="K70" s="18" t="s">
        <v>23</v>
      </c>
      <c r="L70" s="21" t="s">
        <v>58</v>
      </c>
      <c r="M70" s="18" t="s">
        <v>25</v>
      </c>
      <c r="N70" s="18"/>
      <c r="O70" s="18" t="s">
        <v>26</v>
      </c>
      <c r="P70" s="20" t="s">
        <v>26</v>
      </c>
      <c r="Q70" s="18" t="s">
        <v>29</v>
      </c>
      <c r="R70" s="18" t="s">
        <v>74</v>
      </c>
    </row>
    <row r="71" spans="1:18" x14ac:dyDescent="0.25">
      <c r="A71" s="16" t="s">
        <v>30</v>
      </c>
      <c r="B71" s="17">
        <v>228546</v>
      </c>
      <c r="C71" s="18" t="s">
        <v>31</v>
      </c>
      <c r="D71" s="19" t="s">
        <v>222</v>
      </c>
      <c r="E71" s="17" t="s">
        <v>44</v>
      </c>
      <c r="F71" s="17">
        <v>2</v>
      </c>
      <c r="G71" s="74">
        <v>44273</v>
      </c>
      <c r="H71" s="74">
        <v>44279</v>
      </c>
      <c r="I71" s="74">
        <v>44279</v>
      </c>
      <c r="J71" s="20"/>
      <c r="K71" s="18" t="s">
        <v>23</v>
      </c>
      <c r="L71" s="21" t="s">
        <v>34</v>
      </c>
      <c r="M71" s="18" t="s">
        <v>25</v>
      </c>
      <c r="N71" s="18"/>
      <c r="O71" s="18" t="s">
        <v>26</v>
      </c>
      <c r="P71" s="20" t="s">
        <v>26</v>
      </c>
      <c r="Q71" s="18" t="s">
        <v>29</v>
      </c>
      <c r="R71" s="18" t="s">
        <v>74</v>
      </c>
    </row>
    <row r="72" spans="1:18" x14ac:dyDescent="0.25">
      <c r="A72" s="16" t="s">
        <v>145</v>
      </c>
      <c r="B72" s="17">
        <v>228024</v>
      </c>
      <c r="C72" s="18" t="s">
        <v>20</v>
      </c>
      <c r="D72" s="19" t="s">
        <v>265</v>
      </c>
      <c r="E72" s="17" t="s">
        <v>33</v>
      </c>
      <c r="F72" s="17">
        <v>1</v>
      </c>
      <c r="G72" s="74">
        <v>44272</v>
      </c>
      <c r="H72" s="74">
        <v>44285</v>
      </c>
      <c r="I72" s="74">
        <v>44294</v>
      </c>
      <c r="J72" s="20"/>
      <c r="K72" s="18" t="s">
        <v>23</v>
      </c>
      <c r="L72" s="21" t="s">
        <v>42</v>
      </c>
      <c r="M72" s="18" t="s">
        <v>25</v>
      </c>
      <c r="N72" s="18">
        <v>1</v>
      </c>
      <c r="O72" s="18" t="s">
        <v>27</v>
      </c>
      <c r="P72" s="20"/>
      <c r="Q72" s="18" t="s">
        <v>29</v>
      </c>
      <c r="R72" s="18" t="s">
        <v>54</v>
      </c>
    </row>
    <row r="73" spans="1:18" x14ac:dyDescent="0.25">
      <c r="A73" s="16" t="s">
        <v>145</v>
      </c>
      <c r="B73" s="17">
        <v>228024</v>
      </c>
      <c r="C73" s="18" t="s">
        <v>20</v>
      </c>
      <c r="D73" s="19" t="s">
        <v>265</v>
      </c>
      <c r="E73" s="17" t="s">
        <v>49</v>
      </c>
      <c r="F73" s="17">
        <v>1</v>
      </c>
      <c r="G73" s="74">
        <v>44272</v>
      </c>
      <c r="H73" s="74">
        <v>44285</v>
      </c>
      <c r="I73" s="74">
        <v>44294</v>
      </c>
      <c r="J73" s="20"/>
      <c r="K73" s="18" t="s">
        <v>23</v>
      </c>
      <c r="L73" s="21" t="s">
        <v>42</v>
      </c>
      <c r="M73" s="18" t="s">
        <v>25</v>
      </c>
      <c r="N73" s="18">
        <v>1</v>
      </c>
      <c r="O73" s="18" t="s">
        <v>27</v>
      </c>
      <c r="P73" s="20"/>
      <c r="Q73" s="18" t="s">
        <v>29</v>
      </c>
      <c r="R73" s="18" t="s">
        <v>54</v>
      </c>
    </row>
    <row r="74" spans="1:18" x14ac:dyDescent="0.25">
      <c r="A74" s="16" t="s">
        <v>145</v>
      </c>
      <c r="B74" s="17">
        <v>228024</v>
      </c>
      <c r="C74" s="18" t="s">
        <v>20</v>
      </c>
      <c r="D74" s="19" t="s">
        <v>265</v>
      </c>
      <c r="E74" s="17" t="s">
        <v>36</v>
      </c>
      <c r="F74" s="17">
        <v>4</v>
      </c>
      <c r="G74" s="74">
        <v>44272</v>
      </c>
      <c r="H74" s="74">
        <v>44285</v>
      </c>
      <c r="I74" s="74">
        <v>44294</v>
      </c>
      <c r="J74" s="20"/>
      <c r="K74" s="18" t="s">
        <v>23</v>
      </c>
      <c r="L74" s="21" t="s">
        <v>42</v>
      </c>
      <c r="M74" s="18" t="s">
        <v>25</v>
      </c>
      <c r="N74" s="18">
        <v>1</v>
      </c>
      <c r="O74" s="18" t="s">
        <v>27</v>
      </c>
      <c r="P74" s="20"/>
      <c r="Q74" s="18" t="s">
        <v>29</v>
      </c>
      <c r="R74" s="18" t="s">
        <v>54</v>
      </c>
    </row>
    <row r="75" spans="1:18" x14ac:dyDescent="0.25">
      <c r="A75" s="16" t="s">
        <v>145</v>
      </c>
      <c r="B75" s="17">
        <v>228024</v>
      </c>
      <c r="C75" s="18" t="s">
        <v>20</v>
      </c>
      <c r="D75" s="19" t="s">
        <v>265</v>
      </c>
      <c r="E75" s="17" t="s">
        <v>93</v>
      </c>
      <c r="F75" s="17">
        <v>1</v>
      </c>
      <c r="G75" s="74">
        <v>44272</v>
      </c>
      <c r="H75" s="74">
        <v>44285</v>
      </c>
      <c r="I75" s="74">
        <v>44294</v>
      </c>
      <c r="J75" s="20"/>
      <c r="K75" s="18" t="s">
        <v>23</v>
      </c>
      <c r="L75" s="21" t="s">
        <v>42</v>
      </c>
      <c r="M75" s="18" t="s">
        <v>25</v>
      </c>
      <c r="N75" s="18">
        <v>1</v>
      </c>
      <c r="O75" s="18" t="s">
        <v>27</v>
      </c>
      <c r="P75" s="20"/>
      <c r="Q75" s="18" t="s">
        <v>29</v>
      </c>
      <c r="R75" s="18" t="s">
        <v>54</v>
      </c>
    </row>
    <row r="76" spans="1:18" x14ac:dyDescent="0.25">
      <c r="A76" s="16" t="s">
        <v>231</v>
      </c>
      <c r="B76" s="17">
        <v>227457</v>
      </c>
      <c r="C76" s="18" t="s">
        <v>20</v>
      </c>
      <c r="D76" s="19" t="s">
        <v>266</v>
      </c>
      <c r="E76" s="17" t="s">
        <v>22</v>
      </c>
      <c r="F76" s="17">
        <v>4</v>
      </c>
      <c r="G76" s="74">
        <v>44270</v>
      </c>
      <c r="H76" s="74">
        <v>44278</v>
      </c>
      <c r="I76" s="74">
        <v>44278</v>
      </c>
      <c r="J76" s="20"/>
      <c r="K76" s="18" t="s">
        <v>23</v>
      </c>
      <c r="L76" s="21" t="s">
        <v>34</v>
      </c>
      <c r="M76" s="18" t="s">
        <v>25</v>
      </c>
      <c r="N76" s="18"/>
      <c r="O76" s="18" t="s">
        <v>26</v>
      </c>
      <c r="P76" s="20"/>
      <c r="Q76" s="18" t="s">
        <v>29</v>
      </c>
      <c r="R76" s="18"/>
    </row>
    <row r="77" spans="1:18" x14ac:dyDescent="0.25">
      <c r="A77" s="16" t="s">
        <v>68</v>
      </c>
      <c r="B77" s="17">
        <v>229448</v>
      </c>
      <c r="C77" s="18" t="s">
        <v>20</v>
      </c>
      <c r="D77" s="19" t="s">
        <v>267</v>
      </c>
      <c r="E77" s="17" t="s">
        <v>33</v>
      </c>
      <c r="F77" s="17">
        <v>1</v>
      </c>
      <c r="G77" s="74">
        <v>44278</v>
      </c>
      <c r="H77" s="74">
        <v>44278</v>
      </c>
      <c r="I77" s="74">
        <v>44278</v>
      </c>
      <c r="J77" s="20"/>
      <c r="K77" s="18" t="s">
        <v>23</v>
      </c>
      <c r="L77" s="21" t="s">
        <v>34</v>
      </c>
      <c r="M77" s="18" t="s">
        <v>25</v>
      </c>
      <c r="N77" s="18"/>
      <c r="O77" s="18" t="s">
        <v>26</v>
      </c>
      <c r="P77" s="20"/>
      <c r="Q77" s="18" t="s">
        <v>29</v>
      </c>
      <c r="R77" s="18" t="s">
        <v>29</v>
      </c>
    </row>
    <row r="78" spans="1:18" x14ac:dyDescent="0.25">
      <c r="A78" s="16" t="s">
        <v>47</v>
      </c>
      <c r="B78" s="17">
        <v>227888</v>
      </c>
      <c r="C78" s="18" t="s">
        <v>31</v>
      </c>
      <c r="D78" s="19" t="s">
        <v>223</v>
      </c>
      <c r="E78" s="17" t="s">
        <v>44</v>
      </c>
      <c r="F78" s="17">
        <v>1</v>
      </c>
      <c r="G78" s="74">
        <v>44271</v>
      </c>
      <c r="H78" s="74">
        <v>44291</v>
      </c>
      <c r="I78" s="74">
        <v>44291</v>
      </c>
      <c r="J78" s="20"/>
      <c r="K78" s="18" t="s">
        <v>23</v>
      </c>
      <c r="L78" s="21" t="s">
        <v>34</v>
      </c>
      <c r="M78" s="18" t="s">
        <v>25</v>
      </c>
      <c r="N78" s="18"/>
      <c r="O78" s="18" t="s">
        <v>26</v>
      </c>
      <c r="P78" s="20" t="s">
        <v>27</v>
      </c>
      <c r="Q78" s="18" t="s">
        <v>28</v>
      </c>
      <c r="R78" s="18" t="s">
        <v>74</v>
      </c>
    </row>
    <row r="79" spans="1:18" x14ac:dyDescent="0.25">
      <c r="A79" s="16" t="s">
        <v>47</v>
      </c>
      <c r="B79" s="17">
        <v>227888</v>
      </c>
      <c r="C79" s="18" t="s">
        <v>31</v>
      </c>
      <c r="D79" s="19" t="s">
        <v>223</v>
      </c>
      <c r="E79" s="17" t="s">
        <v>49</v>
      </c>
      <c r="F79" s="17">
        <v>1</v>
      </c>
      <c r="G79" s="74">
        <v>44271</v>
      </c>
      <c r="H79" s="74">
        <v>44291</v>
      </c>
      <c r="I79" s="74">
        <v>44291</v>
      </c>
      <c r="J79" s="20"/>
      <c r="K79" s="18" t="s">
        <v>23</v>
      </c>
      <c r="L79" s="21" t="s">
        <v>34</v>
      </c>
      <c r="M79" s="18" t="s">
        <v>25</v>
      </c>
      <c r="N79" s="18"/>
      <c r="O79" s="18" t="s">
        <v>26</v>
      </c>
      <c r="P79" s="20" t="s">
        <v>27</v>
      </c>
      <c r="Q79" s="18" t="s">
        <v>28</v>
      </c>
      <c r="R79" s="18" t="s">
        <v>74</v>
      </c>
    </row>
    <row r="80" spans="1:18" x14ac:dyDescent="0.25">
      <c r="A80" s="16" t="s">
        <v>47</v>
      </c>
      <c r="B80" s="17">
        <v>227888</v>
      </c>
      <c r="C80" s="18" t="s">
        <v>31</v>
      </c>
      <c r="D80" s="19" t="s">
        <v>223</v>
      </c>
      <c r="E80" s="17" t="s">
        <v>35</v>
      </c>
      <c r="F80" s="17">
        <v>1</v>
      </c>
      <c r="G80" s="74">
        <v>44271</v>
      </c>
      <c r="H80" s="74">
        <v>44279</v>
      </c>
      <c r="I80" s="74">
        <v>44279</v>
      </c>
      <c r="J80" s="20"/>
      <c r="K80" s="18" t="s">
        <v>23</v>
      </c>
      <c r="L80" s="21" t="s">
        <v>34</v>
      </c>
      <c r="M80" s="18" t="s">
        <v>25</v>
      </c>
      <c r="N80" s="18"/>
      <c r="O80" s="18" t="s">
        <v>26</v>
      </c>
      <c r="P80" s="20" t="s">
        <v>27</v>
      </c>
      <c r="Q80" s="18" t="s">
        <v>28</v>
      </c>
      <c r="R80" s="18" t="s">
        <v>74</v>
      </c>
    </row>
    <row r="81" spans="1:18" x14ac:dyDescent="0.25">
      <c r="A81" s="16" t="s">
        <v>145</v>
      </c>
      <c r="B81" s="17">
        <v>227710</v>
      </c>
      <c r="C81" s="18" t="s">
        <v>31</v>
      </c>
      <c r="D81" s="19" t="s">
        <v>224</v>
      </c>
      <c r="E81" s="17" t="s">
        <v>36</v>
      </c>
      <c r="F81" s="17">
        <v>4</v>
      </c>
      <c r="G81" s="74">
        <v>44271</v>
      </c>
      <c r="H81" s="74">
        <v>44280</v>
      </c>
      <c r="I81" s="74">
        <v>44301</v>
      </c>
      <c r="J81" s="20"/>
      <c r="K81" s="18" t="s">
        <v>23</v>
      </c>
      <c r="L81" s="21" t="s">
        <v>34</v>
      </c>
      <c r="M81" s="18" t="s">
        <v>25</v>
      </c>
      <c r="N81" s="18"/>
      <c r="O81" s="18" t="s">
        <v>26</v>
      </c>
      <c r="P81" s="20" t="s">
        <v>26</v>
      </c>
      <c r="Q81" s="18" t="s">
        <v>29</v>
      </c>
      <c r="R81" s="18" t="s">
        <v>74</v>
      </c>
    </row>
    <row r="82" spans="1:18" x14ac:dyDescent="0.25">
      <c r="A82" s="16" t="s">
        <v>145</v>
      </c>
      <c r="B82" s="17">
        <v>227710</v>
      </c>
      <c r="C82" s="18" t="s">
        <v>31</v>
      </c>
      <c r="D82" s="19" t="s">
        <v>224</v>
      </c>
      <c r="E82" s="17" t="s">
        <v>33</v>
      </c>
      <c r="F82" s="17">
        <v>1</v>
      </c>
      <c r="G82" s="74">
        <v>44271</v>
      </c>
      <c r="H82" s="74">
        <v>44280</v>
      </c>
      <c r="I82" s="74">
        <v>44301</v>
      </c>
      <c r="J82" s="20"/>
      <c r="K82" s="18" t="s">
        <v>23</v>
      </c>
      <c r="L82" s="21" t="s">
        <v>34</v>
      </c>
      <c r="M82" s="18" t="s">
        <v>25</v>
      </c>
      <c r="N82" s="18"/>
      <c r="O82" s="18" t="s">
        <v>26</v>
      </c>
      <c r="P82" s="20" t="s">
        <v>26</v>
      </c>
      <c r="Q82" s="18" t="s">
        <v>29</v>
      </c>
      <c r="R82" s="18" t="s">
        <v>74</v>
      </c>
    </row>
    <row r="83" spans="1:18" x14ac:dyDescent="0.25">
      <c r="A83" s="16" t="s">
        <v>145</v>
      </c>
      <c r="B83" s="17">
        <v>227710</v>
      </c>
      <c r="C83" s="18" t="s">
        <v>31</v>
      </c>
      <c r="D83" s="19" t="s">
        <v>224</v>
      </c>
      <c r="E83" s="17" t="s">
        <v>49</v>
      </c>
      <c r="F83" s="17">
        <v>1</v>
      </c>
      <c r="G83" s="74">
        <v>44271</v>
      </c>
      <c r="H83" s="74">
        <v>44280</v>
      </c>
      <c r="I83" s="74">
        <v>44301</v>
      </c>
      <c r="J83" s="20"/>
      <c r="K83" s="18" t="s">
        <v>23</v>
      </c>
      <c r="L83" s="21" t="s">
        <v>34</v>
      </c>
      <c r="M83" s="18" t="s">
        <v>25</v>
      </c>
      <c r="N83" s="18"/>
      <c r="O83" s="18" t="s">
        <v>26</v>
      </c>
      <c r="P83" s="20" t="s">
        <v>26</v>
      </c>
      <c r="Q83" s="18" t="s">
        <v>29</v>
      </c>
      <c r="R83" s="18" t="s">
        <v>74</v>
      </c>
    </row>
    <row r="84" spans="1:18" ht="25.5" x14ac:dyDescent="0.25">
      <c r="A84" s="16" t="s">
        <v>37</v>
      </c>
      <c r="B84" s="17">
        <v>227568</v>
      </c>
      <c r="C84" s="18" t="s">
        <v>20</v>
      </c>
      <c r="D84" s="19" t="s">
        <v>268</v>
      </c>
      <c r="E84" s="17" t="s">
        <v>83</v>
      </c>
      <c r="F84" s="17">
        <v>2</v>
      </c>
      <c r="G84" s="74">
        <v>44271</v>
      </c>
      <c r="H84" s="74">
        <v>44280</v>
      </c>
      <c r="I84" s="74">
        <v>44306</v>
      </c>
      <c r="J84" s="20"/>
      <c r="K84" s="18" t="s">
        <v>23</v>
      </c>
      <c r="L84" s="21" t="s">
        <v>42</v>
      </c>
      <c r="M84" s="18" t="s">
        <v>25</v>
      </c>
      <c r="N84" s="18"/>
      <c r="O84" s="18" t="s">
        <v>27</v>
      </c>
      <c r="P84" s="20"/>
      <c r="Q84" s="18" t="s">
        <v>29</v>
      </c>
      <c r="R84" s="18" t="s">
        <v>54</v>
      </c>
    </row>
    <row r="85" spans="1:18" x14ac:dyDescent="0.25">
      <c r="A85" s="16" t="s">
        <v>30</v>
      </c>
      <c r="B85" s="17">
        <v>229524</v>
      </c>
      <c r="C85" s="18" t="s">
        <v>31</v>
      </c>
      <c r="D85" s="19" t="s">
        <v>226</v>
      </c>
      <c r="E85" s="17" t="s">
        <v>43</v>
      </c>
      <c r="F85" s="17">
        <v>3</v>
      </c>
      <c r="G85" s="74">
        <v>44279</v>
      </c>
      <c r="H85" s="74">
        <v>44280</v>
      </c>
      <c r="I85" s="74">
        <v>44280</v>
      </c>
      <c r="J85" s="20"/>
      <c r="K85" s="18" t="s">
        <v>23</v>
      </c>
      <c r="L85" s="21" t="s">
        <v>34</v>
      </c>
      <c r="M85" s="18" t="s">
        <v>25</v>
      </c>
      <c r="N85" s="18"/>
      <c r="O85" s="18" t="s">
        <v>26</v>
      </c>
      <c r="P85" s="20" t="s">
        <v>27</v>
      </c>
      <c r="Q85" s="18" t="s">
        <v>29</v>
      </c>
      <c r="R85" s="18" t="s">
        <v>54</v>
      </c>
    </row>
    <row r="86" spans="1:18" x14ac:dyDescent="0.25">
      <c r="A86" s="16" t="s">
        <v>30</v>
      </c>
      <c r="B86" s="17">
        <v>229524</v>
      </c>
      <c r="C86" s="18" t="s">
        <v>31</v>
      </c>
      <c r="D86" s="19" t="s">
        <v>226</v>
      </c>
      <c r="E86" s="17" t="s">
        <v>39</v>
      </c>
      <c r="F86" s="17">
        <v>1</v>
      </c>
      <c r="G86" s="74">
        <v>44279</v>
      </c>
      <c r="H86" s="74">
        <v>44280</v>
      </c>
      <c r="I86" s="74">
        <v>44280</v>
      </c>
      <c r="J86" s="20"/>
      <c r="K86" s="18" t="s">
        <v>23</v>
      </c>
      <c r="L86" s="21" t="s">
        <v>34</v>
      </c>
      <c r="M86" s="18" t="s">
        <v>25</v>
      </c>
      <c r="N86" s="18"/>
      <c r="O86" s="18" t="s">
        <v>26</v>
      </c>
      <c r="P86" s="20" t="s">
        <v>27</v>
      </c>
      <c r="Q86" s="18" t="s">
        <v>29</v>
      </c>
      <c r="R86" s="18" t="s">
        <v>54</v>
      </c>
    </row>
    <row r="87" spans="1:18" x14ac:dyDescent="0.25">
      <c r="A87" s="16" t="s">
        <v>30</v>
      </c>
      <c r="B87" s="17">
        <v>229524</v>
      </c>
      <c r="C87" s="18" t="s">
        <v>31</v>
      </c>
      <c r="D87" s="19" t="s">
        <v>226</v>
      </c>
      <c r="E87" s="17" t="s">
        <v>33</v>
      </c>
      <c r="F87" s="17">
        <v>1</v>
      </c>
      <c r="G87" s="74">
        <v>44279</v>
      </c>
      <c r="H87" s="74">
        <v>44280</v>
      </c>
      <c r="I87" s="74">
        <v>44280</v>
      </c>
      <c r="J87" s="20"/>
      <c r="K87" s="18" t="s">
        <v>23</v>
      </c>
      <c r="L87" s="21" t="s">
        <v>34</v>
      </c>
      <c r="M87" s="18" t="s">
        <v>25</v>
      </c>
      <c r="N87" s="18"/>
      <c r="O87" s="18" t="s">
        <v>26</v>
      </c>
      <c r="P87" s="20" t="s">
        <v>27</v>
      </c>
      <c r="Q87" s="18" t="s">
        <v>29</v>
      </c>
      <c r="R87" s="18" t="s">
        <v>54</v>
      </c>
    </row>
    <row r="88" spans="1:18" x14ac:dyDescent="0.25">
      <c r="A88" s="16" t="s">
        <v>30</v>
      </c>
      <c r="B88" s="17">
        <v>229524</v>
      </c>
      <c r="C88" s="18" t="s">
        <v>31</v>
      </c>
      <c r="D88" s="19" t="s">
        <v>226</v>
      </c>
      <c r="E88" s="17" t="s">
        <v>36</v>
      </c>
      <c r="F88" s="17">
        <v>3</v>
      </c>
      <c r="G88" s="74">
        <v>44279</v>
      </c>
      <c r="H88" s="74">
        <v>44280</v>
      </c>
      <c r="I88" s="74">
        <v>44280</v>
      </c>
      <c r="J88" s="20"/>
      <c r="K88" s="18" t="s">
        <v>23</v>
      </c>
      <c r="L88" s="21" t="s">
        <v>34</v>
      </c>
      <c r="M88" s="18" t="s">
        <v>25</v>
      </c>
      <c r="N88" s="18"/>
      <c r="O88" s="18" t="s">
        <v>26</v>
      </c>
      <c r="P88" s="20" t="s">
        <v>27</v>
      </c>
      <c r="Q88" s="18" t="s">
        <v>29</v>
      </c>
      <c r="R88" s="18" t="s">
        <v>54</v>
      </c>
    </row>
    <row r="89" spans="1:18" x14ac:dyDescent="0.25">
      <c r="A89" s="16" t="s">
        <v>30</v>
      </c>
      <c r="B89" s="17">
        <v>229051</v>
      </c>
      <c r="C89" s="18" t="s">
        <v>20</v>
      </c>
      <c r="D89" s="19" t="s">
        <v>269</v>
      </c>
      <c r="E89" s="17" t="s">
        <v>80</v>
      </c>
      <c r="F89" s="17">
        <v>10</v>
      </c>
      <c r="G89" s="74">
        <v>44277</v>
      </c>
      <c r="H89" s="74">
        <v>44281</v>
      </c>
      <c r="I89" s="74">
        <v>44280</v>
      </c>
      <c r="J89" s="20"/>
      <c r="K89" s="18" t="s">
        <v>23</v>
      </c>
      <c r="L89" s="21" t="s">
        <v>58</v>
      </c>
      <c r="M89" s="18" t="s">
        <v>25</v>
      </c>
      <c r="N89" s="18"/>
      <c r="O89" s="18" t="s">
        <v>26</v>
      </c>
      <c r="P89" s="20"/>
      <c r="Q89" s="18" t="s">
        <v>29</v>
      </c>
      <c r="R89" s="18" t="s">
        <v>54</v>
      </c>
    </row>
    <row r="90" spans="1:18" x14ac:dyDescent="0.25">
      <c r="A90" s="16" t="s">
        <v>30</v>
      </c>
      <c r="B90" s="17">
        <v>229086</v>
      </c>
      <c r="C90" s="18" t="s">
        <v>31</v>
      </c>
      <c r="D90" s="19" t="s">
        <v>227</v>
      </c>
      <c r="E90" s="17" t="s">
        <v>228</v>
      </c>
      <c r="F90" s="17">
        <v>1</v>
      </c>
      <c r="G90" s="74">
        <v>44277</v>
      </c>
      <c r="H90" s="74">
        <v>44281</v>
      </c>
      <c r="I90" s="74">
        <v>44281</v>
      </c>
      <c r="J90" s="20"/>
      <c r="K90" s="18" t="s">
        <v>23</v>
      </c>
      <c r="L90" s="21" t="s">
        <v>34</v>
      </c>
      <c r="M90" s="18" t="s">
        <v>25</v>
      </c>
      <c r="N90" s="18"/>
      <c r="O90" s="18" t="s">
        <v>27</v>
      </c>
      <c r="P90" s="20" t="s">
        <v>27</v>
      </c>
      <c r="Q90" s="18" t="s">
        <v>29</v>
      </c>
      <c r="R90" s="18" t="s">
        <v>54</v>
      </c>
    </row>
    <row r="91" spans="1:18" x14ac:dyDescent="0.25">
      <c r="A91" s="16" t="s">
        <v>30</v>
      </c>
      <c r="B91" s="17">
        <v>229763</v>
      </c>
      <c r="C91" s="18" t="s">
        <v>31</v>
      </c>
      <c r="D91" s="19" t="s">
        <v>229</v>
      </c>
      <c r="E91" s="17" t="s">
        <v>36</v>
      </c>
      <c r="F91" s="17">
        <v>3</v>
      </c>
      <c r="G91" s="74">
        <v>44279</v>
      </c>
      <c r="H91" s="74">
        <v>44286</v>
      </c>
      <c r="I91" s="74">
        <v>44287</v>
      </c>
      <c r="J91" s="20"/>
      <c r="K91" s="18" t="s">
        <v>23</v>
      </c>
      <c r="L91" s="21" t="s">
        <v>42</v>
      </c>
      <c r="M91" s="18" t="s">
        <v>25</v>
      </c>
      <c r="N91" s="18"/>
      <c r="O91" s="18" t="s">
        <v>27</v>
      </c>
      <c r="P91" s="20" t="s">
        <v>27</v>
      </c>
      <c r="Q91" s="18" t="s">
        <v>29</v>
      </c>
      <c r="R91" s="18" t="s">
        <v>54</v>
      </c>
    </row>
    <row r="92" spans="1:18" x14ac:dyDescent="0.25">
      <c r="A92" s="16" t="s">
        <v>30</v>
      </c>
      <c r="B92" s="17">
        <v>229763</v>
      </c>
      <c r="C92" s="18" t="s">
        <v>31</v>
      </c>
      <c r="D92" s="19" t="s">
        <v>229</v>
      </c>
      <c r="E92" s="17" t="s">
        <v>44</v>
      </c>
      <c r="F92" s="17">
        <v>1</v>
      </c>
      <c r="G92" s="74">
        <v>44279</v>
      </c>
      <c r="H92" s="74">
        <v>44286</v>
      </c>
      <c r="I92" s="74">
        <v>44287</v>
      </c>
      <c r="J92" s="20"/>
      <c r="K92" s="18" t="s">
        <v>23</v>
      </c>
      <c r="L92" s="21" t="s">
        <v>42</v>
      </c>
      <c r="M92" s="18" t="s">
        <v>25</v>
      </c>
      <c r="N92" s="18"/>
      <c r="O92" s="18" t="s">
        <v>27</v>
      </c>
      <c r="P92" s="20" t="s">
        <v>27</v>
      </c>
      <c r="Q92" s="18" t="s">
        <v>29</v>
      </c>
      <c r="R92" s="18" t="s">
        <v>54</v>
      </c>
    </row>
    <row r="93" spans="1:18" x14ac:dyDescent="0.25">
      <c r="A93" s="16" t="s">
        <v>30</v>
      </c>
      <c r="B93" s="17">
        <v>229763</v>
      </c>
      <c r="C93" s="18" t="s">
        <v>31</v>
      </c>
      <c r="D93" s="19" t="s">
        <v>229</v>
      </c>
      <c r="E93" s="17" t="s">
        <v>49</v>
      </c>
      <c r="F93" s="17">
        <v>1</v>
      </c>
      <c r="G93" s="74">
        <v>44279</v>
      </c>
      <c r="H93" s="74">
        <v>44286</v>
      </c>
      <c r="I93" s="74">
        <v>44287</v>
      </c>
      <c r="J93" s="20"/>
      <c r="K93" s="18" t="s">
        <v>23</v>
      </c>
      <c r="L93" s="21" t="s">
        <v>42</v>
      </c>
      <c r="M93" s="18" t="s">
        <v>25</v>
      </c>
      <c r="N93" s="18"/>
      <c r="O93" s="18" t="s">
        <v>27</v>
      </c>
      <c r="P93" s="20" t="s">
        <v>27</v>
      </c>
      <c r="Q93" s="18" t="s">
        <v>29</v>
      </c>
      <c r="R93" s="18" t="s">
        <v>54</v>
      </c>
    </row>
    <row r="94" spans="1:18" x14ac:dyDescent="0.25">
      <c r="A94" s="16" t="s">
        <v>30</v>
      </c>
      <c r="B94" s="17">
        <v>229763</v>
      </c>
      <c r="C94" s="18" t="s">
        <v>31</v>
      </c>
      <c r="D94" s="19" t="s">
        <v>229</v>
      </c>
      <c r="E94" s="17" t="s">
        <v>35</v>
      </c>
      <c r="F94" s="17">
        <v>1</v>
      </c>
      <c r="G94" s="74">
        <v>44279</v>
      </c>
      <c r="H94" s="74">
        <v>44286</v>
      </c>
      <c r="I94" s="74">
        <v>44287</v>
      </c>
      <c r="J94" s="20"/>
      <c r="K94" s="18" t="s">
        <v>23</v>
      </c>
      <c r="L94" s="21" t="s">
        <v>42</v>
      </c>
      <c r="M94" s="18" t="s">
        <v>25</v>
      </c>
      <c r="N94" s="18"/>
      <c r="O94" s="18" t="s">
        <v>27</v>
      </c>
      <c r="P94" s="20" t="s">
        <v>27</v>
      </c>
      <c r="Q94" s="18" t="s">
        <v>29</v>
      </c>
      <c r="R94" s="18" t="s">
        <v>54</v>
      </c>
    </row>
    <row r="95" spans="1:18" x14ac:dyDescent="0.25">
      <c r="A95" s="16" t="s">
        <v>37</v>
      </c>
      <c r="B95" s="17">
        <v>229691</v>
      </c>
      <c r="C95" s="18" t="s">
        <v>20</v>
      </c>
      <c r="D95" s="19" t="s">
        <v>270</v>
      </c>
      <c r="E95" s="17" t="s">
        <v>35</v>
      </c>
      <c r="F95" s="17">
        <v>2</v>
      </c>
      <c r="G95" s="74">
        <v>44279</v>
      </c>
      <c r="H95" s="74">
        <v>44286</v>
      </c>
      <c r="I95" s="74">
        <v>44287</v>
      </c>
      <c r="J95" s="20"/>
      <c r="K95" s="18" t="s">
        <v>23</v>
      </c>
      <c r="L95" s="21" t="s">
        <v>42</v>
      </c>
      <c r="M95" s="18" t="s">
        <v>25</v>
      </c>
      <c r="N95" s="18"/>
      <c r="O95" s="18" t="s">
        <v>26</v>
      </c>
      <c r="P95" s="20"/>
      <c r="Q95" s="18" t="s">
        <v>29</v>
      </c>
      <c r="R95" s="18" t="s">
        <v>54</v>
      </c>
    </row>
    <row r="96" spans="1:18" x14ac:dyDescent="0.25">
      <c r="A96" s="16" t="s">
        <v>37</v>
      </c>
      <c r="B96" s="17">
        <v>229691</v>
      </c>
      <c r="C96" s="18" t="s">
        <v>20</v>
      </c>
      <c r="D96" s="19" t="s">
        <v>270</v>
      </c>
      <c r="E96" s="17" t="s">
        <v>33</v>
      </c>
      <c r="F96" s="17">
        <v>2</v>
      </c>
      <c r="G96" s="74">
        <v>44279</v>
      </c>
      <c r="H96" s="74">
        <v>44286</v>
      </c>
      <c r="I96" s="74">
        <v>44287</v>
      </c>
      <c r="J96" s="20"/>
      <c r="K96" s="18" t="s">
        <v>23</v>
      </c>
      <c r="L96" s="21" t="s">
        <v>42</v>
      </c>
      <c r="M96" s="18" t="s">
        <v>25</v>
      </c>
      <c r="N96" s="18"/>
      <c r="O96" s="18" t="s">
        <v>26</v>
      </c>
      <c r="P96" s="20"/>
      <c r="Q96" s="18" t="s">
        <v>29</v>
      </c>
      <c r="R96" s="18" t="s">
        <v>54</v>
      </c>
    </row>
    <row r="97" spans="1:18" x14ac:dyDescent="0.25">
      <c r="A97" s="16" t="s">
        <v>37</v>
      </c>
      <c r="B97" s="17">
        <v>229691</v>
      </c>
      <c r="C97" s="18" t="s">
        <v>20</v>
      </c>
      <c r="D97" s="19" t="s">
        <v>270</v>
      </c>
      <c r="E97" s="17" t="s">
        <v>49</v>
      </c>
      <c r="F97" s="17">
        <v>2</v>
      </c>
      <c r="G97" s="74">
        <v>44279</v>
      </c>
      <c r="H97" s="74">
        <v>44286</v>
      </c>
      <c r="I97" s="74">
        <v>44287</v>
      </c>
      <c r="J97" s="20"/>
      <c r="K97" s="18" t="s">
        <v>23</v>
      </c>
      <c r="L97" s="21" t="s">
        <v>42</v>
      </c>
      <c r="M97" s="18" t="s">
        <v>25</v>
      </c>
      <c r="N97" s="18"/>
      <c r="O97" s="18" t="s">
        <v>26</v>
      </c>
      <c r="P97" s="20"/>
      <c r="Q97" s="18" t="s">
        <v>29</v>
      </c>
      <c r="R97" s="18" t="s">
        <v>54</v>
      </c>
    </row>
    <row r="98" spans="1:18" x14ac:dyDescent="0.25">
      <c r="A98" s="16" t="s">
        <v>37</v>
      </c>
      <c r="B98" s="17">
        <v>229691</v>
      </c>
      <c r="C98" s="18" t="s">
        <v>20</v>
      </c>
      <c r="D98" s="19" t="s">
        <v>270</v>
      </c>
      <c r="E98" s="17" t="s">
        <v>93</v>
      </c>
      <c r="F98" s="17">
        <v>2</v>
      </c>
      <c r="G98" s="74">
        <v>44279</v>
      </c>
      <c r="H98" s="74">
        <v>44286</v>
      </c>
      <c r="I98" s="74">
        <v>44287</v>
      </c>
      <c r="J98" s="20"/>
      <c r="K98" s="18" t="s">
        <v>23</v>
      </c>
      <c r="L98" s="21" t="s">
        <v>42</v>
      </c>
      <c r="M98" s="18" t="s">
        <v>25</v>
      </c>
      <c r="N98" s="18"/>
      <c r="O98" s="18" t="s">
        <v>26</v>
      </c>
      <c r="P98" s="20"/>
      <c r="Q98" s="18" t="s">
        <v>29</v>
      </c>
      <c r="R98" s="18" t="s">
        <v>54</v>
      </c>
    </row>
    <row r="99" spans="1:18" ht="30" x14ac:dyDescent="0.25">
      <c r="A99" s="16" t="s">
        <v>40</v>
      </c>
      <c r="B99" s="17">
        <v>226583</v>
      </c>
      <c r="C99" s="18" t="s">
        <v>20</v>
      </c>
      <c r="D99" s="19" t="s">
        <v>138</v>
      </c>
      <c r="E99" s="17" t="s">
        <v>35</v>
      </c>
      <c r="F99" s="17">
        <v>1</v>
      </c>
      <c r="G99" s="74">
        <v>44287</v>
      </c>
      <c r="H99" s="74">
        <v>44287</v>
      </c>
      <c r="I99" s="74">
        <v>44287</v>
      </c>
      <c r="J99" s="20" t="s">
        <v>271</v>
      </c>
      <c r="K99" s="18" t="s">
        <v>23</v>
      </c>
      <c r="L99" s="21" t="s">
        <v>24</v>
      </c>
      <c r="M99" s="18" t="s">
        <v>25</v>
      </c>
      <c r="N99" s="18"/>
      <c r="O99" s="18" t="s">
        <v>26</v>
      </c>
      <c r="P99" s="20"/>
      <c r="Q99" s="18" t="s">
        <v>29</v>
      </c>
      <c r="R99" s="18" t="s">
        <v>29</v>
      </c>
    </row>
    <row r="100" spans="1:18" ht="30" x14ac:dyDescent="0.25">
      <c r="A100" s="16" t="s">
        <v>40</v>
      </c>
      <c r="B100" s="17">
        <v>226583</v>
      </c>
      <c r="C100" s="18" t="s">
        <v>20</v>
      </c>
      <c r="D100" s="19" t="s">
        <v>138</v>
      </c>
      <c r="E100" s="17" t="s">
        <v>35</v>
      </c>
      <c r="F100" s="17">
        <v>1</v>
      </c>
      <c r="G100" s="74">
        <v>44287</v>
      </c>
      <c r="H100" s="74">
        <v>44287</v>
      </c>
      <c r="I100" s="74">
        <v>44287</v>
      </c>
      <c r="J100" s="20" t="s">
        <v>272</v>
      </c>
      <c r="K100" s="18" t="s">
        <v>23</v>
      </c>
      <c r="L100" s="21" t="s">
        <v>24</v>
      </c>
      <c r="M100" s="18" t="s">
        <v>25</v>
      </c>
      <c r="N100" s="18"/>
      <c r="O100" s="18" t="s">
        <v>26</v>
      </c>
      <c r="P100" s="20"/>
      <c r="Q100" s="18" t="s">
        <v>29</v>
      </c>
      <c r="R100" s="18" t="s">
        <v>29</v>
      </c>
    </row>
    <row r="101" spans="1:18" ht="30" x14ac:dyDescent="0.25">
      <c r="A101" s="16" t="s">
        <v>40</v>
      </c>
      <c r="B101" s="17">
        <v>226583</v>
      </c>
      <c r="C101" s="18" t="s">
        <v>20</v>
      </c>
      <c r="D101" s="19" t="s">
        <v>138</v>
      </c>
      <c r="E101" s="17" t="s">
        <v>35</v>
      </c>
      <c r="F101" s="17">
        <v>1</v>
      </c>
      <c r="G101" s="74">
        <v>44291</v>
      </c>
      <c r="H101" s="74">
        <v>44291</v>
      </c>
      <c r="I101" s="74">
        <v>44291</v>
      </c>
      <c r="J101" s="20" t="s">
        <v>273</v>
      </c>
      <c r="K101" s="18" t="s">
        <v>23</v>
      </c>
      <c r="L101" s="21" t="s">
        <v>24</v>
      </c>
      <c r="M101" s="18" t="s">
        <v>25</v>
      </c>
      <c r="N101" s="18"/>
      <c r="O101" s="18" t="s">
        <v>26</v>
      </c>
      <c r="P101" s="20"/>
      <c r="Q101" s="18" t="s">
        <v>29</v>
      </c>
      <c r="R101" s="18" t="s">
        <v>29</v>
      </c>
    </row>
    <row r="102" spans="1:18" ht="45" x14ac:dyDescent="0.25">
      <c r="A102" s="16" t="s">
        <v>40</v>
      </c>
      <c r="B102" s="17">
        <v>226583</v>
      </c>
      <c r="C102" s="18" t="s">
        <v>20</v>
      </c>
      <c r="D102" s="19" t="s">
        <v>138</v>
      </c>
      <c r="E102" s="17" t="s">
        <v>35</v>
      </c>
      <c r="F102" s="17">
        <v>1</v>
      </c>
      <c r="G102" s="74">
        <v>44293</v>
      </c>
      <c r="H102" s="74">
        <v>44293</v>
      </c>
      <c r="I102" s="74">
        <v>44293</v>
      </c>
      <c r="J102" s="20" t="s">
        <v>274</v>
      </c>
      <c r="K102" s="18" t="s">
        <v>23</v>
      </c>
      <c r="L102" s="21" t="s">
        <v>24</v>
      </c>
      <c r="M102" s="18" t="s">
        <v>25</v>
      </c>
      <c r="N102" s="18"/>
      <c r="O102" s="18" t="s">
        <v>26</v>
      </c>
      <c r="P102" s="20"/>
      <c r="Q102" s="18" t="s">
        <v>29</v>
      </c>
      <c r="R102" s="18" t="s">
        <v>29</v>
      </c>
    </row>
    <row r="103" spans="1:18" ht="30" x14ac:dyDescent="0.25">
      <c r="A103" s="16" t="s">
        <v>40</v>
      </c>
      <c r="B103" s="17">
        <v>226583</v>
      </c>
      <c r="C103" s="18" t="s">
        <v>20</v>
      </c>
      <c r="D103" s="19" t="s">
        <v>138</v>
      </c>
      <c r="E103" s="17" t="s">
        <v>35</v>
      </c>
      <c r="F103" s="17">
        <v>1</v>
      </c>
      <c r="G103" s="74">
        <v>44293</v>
      </c>
      <c r="H103" s="74">
        <v>44293</v>
      </c>
      <c r="I103" s="74">
        <v>44293</v>
      </c>
      <c r="J103" s="20" t="s">
        <v>275</v>
      </c>
      <c r="K103" s="18" t="s">
        <v>23</v>
      </c>
      <c r="L103" s="21" t="s">
        <v>24</v>
      </c>
      <c r="M103" s="18" t="s">
        <v>25</v>
      </c>
      <c r="N103" s="18"/>
      <c r="O103" s="18" t="s">
        <v>26</v>
      </c>
      <c r="P103" s="20"/>
      <c r="Q103" s="18" t="s">
        <v>29</v>
      </c>
      <c r="R103" s="18" t="s">
        <v>29</v>
      </c>
    </row>
    <row r="104" spans="1:18" ht="30" x14ac:dyDescent="0.25">
      <c r="A104" s="16" t="s">
        <v>40</v>
      </c>
      <c r="B104" s="17">
        <v>226583</v>
      </c>
      <c r="C104" s="18" t="s">
        <v>20</v>
      </c>
      <c r="D104" s="19" t="s">
        <v>138</v>
      </c>
      <c r="E104" s="17" t="s">
        <v>35</v>
      </c>
      <c r="F104" s="17">
        <v>1</v>
      </c>
      <c r="G104" s="74">
        <v>44294</v>
      </c>
      <c r="H104" s="74">
        <v>44294</v>
      </c>
      <c r="I104" s="74">
        <v>44294</v>
      </c>
      <c r="J104" s="20" t="s">
        <v>276</v>
      </c>
      <c r="K104" s="18" t="s">
        <v>23</v>
      </c>
      <c r="L104" s="21" t="s">
        <v>24</v>
      </c>
      <c r="M104" s="18" t="s">
        <v>25</v>
      </c>
      <c r="N104" s="18"/>
      <c r="O104" s="18" t="s">
        <v>26</v>
      </c>
      <c r="P104" s="20"/>
      <c r="Q104" s="18" t="s">
        <v>29</v>
      </c>
      <c r="R104" s="18" t="s">
        <v>29</v>
      </c>
    </row>
    <row r="105" spans="1:18" ht="30" x14ac:dyDescent="0.25">
      <c r="A105" s="16" t="s">
        <v>40</v>
      </c>
      <c r="B105" s="17">
        <v>226583</v>
      </c>
      <c r="C105" s="18" t="s">
        <v>20</v>
      </c>
      <c r="D105" s="19" t="s">
        <v>138</v>
      </c>
      <c r="E105" s="17" t="s">
        <v>35</v>
      </c>
      <c r="F105" s="17">
        <v>1</v>
      </c>
      <c r="G105" s="74">
        <v>44295</v>
      </c>
      <c r="H105" s="74">
        <v>44295</v>
      </c>
      <c r="I105" s="74">
        <v>44295</v>
      </c>
      <c r="J105" s="20" t="s">
        <v>277</v>
      </c>
      <c r="K105" s="18" t="s">
        <v>23</v>
      </c>
      <c r="L105" s="21" t="s">
        <v>24</v>
      </c>
      <c r="M105" s="18" t="s">
        <v>25</v>
      </c>
      <c r="N105" s="18"/>
      <c r="O105" s="18" t="s">
        <v>26</v>
      </c>
      <c r="P105" s="20"/>
      <c r="Q105" s="18" t="s">
        <v>29</v>
      </c>
      <c r="R105" s="18" t="s">
        <v>29</v>
      </c>
    </row>
    <row r="106" spans="1:18" ht="30" x14ac:dyDescent="0.25">
      <c r="A106" s="16" t="s">
        <v>40</v>
      </c>
      <c r="B106" s="17">
        <v>226583</v>
      </c>
      <c r="C106" s="18" t="s">
        <v>20</v>
      </c>
      <c r="D106" s="19" t="s">
        <v>138</v>
      </c>
      <c r="E106" s="17" t="s">
        <v>35</v>
      </c>
      <c r="F106" s="17">
        <v>1</v>
      </c>
      <c r="G106" s="74">
        <v>44298</v>
      </c>
      <c r="H106" s="74">
        <v>44298</v>
      </c>
      <c r="I106" s="74">
        <v>44298</v>
      </c>
      <c r="J106" s="20" t="s">
        <v>278</v>
      </c>
      <c r="K106" s="18" t="s">
        <v>23</v>
      </c>
      <c r="L106" s="21" t="s">
        <v>24</v>
      </c>
      <c r="M106" s="18" t="s">
        <v>25</v>
      </c>
      <c r="N106" s="18">
        <v>1</v>
      </c>
      <c r="O106" s="18" t="s">
        <v>26</v>
      </c>
      <c r="P106" s="20"/>
      <c r="Q106" s="18" t="s">
        <v>29</v>
      </c>
      <c r="R106" s="18" t="s">
        <v>29</v>
      </c>
    </row>
    <row r="107" spans="1:18" x14ac:dyDescent="0.25">
      <c r="A107" s="16" t="s">
        <v>30</v>
      </c>
      <c r="B107" s="17">
        <v>229967</v>
      </c>
      <c r="C107" s="18" t="s">
        <v>31</v>
      </c>
      <c r="D107" s="19" t="s">
        <v>230</v>
      </c>
      <c r="E107" s="17" t="s">
        <v>49</v>
      </c>
      <c r="F107" s="17">
        <v>2</v>
      </c>
      <c r="G107" s="74">
        <v>44280</v>
      </c>
      <c r="H107" s="74">
        <v>44299</v>
      </c>
      <c r="I107" s="74">
        <v>44299</v>
      </c>
      <c r="J107" s="20"/>
      <c r="K107" s="18" t="s">
        <v>23</v>
      </c>
      <c r="L107" s="21" t="s">
        <v>42</v>
      </c>
      <c r="M107" s="18" t="s">
        <v>25</v>
      </c>
      <c r="N107" s="18"/>
      <c r="O107" s="18" t="s">
        <v>26</v>
      </c>
      <c r="P107" s="20" t="s">
        <v>27</v>
      </c>
      <c r="Q107" s="18" t="s">
        <v>54</v>
      </c>
      <c r="R107" s="18" t="s">
        <v>54</v>
      </c>
    </row>
    <row r="108" spans="1:18" x14ac:dyDescent="0.25">
      <c r="A108" s="16" t="s">
        <v>30</v>
      </c>
      <c r="B108" s="17">
        <v>229967</v>
      </c>
      <c r="C108" s="18" t="s">
        <v>31</v>
      </c>
      <c r="D108" s="19" t="s">
        <v>230</v>
      </c>
      <c r="E108" s="17" t="s">
        <v>36</v>
      </c>
      <c r="F108" s="17">
        <v>6</v>
      </c>
      <c r="G108" s="74">
        <v>44280</v>
      </c>
      <c r="H108" s="74">
        <v>44299</v>
      </c>
      <c r="I108" s="74">
        <v>44299</v>
      </c>
      <c r="J108" s="20"/>
      <c r="K108" s="18" t="s">
        <v>23</v>
      </c>
      <c r="L108" s="21" t="s">
        <v>42</v>
      </c>
      <c r="M108" s="18" t="s">
        <v>25</v>
      </c>
      <c r="N108" s="18"/>
      <c r="O108" s="18" t="s">
        <v>26</v>
      </c>
      <c r="P108" s="20" t="s">
        <v>27</v>
      </c>
      <c r="Q108" s="18" t="s">
        <v>54</v>
      </c>
      <c r="R108" s="18" t="s">
        <v>54</v>
      </c>
    </row>
    <row r="109" spans="1:18" x14ac:dyDescent="0.25">
      <c r="A109" s="16" t="s">
        <v>30</v>
      </c>
      <c r="B109" s="17">
        <v>229967</v>
      </c>
      <c r="C109" s="18" t="s">
        <v>31</v>
      </c>
      <c r="D109" s="19" t="s">
        <v>230</v>
      </c>
      <c r="E109" s="17" t="s">
        <v>35</v>
      </c>
      <c r="F109" s="17">
        <v>2</v>
      </c>
      <c r="G109" s="74">
        <v>44280</v>
      </c>
      <c r="H109" s="74">
        <v>44299</v>
      </c>
      <c r="I109" s="74">
        <v>44299</v>
      </c>
      <c r="J109" s="20"/>
      <c r="K109" s="18" t="s">
        <v>23</v>
      </c>
      <c r="L109" s="21" t="s">
        <v>42</v>
      </c>
      <c r="M109" s="18" t="s">
        <v>25</v>
      </c>
      <c r="N109" s="18"/>
      <c r="O109" s="18" t="s">
        <v>26</v>
      </c>
      <c r="P109" s="20" t="s">
        <v>27</v>
      </c>
      <c r="Q109" s="18" t="s">
        <v>54</v>
      </c>
      <c r="R109" s="18" t="s">
        <v>54</v>
      </c>
    </row>
    <row r="110" spans="1:18" x14ac:dyDescent="0.25">
      <c r="A110" s="16" t="s">
        <v>30</v>
      </c>
      <c r="B110" s="17">
        <v>229967</v>
      </c>
      <c r="C110" s="18" t="s">
        <v>31</v>
      </c>
      <c r="D110" s="19" t="s">
        <v>230</v>
      </c>
      <c r="E110" s="17" t="s">
        <v>67</v>
      </c>
      <c r="F110" s="17">
        <v>1</v>
      </c>
      <c r="G110" s="74">
        <v>44280</v>
      </c>
      <c r="H110" s="74">
        <v>44299</v>
      </c>
      <c r="I110" s="74">
        <v>44299</v>
      </c>
      <c r="J110" s="20"/>
      <c r="K110" s="18" t="s">
        <v>23</v>
      </c>
      <c r="L110" s="21" t="s">
        <v>42</v>
      </c>
      <c r="M110" s="18" t="s">
        <v>25</v>
      </c>
      <c r="N110" s="18"/>
      <c r="O110" s="18" t="s">
        <v>26</v>
      </c>
      <c r="P110" s="20" t="s">
        <v>27</v>
      </c>
      <c r="Q110" s="18" t="s">
        <v>54</v>
      </c>
      <c r="R110" s="18" t="s">
        <v>54</v>
      </c>
    </row>
    <row r="111" spans="1:18" x14ac:dyDescent="0.25">
      <c r="A111" s="16" t="s">
        <v>30</v>
      </c>
      <c r="B111" s="17">
        <v>229967</v>
      </c>
      <c r="C111" s="18" t="s">
        <v>31</v>
      </c>
      <c r="D111" s="19" t="s">
        <v>230</v>
      </c>
      <c r="E111" s="17" t="s">
        <v>89</v>
      </c>
      <c r="F111" s="17">
        <v>1</v>
      </c>
      <c r="G111" s="74">
        <v>44280</v>
      </c>
      <c r="H111" s="74">
        <v>44299</v>
      </c>
      <c r="I111" s="74">
        <v>44299</v>
      </c>
      <c r="J111" s="20"/>
      <c r="K111" s="18" t="s">
        <v>23</v>
      </c>
      <c r="L111" s="21" t="s">
        <v>42</v>
      </c>
      <c r="M111" s="18" t="s">
        <v>25</v>
      </c>
      <c r="N111" s="18"/>
      <c r="O111" s="18" t="s">
        <v>26</v>
      </c>
      <c r="P111" s="20" t="s">
        <v>27</v>
      </c>
      <c r="Q111" s="18" t="s">
        <v>54</v>
      </c>
      <c r="R111" s="18" t="s">
        <v>54</v>
      </c>
    </row>
    <row r="112" spans="1:18" x14ac:dyDescent="0.25">
      <c r="A112" s="16" t="s">
        <v>30</v>
      </c>
      <c r="B112" s="17">
        <v>229967</v>
      </c>
      <c r="C112" s="18" t="s">
        <v>31</v>
      </c>
      <c r="D112" s="19" t="s">
        <v>230</v>
      </c>
      <c r="E112" s="17" t="s">
        <v>106</v>
      </c>
      <c r="F112" s="17">
        <v>2</v>
      </c>
      <c r="G112" s="74">
        <v>44280</v>
      </c>
      <c r="H112" s="74">
        <v>44299</v>
      </c>
      <c r="I112" s="74">
        <v>44299</v>
      </c>
      <c r="J112" s="20"/>
      <c r="K112" s="18" t="s">
        <v>23</v>
      </c>
      <c r="L112" s="21" t="s">
        <v>42</v>
      </c>
      <c r="M112" s="18" t="s">
        <v>25</v>
      </c>
      <c r="N112" s="18"/>
      <c r="O112" s="18" t="s">
        <v>26</v>
      </c>
      <c r="P112" s="20" t="s">
        <v>27</v>
      </c>
      <c r="Q112" s="18" t="s">
        <v>54</v>
      </c>
      <c r="R112" s="18" t="s">
        <v>54</v>
      </c>
    </row>
    <row r="113" spans="1:18" ht="25.5" x14ac:dyDescent="0.25">
      <c r="A113" s="16" t="s">
        <v>37</v>
      </c>
      <c r="B113" s="17">
        <v>230035</v>
      </c>
      <c r="C113" s="18" t="s">
        <v>20</v>
      </c>
      <c r="D113" s="19" t="s">
        <v>279</v>
      </c>
      <c r="E113" s="17" t="s">
        <v>73</v>
      </c>
      <c r="F113" s="17">
        <v>2</v>
      </c>
      <c r="G113" s="74">
        <v>44280</v>
      </c>
      <c r="H113" s="74">
        <v>44291</v>
      </c>
      <c r="I113" s="74">
        <v>44293</v>
      </c>
      <c r="J113" s="20"/>
      <c r="K113" s="18" t="s">
        <v>23</v>
      </c>
      <c r="L113" s="21" t="s">
        <v>34</v>
      </c>
      <c r="M113" s="18" t="s">
        <v>25</v>
      </c>
      <c r="N113" s="18">
        <v>1</v>
      </c>
      <c r="O113" s="18" t="s">
        <v>26</v>
      </c>
      <c r="P113" s="20"/>
      <c r="Q113" s="18" t="s">
        <v>54</v>
      </c>
      <c r="R113" s="18" t="s">
        <v>54</v>
      </c>
    </row>
    <row r="114" spans="1:18" ht="25.5" x14ac:dyDescent="0.25">
      <c r="A114" s="16" t="s">
        <v>68</v>
      </c>
      <c r="B114" s="17">
        <v>230329</v>
      </c>
      <c r="C114" s="18" t="s">
        <v>20</v>
      </c>
      <c r="D114" s="19" t="s">
        <v>280</v>
      </c>
      <c r="E114" s="17" t="s">
        <v>44</v>
      </c>
      <c r="F114" s="17">
        <v>2</v>
      </c>
      <c r="G114" s="74">
        <v>44281</v>
      </c>
      <c r="H114" s="74">
        <v>44292</v>
      </c>
      <c r="I114" s="74">
        <v>44292</v>
      </c>
      <c r="J114" s="20"/>
      <c r="K114" s="18" t="s">
        <v>23</v>
      </c>
      <c r="L114" s="21" t="s">
        <v>42</v>
      </c>
      <c r="M114" s="18" t="s">
        <v>25</v>
      </c>
      <c r="N114" s="18"/>
      <c r="O114" s="18" t="s">
        <v>27</v>
      </c>
      <c r="P114" s="20"/>
      <c r="Q114" s="18" t="s">
        <v>29</v>
      </c>
      <c r="R114" s="18" t="s">
        <v>54</v>
      </c>
    </row>
    <row r="115" spans="1:18" ht="25.5" hidden="1" x14ac:dyDescent="0.25">
      <c r="A115" s="16" t="s">
        <v>68</v>
      </c>
      <c r="B115" s="17">
        <v>230329</v>
      </c>
      <c r="C115" s="18" t="s">
        <v>20</v>
      </c>
      <c r="D115" s="19" t="s">
        <v>280</v>
      </c>
      <c r="E115" s="17" t="s">
        <v>36</v>
      </c>
      <c r="F115" s="17">
        <v>1</v>
      </c>
      <c r="G115" s="74">
        <v>44281</v>
      </c>
      <c r="H115" s="74">
        <v>44292</v>
      </c>
      <c r="I115" s="74"/>
      <c r="J115" s="20"/>
      <c r="K115" s="18" t="s">
        <v>214</v>
      </c>
      <c r="L115" s="21" t="s">
        <v>42</v>
      </c>
      <c r="M115" s="18" t="s">
        <v>25</v>
      </c>
      <c r="N115" s="18"/>
      <c r="O115" s="18" t="s">
        <v>27</v>
      </c>
      <c r="P115" s="20"/>
      <c r="Q115" s="18" t="s">
        <v>29</v>
      </c>
      <c r="R115" s="18"/>
    </row>
    <row r="116" spans="1:18" ht="25.5" hidden="1" x14ac:dyDescent="0.25">
      <c r="A116" s="16" t="s">
        <v>68</v>
      </c>
      <c r="B116" s="17">
        <v>230329</v>
      </c>
      <c r="C116" s="18" t="s">
        <v>20</v>
      </c>
      <c r="D116" s="19" t="s">
        <v>280</v>
      </c>
      <c r="E116" s="17" t="s">
        <v>33</v>
      </c>
      <c r="F116" s="17">
        <v>1</v>
      </c>
      <c r="G116" s="74">
        <v>44281</v>
      </c>
      <c r="H116" s="74">
        <v>44292</v>
      </c>
      <c r="I116" s="74"/>
      <c r="J116" s="20"/>
      <c r="K116" s="18" t="s">
        <v>214</v>
      </c>
      <c r="L116" s="21" t="s">
        <v>42</v>
      </c>
      <c r="M116" s="18" t="s">
        <v>25</v>
      </c>
      <c r="N116" s="18"/>
      <c r="O116" s="18" t="s">
        <v>27</v>
      </c>
      <c r="P116" s="20"/>
      <c r="Q116" s="18" t="s">
        <v>29</v>
      </c>
      <c r="R116" s="18"/>
    </row>
    <row r="117" spans="1:18" ht="25.5" hidden="1" x14ac:dyDescent="0.25">
      <c r="A117" s="16" t="s">
        <v>68</v>
      </c>
      <c r="B117" s="17">
        <v>230329</v>
      </c>
      <c r="C117" s="18" t="s">
        <v>20</v>
      </c>
      <c r="D117" s="19" t="s">
        <v>280</v>
      </c>
      <c r="E117" s="17" t="s">
        <v>49</v>
      </c>
      <c r="F117" s="17">
        <v>1</v>
      </c>
      <c r="G117" s="74">
        <v>44281</v>
      </c>
      <c r="H117" s="74">
        <v>44292</v>
      </c>
      <c r="I117" s="74"/>
      <c r="J117" s="20"/>
      <c r="K117" s="18" t="s">
        <v>214</v>
      </c>
      <c r="L117" s="21" t="s">
        <v>42</v>
      </c>
      <c r="M117" s="18" t="s">
        <v>25</v>
      </c>
      <c r="N117" s="18"/>
      <c r="O117" s="18" t="s">
        <v>27</v>
      </c>
      <c r="P117" s="20"/>
      <c r="Q117" s="18" t="s">
        <v>29</v>
      </c>
      <c r="R117" s="18"/>
    </row>
    <row r="118" spans="1:18" ht="25.5" x14ac:dyDescent="0.25">
      <c r="A118" s="16" t="s">
        <v>231</v>
      </c>
      <c r="B118" s="17">
        <v>231112</v>
      </c>
      <c r="C118" s="18" t="s">
        <v>31</v>
      </c>
      <c r="D118" s="19" t="s">
        <v>232</v>
      </c>
      <c r="E118" s="17" t="s">
        <v>80</v>
      </c>
      <c r="F118" s="17">
        <v>1</v>
      </c>
      <c r="G118" s="74">
        <v>44286</v>
      </c>
      <c r="H118" s="74">
        <v>44291</v>
      </c>
      <c r="I118" s="74">
        <v>44291</v>
      </c>
      <c r="J118" s="20"/>
      <c r="K118" s="18" t="s">
        <v>23</v>
      </c>
      <c r="L118" s="21" t="s">
        <v>58</v>
      </c>
      <c r="M118" s="18" t="s">
        <v>80</v>
      </c>
      <c r="N118" s="18"/>
      <c r="O118" s="18" t="s">
        <v>26</v>
      </c>
      <c r="P118" s="20" t="s">
        <v>27</v>
      </c>
      <c r="Q118" s="18" t="s">
        <v>29</v>
      </c>
      <c r="R118" s="18" t="s">
        <v>281</v>
      </c>
    </row>
    <row r="119" spans="1:18" x14ac:dyDescent="0.25">
      <c r="A119" s="16" t="s">
        <v>71</v>
      </c>
      <c r="B119" s="17">
        <v>231245</v>
      </c>
      <c r="C119" s="18" t="s">
        <v>31</v>
      </c>
      <c r="D119" s="19" t="s">
        <v>233</v>
      </c>
      <c r="E119" s="17" t="s">
        <v>45</v>
      </c>
      <c r="F119" s="17">
        <v>1</v>
      </c>
      <c r="G119" s="74">
        <v>44286</v>
      </c>
      <c r="H119" s="74">
        <v>44293</v>
      </c>
      <c r="I119" s="74">
        <v>44293</v>
      </c>
      <c r="J119" s="20"/>
      <c r="K119" s="18" t="s">
        <v>23</v>
      </c>
      <c r="L119" s="21" t="s">
        <v>34</v>
      </c>
      <c r="M119" s="18" t="s">
        <v>25</v>
      </c>
      <c r="N119" s="18">
        <v>1</v>
      </c>
      <c r="O119" s="18" t="s">
        <v>26</v>
      </c>
      <c r="P119" s="20" t="s">
        <v>27</v>
      </c>
      <c r="Q119" s="18" t="s">
        <v>29</v>
      </c>
      <c r="R119" s="18" t="s">
        <v>54</v>
      </c>
    </row>
    <row r="120" spans="1:18" x14ac:dyDescent="0.25">
      <c r="A120" s="16" t="s">
        <v>71</v>
      </c>
      <c r="B120" s="17">
        <v>231245</v>
      </c>
      <c r="C120" s="18" t="s">
        <v>31</v>
      </c>
      <c r="D120" s="19" t="s">
        <v>233</v>
      </c>
      <c r="E120" s="17" t="s">
        <v>94</v>
      </c>
      <c r="F120" s="17">
        <v>1</v>
      </c>
      <c r="G120" s="74">
        <v>44286</v>
      </c>
      <c r="H120" s="74">
        <v>44293</v>
      </c>
      <c r="I120" s="74">
        <v>44293</v>
      </c>
      <c r="J120" s="20"/>
      <c r="K120" s="18" t="s">
        <v>23</v>
      </c>
      <c r="L120" s="21" t="s">
        <v>34</v>
      </c>
      <c r="M120" s="18" t="s">
        <v>25</v>
      </c>
      <c r="N120" s="18">
        <v>1</v>
      </c>
      <c r="O120" s="18" t="s">
        <v>26</v>
      </c>
      <c r="P120" s="20" t="s">
        <v>27</v>
      </c>
      <c r="Q120" s="18" t="s">
        <v>29</v>
      </c>
      <c r="R120" s="18" t="s">
        <v>54</v>
      </c>
    </row>
    <row r="121" spans="1:18" x14ac:dyDescent="0.25">
      <c r="A121" s="16" t="s">
        <v>71</v>
      </c>
      <c r="B121" s="17">
        <v>231245</v>
      </c>
      <c r="C121" s="18" t="s">
        <v>31</v>
      </c>
      <c r="D121" s="19" t="s">
        <v>233</v>
      </c>
      <c r="E121" s="17" t="s">
        <v>90</v>
      </c>
      <c r="F121" s="17">
        <v>4</v>
      </c>
      <c r="G121" s="74">
        <v>44286</v>
      </c>
      <c r="H121" s="74">
        <v>44293</v>
      </c>
      <c r="I121" s="74">
        <v>44293</v>
      </c>
      <c r="J121" s="20"/>
      <c r="K121" s="18" t="s">
        <v>23</v>
      </c>
      <c r="L121" s="21" t="s">
        <v>34</v>
      </c>
      <c r="M121" s="18" t="s">
        <v>25</v>
      </c>
      <c r="N121" s="18">
        <v>1</v>
      </c>
      <c r="O121" s="18" t="s">
        <v>26</v>
      </c>
      <c r="P121" s="20" t="s">
        <v>27</v>
      </c>
      <c r="Q121" s="18" t="s">
        <v>29</v>
      </c>
      <c r="R121" s="18" t="s">
        <v>54</v>
      </c>
    </row>
    <row r="122" spans="1:18" x14ac:dyDescent="0.25">
      <c r="A122" s="16" t="s">
        <v>71</v>
      </c>
      <c r="B122" s="17">
        <v>231245</v>
      </c>
      <c r="C122" s="18" t="s">
        <v>31</v>
      </c>
      <c r="D122" s="19" t="s">
        <v>233</v>
      </c>
      <c r="E122" s="17" t="s">
        <v>33</v>
      </c>
      <c r="F122" s="17">
        <v>1</v>
      </c>
      <c r="G122" s="74">
        <v>44286</v>
      </c>
      <c r="H122" s="74">
        <v>44293</v>
      </c>
      <c r="I122" s="74">
        <v>44293</v>
      </c>
      <c r="J122" s="20"/>
      <c r="K122" s="18" t="s">
        <v>23</v>
      </c>
      <c r="L122" s="21" t="s">
        <v>34</v>
      </c>
      <c r="M122" s="18" t="s">
        <v>25</v>
      </c>
      <c r="N122" s="18"/>
      <c r="O122" s="18" t="s">
        <v>26</v>
      </c>
      <c r="P122" s="20" t="s">
        <v>27</v>
      </c>
      <c r="Q122" s="18" t="s">
        <v>29</v>
      </c>
      <c r="R122" s="18" t="s">
        <v>54</v>
      </c>
    </row>
    <row r="123" spans="1:18" x14ac:dyDescent="0.25">
      <c r="A123" s="16" t="s">
        <v>71</v>
      </c>
      <c r="B123" s="17">
        <v>231245</v>
      </c>
      <c r="C123" s="18" t="s">
        <v>31</v>
      </c>
      <c r="D123" s="19" t="s">
        <v>233</v>
      </c>
      <c r="E123" s="17" t="s">
        <v>35</v>
      </c>
      <c r="F123" s="17">
        <v>1</v>
      </c>
      <c r="G123" s="74">
        <v>44286</v>
      </c>
      <c r="H123" s="74">
        <v>44293</v>
      </c>
      <c r="I123" s="74">
        <v>44293</v>
      </c>
      <c r="J123" s="20"/>
      <c r="K123" s="18" t="s">
        <v>23</v>
      </c>
      <c r="L123" s="21" t="s">
        <v>34</v>
      </c>
      <c r="M123" s="18" t="s">
        <v>25</v>
      </c>
      <c r="N123" s="18"/>
      <c r="O123" s="18" t="s">
        <v>26</v>
      </c>
      <c r="P123" s="20" t="s">
        <v>27</v>
      </c>
      <c r="Q123" s="18" t="s">
        <v>29</v>
      </c>
      <c r="R123" s="18" t="s">
        <v>54</v>
      </c>
    </row>
    <row r="124" spans="1:18" x14ac:dyDescent="0.25">
      <c r="A124" s="16" t="s">
        <v>71</v>
      </c>
      <c r="B124" s="17">
        <v>231245</v>
      </c>
      <c r="C124" s="18" t="s">
        <v>31</v>
      </c>
      <c r="D124" s="19" t="s">
        <v>233</v>
      </c>
      <c r="E124" s="17" t="s">
        <v>44</v>
      </c>
      <c r="F124" s="17">
        <v>2</v>
      </c>
      <c r="G124" s="74">
        <v>44286</v>
      </c>
      <c r="H124" s="74">
        <v>44293</v>
      </c>
      <c r="I124" s="74">
        <v>44293</v>
      </c>
      <c r="J124" s="20"/>
      <c r="K124" s="18" t="s">
        <v>23</v>
      </c>
      <c r="L124" s="21" t="s">
        <v>34</v>
      </c>
      <c r="M124" s="18" t="s">
        <v>25</v>
      </c>
      <c r="N124" s="18">
        <v>5</v>
      </c>
      <c r="O124" s="18" t="s">
        <v>26</v>
      </c>
      <c r="P124" s="20" t="s">
        <v>27</v>
      </c>
      <c r="Q124" s="18" t="s">
        <v>29</v>
      </c>
      <c r="R124" s="18" t="s">
        <v>54</v>
      </c>
    </row>
    <row r="125" spans="1:18" x14ac:dyDescent="0.25">
      <c r="A125" s="16" t="s">
        <v>113</v>
      </c>
      <c r="B125" s="17">
        <v>231260</v>
      </c>
      <c r="C125" s="18" t="s">
        <v>20</v>
      </c>
      <c r="D125" s="19" t="s">
        <v>282</v>
      </c>
      <c r="E125" s="17" t="s">
        <v>73</v>
      </c>
      <c r="F125" s="17">
        <v>1</v>
      </c>
      <c r="G125" s="74">
        <v>44286</v>
      </c>
      <c r="H125" s="74">
        <v>44292</v>
      </c>
      <c r="I125" s="74">
        <v>44292</v>
      </c>
      <c r="J125" s="20"/>
      <c r="K125" s="18" t="s">
        <v>23</v>
      </c>
      <c r="L125" s="21" t="s">
        <v>58</v>
      </c>
      <c r="M125" s="18" t="s">
        <v>25</v>
      </c>
      <c r="N125" s="18"/>
      <c r="O125" s="18" t="s">
        <v>26</v>
      </c>
      <c r="P125" s="20"/>
      <c r="Q125" s="18" t="s">
        <v>29</v>
      </c>
      <c r="R125" s="18" t="s">
        <v>28</v>
      </c>
    </row>
    <row r="126" spans="1:18" ht="25.5" x14ac:dyDescent="0.25">
      <c r="A126" s="16" t="s">
        <v>68</v>
      </c>
      <c r="B126" s="17">
        <v>231492</v>
      </c>
      <c r="C126" s="18" t="s">
        <v>31</v>
      </c>
      <c r="D126" s="19" t="s">
        <v>234</v>
      </c>
      <c r="E126" s="17" t="s">
        <v>33</v>
      </c>
      <c r="F126" s="17">
        <v>1</v>
      </c>
      <c r="G126" s="74">
        <v>44287</v>
      </c>
      <c r="H126" s="74">
        <v>44293</v>
      </c>
      <c r="I126" s="74">
        <v>44293</v>
      </c>
      <c r="J126" s="20"/>
      <c r="K126" s="18" t="s">
        <v>23</v>
      </c>
      <c r="L126" s="21" t="s">
        <v>34</v>
      </c>
      <c r="M126" s="18" t="s">
        <v>25</v>
      </c>
      <c r="N126" s="18"/>
      <c r="O126" s="18" t="s">
        <v>26</v>
      </c>
      <c r="P126" s="20" t="s">
        <v>27</v>
      </c>
      <c r="Q126" s="18" t="s">
        <v>29</v>
      </c>
      <c r="R126" s="18" t="s">
        <v>54</v>
      </c>
    </row>
    <row r="127" spans="1:18" ht="25.5" x14ac:dyDescent="0.25">
      <c r="A127" s="16" t="s">
        <v>68</v>
      </c>
      <c r="B127" s="17">
        <v>231492</v>
      </c>
      <c r="C127" s="18" t="s">
        <v>31</v>
      </c>
      <c r="D127" s="19" t="s">
        <v>234</v>
      </c>
      <c r="E127" s="17" t="s">
        <v>36</v>
      </c>
      <c r="F127" s="17">
        <v>4</v>
      </c>
      <c r="G127" s="74">
        <v>44287</v>
      </c>
      <c r="H127" s="74">
        <v>44293</v>
      </c>
      <c r="I127" s="74">
        <v>44293</v>
      </c>
      <c r="J127" s="20"/>
      <c r="K127" s="18" t="s">
        <v>23</v>
      </c>
      <c r="L127" s="21" t="s">
        <v>34</v>
      </c>
      <c r="M127" s="18" t="s">
        <v>25</v>
      </c>
      <c r="N127" s="18"/>
      <c r="O127" s="18" t="s">
        <v>26</v>
      </c>
      <c r="P127" s="20" t="s">
        <v>27</v>
      </c>
      <c r="Q127" s="18" t="s">
        <v>29</v>
      </c>
      <c r="R127" s="18" t="s">
        <v>54</v>
      </c>
    </row>
    <row r="128" spans="1:18" ht="25.5" x14ac:dyDescent="0.25">
      <c r="A128" s="16" t="s">
        <v>68</v>
      </c>
      <c r="B128" s="17">
        <v>231492</v>
      </c>
      <c r="C128" s="18" t="s">
        <v>31</v>
      </c>
      <c r="D128" s="19" t="s">
        <v>234</v>
      </c>
      <c r="E128" s="17" t="s">
        <v>49</v>
      </c>
      <c r="F128" s="17">
        <v>1</v>
      </c>
      <c r="G128" s="74">
        <v>44287</v>
      </c>
      <c r="H128" s="74">
        <v>44293</v>
      </c>
      <c r="I128" s="74">
        <v>44293</v>
      </c>
      <c r="J128" s="20"/>
      <c r="K128" s="18" t="s">
        <v>23</v>
      </c>
      <c r="L128" s="21" t="s">
        <v>34</v>
      </c>
      <c r="M128" s="18" t="s">
        <v>25</v>
      </c>
      <c r="N128" s="18"/>
      <c r="O128" s="18" t="s">
        <v>26</v>
      </c>
      <c r="P128" s="20" t="s">
        <v>27</v>
      </c>
      <c r="Q128" s="18" t="s">
        <v>29</v>
      </c>
      <c r="R128" s="18" t="s">
        <v>54</v>
      </c>
    </row>
    <row r="129" spans="1:18" ht="25.5" x14ac:dyDescent="0.25">
      <c r="A129" s="16" t="s">
        <v>68</v>
      </c>
      <c r="B129" s="17">
        <v>231492</v>
      </c>
      <c r="C129" s="18" t="s">
        <v>31</v>
      </c>
      <c r="D129" s="19" t="s">
        <v>234</v>
      </c>
      <c r="E129" s="17" t="s">
        <v>35</v>
      </c>
      <c r="F129" s="17">
        <v>1</v>
      </c>
      <c r="G129" s="74">
        <v>44287</v>
      </c>
      <c r="H129" s="74">
        <v>44293</v>
      </c>
      <c r="I129" s="74">
        <v>44293</v>
      </c>
      <c r="J129" s="20"/>
      <c r="K129" s="18" t="s">
        <v>23</v>
      </c>
      <c r="L129" s="21" t="s">
        <v>34</v>
      </c>
      <c r="M129" s="18" t="s">
        <v>25</v>
      </c>
      <c r="N129" s="18"/>
      <c r="O129" s="18" t="s">
        <v>26</v>
      </c>
      <c r="P129" s="20" t="s">
        <v>27</v>
      </c>
      <c r="Q129" s="18" t="s">
        <v>29</v>
      </c>
      <c r="R129" s="18" t="s">
        <v>54</v>
      </c>
    </row>
    <row r="130" spans="1:18" ht="25.5" x14ac:dyDescent="0.25">
      <c r="A130" s="16" t="s">
        <v>68</v>
      </c>
      <c r="B130" s="17">
        <v>231492</v>
      </c>
      <c r="C130" s="18" t="s">
        <v>31</v>
      </c>
      <c r="D130" s="19" t="s">
        <v>234</v>
      </c>
      <c r="E130" s="17" t="s">
        <v>44</v>
      </c>
      <c r="F130" s="17">
        <v>1</v>
      </c>
      <c r="G130" s="74">
        <v>44287</v>
      </c>
      <c r="H130" s="74">
        <v>44293</v>
      </c>
      <c r="I130" s="74">
        <v>44293</v>
      </c>
      <c r="J130" s="20"/>
      <c r="K130" s="18" t="s">
        <v>23</v>
      </c>
      <c r="L130" s="21" t="s">
        <v>34</v>
      </c>
      <c r="M130" s="18" t="s">
        <v>25</v>
      </c>
      <c r="N130" s="18"/>
      <c r="O130" s="18" t="s">
        <v>26</v>
      </c>
      <c r="P130" s="20" t="s">
        <v>27</v>
      </c>
      <c r="Q130" s="18" t="s">
        <v>29</v>
      </c>
      <c r="R130" s="18" t="s">
        <v>54</v>
      </c>
    </row>
    <row r="131" spans="1:18" x14ac:dyDescent="0.25">
      <c r="A131" s="16" t="s">
        <v>145</v>
      </c>
      <c r="B131" s="17">
        <v>230590</v>
      </c>
      <c r="C131" s="18" t="s">
        <v>20</v>
      </c>
      <c r="D131" s="19" t="s">
        <v>283</v>
      </c>
      <c r="E131" s="17" t="s">
        <v>73</v>
      </c>
      <c r="F131" s="17">
        <v>1</v>
      </c>
      <c r="G131" s="74">
        <v>44284</v>
      </c>
      <c r="H131" s="74">
        <v>44293</v>
      </c>
      <c r="I131" s="74">
        <v>44293</v>
      </c>
      <c r="J131" s="20"/>
      <c r="K131" s="18" t="s">
        <v>23</v>
      </c>
      <c r="L131" s="21" t="s">
        <v>42</v>
      </c>
      <c r="M131" s="18" t="s">
        <v>25</v>
      </c>
      <c r="N131" s="18"/>
      <c r="O131" s="18" t="s">
        <v>27</v>
      </c>
      <c r="P131" s="20"/>
      <c r="Q131" s="18" t="s">
        <v>29</v>
      </c>
      <c r="R131" s="18" t="s">
        <v>54</v>
      </c>
    </row>
    <row r="132" spans="1:18" hidden="1" x14ac:dyDescent="0.25">
      <c r="A132" s="16" t="s">
        <v>37</v>
      </c>
      <c r="B132" s="17">
        <v>231774</v>
      </c>
      <c r="C132" s="18" t="s">
        <v>20</v>
      </c>
      <c r="D132" s="19" t="s">
        <v>284</v>
      </c>
      <c r="E132" s="17" t="s">
        <v>22</v>
      </c>
      <c r="F132" s="17">
        <v>1</v>
      </c>
      <c r="G132" s="74">
        <v>44291</v>
      </c>
      <c r="H132" s="74">
        <v>44294</v>
      </c>
      <c r="I132" s="74"/>
      <c r="J132" s="20"/>
      <c r="K132" s="18" t="s">
        <v>214</v>
      </c>
      <c r="L132" s="21" t="s">
        <v>34</v>
      </c>
      <c r="M132" s="18" t="s">
        <v>25</v>
      </c>
      <c r="N132" s="18"/>
      <c r="O132" s="18" t="s">
        <v>26</v>
      </c>
      <c r="P132" s="20"/>
      <c r="Q132" s="18" t="s">
        <v>29</v>
      </c>
      <c r="R132" s="18" t="s">
        <v>54</v>
      </c>
    </row>
    <row r="133" spans="1:18" x14ac:dyDescent="0.25">
      <c r="A133" s="16" t="s">
        <v>40</v>
      </c>
      <c r="B133" s="17" t="s">
        <v>96</v>
      </c>
      <c r="C133" s="18" t="s">
        <v>31</v>
      </c>
      <c r="D133" s="19" t="s">
        <v>285</v>
      </c>
      <c r="E133" s="17" t="s">
        <v>286</v>
      </c>
      <c r="F133" s="17">
        <v>1</v>
      </c>
      <c r="G133" s="74">
        <v>44293</v>
      </c>
      <c r="H133" s="74">
        <v>44294</v>
      </c>
      <c r="I133" s="74">
        <v>44294</v>
      </c>
      <c r="J133" s="20"/>
      <c r="K133" s="18" t="s">
        <v>23</v>
      </c>
      <c r="L133" s="21" t="s">
        <v>34</v>
      </c>
      <c r="M133" s="18" t="s">
        <v>25</v>
      </c>
      <c r="N133" s="18"/>
      <c r="O133" s="18" t="s">
        <v>26</v>
      </c>
      <c r="P133" s="20" t="s">
        <v>27</v>
      </c>
      <c r="Q133" s="18" t="s">
        <v>54</v>
      </c>
      <c r="R133" s="18" t="s">
        <v>54</v>
      </c>
    </row>
    <row r="134" spans="1:18" x14ac:dyDescent="0.25">
      <c r="A134" s="16" t="s">
        <v>40</v>
      </c>
      <c r="B134" s="17" t="s">
        <v>96</v>
      </c>
      <c r="C134" s="18" t="s">
        <v>31</v>
      </c>
      <c r="D134" s="19" t="s">
        <v>285</v>
      </c>
      <c r="E134" s="17" t="s">
        <v>45</v>
      </c>
      <c r="F134" s="17">
        <v>1</v>
      </c>
      <c r="G134" s="74">
        <v>44293</v>
      </c>
      <c r="H134" s="74">
        <v>44294</v>
      </c>
      <c r="I134" s="74">
        <v>44294</v>
      </c>
      <c r="J134" s="20"/>
      <c r="K134" s="18" t="s">
        <v>23</v>
      </c>
      <c r="L134" s="21" t="s">
        <v>34</v>
      </c>
      <c r="M134" s="18" t="s">
        <v>25</v>
      </c>
      <c r="N134" s="18"/>
      <c r="O134" s="18" t="s">
        <v>26</v>
      </c>
      <c r="P134" s="20" t="s">
        <v>27</v>
      </c>
      <c r="Q134" s="18" t="s">
        <v>54</v>
      </c>
      <c r="R134" s="18" t="s">
        <v>54</v>
      </c>
    </row>
    <row r="135" spans="1:18" x14ac:dyDescent="0.25">
      <c r="A135" s="16" t="s">
        <v>40</v>
      </c>
      <c r="B135" s="17" t="s">
        <v>96</v>
      </c>
      <c r="C135" s="18" t="s">
        <v>31</v>
      </c>
      <c r="D135" s="19" t="s">
        <v>285</v>
      </c>
      <c r="E135" s="17" t="s">
        <v>287</v>
      </c>
      <c r="F135" s="17">
        <v>1</v>
      </c>
      <c r="G135" s="74">
        <v>44293</v>
      </c>
      <c r="H135" s="74">
        <v>44294</v>
      </c>
      <c r="I135" s="74">
        <v>44294</v>
      </c>
      <c r="J135" s="20"/>
      <c r="K135" s="18" t="s">
        <v>23</v>
      </c>
      <c r="L135" s="21" t="s">
        <v>34</v>
      </c>
      <c r="M135" s="18" t="s">
        <v>25</v>
      </c>
      <c r="N135" s="18"/>
      <c r="O135" s="18" t="s">
        <v>26</v>
      </c>
      <c r="P135" s="20" t="s">
        <v>27</v>
      </c>
      <c r="Q135" s="18" t="s">
        <v>54</v>
      </c>
      <c r="R135" s="18" t="s">
        <v>54</v>
      </c>
    </row>
    <row r="136" spans="1:18" x14ac:dyDescent="0.25">
      <c r="A136" s="16" t="s">
        <v>40</v>
      </c>
      <c r="B136" s="17" t="s">
        <v>96</v>
      </c>
      <c r="C136" s="18" t="s">
        <v>31</v>
      </c>
      <c r="D136" s="19" t="s">
        <v>285</v>
      </c>
      <c r="E136" s="17" t="s">
        <v>63</v>
      </c>
      <c r="F136" s="17">
        <v>3</v>
      </c>
      <c r="G136" s="74">
        <v>44293</v>
      </c>
      <c r="H136" s="74">
        <v>44294</v>
      </c>
      <c r="I136" s="74">
        <v>44294</v>
      </c>
      <c r="J136" s="20"/>
      <c r="K136" s="18" t="s">
        <v>23</v>
      </c>
      <c r="L136" s="21" t="s">
        <v>34</v>
      </c>
      <c r="M136" s="18" t="s">
        <v>25</v>
      </c>
      <c r="N136" s="18"/>
      <c r="O136" s="18" t="s">
        <v>26</v>
      </c>
      <c r="P136" s="20" t="s">
        <v>27</v>
      </c>
      <c r="Q136" s="18" t="s">
        <v>54</v>
      </c>
      <c r="R136" s="18" t="s">
        <v>54</v>
      </c>
    </row>
    <row r="137" spans="1:18" ht="25.5" x14ac:dyDescent="0.25">
      <c r="A137" s="16" t="s">
        <v>47</v>
      </c>
      <c r="B137" s="17">
        <v>232103</v>
      </c>
      <c r="C137" s="18" t="s">
        <v>20</v>
      </c>
      <c r="D137" s="19" t="s">
        <v>288</v>
      </c>
      <c r="E137" s="17" t="s">
        <v>94</v>
      </c>
      <c r="F137" s="17">
        <v>2</v>
      </c>
      <c r="G137" s="74">
        <v>44293</v>
      </c>
      <c r="H137" s="74">
        <v>44298</v>
      </c>
      <c r="I137" s="74">
        <v>44299</v>
      </c>
      <c r="J137" s="20"/>
      <c r="K137" s="18" t="s">
        <v>23</v>
      </c>
      <c r="L137" s="21" t="s">
        <v>34</v>
      </c>
      <c r="M137" s="18" t="s">
        <v>25</v>
      </c>
      <c r="N137" s="18">
        <v>1</v>
      </c>
      <c r="O137" s="18" t="s">
        <v>26</v>
      </c>
      <c r="P137" s="20"/>
      <c r="Q137" s="18" t="s">
        <v>29</v>
      </c>
      <c r="R137" s="18" t="s">
        <v>54</v>
      </c>
    </row>
    <row r="138" spans="1:18" x14ac:dyDescent="0.25">
      <c r="A138" s="16" t="s">
        <v>30</v>
      </c>
      <c r="B138" s="17">
        <v>232064</v>
      </c>
      <c r="C138" s="18" t="s">
        <v>20</v>
      </c>
      <c r="D138" s="19" t="s">
        <v>289</v>
      </c>
      <c r="E138" s="17" t="s">
        <v>290</v>
      </c>
      <c r="F138" s="17">
        <v>1</v>
      </c>
      <c r="G138" s="74">
        <v>44293</v>
      </c>
      <c r="H138" s="74">
        <v>44299</v>
      </c>
      <c r="I138" s="74">
        <v>44300</v>
      </c>
      <c r="J138" s="20"/>
      <c r="K138" s="18" t="s">
        <v>23</v>
      </c>
      <c r="L138" s="21" t="s">
        <v>34</v>
      </c>
      <c r="M138" s="18" t="s">
        <v>25</v>
      </c>
      <c r="N138" s="18">
        <v>1</v>
      </c>
      <c r="O138" s="18" t="s">
        <v>26</v>
      </c>
      <c r="P138" s="20"/>
      <c r="Q138" s="18" t="s">
        <v>29</v>
      </c>
      <c r="R138" s="18" t="s">
        <v>54</v>
      </c>
    </row>
    <row r="139" spans="1:18" ht="25.5" x14ac:dyDescent="0.25">
      <c r="A139" s="16" t="s">
        <v>178</v>
      </c>
      <c r="B139" s="17">
        <v>232076</v>
      </c>
      <c r="C139" s="18" t="s">
        <v>31</v>
      </c>
      <c r="D139" s="19" t="s">
        <v>291</v>
      </c>
      <c r="E139" s="17" t="s">
        <v>33</v>
      </c>
      <c r="F139" s="17">
        <v>1</v>
      </c>
      <c r="G139" s="74">
        <v>44293</v>
      </c>
      <c r="H139" s="74">
        <v>44300</v>
      </c>
      <c r="I139" s="74">
        <v>44300</v>
      </c>
      <c r="J139" s="20"/>
      <c r="K139" s="18" t="s">
        <v>23</v>
      </c>
      <c r="L139" s="21" t="s">
        <v>34</v>
      </c>
      <c r="M139" s="18" t="s">
        <v>25</v>
      </c>
      <c r="N139" s="18"/>
      <c r="O139" s="18" t="s">
        <v>26</v>
      </c>
      <c r="P139" s="20" t="s">
        <v>26</v>
      </c>
      <c r="Q139" s="18" t="s">
        <v>54</v>
      </c>
      <c r="R139" s="18" t="s">
        <v>28</v>
      </c>
    </row>
    <row r="140" spans="1:18" ht="25.5" x14ac:dyDescent="0.25">
      <c r="A140" s="16" t="s">
        <v>178</v>
      </c>
      <c r="B140" s="17">
        <v>232076</v>
      </c>
      <c r="C140" s="18" t="s">
        <v>31</v>
      </c>
      <c r="D140" s="19" t="s">
        <v>291</v>
      </c>
      <c r="E140" s="17" t="s">
        <v>90</v>
      </c>
      <c r="F140" s="17">
        <v>2</v>
      </c>
      <c r="G140" s="74">
        <v>44293</v>
      </c>
      <c r="H140" s="74">
        <v>44300</v>
      </c>
      <c r="I140" s="74">
        <v>44300</v>
      </c>
      <c r="J140" s="20"/>
      <c r="K140" s="18" t="s">
        <v>23</v>
      </c>
      <c r="L140" s="21" t="s">
        <v>34</v>
      </c>
      <c r="M140" s="18" t="s">
        <v>25</v>
      </c>
      <c r="N140" s="18"/>
      <c r="O140" s="18" t="s">
        <v>26</v>
      </c>
      <c r="P140" s="20" t="s">
        <v>26</v>
      </c>
      <c r="Q140" s="18" t="s">
        <v>54</v>
      </c>
      <c r="R140" s="18" t="s">
        <v>28</v>
      </c>
    </row>
    <row r="141" spans="1:18" ht="25.5" x14ac:dyDescent="0.25">
      <c r="A141" s="16" t="s">
        <v>178</v>
      </c>
      <c r="B141" s="17">
        <v>232076</v>
      </c>
      <c r="C141" s="18" t="s">
        <v>31</v>
      </c>
      <c r="D141" s="19" t="s">
        <v>291</v>
      </c>
      <c r="E141" s="17" t="s">
        <v>36</v>
      </c>
      <c r="F141" s="17">
        <v>5</v>
      </c>
      <c r="G141" s="74">
        <v>44293</v>
      </c>
      <c r="H141" s="74">
        <v>44300</v>
      </c>
      <c r="I141" s="74">
        <v>44300</v>
      </c>
      <c r="J141" s="20"/>
      <c r="K141" s="18" t="s">
        <v>23</v>
      </c>
      <c r="L141" s="21" t="s">
        <v>34</v>
      </c>
      <c r="M141" s="18" t="s">
        <v>25</v>
      </c>
      <c r="N141" s="18">
        <v>1</v>
      </c>
      <c r="O141" s="18" t="s">
        <v>26</v>
      </c>
      <c r="P141" s="20" t="s">
        <v>26</v>
      </c>
      <c r="Q141" s="18" t="s">
        <v>54</v>
      </c>
      <c r="R141" s="18" t="s">
        <v>28</v>
      </c>
    </row>
    <row r="142" spans="1:18" ht="25.5" x14ac:dyDescent="0.25">
      <c r="A142" s="16" t="s">
        <v>178</v>
      </c>
      <c r="B142" s="17">
        <v>232076</v>
      </c>
      <c r="C142" s="18" t="s">
        <v>31</v>
      </c>
      <c r="D142" s="19" t="s">
        <v>291</v>
      </c>
      <c r="E142" s="17" t="s">
        <v>44</v>
      </c>
      <c r="F142" s="17">
        <v>2</v>
      </c>
      <c r="G142" s="74">
        <v>44293</v>
      </c>
      <c r="H142" s="74">
        <v>44300</v>
      </c>
      <c r="I142" s="74">
        <v>44300</v>
      </c>
      <c r="J142" s="20"/>
      <c r="K142" s="18" t="s">
        <v>23</v>
      </c>
      <c r="L142" s="21" t="s">
        <v>34</v>
      </c>
      <c r="M142" s="18" t="s">
        <v>25</v>
      </c>
      <c r="N142" s="18">
        <v>1</v>
      </c>
      <c r="O142" s="18" t="s">
        <v>26</v>
      </c>
      <c r="P142" s="20" t="s">
        <v>26</v>
      </c>
      <c r="Q142" s="18" t="s">
        <v>54</v>
      </c>
      <c r="R142" s="18" t="s">
        <v>28</v>
      </c>
    </row>
    <row r="143" spans="1:18" ht="25.5" x14ac:dyDescent="0.25">
      <c r="A143" s="16" t="s">
        <v>178</v>
      </c>
      <c r="B143" s="17">
        <v>232076</v>
      </c>
      <c r="C143" s="18" t="s">
        <v>31</v>
      </c>
      <c r="D143" s="19" t="s">
        <v>291</v>
      </c>
      <c r="E143" s="17" t="s">
        <v>39</v>
      </c>
      <c r="F143" s="17">
        <v>5</v>
      </c>
      <c r="G143" s="74">
        <v>44293</v>
      </c>
      <c r="H143" s="74">
        <v>44300</v>
      </c>
      <c r="I143" s="74">
        <v>44300</v>
      </c>
      <c r="J143" s="20"/>
      <c r="K143" s="18" t="s">
        <v>23</v>
      </c>
      <c r="L143" s="21" t="s">
        <v>34</v>
      </c>
      <c r="M143" s="18" t="s">
        <v>25</v>
      </c>
      <c r="N143" s="18"/>
      <c r="O143" s="18" t="s">
        <v>26</v>
      </c>
      <c r="P143" s="20" t="s">
        <v>26</v>
      </c>
      <c r="Q143" s="18" t="s">
        <v>54</v>
      </c>
      <c r="R143" s="18" t="s">
        <v>28</v>
      </c>
    </row>
    <row r="144" spans="1:18" ht="25.5" x14ac:dyDescent="0.25">
      <c r="A144" s="16" t="s">
        <v>178</v>
      </c>
      <c r="B144" s="17">
        <v>232076</v>
      </c>
      <c r="C144" s="18" t="s">
        <v>31</v>
      </c>
      <c r="D144" s="19" t="s">
        <v>291</v>
      </c>
      <c r="E144" s="17" t="s">
        <v>292</v>
      </c>
      <c r="F144" s="17">
        <v>5</v>
      </c>
      <c r="G144" s="74">
        <v>44293</v>
      </c>
      <c r="H144" s="74">
        <v>44300</v>
      </c>
      <c r="I144" s="74">
        <v>44300</v>
      </c>
      <c r="J144" s="20" t="s">
        <v>293</v>
      </c>
      <c r="K144" s="18" t="s">
        <v>23</v>
      </c>
      <c r="L144" s="21" t="s">
        <v>34</v>
      </c>
      <c r="M144" s="18" t="s">
        <v>25</v>
      </c>
      <c r="N144" s="18"/>
      <c r="O144" s="18" t="s">
        <v>26</v>
      </c>
      <c r="P144" s="20" t="s">
        <v>26</v>
      </c>
      <c r="Q144" s="18" t="s">
        <v>54</v>
      </c>
      <c r="R144" s="18" t="s">
        <v>28</v>
      </c>
    </row>
    <row r="145" spans="1:18" x14ac:dyDescent="0.25">
      <c r="A145" s="16" t="s">
        <v>19</v>
      </c>
      <c r="B145" s="17">
        <v>208701</v>
      </c>
      <c r="C145" s="18" t="s">
        <v>20</v>
      </c>
      <c r="D145" s="19" t="s">
        <v>100</v>
      </c>
      <c r="E145" s="17" t="s">
        <v>33</v>
      </c>
      <c r="F145" s="17">
        <v>10</v>
      </c>
      <c r="G145" s="74">
        <v>44180</v>
      </c>
      <c r="H145" s="74">
        <v>44194</v>
      </c>
      <c r="I145" s="74">
        <v>44183</v>
      </c>
      <c r="J145" s="20"/>
      <c r="K145" s="18" t="s">
        <v>23</v>
      </c>
      <c r="L145" s="21" t="s">
        <v>24</v>
      </c>
      <c r="M145" s="18" t="s">
        <v>25</v>
      </c>
      <c r="N145" s="18">
        <v>0</v>
      </c>
      <c r="O145" s="18" t="s">
        <v>26</v>
      </c>
      <c r="P145" s="20"/>
      <c r="Q145" s="18" t="s">
        <v>29</v>
      </c>
      <c r="R145" s="18" t="s">
        <v>74</v>
      </c>
    </row>
    <row r="146" spans="1:18" x14ac:dyDescent="0.25">
      <c r="A146" s="16" t="s">
        <v>19</v>
      </c>
      <c r="B146" s="17">
        <v>208701</v>
      </c>
      <c r="C146" s="18" t="s">
        <v>20</v>
      </c>
      <c r="D146" s="19" t="s">
        <v>100</v>
      </c>
      <c r="E146" s="17" t="s">
        <v>294</v>
      </c>
      <c r="F146" s="17">
        <v>1</v>
      </c>
      <c r="G146" s="74">
        <v>44180</v>
      </c>
      <c r="H146" s="74">
        <v>44194</v>
      </c>
      <c r="I146" s="74">
        <v>44183</v>
      </c>
      <c r="J146" s="20"/>
      <c r="K146" s="18" t="s">
        <v>23</v>
      </c>
      <c r="L146" s="21" t="s">
        <v>24</v>
      </c>
      <c r="M146" s="18" t="s">
        <v>25</v>
      </c>
      <c r="N146" s="18">
        <v>0</v>
      </c>
      <c r="O146" s="18" t="s">
        <v>26</v>
      </c>
      <c r="P146" s="20"/>
      <c r="Q146" s="18" t="s">
        <v>29</v>
      </c>
      <c r="R146" s="18" t="s">
        <v>74</v>
      </c>
    </row>
    <row r="147" spans="1:18" x14ac:dyDescent="0.25">
      <c r="A147" s="16" t="s">
        <v>19</v>
      </c>
      <c r="B147" s="17">
        <v>208701</v>
      </c>
      <c r="C147" s="18" t="s">
        <v>20</v>
      </c>
      <c r="D147" s="19" t="s">
        <v>100</v>
      </c>
      <c r="E147" s="17" t="s">
        <v>109</v>
      </c>
      <c r="F147" s="17">
        <v>1</v>
      </c>
      <c r="G147" s="74">
        <v>44180</v>
      </c>
      <c r="H147" s="74">
        <v>44194</v>
      </c>
      <c r="I147" s="74">
        <v>44183</v>
      </c>
      <c r="J147" s="20"/>
      <c r="K147" s="18" t="s">
        <v>23</v>
      </c>
      <c r="L147" s="21" t="s">
        <v>24</v>
      </c>
      <c r="M147" s="18" t="s">
        <v>25</v>
      </c>
      <c r="N147" s="18">
        <v>0</v>
      </c>
      <c r="O147" s="18" t="s">
        <v>26</v>
      </c>
      <c r="P147" s="20"/>
      <c r="Q147" s="18" t="s">
        <v>29</v>
      </c>
      <c r="R147" s="18" t="s">
        <v>74</v>
      </c>
    </row>
    <row r="148" spans="1:18" x14ac:dyDescent="0.25">
      <c r="A148" s="16" t="s">
        <v>19</v>
      </c>
      <c r="B148" s="17">
        <v>208701</v>
      </c>
      <c r="C148" s="18" t="s">
        <v>20</v>
      </c>
      <c r="D148" s="19" t="s">
        <v>100</v>
      </c>
      <c r="E148" s="17" t="s">
        <v>35</v>
      </c>
      <c r="F148" s="17">
        <v>1</v>
      </c>
      <c r="G148" s="74">
        <v>44180</v>
      </c>
      <c r="H148" s="74">
        <v>44194</v>
      </c>
      <c r="I148" s="74">
        <v>44183</v>
      </c>
      <c r="J148" s="20"/>
      <c r="K148" s="18" t="s">
        <v>23</v>
      </c>
      <c r="L148" s="21" t="s">
        <v>24</v>
      </c>
      <c r="M148" s="18" t="s">
        <v>25</v>
      </c>
      <c r="N148" s="18">
        <v>0</v>
      </c>
      <c r="O148" s="18" t="s">
        <v>26</v>
      </c>
      <c r="P148" s="20"/>
      <c r="Q148" s="18" t="s">
        <v>29</v>
      </c>
      <c r="R148" s="18" t="s">
        <v>74</v>
      </c>
    </row>
    <row r="149" spans="1:18" x14ac:dyDescent="0.25">
      <c r="A149" s="16" t="s">
        <v>19</v>
      </c>
      <c r="B149" s="17">
        <v>208701</v>
      </c>
      <c r="C149" s="18" t="s">
        <v>20</v>
      </c>
      <c r="D149" s="19" t="s">
        <v>100</v>
      </c>
      <c r="E149" s="17" t="s">
        <v>45</v>
      </c>
      <c r="F149" s="17">
        <v>1</v>
      </c>
      <c r="G149" s="74">
        <v>44180</v>
      </c>
      <c r="H149" s="74">
        <v>44194</v>
      </c>
      <c r="I149" s="74">
        <v>44183</v>
      </c>
      <c r="J149" s="20"/>
      <c r="K149" s="18" t="s">
        <v>23</v>
      </c>
      <c r="L149" s="21" t="s">
        <v>24</v>
      </c>
      <c r="M149" s="18" t="s">
        <v>25</v>
      </c>
      <c r="N149" s="18">
        <v>0</v>
      </c>
      <c r="O149" s="18" t="s">
        <v>26</v>
      </c>
      <c r="P149" s="20"/>
      <c r="Q149" s="18" t="s">
        <v>29</v>
      </c>
      <c r="R149" s="18" t="s">
        <v>74</v>
      </c>
    </row>
    <row r="150" spans="1:18" x14ac:dyDescent="0.25">
      <c r="A150" s="16" t="s">
        <v>19</v>
      </c>
      <c r="B150" s="17">
        <v>208701</v>
      </c>
      <c r="C150" s="18" t="s">
        <v>20</v>
      </c>
      <c r="D150" s="19" t="s">
        <v>100</v>
      </c>
      <c r="E150" s="17" t="s">
        <v>44</v>
      </c>
      <c r="F150" s="17">
        <v>2</v>
      </c>
      <c r="G150" s="74">
        <v>44180</v>
      </c>
      <c r="H150" s="74">
        <v>44194</v>
      </c>
      <c r="I150" s="74">
        <v>44183</v>
      </c>
      <c r="J150" s="20"/>
      <c r="K150" s="18" t="s">
        <v>23</v>
      </c>
      <c r="L150" s="21" t="s">
        <v>24</v>
      </c>
      <c r="M150" s="18" t="s">
        <v>25</v>
      </c>
      <c r="N150" s="18">
        <v>1</v>
      </c>
      <c r="O150" s="18" t="s">
        <v>26</v>
      </c>
      <c r="P150" s="20"/>
      <c r="Q150" s="18" t="s">
        <v>29</v>
      </c>
      <c r="R150" s="18" t="s">
        <v>74</v>
      </c>
    </row>
    <row r="151" spans="1:18" ht="25.5" x14ac:dyDescent="0.25">
      <c r="A151" s="16" t="s">
        <v>37</v>
      </c>
      <c r="B151" s="17">
        <v>231938</v>
      </c>
      <c r="C151" s="18" t="s">
        <v>20</v>
      </c>
      <c r="D151" s="19" t="s">
        <v>295</v>
      </c>
      <c r="E151" s="17" t="s">
        <v>44</v>
      </c>
      <c r="F151" s="17">
        <v>1</v>
      </c>
      <c r="G151" s="74">
        <v>44292</v>
      </c>
      <c r="H151" s="74">
        <v>44301</v>
      </c>
      <c r="I151" s="74">
        <v>44301</v>
      </c>
      <c r="J151" s="20"/>
      <c r="K151" s="18" t="s">
        <v>23</v>
      </c>
      <c r="L151" s="21" t="s">
        <v>42</v>
      </c>
      <c r="M151" s="18" t="s">
        <v>25</v>
      </c>
      <c r="N151" s="18"/>
      <c r="O151" s="18" t="s">
        <v>27</v>
      </c>
      <c r="P151" s="20"/>
      <c r="Q151" s="18" t="s">
        <v>29</v>
      </c>
      <c r="R151" s="18" t="s">
        <v>54</v>
      </c>
    </row>
    <row r="152" spans="1:18" ht="25.5" x14ac:dyDescent="0.25">
      <c r="A152" s="16" t="s">
        <v>37</v>
      </c>
      <c r="B152" s="17">
        <v>231943</v>
      </c>
      <c r="C152" s="18" t="s">
        <v>20</v>
      </c>
      <c r="D152" s="19" t="s">
        <v>296</v>
      </c>
      <c r="E152" s="17" t="s">
        <v>297</v>
      </c>
      <c r="F152" s="17">
        <v>1</v>
      </c>
      <c r="G152" s="74">
        <v>44292</v>
      </c>
      <c r="H152" s="74">
        <v>44305</v>
      </c>
      <c r="I152" s="74">
        <v>44314</v>
      </c>
      <c r="J152" s="20"/>
      <c r="K152" s="18" t="s">
        <v>23</v>
      </c>
      <c r="L152" s="21" t="s">
        <v>42</v>
      </c>
      <c r="M152" s="18" t="s">
        <v>25</v>
      </c>
      <c r="N152" s="18">
        <v>2</v>
      </c>
      <c r="O152" s="18" t="s">
        <v>27</v>
      </c>
      <c r="P152" s="20"/>
      <c r="Q152" s="18" t="s">
        <v>29</v>
      </c>
      <c r="R152" s="18"/>
    </row>
    <row r="153" spans="1:18" x14ac:dyDescent="0.25">
      <c r="A153" s="16" t="s">
        <v>113</v>
      </c>
      <c r="B153" s="17" t="s">
        <v>96</v>
      </c>
      <c r="C153" s="18" t="s">
        <v>31</v>
      </c>
      <c r="D153" s="19" t="s">
        <v>298</v>
      </c>
      <c r="E153" s="17" t="s">
        <v>43</v>
      </c>
      <c r="F153" s="17">
        <v>3</v>
      </c>
      <c r="G153" s="74">
        <v>44290</v>
      </c>
      <c r="H153" s="74">
        <v>44295</v>
      </c>
      <c r="I153" s="74">
        <v>44295</v>
      </c>
      <c r="J153" s="20"/>
      <c r="K153" s="18" t="s">
        <v>23</v>
      </c>
      <c r="L153" s="21" t="s">
        <v>24</v>
      </c>
      <c r="M153" s="18" t="s">
        <v>25</v>
      </c>
      <c r="N153" s="18"/>
      <c r="O153" s="18" t="s">
        <v>26</v>
      </c>
      <c r="P153" s="20" t="s">
        <v>27</v>
      </c>
      <c r="Q153" s="18" t="s">
        <v>54</v>
      </c>
      <c r="R153" s="18" t="s">
        <v>54</v>
      </c>
    </row>
    <row r="154" spans="1:18" x14ac:dyDescent="0.25">
      <c r="A154" s="16" t="s">
        <v>40</v>
      </c>
      <c r="B154" s="17" t="s">
        <v>96</v>
      </c>
      <c r="C154" s="18" t="s">
        <v>31</v>
      </c>
      <c r="D154" s="19" t="s">
        <v>299</v>
      </c>
      <c r="E154" s="17" t="s">
        <v>63</v>
      </c>
      <c r="F154" s="17">
        <v>2</v>
      </c>
      <c r="G154" s="74">
        <v>44291</v>
      </c>
      <c r="H154" s="74">
        <v>44292</v>
      </c>
      <c r="I154" s="74">
        <v>44292</v>
      </c>
      <c r="J154" s="20"/>
      <c r="K154" s="18" t="s">
        <v>23</v>
      </c>
      <c r="L154" s="21" t="s">
        <v>42</v>
      </c>
      <c r="M154" s="18" t="s">
        <v>25</v>
      </c>
      <c r="N154" s="18">
        <v>8</v>
      </c>
      <c r="O154" s="18" t="s">
        <v>26</v>
      </c>
      <c r="P154" s="20" t="s">
        <v>27</v>
      </c>
      <c r="Q154" s="18" t="s">
        <v>54</v>
      </c>
      <c r="R154" s="18" t="s">
        <v>54</v>
      </c>
    </row>
    <row r="155" spans="1:18" ht="25.5" hidden="1" x14ac:dyDescent="0.25">
      <c r="A155" s="16" t="s">
        <v>40</v>
      </c>
      <c r="B155" s="17" t="s">
        <v>300</v>
      </c>
      <c r="C155" s="18" t="s">
        <v>20</v>
      </c>
      <c r="D155" s="19" t="s">
        <v>301</v>
      </c>
      <c r="E155" s="17" t="s">
        <v>35</v>
      </c>
      <c r="F155" s="17">
        <v>1</v>
      </c>
      <c r="G155" s="74">
        <v>44300</v>
      </c>
      <c r="H155" s="74">
        <v>44301</v>
      </c>
      <c r="I155" s="74"/>
      <c r="J155" s="20"/>
      <c r="K155" s="18" t="s">
        <v>219</v>
      </c>
      <c r="L155" s="21" t="s">
        <v>24</v>
      </c>
      <c r="M155" s="18" t="s">
        <v>25</v>
      </c>
      <c r="N155" s="18"/>
      <c r="O155" s="18" t="s">
        <v>26</v>
      </c>
      <c r="P155" s="20"/>
      <c r="Q155" s="18" t="s">
        <v>29</v>
      </c>
      <c r="R155" s="18"/>
    </row>
    <row r="156" spans="1:18" ht="25.5" hidden="1" x14ac:dyDescent="0.25">
      <c r="A156" s="16" t="s">
        <v>37</v>
      </c>
      <c r="B156" s="17">
        <v>231977</v>
      </c>
      <c r="C156" s="18" t="s">
        <v>20</v>
      </c>
      <c r="D156" s="19" t="s">
        <v>302</v>
      </c>
      <c r="E156" s="17" t="s">
        <v>35</v>
      </c>
      <c r="F156" s="17">
        <v>1</v>
      </c>
      <c r="G156" s="74">
        <v>44292</v>
      </c>
      <c r="H156" s="74">
        <v>44309</v>
      </c>
      <c r="I156" s="74"/>
      <c r="J156" s="20"/>
      <c r="K156" s="18" t="s">
        <v>214</v>
      </c>
      <c r="L156" s="21" t="s">
        <v>42</v>
      </c>
      <c r="M156" s="18" t="s">
        <v>25</v>
      </c>
      <c r="N156" s="18">
        <v>1</v>
      </c>
      <c r="O156" s="18" t="s">
        <v>27</v>
      </c>
      <c r="P156" s="20"/>
      <c r="Q156" s="18" t="s">
        <v>54</v>
      </c>
      <c r="R156" s="18"/>
    </row>
    <row r="157" spans="1:18" ht="25.5" x14ac:dyDescent="0.25">
      <c r="A157" s="16" t="s">
        <v>19</v>
      </c>
      <c r="B157" s="17">
        <v>232692</v>
      </c>
      <c r="C157" s="18" t="s">
        <v>31</v>
      </c>
      <c r="D157" s="19" t="s">
        <v>303</v>
      </c>
      <c r="E157" s="17" t="s">
        <v>80</v>
      </c>
      <c r="F157" s="17">
        <v>1</v>
      </c>
      <c r="G157" s="74">
        <v>44299</v>
      </c>
      <c r="H157" s="74">
        <v>44307</v>
      </c>
      <c r="I157" s="74">
        <v>44315</v>
      </c>
      <c r="J157" s="20"/>
      <c r="K157" s="18" t="s">
        <v>23</v>
      </c>
      <c r="L157" s="21" t="s">
        <v>42</v>
      </c>
      <c r="M157" s="18" t="s">
        <v>80</v>
      </c>
      <c r="N157" s="18"/>
      <c r="O157" s="18" t="s">
        <v>27</v>
      </c>
      <c r="P157" s="20" t="s">
        <v>27</v>
      </c>
      <c r="Q157" s="18" t="s">
        <v>29</v>
      </c>
      <c r="R157" s="18" t="s">
        <v>54</v>
      </c>
    </row>
    <row r="158" spans="1:18" ht="25.5" x14ac:dyDescent="0.25">
      <c r="A158" s="16" t="s">
        <v>40</v>
      </c>
      <c r="B158" s="17" t="s">
        <v>304</v>
      </c>
      <c r="C158" s="18" t="s">
        <v>31</v>
      </c>
      <c r="D158" s="19" t="s">
        <v>305</v>
      </c>
      <c r="E158" s="17" t="s">
        <v>35</v>
      </c>
      <c r="F158" s="17">
        <v>1</v>
      </c>
      <c r="G158" s="74">
        <v>44301</v>
      </c>
      <c r="H158" s="74">
        <v>44313</v>
      </c>
      <c r="I158" s="74">
        <v>44313</v>
      </c>
      <c r="J158" s="20"/>
      <c r="K158" s="18" t="s">
        <v>23</v>
      </c>
      <c r="L158" s="21" t="s">
        <v>42</v>
      </c>
      <c r="M158" s="18" t="s">
        <v>25</v>
      </c>
      <c r="N158" s="18"/>
      <c r="O158" s="18" t="s">
        <v>27</v>
      </c>
      <c r="P158" s="20" t="s">
        <v>27</v>
      </c>
      <c r="Q158" s="18" t="s">
        <v>29</v>
      </c>
      <c r="R158" s="18" t="s">
        <v>54</v>
      </c>
    </row>
    <row r="159" spans="1:18" x14ac:dyDescent="0.25">
      <c r="A159" s="16" t="s">
        <v>40</v>
      </c>
      <c r="B159" s="17" t="s">
        <v>96</v>
      </c>
      <c r="C159" s="18" t="s">
        <v>31</v>
      </c>
      <c r="D159" s="19" t="s">
        <v>306</v>
      </c>
      <c r="E159" s="17" t="s">
        <v>63</v>
      </c>
      <c r="F159" s="17">
        <v>13</v>
      </c>
      <c r="G159" s="74">
        <v>44302</v>
      </c>
      <c r="H159" s="74">
        <v>44306</v>
      </c>
      <c r="I159" s="74">
        <v>44306</v>
      </c>
      <c r="J159" s="20"/>
      <c r="K159" s="18" t="s">
        <v>23</v>
      </c>
      <c r="L159" s="21" t="s">
        <v>42</v>
      </c>
      <c r="M159" s="18" t="s">
        <v>25</v>
      </c>
      <c r="N159" s="18">
        <v>8</v>
      </c>
      <c r="O159" s="18" t="s">
        <v>27</v>
      </c>
      <c r="P159" s="20" t="s">
        <v>27</v>
      </c>
      <c r="Q159" s="18" t="s">
        <v>54</v>
      </c>
      <c r="R159" s="18" t="s">
        <v>54</v>
      </c>
    </row>
    <row r="160" spans="1:18" x14ac:dyDescent="0.25">
      <c r="A160" s="16" t="s">
        <v>40</v>
      </c>
      <c r="B160" s="17" t="s">
        <v>96</v>
      </c>
      <c r="C160" s="18" t="s">
        <v>31</v>
      </c>
      <c r="D160" s="19" t="s">
        <v>306</v>
      </c>
      <c r="E160" s="17" t="s">
        <v>67</v>
      </c>
      <c r="F160" s="17">
        <v>1</v>
      </c>
      <c r="G160" s="74">
        <v>44302</v>
      </c>
      <c r="H160" s="74">
        <v>44306</v>
      </c>
      <c r="I160" s="74">
        <v>44306</v>
      </c>
      <c r="J160" s="20"/>
      <c r="K160" s="18" t="s">
        <v>23</v>
      </c>
      <c r="L160" s="21" t="s">
        <v>42</v>
      </c>
      <c r="M160" s="18" t="s">
        <v>25</v>
      </c>
      <c r="N160" s="18">
        <v>3</v>
      </c>
      <c r="O160" s="18" t="s">
        <v>27</v>
      </c>
      <c r="P160" s="20" t="s">
        <v>27</v>
      </c>
      <c r="Q160" s="18" t="s">
        <v>54</v>
      </c>
      <c r="R160" s="18" t="s">
        <v>54</v>
      </c>
    </row>
    <row r="161" spans="1:18" x14ac:dyDescent="0.25">
      <c r="A161" s="16" t="s">
        <v>40</v>
      </c>
      <c r="B161" s="17" t="s">
        <v>96</v>
      </c>
      <c r="C161" s="18" t="s">
        <v>31</v>
      </c>
      <c r="D161" s="19" t="s">
        <v>306</v>
      </c>
      <c r="E161" s="17" t="s">
        <v>89</v>
      </c>
      <c r="F161" s="17">
        <v>2</v>
      </c>
      <c r="G161" s="74">
        <v>44302</v>
      </c>
      <c r="H161" s="74">
        <v>44306</v>
      </c>
      <c r="I161" s="74">
        <v>44306</v>
      </c>
      <c r="J161" s="20"/>
      <c r="K161" s="18" t="s">
        <v>23</v>
      </c>
      <c r="L161" s="21" t="s">
        <v>42</v>
      </c>
      <c r="M161" s="18" t="s">
        <v>25</v>
      </c>
      <c r="N161" s="18">
        <v>1</v>
      </c>
      <c r="O161" s="18" t="s">
        <v>27</v>
      </c>
      <c r="P161" s="20" t="s">
        <v>27</v>
      </c>
      <c r="Q161" s="18" t="s">
        <v>54</v>
      </c>
      <c r="R161" s="18" t="s">
        <v>54</v>
      </c>
    </row>
    <row r="162" spans="1:18" ht="25.5" hidden="1" x14ac:dyDescent="0.25">
      <c r="A162" s="16" t="s">
        <v>47</v>
      </c>
      <c r="B162" s="17" t="s">
        <v>307</v>
      </c>
      <c r="C162" s="18" t="s">
        <v>31</v>
      </c>
      <c r="D162" s="19" t="s">
        <v>308</v>
      </c>
      <c r="E162" s="17" t="s">
        <v>33</v>
      </c>
      <c r="F162" s="17">
        <v>1</v>
      </c>
      <c r="G162" s="74">
        <v>44300</v>
      </c>
      <c r="H162" s="74">
        <v>44314</v>
      </c>
      <c r="I162" s="74">
        <v>44314</v>
      </c>
      <c r="J162" s="20"/>
      <c r="K162" s="18" t="s">
        <v>214</v>
      </c>
      <c r="L162" s="21" t="s">
        <v>24</v>
      </c>
      <c r="M162" s="18" t="s">
        <v>25</v>
      </c>
      <c r="N162" s="18"/>
      <c r="O162" s="18" t="s">
        <v>26</v>
      </c>
      <c r="P162" s="20" t="s">
        <v>27</v>
      </c>
      <c r="Q162" s="18" t="s">
        <v>74</v>
      </c>
      <c r="R162" s="18"/>
    </row>
    <row r="163" spans="1:18" ht="25.5" hidden="1" x14ac:dyDescent="0.25">
      <c r="A163" s="16" t="s">
        <v>47</v>
      </c>
      <c r="B163" s="17" t="s">
        <v>307</v>
      </c>
      <c r="C163" s="18" t="s">
        <v>31</v>
      </c>
      <c r="D163" s="19" t="s">
        <v>308</v>
      </c>
      <c r="E163" s="17" t="s">
        <v>35</v>
      </c>
      <c r="F163" s="17">
        <v>1</v>
      </c>
      <c r="G163" s="74">
        <v>44300</v>
      </c>
      <c r="H163" s="74">
        <v>44314</v>
      </c>
      <c r="I163" s="74">
        <v>44314</v>
      </c>
      <c r="J163" s="20"/>
      <c r="K163" s="18" t="s">
        <v>214</v>
      </c>
      <c r="L163" s="21" t="s">
        <v>24</v>
      </c>
      <c r="M163" s="18" t="s">
        <v>25</v>
      </c>
      <c r="N163" s="18"/>
      <c r="O163" s="18" t="s">
        <v>26</v>
      </c>
      <c r="P163" s="20" t="s">
        <v>27</v>
      </c>
      <c r="Q163" s="18" t="s">
        <v>74</v>
      </c>
      <c r="R163" s="18"/>
    </row>
    <row r="164" spans="1:18" x14ac:dyDescent="0.25">
      <c r="A164" s="16" t="s">
        <v>68</v>
      </c>
      <c r="B164" s="17" t="s">
        <v>309</v>
      </c>
      <c r="C164" s="18" t="s">
        <v>31</v>
      </c>
      <c r="D164" s="19" t="s">
        <v>310</v>
      </c>
      <c r="E164" s="17" t="s">
        <v>49</v>
      </c>
      <c r="F164" s="17">
        <v>1</v>
      </c>
      <c r="G164" s="74">
        <v>44302</v>
      </c>
      <c r="H164" s="74">
        <v>44313</v>
      </c>
      <c r="I164" s="74">
        <v>44313</v>
      </c>
      <c r="J164" s="20"/>
      <c r="K164" s="18" t="s">
        <v>23</v>
      </c>
      <c r="L164" s="21" t="s">
        <v>42</v>
      </c>
      <c r="M164" s="18"/>
      <c r="N164" s="18"/>
      <c r="O164" s="18" t="s">
        <v>27</v>
      </c>
      <c r="P164" s="20" t="s">
        <v>27</v>
      </c>
      <c r="Q164" s="18" t="s">
        <v>28</v>
      </c>
      <c r="R164" s="18" t="s">
        <v>54</v>
      </c>
    </row>
    <row r="165" spans="1:18" x14ac:dyDescent="0.25">
      <c r="A165" s="16" t="s">
        <v>68</v>
      </c>
      <c r="B165" s="17" t="s">
        <v>309</v>
      </c>
      <c r="C165" s="18" t="s">
        <v>31</v>
      </c>
      <c r="D165" s="19" t="s">
        <v>310</v>
      </c>
      <c r="E165" s="17" t="s">
        <v>33</v>
      </c>
      <c r="F165" s="17">
        <v>1</v>
      </c>
      <c r="G165" s="74">
        <v>44302</v>
      </c>
      <c r="H165" s="74">
        <v>44313</v>
      </c>
      <c r="I165" s="74">
        <v>44313</v>
      </c>
      <c r="J165" s="20"/>
      <c r="K165" s="18" t="s">
        <v>23</v>
      </c>
      <c r="L165" s="21" t="s">
        <v>42</v>
      </c>
      <c r="M165" s="18"/>
      <c r="N165" s="18"/>
      <c r="O165" s="18" t="s">
        <v>27</v>
      </c>
      <c r="P165" s="20" t="s">
        <v>27</v>
      </c>
      <c r="Q165" s="18" t="s">
        <v>28</v>
      </c>
      <c r="R165" s="18" t="s">
        <v>54</v>
      </c>
    </row>
    <row r="166" spans="1:18" x14ac:dyDescent="0.25">
      <c r="A166" s="16" t="s">
        <v>68</v>
      </c>
      <c r="B166" s="17" t="s">
        <v>309</v>
      </c>
      <c r="C166" s="18" t="s">
        <v>31</v>
      </c>
      <c r="D166" s="19" t="s">
        <v>310</v>
      </c>
      <c r="E166" s="17" t="s">
        <v>36</v>
      </c>
      <c r="F166" s="17">
        <v>2</v>
      </c>
      <c r="G166" s="74">
        <v>44302</v>
      </c>
      <c r="H166" s="74">
        <v>44313</v>
      </c>
      <c r="I166" s="74">
        <v>44313</v>
      </c>
      <c r="J166" s="20"/>
      <c r="K166" s="18" t="s">
        <v>23</v>
      </c>
      <c r="L166" s="21" t="s">
        <v>42</v>
      </c>
      <c r="M166" s="18"/>
      <c r="N166" s="18"/>
      <c r="O166" s="18" t="s">
        <v>27</v>
      </c>
      <c r="P166" s="20" t="s">
        <v>27</v>
      </c>
      <c r="Q166" s="18" t="s">
        <v>28</v>
      </c>
      <c r="R166" s="18" t="s">
        <v>54</v>
      </c>
    </row>
    <row r="167" spans="1:18" x14ac:dyDescent="0.25">
      <c r="A167" s="16" t="s">
        <v>68</v>
      </c>
      <c r="B167" s="17" t="s">
        <v>309</v>
      </c>
      <c r="C167" s="18" t="s">
        <v>31</v>
      </c>
      <c r="D167" s="19" t="s">
        <v>310</v>
      </c>
      <c r="E167" s="17" t="s">
        <v>44</v>
      </c>
      <c r="F167" s="17">
        <v>1</v>
      </c>
      <c r="G167" s="74">
        <v>44302</v>
      </c>
      <c r="H167" s="74">
        <v>44313</v>
      </c>
      <c r="I167" s="74">
        <v>44313</v>
      </c>
      <c r="J167" s="20"/>
      <c r="K167" s="18" t="s">
        <v>23</v>
      </c>
      <c r="L167" s="21" t="s">
        <v>42</v>
      </c>
      <c r="M167" s="18"/>
      <c r="N167" s="18"/>
      <c r="O167" s="18" t="s">
        <v>27</v>
      </c>
      <c r="P167" s="20" t="s">
        <v>27</v>
      </c>
      <c r="Q167" s="18" t="s">
        <v>28</v>
      </c>
      <c r="R167" s="18" t="s">
        <v>54</v>
      </c>
    </row>
    <row r="168" spans="1:18" x14ac:dyDescent="0.25">
      <c r="A168" s="16" t="s">
        <v>68</v>
      </c>
      <c r="B168" s="17" t="s">
        <v>309</v>
      </c>
      <c r="C168" s="18" t="s">
        <v>31</v>
      </c>
      <c r="D168" s="19" t="s">
        <v>310</v>
      </c>
      <c r="E168" s="17" t="s">
        <v>35</v>
      </c>
      <c r="F168" s="17">
        <v>1</v>
      </c>
      <c r="G168" s="74">
        <v>44302</v>
      </c>
      <c r="H168" s="74">
        <v>44313</v>
      </c>
      <c r="I168" s="74">
        <v>44313</v>
      </c>
      <c r="J168" s="20"/>
      <c r="K168" s="18" t="s">
        <v>23</v>
      </c>
      <c r="L168" s="21" t="s">
        <v>42</v>
      </c>
      <c r="M168" s="18"/>
      <c r="N168" s="18"/>
      <c r="O168" s="18" t="s">
        <v>27</v>
      </c>
      <c r="P168" s="20" t="s">
        <v>27</v>
      </c>
      <c r="Q168" s="18" t="s">
        <v>28</v>
      </c>
      <c r="R168" s="18" t="s">
        <v>54</v>
      </c>
    </row>
    <row r="169" spans="1:18" ht="25.5" x14ac:dyDescent="0.25">
      <c r="A169" s="16" t="s">
        <v>19</v>
      </c>
      <c r="B169" s="17">
        <v>232692</v>
      </c>
      <c r="C169" s="18" t="s">
        <v>31</v>
      </c>
      <c r="D169" s="19" t="s">
        <v>303</v>
      </c>
      <c r="E169" s="17" t="s">
        <v>80</v>
      </c>
      <c r="F169" s="17">
        <v>1</v>
      </c>
      <c r="G169" s="74">
        <v>44299</v>
      </c>
      <c r="H169" s="74">
        <v>44313</v>
      </c>
      <c r="I169" s="74">
        <v>44313</v>
      </c>
      <c r="J169" s="20" t="s">
        <v>311</v>
      </c>
      <c r="K169" s="18" t="s">
        <v>23</v>
      </c>
      <c r="L169" s="21" t="s">
        <v>42</v>
      </c>
      <c r="M169" s="18" t="s">
        <v>25</v>
      </c>
      <c r="N169" s="18"/>
      <c r="O169" s="18" t="s">
        <v>27</v>
      </c>
      <c r="P169" s="20" t="s">
        <v>27</v>
      </c>
      <c r="Q169" s="18" t="s">
        <v>29</v>
      </c>
      <c r="R169" s="18" t="s">
        <v>29</v>
      </c>
    </row>
    <row r="170" spans="1:18" ht="25.5" x14ac:dyDescent="0.25">
      <c r="A170" s="16" t="s">
        <v>47</v>
      </c>
      <c r="B170" s="17" t="s">
        <v>312</v>
      </c>
      <c r="C170" s="18" t="s">
        <v>31</v>
      </c>
      <c r="D170" s="19" t="s">
        <v>313</v>
      </c>
      <c r="E170" s="17" t="s">
        <v>35</v>
      </c>
      <c r="F170" s="17">
        <v>1</v>
      </c>
      <c r="G170" s="74">
        <v>44300</v>
      </c>
      <c r="H170" s="74">
        <v>44312</v>
      </c>
      <c r="I170" s="74">
        <v>44312</v>
      </c>
      <c r="J170" s="20"/>
      <c r="K170" s="18" t="s">
        <v>23</v>
      </c>
      <c r="L170" s="21" t="s">
        <v>24</v>
      </c>
      <c r="M170" s="18" t="s">
        <v>25</v>
      </c>
      <c r="N170" s="18"/>
      <c r="O170" s="18" t="s">
        <v>26</v>
      </c>
      <c r="P170" s="20" t="s">
        <v>27</v>
      </c>
      <c r="Q170" s="18" t="s">
        <v>28</v>
      </c>
      <c r="R170" s="18"/>
    </row>
    <row r="171" spans="1:18" ht="25.5" x14ac:dyDescent="0.25">
      <c r="A171" s="16" t="s">
        <v>47</v>
      </c>
      <c r="B171" s="17" t="s">
        <v>312</v>
      </c>
      <c r="C171" s="18" t="s">
        <v>31</v>
      </c>
      <c r="D171" s="19" t="s">
        <v>313</v>
      </c>
      <c r="E171" s="17" t="s">
        <v>314</v>
      </c>
      <c r="F171" s="17">
        <v>1</v>
      </c>
      <c r="G171" s="74">
        <v>44300</v>
      </c>
      <c r="H171" s="74">
        <v>44312</v>
      </c>
      <c r="I171" s="74">
        <v>44312</v>
      </c>
      <c r="J171" s="20"/>
      <c r="K171" s="18" t="s">
        <v>23</v>
      </c>
      <c r="L171" s="21" t="s">
        <v>24</v>
      </c>
      <c r="M171" s="18" t="s">
        <v>25</v>
      </c>
      <c r="N171" s="18"/>
      <c r="O171" s="18" t="s">
        <v>26</v>
      </c>
      <c r="P171" s="20" t="s">
        <v>27</v>
      </c>
      <c r="Q171" s="18" t="s">
        <v>28</v>
      </c>
      <c r="R171" s="18"/>
    </row>
    <row r="172" spans="1:18" x14ac:dyDescent="0.25">
      <c r="A172" s="16" t="s">
        <v>68</v>
      </c>
      <c r="B172" s="17" t="s">
        <v>315</v>
      </c>
      <c r="C172" s="18" t="s">
        <v>20</v>
      </c>
      <c r="D172" s="19" t="s">
        <v>316</v>
      </c>
      <c r="E172" s="17" t="s">
        <v>73</v>
      </c>
      <c r="F172" s="17">
        <v>9</v>
      </c>
      <c r="G172" s="74">
        <v>44302</v>
      </c>
      <c r="H172" s="74">
        <v>44312</v>
      </c>
      <c r="I172" s="74">
        <v>44313</v>
      </c>
      <c r="J172" s="20"/>
      <c r="K172" s="18" t="s">
        <v>23</v>
      </c>
      <c r="L172" s="21" t="s">
        <v>58</v>
      </c>
      <c r="M172" s="18" t="s">
        <v>25</v>
      </c>
      <c r="N172" s="18"/>
      <c r="O172" s="18" t="s">
        <v>26</v>
      </c>
      <c r="P172" s="20"/>
      <c r="Q172" s="18" t="s">
        <v>29</v>
      </c>
      <c r="R172" s="18" t="s">
        <v>54</v>
      </c>
    </row>
    <row r="173" spans="1:18" ht="25.5" x14ac:dyDescent="0.25">
      <c r="A173" s="16" t="s">
        <v>95</v>
      </c>
      <c r="B173" s="17" t="s">
        <v>96</v>
      </c>
      <c r="C173" s="18" t="s">
        <v>31</v>
      </c>
      <c r="D173" s="19" t="s">
        <v>317</v>
      </c>
      <c r="E173" s="17" t="s">
        <v>35</v>
      </c>
      <c r="F173" s="17">
        <v>2</v>
      </c>
      <c r="G173" s="74">
        <v>44312</v>
      </c>
      <c r="H173" s="74">
        <v>44312</v>
      </c>
      <c r="I173" s="74">
        <v>44312</v>
      </c>
      <c r="J173" s="20"/>
      <c r="K173" s="18" t="s">
        <v>23</v>
      </c>
      <c r="L173" s="21" t="s">
        <v>24</v>
      </c>
      <c r="M173" s="18" t="s">
        <v>25</v>
      </c>
      <c r="N173" s="18">
        <v>2</v>
      </c>
      <c r="O173" s="18" t="s">
        <v>27</v>
      </c>
      <c r="P173" s="20" t="s">
        <v>27</v>
      </c>
      <c r="Q173" s="18" t="s">
        <v>54</v>
      </c>
      <c r="R173" s="18" t="s">
        <v>54</v>
      </c>
    </row>
    <row r="174" spans="1:18" ht="25.5" x14ac:dyDescent="0.25">
      <c r="A174" s="16" t="s">
        <v>95</v>
      </c>
      <c r="B174" s="17" t="s">
        <v>96</v>
      </c>
      <c r="C174" s="18" t="s">
        <v>31</v>
      </c>
      <c r="D174" s="19" t="s">
        <v>317</v>
      </c>
      <c r="E174" s="17" t="s">
        <v>33</v>
      </c>
      <c r="F174" s="17">
        <v>2</v>
      </c>
      <c r="G174" s="74">
        <v>44312</v>
      </c>
      <c r="H174" s="74">
        <v>44312</v>
      </c>
      <c r="I174" s="74">
        <v>44312</v>
      </c>
      <c r="J174" s="20"/>
      <c r="K174" s="18" t="s">
        <v>23</v>
      </c>
      <c r="L174" s="21" t="s">
        <v>24</v>
      </c>
      <c r="M174" s="18" t="s">
        <v>25</v>
      </c>
      <c r="N174" s="18">
        <v>2</v>
      </c>
      <c r="O174" s="18" t="s">
        <v>27</v>
      </c>
      <c r="P174" s="20" t="s">
        <v>27</v>
      </c>
      <c r="Q174" s="18" t="s">
        <v>54</v>
      </c>
      <c r="R174" s="18" t="s">
        <v>54</v>
      </c>
    </row>
    <row r="175" spans="1:18" x14ac:dyDescent="0.25">
      <c r="A175" s="16" t="s">
        <v>37</v>
      </c>
      <c r="B175" s="17" t="s">
        <v>318</v>
      </c>
      <c r="C175" s="18" t="s">
        <v>20</v>
      </c>
      <c r="D175" s="19" t="s">
        <v>319</v>
      </c>
      <c r="E175" s="17" t="s">
        <v>44</v>
      </c>
      <c r="F175" s="17">
        <v>1</v>
      </c>
      <c r="G175" s="74">
        <v>44306</v>
      </c>
      <c r="H175" s="74">
        <v>44309</v>
      </c>
      <c r="I175" s="74">
        <v>44312</v>
      </c>
      <c r="J175" s="20"/>
      <c r="K175" s="18" t="s">
        <v>23</v>
      </c>
      <c r="L175" s="21" t="s">
        <v>34</v>
      </c>
      <c r="M175" s="18" t="s">
        <v>25</v>
      </c>
      <c r="N175" s="18">
        <v>1</v>
      </c>
      <c r="O175" s="18" t="s">
        <v>26</v>
      </c>
      <c r="P175" s="20"/>
      <c r="Q175" s="18" t="s">
        <v>29</v>
      </c>
      <c r="R175" s="18" t="s">
        <v>54</v>
      </c>
    </row>
    <row r="176" spans="1:18" x14ac:dyDescent="0.25">
      <c r="A176" s="16" t="s">
        <v>37</v>
      </c>
      <c r="B176" s="17" t="s">
        <v>318</v>
      </c>
      <c r="C176" s="18" t="s">
        <v>20</v>
      </c>
      <c r="D176" s="19" t="s">
        <v>319</v>
      </c>
      <c r="E176" s="17" t="s">
        <v>35</v>
      </c>
      <c r="F176" s="17">
        <v>1</v>
      </c>
      <c r="G176" s="74">
        <v>44306</v>
      </c>
      <c r="H176" s="74">
        <v>44309</v>
      </c>
      <c r="I176" s="74">
        <v>44312</v>
      </c>
      <c r="J176" s="20"/>
      <c r="K176" s="18" t="s">
        <v>23</v>
      </c>
      <c r="L176" s="21" t="s">
        <v>34</v>
      </c>
      <c r="M176" s="18" t="s">
        <v>25</v>
      </c>
      <c r="N176" s="18">
        <v>1</v>
      </c>
      <c r="O176" s="18" t="s">
        <v>26</v>
      </c>
      <c r="P176" s="20"/>
      <c r="Q176" s="18" t="s">
        <v>29</v>
      </c>
      <c r="R176" s="18" t="s">
        <v>54</v>
      </c>
    </row>
    <row r="177" spans="1:18" x14ac:dyDescent="0.25">
      <c r="A177" s="16" t="s">
        <v>37</v>
      </c>
      <c r="B177" s="17" t="s">
        <v>318</v>
      </c>
      <c r="C177" s="18" t="s">
        <v>20</v>
      </c>
      <c r="D177" s="19" t="s">
        <v>319</v>
      </c>
      <c r="E177" s="17" t="s">
        <v>49</v>
      </c>
      <c r="F177" s="17">
        <v>1</v>
      </c>
      <c r="G177" s="74">
        <v>44306</v>
      </c>
      <c r="H177" s="74">
        <v>44309</v>
      </c>
      <c r="I177" s="74">
        <v>44312</v>
      </c>
      <c r="J177" s="20"/>
      <c r="K177" s="18" t="s">
        <v>23</v>
      </c>
      <c r="L177" s="21" t="s">
        <v>34</v>
      </c>
      <c r="M177" s="18" t="s">
        <v>25</v>
      </c>
      <c r="N177" s="18">
        <v>1</v>
      </c>
      <c r="O177" s="18" t="s">
        <v>26</v>
      </c>
      <c r="P177" s="20"/>
      <c r="Q177" s="18" t="s">
        <v>29</v>
      </c>
      <c r="R177" s="18" t="s">
        <v>54</v>
      </c>
    </row>
    <row r="178" spans="1:18" x14ac:dyDescent="0.25">
      <c r="A178" s="16" t="s">
        <v>37</v>
      </c>
      <c r="B178" s="17" t="s">
        <v>318</v>
      </c>
      <c r="C178" s="18" t="s">
        <v>20</v>
      </c>
      <c r="D178" s="19" t="s">
        <v>319</v>
      </c>
      <c r="E178" s="17" t="s">
        <v>33</v>
      </c>
      <c r="F178" s="17">
        <v>1</v>
      </c>
      <c r="G178" s="74">
        <v>44306</v>
      </c>
      <c r="H178" s="74">
        <v>44309</v>
      </c>
      <c r="I178" s="74">
        <v>44312</v>
      </c>
      <c r="J178" s="20"/>
      <c r="K178" s="18" t="s">
        <v>23</v>
      </c>
      <c r="L178" s="21" t="s">
        <v>34</v>
      </c>
      <c r="M178" s="18" t="s">
        <v>25</v>
      </c>
      <c r="N178" s="18">
        <v>1</v>
      </c>
      <c r="O178" s="18" t="s">
        <v>26</v>
      </c>
      <c r="P178" s="20"/>
      <c r="Q178" s="18" t="s">
        <v>29</v>
      </c>
      <c r="R178" s="18" t="s">
        <v>54</v>
      </c>
    </row>
    <row r="179" spans="1:18" x14ac:dyDescent="0.25">
      <c r="A179" s="16" t="s">
        <v>37</v>
      </c>
      <c r="B179" s="17" t="s">
        <v>318</v>
      </c>
      <c r="C179" s="18" t="s">
        <v>20</v>
      </c>
      <c r="D179" s="19" t="s">
        <v>319</v>
      </c>
      <c r="E179" s="17" t="s">
        <v>36</v>
      </c>
      <c r="F179" s="17">
        <v>3</v>
      </c>
      <c r="G179" s="74">
        <v>44306</v>
      </c>
      <c r="H179" s="74">
        <v>44309</v>
      </c>
      <c r="I179" s="74">
        <v>44312</v>
      </c>
      <c r="J179" s="20"/>
      <c r="K179" s="18" t="s">
        <v>23</v>
      </c>
      <c r="L179" s="21" t="s">
        <v>34</v>
      </c>
      <c r="M179" s="18" t="s">
        <v>25</v>
      </c>
      <c r="N179" s="18">
        <v>1</v>
      </c>
      <c r="O179" s="18" t="s">
        <v>26</v>
      </c>
      <c r="P179" s="20"/>
      <c r="Q179" s="18" t="s">
        <v>29</v>
      </c>
      <c r="R179" s="18" t="s">
        <v>54</v>
      </c>
    </row>
    <row r="180" spans="1:18" x14ac:dyDescent="0.25">
      <c r="A180" s="16" t="s">
        <v>37</v>
      </c>
      <c r="B180" s="17" t="s">
        <v>320</v>
      </c>
      <c r="C180" s="18" t="s">
        <v>20</v>
      </c>
      <c r="D180" s="19" t="s">
        <v>321</v>
      </c>
      <c r="E180" s="17" t="s">
        <v>35</v>
      </c>
      <c r="F180" s="17">
        <v>1</v>
      </c>
      <c r="G180" s="74">
        <v>44302</v>
      </c>
      <c r="H180" s="74">
        <v>44308</v>
      </c>
      <c r="I180" s="74">
        <v>44309</v>
      </c>
      <c r="J180" s="20"/>
      <c r="K180" s="18" t="s">
        <v>23</v>
      </c>
      <c r="L180" s="21" t="s">
        <v>24</v>
      </c>
      <c r="M180" s="18" t="s">
        <v>25</v>
      </c>
      <c r="N180" s="18"/>
      <c r="O180" s="18" t="s">
        <v>27</v>
      </c>
      <c r="P180" s="20"/>
      <c r="Q180" s="18" t="s">
        <v>54</v>
      </c>
      <c r="R180" s="18" t="s">
        <v>54</v>
      </c>
    </row>
    <row r="181" spans="1:18" x14ac:dyDescent="0.25">
      <c r="A181" s="16" t="s">
        <v>37</v>
      </c>
      <c r="B181" s="17" t="s">
        <v>320</v>
      </c>
      <c r="C181" s="18" t="s">
        <v>20</v>
      </c>
      <c r="D181" s="19" t="s">
        <v>321</v>
      </c>
      <c r="E181" s="17" t="s">
        <v>49</v>
      </c>
      <c r="F181" s="17">
        <v>1</v>
      </c>
      <c r="G181" s="74">
        <v>44302</v>
      </c>
      <c r="H181" s="74">
        <v>44308</v>
      </c>
      <c r="I181" s="74">
        <v>44309</v>
      </c>
      <c r="J181" s="20"/>
      <c r="K181" s="18" t="s">
        <v>23</v>
      </c>
      <c r="L181" s="21" t="s">
        <v>24</v>
      </c>
      <c r="M181" s="18" t="s">
        <v>25</v>
      </c>
      <c r="N181" s="18"/>
      <c r="O181" s="18" t="s">
        <v>27</v>
      </c>
      <c r="P181" s="20"/>
      <c r="Q181" s="18" t="s">
        <v>54</v>
      </c>
      <c r="R181" s="18" t="s">
        <v>54</v>
      </c>
    </row>
    <row r="182" spans="1:18" x14ac:dyDescent="0.25">
      <c r="A182" s="16" t="s">
        <v>37</v>
      </c>
      <c r="B182" s="17" t="s">
        <v>320</v>
      </c>
      <c r="C182" s="18" t="s">
        <v>20</v>
      </c>
      <c r="D182" s="19" t="s">
        <v>321</v>
      </c>
      <c r="E182" s="17" t="s">
        <v>33</v>
      </c>
      <c r="F182" s="17">
        <v>1</v>
      </c>
      <c r="G182" s="74">
        <v>44302</v>
      </c>
      <c r="H182" s="74">
        <v>44308</v>
      </c>
      <c r="I182" s="74">
        <v>44309</v>
      </c>
      <c r="J182" s="20"/>
      <c r="K182" s="18" t="s">
        <v>23</v>
      </c>
      <c r="L182" s="21" t="s">
        <v>24</v>
      </c>
      <c r="M182" s="18" t="s">
        <v>25</v>
      </c>
      <c r="N182" s="18"/>
      <c r="O182" s="18" t="s">
        <v>27</v>
      </c>
      <c r="P182" s="20"/>
      <c r="Q182" s="18" t="s">
        <v>54</v>
      </c>
      <c r="R182" s="18" t="s">
        <v>54</v>
      </c>
    </row>
    <row r="183" spans="1:18" x14ac:dyDescent="0.25">
      <c r="A183" s="16" t="s">
        <v>40</v>
      </c>
      <c r="B183" s="17" t="s">
        <v>322</v>
      </c>
      <c r="C183" s="18" t="s">
        <v>20</v>
      </c>
      <c r="D183" s="19" t="s">
        <v>323</v>
      </c>
      <c r="E183" s="17" t="s">
        <v>35</v>
      </c>
      <c r="F183" s="17">
        <v>1</v>
      </c>
      <c r="G183" s="74">
        <v>44313</v>
      </c>
      <c r="H183" s="74">
        <v>44315</v>
      </c>
      <c r="I183" s="74"/>
      <c r="J183" s="20"/>
      <c r="K183" s="18" t="s">
        <v>23</v>
      </c>
      <c r="L183" s="21" t="s">
        <v>24</v>
      </c>
      <c r="M183" s="18" t="s">
        <v>25</v>
      </c>
      <c r="N183" s="18">
        <v>1</v>
      </c>
      <c r="O183" s="18" t="s">
        <v>27</v>
      </c>
      <c r="P183" s="20"/>
      <c r="Q183" s="18" t="s">
        <v>29</v>
      </c>
      <c r="R183" s="18" t="s">
        <v>29</v>
      </c>
    </row>
    <row r="184" spans="1:18" x14ac:dyDescent="0.25">
      <c r="A184" s="16" t="s">
        <v>40</v>
      </c>
      <c r="B184" s="17" t="s">
        <v>322</v>
      </c>
      <c r="C184" s="18" t="s">
        <v>20</v>
      </c>
      <c r="D184" s="19" t="s">
        <v>323</v>
      </c>
      <c r="E184" s="17" t="s">
        <v>33</v>
      </c>
      <c r="F184" s="17">
        <v>1</v>
      </c>
      <c r="G184" s="74">
        <v>44313</v>
      </c>
      <c r="H184" s="74">
        <v>44315</v>
      </c>
      <c r="I184" s="74"/>
      <c r="J184" s="20"/>
      <c r="K184" s="18" t="s">
        <v>23</v>
      </c>
      <c r="L184" s="21" t="s">
        <v>24</v>
      </c>
      <c r="M184" s="18" t="s">
        <v>25</v>
      </c>
      <c r="N184" s="18">
        <v>1</v>
      </c>
      <c r="O184" s="18" t="s">
        <v>27</v>
      </c>
      <c r="P184" s="20"/>
      <c r="Q184" s="18" t="s">
        <v>54</v>
      </c>
      <c r="R184" s="18" t="s">
        <v>54</v>
      </c>
    </row>
    <row r="185" spans="1:18" x14ac:dyDescent="0.25">
      <c r="A185" s="16" t="s">
        <v>30</v>
      </c>
      <c r="B185" s="17" t="s">
        <v>324</v>
      </c>
      <c r="C185" s="18" t="s">
        <v>31</v>
      </c>
      <c r="D185" s="19" t="s">
        <v>325</v>
      </c>
      <c r="E185" s="17" t="s">
        <v>49</v>
      </c>
      <c r="F185" s="17">
        <v>1</v>
      </c>
      <c r="G185" s="74">
        <v>44309</v>
      </c>
      <c r="H185" s="74">
        <v>44314</v>
      </c>
      <c r="I185" s="74">
        <v>44314</v>
      </c>
      <c r="J185" s="20"/>
      <c r="K185" s="18" t="s">
        <v>23</v>
      </c>
      <c r="L185" s="21" t="s">
        <v>24</v>
      </c>
      <c r="M185" s="18" t="s">
        <v>25</v>
      </c>
      <c r="N185" s="18"/>
      <c r="O185" s="18" t="s">
        <v>26</v>
      </c>
      <c r="P185" s="20" t="s">
        <v>27</v>
      </c>
      <c r="Q185" s="18" t="s">
        <v>54</v>
      </c>
      <c r="R185" s="18" t="s">
        <v>54</v>
      </c>
    </row>
    <row r="186" spans="1:18" x14ac:dyDescent="0.25">
      <c r="A186" s="16" t="s">
        <v>30</v>
      </c>
      <c r="B186" s="17" t="s">
        <v>324</v>
      </c>
      <c r="C186" s="18" t="s">
        <v>31</v>
      </c>
      <c r="D186" s="19" t="s">
        <v>325</v>
      </c>
      <c r="E186" s="17" t="s">
        <v>33</v>
      </c>
      <c r="F186" s="17">
        <v>1</v>
      </c>
      <c r="G186" s="74">
        <v>44309</v>
      </c>
      <c r="H186" s="74">
        <v>44314</v>
      </c>
      <c r="I186" s="74">
        <v>44314</v>
      </c>
      <c r="J186" s="20"/>
      <c r="K186" s="18" t="s">
        <v>23</v>
      </c>
      <c r="L186" s="21" t="s">
        <v>24</v>
      </c>
      <c r="M186" s="18" t="s">
        <v>25</v>
      </c>
      <c r="N186" s="18"/>
      <c r="O186" s="18" t="s">
        <v>26</v>
      </c>
      <c r="P186" s="20" t="s">
        <v>27</v>
      </c>
      <c r="Q186" s="18" t="s">
        <v>54</v>
      </c>
      <c r="R186" s="18" t="s">
        <v>54</v>
      </c>
    </row>
    <row r="187" spans="1:18" x14ac:dyDescent="0.25">
      <c r="A187" s="16" t="s">
        <v>30</v>
      </c>
      <c r="B187" s="17" t="s">
        <v>324</v>
      </c>
      <c r="C187" s="18" t="s">
        <v>31</v>
      </c>
      <c r="D187" s="19" t="s">
        <v>325</v>
      </c>
      <c r="E187" s="17" t="s">
        <v>36</v>
      </c>
      <c r="F187" s="17">
        <v>2</v>
      </c>
      <c r="G187" s="74">
        <v>44309</v>
      </c>
      <c r="H187" s="74">
        <v>44314</v>
      </c>
      <c r="I187" s="74">
        <v>44314</v>
      </c>
      <c r="J187" s="20"/>
      <c r="K187" s="18" t="s">
        <v>23</v>
      </c>
      <c r="L187" s="21" t="s">
        <v>24</v>
      </c>
      <c r="M187" s="18" t="s">
        <v>25</v>
      </c>
      <c r="N187" s="18"/>
      <c r="O187" s="18" t="s">
        <v>26</v>
      </c>
      <c r="P187" s="20" t="s">
        <v>27</v>
      </c>
      <c r="Q187" s="18" t="s">
        <v>54</v>
      </c>
      <c r="R187" s="18" t="s">
        <v>54</v>
      </c>
    </row>
    <row r="188" spans="1:18" hidden="1" x14ac:dyDescent="0.25">
      <c r="A188" s="16" t="s">
        <v>30</v>
      </c>
      <c r="B188" s="17" t="s">
        <v>326</v>
      </c>
      <c r="C188" s="18" t="s">
        <v>20</v>
      </c>
      <c r="D188" s="19" t="s">
        <v>327</v>
      </c>
      <c r="E188" s="17" t="s">
        <v>49</v>
      </c>
      <c r="F188" s="17"/>
      <c r="G188" s="74">
        <v>44315</v>
      </c>
      <c r="H188" s="74">
        <v>44321</v>
      </c>
      <c r="I188" s="74"/>
      <c r="J188" s="20"/>
      <c r="K188" s="18" t="s">
        <v>219</v>
      </c>
      <c r="L188" s="21"/>
      <c r="M188" s="18"/>
      <c r="N188" s="18"/>
      <c r="O188" s="18"/>
      <c r="P188" s="20"/>
      <c r="Q188" s="18"/>
      <c r="R188" s="18"/>
    </row>
    <row r="189" spans="1:18" hidden="1" x14ac:dyDescent="0.25">
      <c r="A189" s="16" t="s">
        <v>37</v>
      </c>
      <c r="B189" s="17" t="s">
        <v>328</v>
      </c>
      <c r="C189" s="18" t="s">
        <v>20</v>
      </c>
      <c r="D189" s="19" t="s">
        <v>329</v>
      </c>
      <c r="E189" s="17" t="s">
        <v>67</v>
      </c>
      <c r="F189" s="17"/>
      <c r="G189" s="74">
        <v>44306</v>
      </c>
      <c r="H189" s="74">
        <v>44320</v>
      </c>
      <c r="I189" s="74"/>
      <c r="J189" s="20"/>
      <c r="K189" s="18" t="s">
        <v>219</v>
      </c>
      <c r="L189" s="21"/>
      <c r="M189" s="18"/>
      <c r="N189" s="18"/>
      <c r="O189" s="18"/>
      <c r="P189" s="20"/>
      <c r="Q189" s="18"/>
      <c r="R189" s="18"/>
    </row>
    <row r="190" spans="1:18" ht="25.5" hidden="1" x14ac:dyDescent="0.25">
      <c r="A190" s="16" t="s">
        <v>30</v>
      </c>
      <c r="B190" s="17" t="s">
        <v>330</v>
      </c>
      <c r="C190" s="18" t="s">
        <v>31</v>
      </c>
      <c r="D190" s="19" t="s">
        <v>331</v>
      </c>
      <c r="E190" s="17" t="s">
        <v>39</v>
      </c>
      <c r="F190" s="17"/>
      <c r="G190" s="74">
        <v>44315</v>
      </c>
      <c r="H190" s="74">
        <v>44322</v>
      </c>
      <c r="I190" s="74"/>
      <c r="J190" s="20"/>
      <c r="K190" s="18" t="s">
        <v>219</v>
      </c>
      <c r="L190" s="21" t="s">
        <v>42</v>
      </c>
      <c r="M190" s="18"/>
      <c r="N190" s="18"/>
      <c r="O190" s="18"/>
      <c r="P190" s="20" t="s">
        <v>27</v>
      </c>
      <c r="Q190" s="18" t="s">
        <v>29</v>
      </c>
      <c r="R190" s="18"/>
    </row>
    <row r="191" spans="1:18" hidden="1" x14ac:dyDescent="0.25">
      <c r="A191" s="16" t="s">
        <v>178</v>
      </c>
      <c r="B191" s="17" t="s">
        <v>332</v>
      </c>
      <c r="C191" s="18" t="s">
        <v>31</v>
      </c>
      <c r="D191" s="19" t="s">
        <v>333</v>
      </c>
      <c r="E191" s="17" t="s">
        <v>73</v>
      </c>
      <c r="F191" s="17"/>
      <c r="G191" s="74">
        <v>44306</v>
      </c>
      <c r="H191" s="74">
        <v>44321</v>
      </c>
      <c r="I191" s="74"/>
      <c r="J191" s="20"/>
      <c r="K191" s="18" t="s">
        <v>219</v>
      </c>
      <c r="L191" s="21" t="s">
        <v>42</v>
      </c>
      <c r="M191" s="18"/>
      <c r="N191" s="18"/>
      <c r="O191" s="18"/>
      <c r="P191" s="20" t="s">
        <v>27</v>
      </c>
      <c r="Q191" s="18" t="s">
        <v>54</v>
      </c>
      <c r="R191" s="18"/>
    </row>
    <row r="192" spans="1:18" x14ac:dyDescent="0.25">
      <c r="A192" s="16" t="s">
        <v>178</v>
      </c>
      <c r="B192" s="17" t="s">
        <v>334</v>
      </c>
      <c r="C192" s="18" t="s">
        <v>31</v>
      </c>
      <c r="D192" s="19" t="s">
        <v>335</v>
      </c>
      <c r="E192" s="17" t="s">
        <v>35</v>
      </c>
      <c r="F192" s="17">
        <v>1</v>
      </c>
      <c r="G192" s="74">
        <v>44309</v>
      </c>
      <c r="H192" s="74">
        <v>44316</v>
      </c>
      <c r="I192" s="74">
        <v>44315</v>
      </c>
      <c r="J192" s="20"/>
      <c r="K192" s="18" t="s">
        <v>23</v>
      </c>
      <c r="L192" s="21" t="s">
        <v>24</v>
      </c>
      <c r="M192" s="18" t="s">
        <v>25</v>
      </c>
      <c r="N192" s="18"/>
      <c r="O192" s="18" t="s">
        <v>26</v>
      </c>
      <c r="P192" s="20" t="s">
        <v>26</v>
      </c>
      <c r="Q192" s="18" t="s">
        <v>54</v>
      </c>
      <c r="R192" s="18" t="s">
        <v>54</v>
      </c>
    </row>
    <row r="193" spans="1:18" x14ac:dyDescent="0.25">
      <c r="A193" s="16" t="s">
        <v>178</v>
      </c>
      <c r="B193" s="17" t="s">
        <v>334</v>
      </c>
      <c r="C193" s="18" t="s">
        <v>31</v>
      </c>
      <c r="D193" s="19" t="s">
        <v>335</v>
      </c>
      <c r="E193" s="17" t="s">
        <v>49</v>
      </c>
      <c r="F193" s="17">
        <v>1</v>
      </c>
      <c r="G193" s="74">
        <v>44309</v>
      </c>
      <c r="H193" s="74">
        <v>44316</v>
      </c>
      <c r="I193" s="74">
        <v>44315</v>
      </c>
      <c r="J193" s="20"/>
      <c r="K193" s="18" t="s">
        <v>23</v>
      </c>
      <c r="L193" s="21" t="s">
        <v>24</v>
      </c>
      <c r="M193" s="18" t="s">
        <v>25</v>
      </c>
      <c r="N193" s="18"/>
      <c r="O193" s="18" t="s">
        <v>26</v>
      </c>
      <c r="P193" s="20" t="s">
        <v>26</v>
      </c>
      <c r="Q193" s="18" t="s">
        <v>54</v>
      </c>
      <c r="R193" s="18" t="s">
        <v>54</v>
      </c>
    </row>
    <row r="194" spans="1:18" x14ac:dyDescent="0.25">
      <c r="A194" s="16" t="s">
        <v>178</v>
      </c>
      <c r="B194" s="17" t="s">
        <v>334</v>
      </c>
      <c r="C194" s="18" t="s">
        <v>31</v>
      </c>
      <c r="D194" s="19" t="s">
        <v>335</v>
      </c>
      <c r="E194" s="17" t="s">
        <v>33</v>
      </c>
      <c r="F194" s="17">
        <v>1</v>
      </c>
      <c r="G194" s="74">
        <v>44309</v>
      </c>
      <c r="H194" s="74">
        <v>44316</v>
      </c>
      <c r="I194" s="74">
        <v>44315</v>
      </c>
      <c r="J194" s="20"/>
      <c r="K194" s="18" t="s">
        <v>23</v>
      </c>
      <c r="L194" s="21" t="s">
        <v>24</v>
      </c>
      <c r="M194" s="18" t="s">
        <v>25</v>
      </c>
      <c r="N194" s="18"/>
      <c r="O194" s="18" t="s">
        <v>26</v>
      </c>
      <c r="P194" s="20" t="s">
        <v>26</v>
      </c>
      <c r="Q194" s="18" t="s">
        <v>54</v>
      </c>
      <c r="R194" s="18" t="s">
        <v>54</v>
      </c>
    </row>
    <row r="195" spans="1:18" x14ac:dyDescent="0.25">
      <c r="A195" s="16" t="s">
        <v>178</v>
      </c>
      <c r="B195" s="17" t="s">
        <v>334</v>
      </c>
      <c r="C195" s="18" t="s">
        <v>31</v>
      </c>
      <c r="D195" s="19" t="s">
        <v>335</v>
      </c>
      <c r="E195" s="17" t="s">
        <v>36</v>
      </c>
      <c r="F195" s="17">
        <v>2</v>
      </c>
      <c r="G195" s="74">
        <v>44309</v>
      </c>
      <c r="H195" s="74">
        <v>44316</v>
      </c>
      <c r="I195" s="74">
        <v>44315</v>
      </c>
      <c r="J195" s="20"/>
      <c r="K195" s="18" t="s">
        <v>23</v>
      </c>
      <c r="L195" s="21" t="s">
        <v>24</v>
      </c>
      <c r="M195" s="18" t="s">
        <v>25</v>
      </c>
      <c r="N195" s="18"/>
      <c r="O195" s="18" t="s">
        <v>26</v>
      </c>
      <c r="P195" s="20" t="s">
        <v>26</v>
      </c>
      <c r="Q195" s="18" t="s">
        <v>54</v>
      </c>
      <c r="R195" s="18" t="s">
        <v>54</v>
      </c>
    </row>
    <row r="196" spans="1:18" hidden="1" x14ac:dyDescent="0.25">
      <c r="A196" s="16" t="s">
        <v>30</v>
      </c>
      <c r="B196" s="17">
        <v>233943</v>
      </c>
      <c r="C196" s="18" t="s">
        <v>31</v>
      </c>
      <c r="D196" s="19" t="s">
        <v>336</v>
      </c>
      <c r="E196" s="17" t="s">
        <v>44</v>
      </c>
      <c r="F196" s="17"/>
      <c r="G196" s="74">
        <v>44314</v>
      </c>
      <c r="H196" s="74">
        <v>44320</v>
      </c>
      <c r="I196" s="74"/>
      <c r="J196" s="20"/>
      <c r="K196" s="18" t="s">
        <v>219</v>
      </c>
      <c r="L196" s="21" t="s">
        <v>24</v>
      </c>
      <c r="M196" s="18"/>
      <c r="N196" s="18"/>
      <c r="O196" s="18"/>
      <c r="P196" s="20"/>
      <c r="Q196" s="18"/>
      <c r="R196" s="18"/>
    </row>
    <row r="197" spans="1:18" x14ac:dyDescent="0.25">
      <c r="A197" s="16" t="s">
        <v>95</v>
      </c>
      <c r="B197" s="17" t="s">
        <v>96</v>
      </c>
      <c r="C197" s="18" t="s">
        <v>31</v>
      </c>
      <c r="D197" s="19" t="s">
        <v>337</v>
      </c>
      <c r="E197" s="17" t="s">
        <v>35</v>
      </c>
      <c r="F197" s="17">
        <v>1</v>
      </c>
      <c r="G197" s="74">
        <v>44316</v>
      </c>
      <c r="H197" s="74">
        <v>44316</v>
      </c>
      <c r="I197" s="74">
        <v>44316</v>
      </c>
      <c r="J197" s="20"/>
      <c r="K197" s="18" t="s">
        <v>23</v>
      </c>
      <c r="L197" s="21" t="s">
        <v>24</v>
      </c>
      <c r="M197" s="18"/>
      <c r="N197" s="18"/>
      <c r="O197" s="18" t="s">
        <v>26</v>
      </c>
      <c r="P197" s="20" t="s">
        <v>27</v>
      </c>
      <c r="Q197" s="18" t="s">
        <v>29</v>
      </c>
      <c r="R197" s="18" t="s">
        <v>29</v>
      </c>
    </row>
    <row r="198" spans="1:18" ht="30" x14ac:dyDescent="0.25">
      <c r="A198" s="16" t="s">
        <v>71</v>
      </c>
      <c r="B198" s="17" t="s">
        <v>96</v>
      </c>
      <c r="C198" s="18" t="s">
        <v>31</v>
      </c>
      <c r="D198" s="19" t="s">
        <v>338</v>
      </c>
      <c r="E198" s="17" t="s">
        <v>49</v>
      </c>
      <c r="F198" s="17">
        <v>2</v>
      </c>
      <c r="G198" s="74">
        <v>44316</v>
      </c>
      <c r="H198" s="74">
        <v>44316</v>
      </c>
      <c r="I198" s="74">
        <v>44316</v>
      </c>
      <c r="J198" s="20" t="s">
        <v>339</v>
      </c>
      <c r="K198" s="18" t="s">
        <v>23</v>
      </c>
      <c r="L198" s="21" t="s">
        <v>58</v>
      </c>
      <c r="M198" s="18" t="s">
        <v>25</v>
      </c>
      <c r="N198" s="18"/>
      <c r="O198" s="18" t="s">
        <v>26</v>
      </c>
      <c r="P198" s="20" t="s">
        <v>27</v>
      </c>
      <c r="Q198" s="18" t="s">
        <v>29</v>
      </c>
      <c r="R198" s="18" t="s">
        <v>54</v>
      </c>
    </row>
    <row r="199" spans="1:18" hidden="1" x14ac:dyDescent="0.25">
      <c r="A199" s="16"/>
      <c r="B199" s="17"/>
      <c r="C199" s="18"/>
      <c r="D199" s="19"/>
      <c r="E199" s="17"/>
      <c r="F199" s="17"/>
      <c r="G199" s="74"/>
      <c r="H199" s="74"/>
      <c r="I199" s="74"/>
      <c r="J199" s="20"/>
      <c r="K199" s="18"/>
      <c r="L199" s="21"/>
      <c r="M199" s="18"/>
      <c r="N199" s="18"/>
      <c r="O199" s="18"/>
      <c r="P199" s="20"/>
      <c r="Q199" s="18"/>
      <c r="R199" s="18"/>
    </row>
    <row r="200" spans="1:18" hidden="1" x14ac:dyDescent="0.25">
      <c r="A200" s="16"/>
      <c r="B200" s="17"/>
      <c r="C200" s="18"/>
      <c r="D200" s="19"/>
      <c r="E200" s="17"/>
      <c r="F200" s="17"/>
      <c r="G200" s="74"/>
      <c r="H200" s="74"/>
      <c r="I200" s="74"/>
      <c r="J200" s="20"/>
      <c r="K200" s="18"/>
      <c r="L200" s="21"/>
      <c r="M200" s="18"/>
      <c r="N200" s="18"/>
      <c r="O200" s="18"/>
      <c r="P200" s="20"/>
      <c r="Q200" s="18"/>
      <c r="R200" s="18"/>
    </row>
    <row r="201" spans="1:18" hidden="1" x14ac:dyDescent="0.25">
      <c r="A201" s="16"/>
      <c r="B201" s="17"/>
      <c r="C201" s="18"/>
      <c r="D201" s="19"/>
      <c r="E201" s="17"/>
      <c r="F201" s="17"/>
      <c r="G201" s="74"/>
      <c r="H201" s="74"/>
      <c r="I201" s="74"/>
      <c r="J201" s="20"/>
      <c r="K201" s="18"/>
      <c r="L201" s="21"/>
      <c r="M201" s="18"/>
      <c r="N201" s="18"/>
      <c r="O201" s="18"/>
      <c r="P201" s="20"/>
      <c r="Q201" s="18"/>
      <c r="R201" s="18"/>
    </row>
    <row r="202" spans="1:18" hidden="1" x14ac:dyDescent="0.25">
      <c r="A202" s="16"/>
      <c r="B202" s="17"/>
      <c r="C202" s="18"/>
      <c r="D202" s="19"/>
      <c r="E202" s="17"/>
      <c r="F202" s="17"/>
      <c r="G202" s="74"/>
      <c r="H202" s="74"/>
      <c r="I202" s="74"/>
      <c r="J202" s="20"/>
      <c r="K202" s="18"/>
      <c r="L202" s="21"/>
      <c r="M202" s="18"/>
      <c r="N202" s="18"/>
      <c r="O202" s="18"/>
      <c r="P202" s="20"/>
      <c r="Q202" s="18"/>
      <c r="R202" s="18"/>
    </row>
    <row r="203" spans="1:18" hidden="1" x14ac:dyDescent="0.25">
      <c r="A203" s="16"/>
      <c r="B203" s="17"/>
      <c r="C203" s="18"/>
      <c r="D203" s="19"/>
      <c r="E203" s="17"/>
      <c r="F203" s="17"/>
      <c r="G203" s="74"/>
      <c r="H203" s="74"/>
      <c r="I203" s="74"/>
      <c r="J203" s="20"/>
      <c r="K203" s="18"/>
      <c r="L203" s="21"/>
      <c r="M203" s="18"/>
      <c r="N203" s="18"/>
      <c r="O203" s="18"/>
      <c r="P203" s="20"/>
      <c r="Q203" s="18"/>
      <c r="R203" s="18"/>
    </row>
    <row r="204" spans="1:18" hidden="1" x14ac:dyDescent="0.25">
      <c r="A204" s="16"/>
      <c r="B204" s="17"/>
      <c r="C204" s="18"/>
      <c r="D204" s="19"/>
      <c r="E204" s="17"/>
      <c r="F204" s="17"/>
      <c r="G204" s="74"/>
      <c r="H204" s="74"/>
      <c r="I204" s="74"/>
      <c r="J204" s="20"/>
      <c r="K204" s="18"/>
      <c r="L204" s="21"/>
      <c r="M204" s="18"/>
      <c r="N204" s="18"/>
      <c r="O204" s="18"/>
      <c r="P204" s="20"/>
      <c r="Q204" s="18"/>
      <c r="R204" s="18"/>
    </row>
    <row r="205" spans="1:18" hidden="1" x14ac:dyDescent="0.25">
      <c r="A205" s="16"/>
      <c r="B205" s="17"/>
      <c r="C205" s="18"/>
      <c r="D205" s="19"/>
      <c r="E205" s="17"/>
      <c r="F205" s="17"/>
      <c r="G205" s="74"/>
      <c r="H205" s="74"/>
      <c r="I205" s="74"/>
      <c r="J205" s="20"/>
      <c r="K205" s="18"/>
      <c r="L205" s="21"/>
      <c r="M205" s="18"/>
      <c r="N205" s="18"/>
      <c r="O205" s="18"/>
      <c r="P205" s="20"/>
      <c r="Q205" s="18"/>
      <c r="R205" s="18"/>
    </row>
    <row r="206" spans="1:18" hidden="1" x14ac:dyDescent="0.25">
      <c r="A206" s="16"/>
      <c r="B206" s="17"/>
      <c r="C206" s="18"/>
      <c r="D206" s="19"/>
      <c r="E206" s="17"/>
      <c r="F206" s="17"/>
      <c r="G206" s="74"/>
      <c r="H206" s="74"/>
      <c r="I206" s="74"/>
      <c r="J206" s="20"/>
      <c r="K206" s="18"/>
      <c r="L206" s="21"/>
      <c r="M206" s="18"/>
      <c r="N206" s="18"/>
      <c r="O206" s="18"/>
      <c r="P206" s="20"/>
      <c r="Q206" s="18"/>
      <c r="R206" s="18"/>
    </row>
    <row r="207" spans="1:18" hidden="1" x14ac:dyDescent="0.25">
      <c r="A207" s="16"/>
      <c r="B207" s="17"/>
      <c r="C207" s="18"/>
      <c r="D207" s="19"/>
      <c r="E207" s="17"/>
      <c r="F207" s="17"/>
      <c r="G207" s="74"/>
      <c r="H207" s="74"/>
      <c r="I207" s="74"/>
      <c r="J207" s="20"/>
      <c r="K207" s="18"/>
      <c r="L207" s="21"/>
      <c r="M207" s="18"/>
      <c r="N207" s="18"/>
      <c r="O207" s="18"/>
      <c r="P207" s="20"/>
      <c r="Q207" s="18"/>
      <c r="R207" s="18"/>
    </row>
    <row r="208" spans="1:18" hidden="1" x14ac:dyDescent="0.25">
      <c r="A208" s="16"/>
      <c r="B208" s="17"/>
      <c r="C208" s="18"/>
      <c r="D208" s="19"/>
      <c r="E208" s="17"/>
      <c r="F208" s="17"/>
      <c r="G208" s="74"/>
      <c r="H208" s="74"/>
      <c r="I208" s="74"/>
      <c r="J208" s="20"/>
      <c r="K208" s="18"/>
      <c r="L208" s="21"/>
      <c r="M208" s="18"/>
      <c r="N208" s="18"/>
      <c r="O208" s="18"/>
      <c r="P208" s="20"/>
      <c r="Q208" s="18"/>
      <c r="R208" s="18"/>
    </row>
    <row r="209" spans="1:18" hidden="1" x14ac:dyDescent="0.25">
      <c r="A209" s="16"/>
      <c r="B209" s="17"/>
      <c r="C209" s="18"/>
      <c r="D209" s="19"/>
      <c r="E209" s="17"/>
      <c r="F209" s="17"/>
      <c r="G209" s="74"/>
      <c r="H209" s="74"/>
      <c r="I209" s="74"/>
      <c r="J209" s="20"/>
      <c r="K209" s="18"/>
      <c r="L209" s="21"/>
      <c r="M209" s="18"/>
      <c r="N209" s="18"/>
      <c r="O209" s="18"/>
      <c r="P209" s="20"/>
      <c r="Q209" s="18"/>
      <c r="R209" s="18"/>
    </row>
    <row r="210" spans="1:18" hidden="1" x14ac:dyDescent="0.25">
      <c r="A210" s="16"/>
      <c r="B210" s="17"/>
      <c r="C210" s="18"/>
      <c r="D210" s="19"/>
      <c r="E210" s="17"/>
      <c r="F210" s="17"/>
      <c r="G210" s="74"/>
      <c r="H210" s="74"/>
      <c r="I210" s="74"/>
      <c r="J210" s="20"/>
      <c r="K210" s="18"/>
      <c r="L210" s="21"/>
      <c r="M210" s="18"/>
      <c r="N210" s="18"/>
      <c r="O210" s="18"/>
      <c r="P210" s="20"/>
      <c r="Q210" s="18"/>
      <c r="R210" s="18"/>
    </row>
    <row r="211" spans="1:18" hidden="1" x14ac:dyDescent="0.25">
      <c r="A211" s="16"/>
      <c r="B211" s="17"/>
      <c r="C211" s="18"/>
      <c r="D211" s="19"/>
      <c r="E211" s="17"/>
      <c r="F211" s="17"/>
      <c r="G211" s="74"/>
      <c r="H211" s="74"/>
      <c r="I211" s="74"/>
      <c r="J211" s="20"/>
      <c r="K211" s="18"/>
      <c r="L211" s="21"/>
      <c r="M211" s="18"/>
      <c r="N211" s="18"/>
      <c r="O211" s="18"/>
      <c r="P211" s="20"/>
      <c r="Q211" s="18"/>
      <c r="R211" s="18"/>
    </row>
    <row r="212" spans="1:18" hidden="1" x14ac:dyDescent="0.25">
      <c r="A212" s="16"/>
      <c r="B212" s="17"/>
      <c r="C212" s="18"/>
      <c r="D212" s="19"/>
      <c r="E212" s="17"/>
      <c r="F212" s="17"/>
      <c r="G212" s="74"/>
      <c r="H212" s="74"/>
      <c r="I212" s="74"/>
      <c r="J212" s="20"/>
      <c r="K212" s="18"/>
      <c r="L212" s="21"/>
      <c r="M212" s="18"/>
      <c r="N212" s="18"/>
      <c r="O212" s="18"/>
      <c r="P212" s="20"/>
      <c r="Q212" s="18"/>
      <c r="R212" s="18"/>
    </row>
    <row r="213" spans="1:18" hidden="1" x14ac:dyDescent="0.25">
      <c r="A213" s="16"/>
      <c r="B213" s="17"/>
      <c r="C213" s="18"/>
      <c r="D213" s="19"/>
      <c r="E213" s="17"/>
      <c r="F213" s="17"/>
      <c r="G213" s="74"/>
      <c r="H213" s="74"/>
      <c r="I213" s="74"/>
      <c r="J213" s="20"/>
      <c r="K213" s="18"/>
      <c r="L213" s="21"/>
      <c r="M213" s="18"/>
      <c r="N213" s="18"/>
      <c r="O213" s="18"/>
      <c r="P213" s="20"/>
      <c r="Q213" s="18"/>
      <c r="R213" s="18"/>
    </row>
    <row r="214" spans="1:18" hidden="1" x14ac:dyDescent="0.25">
      <c r="A214" s="16"/>
      <c r="B214" s="17"/>
      <c r="C214" s="18"/>
      <c r="D214" s="19"/>
      <c r="E214" s="17"/>
      <c r="F214" s="17"/>
      <c r="G214" s="74"/>
      <c r="H214" s="74"/>
      <c r="I214" s="74"/>
      <c r="J214" s="20"/>
      <c r="K214" s="18"/>
      <c r="L214" s="21"/>
      <c r="M214" s="18"/>
      <c r="N214" s="18"/>
      <c r="O214" s="18"/>
      <c r="P214" s="20"/>
      <c r="Q214" s="18"/>
      <c r="R214" s="18"/>
    </row>
    <row r="215" spans="1:18" hidden="1" x14ac:dyDescent="0.25">
      <c r="A215" s="16"/>
      <c r="B215" s="17"/>
      <c r="C215" s="18"/>
      <c r="D215" s="19"/>
      <c r="E215" s="17"/>
      <c r="F215" s="17"/>
      <c r="G215" s="74"/>
      <c r="H215" s="74"/>
      <c r="I215" s="74"/>
      <c r="J215" s="20"/>
      <c r="K215" s="18"/>
      <c r="L215" s="21"/>
      <c r="M215" s="18"/>
      <c r="N215" s="18"/>
      <c r="O215" s="18"/>
      <c r="P215" s="20"/>
      <c r="Q215" s="18"/>
      <c r="R215" s="18"/>
    </row>
    <row r="216" spans="1:18" hidden="1" x14ac:dyDescent="0.25">
      <c r="A216" s="16"/>
      <c r="B216" s="17"/>
      <c r="C216" s="18"/>
      <c r="D216" s="19"/>
      <c r="E216" s="17"/>
      <c r="F216" s="17"/>
      <c r="G216" s="74"/>
      <c r="H216" s="74"/>
      <c r="I216" s="74"/>
      <c r="J216" s="20"/>
      <c r="K216" s="18"/>
      <c r="L216" s="21"/>
      <c r="M216" s="18"/>
      <c r="N216" s="18"/>
      <c r="O216" s="18"/>
      <c r="P216" s="20"/>
      <c r="Q216" s="18"/>
      <c r="R216" s="18"/>
    </row>
    <row r="217" spans="1:18" hidden="1" x14ac:dyDescent="0.25">
      <c r="A217" s="16"/>
      <c r="B217" s="17"/>
      <c r="C217" s="18"/>
      <c r="D217" s="19"/>
      <c r="E217" s="17"/>
      <c r="F217" s="17"/>
      <c r="G217" s="74"/>
      <c r="H217" s="74"/>
      <c r="I217" s="74"/>
      <c r="J217" s="20"/>
      <c r="K217" s="18"/>
      <c r="L217" s="21"/>
      <c r="M217" s="18"/>
      <c r="N217" s="18"/>
      <c r="O217" s="18"/>
      <c r="P217" s="20"/>
      <c r="Q217" s="18"/>
      <c r="R217" s="18"/>
    </row>
    <row r="218" spans="1:18" hidden="1" x14ac:dyDescent="0.25">
      <c r="A218" s="16"/>
      <c r="B218" s="17"/>
      <c r="C218" s="18"/>
      <c r="D218" s="19"/>
      <c r="E218" s="17"/>
      <c r="F218" s="17"/>
      <c r="G218" s="74"/>
      <c r="H218" s="74"/>
      <c r="I218" s="74"/>
      <c r="J218" s="20"/>
      <c r="K218" s="18"/>
      <c r="L218" s="21"/>
      <c r="M218" s="18"/>
      <c r="N218" s="18"/>
      <c r="O218" s="18"/>
      <c r="P218" s="20"/>
      <c r="Q218" s="18"/>
      <c r="R218" s="18"/>
    </row>
    <row r="219" spans="1:18" hidden="1" x14ac:dyDescent="0.25">
      <c r="A219" s="16"/>
      <c r="B219" s="17"/>
      <c r="C219" s="18"/>
      <c r="D219" s="19"/>
      <c r="E219" s="17"/>
      <c r="F219" s="17"/>
      <c r="G219" s="74"/>
      <c r="H219" s="74"/>
      <c r="I219" s="74"/>
      <c r="J219" s="20"/>
      <c r="K219" s="18"/>
      <c r="L219" s="21"/>
      <c r="M219" s="18"/>
      <c r="N219" s="18"/>
      <c r="O219" s="18"/>
      <c r="P219" s="20"/>
      <c r="Q219" s="18"/>
      <c r="R219" s="18"/>
    </row>
    <row r="220" spans="1:18" hidden="1" x14ac:dyDescent="0.25">
      <c r="A220" s="16"/>
      <c r="B220" s="17"/>
      <c r="C220" s="18"/>
      <c r="D220" s="19"/>
      <c r="E220" s="17"/>
      <c r="F220" s="17"/>
      <c r="G220" s="74"/>
      <c r="H220" s="74"/>
      <c r="I220" s="74"/>
      <c r="J220" s="20"/>
      <c r="K220" s="18"/>
      <c r="L220" s="21"/>
      <c r="M220" s="18"/>
      <c r="N220" s="18"/>
      <c r="O220" s="18"/>
      <c r="P220" s="20"/>
      <c r="Q220" s="18"/>
      <c r="R220" s="18"/>
    </row>
    <row r="221" spans="1:18" hidden="1" x14ac:dyDescent="0.25">
      <c r="A221" s="16"/>
      <c r="B221" s="17"/>
      <c r="C221" s="18"/>
      <c r="D221" s="19"/>
      <c r="E221" s="17"/>
      <c r="F221" s="17"/>
      <c r="G221" s="74"/>
      <c r="H221" s="74"/>
      <c r="I221" s="74"/>
      <c r="J221" s="20"/>
      <c r="K221" s="18"/>
      <c r="L221" s="21"/>
      <c r="M221" s="18"/>
      <c r="N221" s="18"/>
      <c r="O221" s="18"/>
      <c r="P221" s="20"/>
      <c r="Q221" s="18"/>
      <c r="R221" s="18"/>
    </row>
    <row r="222" spans="1:18" hidden="1" x14ac:dyDescent="0.25">
      <c r="A222" s="16"/>
      <c r="B222" s="17"/>
      <c r="C222" s="18"/>
      <c r="D222" s="19"/>
      <c r="E222" s="17"/>
      <c r="F222" s="17"/>
      <c r="G222" s="74"/>
      <c r="H222" s="74"/>
      <c r="I222" s="74"/>
      <c r="J222" s="20"/>
      <c r="K222" s="18"/>
      <c r="L222" s="21"/>
      <c r="M222" s="18"/>
      <c r="N222" s="18"/>
      <c r="O222" s="18"/>
      <c r="P222" s="20"/>
      <c r="Q222" s="18"/>
      <c r="R222" s="18"/>
    </row>
    <row r="223" spans="1:18" hidden="1" x14ac:dyDescent="0.25">
      <c r="A223" s="16"/>
      <c r="B223" s="17"/>
      <c r="C223" s="18"/>
      <c r="D223" s="19"/>
      <c r="E223" s="17"/>
      <c r="F223" s="17"/>
      <c r="G223" s="74"/>
      <c r="H223" s="74"/>
      <c r="I223" s="74"/>
      <c r="J223" s="20"/>
      <c r="K223" s="18"/>
      <c r="L223" s="21"/>
      <c r="M223" s="18"/>
      <c r="N223" s="18"/>
      <c r="O223" s="18"/>
      <c r="P223" s="20"/>
      <c r="Q223" s="18"/>
      <c r="R223" s="18"/>
    </row>
    <row r="224" spans="1:18" hidden="1" x14ac:dyDescent="0.25">
      <c r="A224" s="16"/>
      <c r="B224" s="17"/>
      <c r="C224" s="18"/>
      <c r="D224" s="19"/>
      <c r="E224" s="17"/>
      <c r="F224" s="17"/>
      <c r="G224" s="74"/>
      <c r="H224" s="74"/>
      <c r="I224" s="74"/>
      <c r="J224" s="20"/>
      <c r="K224" s="18"/>
      <c r="L224" s="21"/>
      <c r="M224" s="18"/>
      <c r="N224" s="18"/>
      <c r="O224" s="18"/>
      <c r="P224" s="20"/>
      <c r="Q224" s="18"/>
      <c r="R224" s="18"/>
    </row>
    <row r="225" spans="1:18" hidden="1" x14ac:dyDescent="0.25">
      <c r="A225" s="16"/>
      <c r="B225" s="17"/>
      <c r="C225" s="18"/>
      <c r="D225" s="19"/>
      <c r="E225" s="17"/>
      <c r="F225" s="17"/>
      <c r="G225" s="74"/>
      <c r="H225" s="74"/>
      <c r="I225" s="74"/>
      <c r="J225" s="20"/>
      <c r="K225" s="18"/>
      <c r="L225" s="21"/>
      <c r="M225" s="18"/>
      <c r="N225" s="18"/>
      <c r="O225" s="18"/>
      <c r="P225" s="20"/>
      <c r="Q225" s="18"/>
      <c r="R225" s="18"/>
    </row>
    <row r="226" spans="1:18" hidden="1" x14ac:dyDescent="0.25">
      <c r="A226" s="16"/>
      <c r="B226" s="17"/>
      <c r="C226" s="18"/>
      <c r="D226" s="19"/>
      <c r="E226" s="17"/>
      <c r="F226" s="17"/>
      <c r="G226" s="74"/>
      <c r="H226" s="74"/>
      <c r="I226" s="74"/>
      <c r="J226" s="20"/>
      <c r="K226" s="18"/>
      <c r="L226" s="21"/>
      <c r="M226" s="18"/>
      <c r="N226" s="18"/>
      <c r="O226" s="18"/>
      <c r="P226" s="20"/>
      <c r="Q226" s="18"/>
      <c r="R226" s="18"/>
    </row>
    <row r="227" spans="1:18" hidden="1" x14ac:dyDescent="0.25">
      <c r="A227" s="16"/>
      <c r="B227" s="17"/>
      <c r="C227" s="18"/>
      <c r="D227" s="19"/>
      <c r="E227" s="17"/>
      <c r="F227" s="17"/>
      <c r="G227" s="74"/>
      <c r="H227" s="74"/>
      <c r="I227" s="74"/>
      <c r="J227" s="20"/>
      <c r="K227" s="18"/>
      <c r="L227" s="21"/>
      <c r="M227" s="18"/>
      <c r="N227" s="18"/>
      <c r="O227" s="18"/>
      <c r="P227" s="20"/>
      <c r="Q227" s="18"/>
      <c r="R227" s="18"/>
    </row>
    <row r="228" spans="1:18" hidden="1" x14ac:dyDescent="0.25">
      <c r="A228" s="16"/>
      <c r="B228" s="17"/>
      <c r="C228" s="18"/>
      <c r="D228" s="19"/>
      <c r="E228" s="17"/>
      <c r="F228" s="17"/>
      <c r="G228" s="74"/>
      <c r="H228" s="74"/>
      <c r="I228" s="74"/>
      <c r="J228" s="20"/>
      <c r="K228" s="18"/>
      <c r="L228" s="21"/>
      <c r="M228" s="18"/>
      <c r="N228" s="18"/>
      <c r="O228" s="18"/>
      <c r="P228" s="20"/>
      <c r="Q228" s="18"/>
      <c r="R228" s="18"/>
    </row>
    <row r="229" spans="1:18" hidden="1" x14ac:dyDescent="0.25">
      <c r="A229" s="16"/>
      <c r="B229" s="17"/>
      <c r="C229" s="18"/>
      <c r="D229" s="19"/>
      <c r="E229" s="17"/>
      <c r="F229" s="17"/>
      <c r="G229" s="74"/>
      <c r="H229" s="74"/>
      <c r="I229" s="74"/>
      <c r="J229" s="20"/>
      <c r="K229" s="18"/>
      <c r="L229" s="21"/>
      <c r="M229" s="18"/>
      <c r="N229" s="18"/>
      <c r="O229" s="18"/>
      <c r="P229" s="20"/>
      <c r="Q229" s="18"/>
      <c r="R229" s="18"/>
    </row>
    <row r="230" spans="1:18" hidden="1" x14ac:dyDescent="0.25">
      <c r="A230" s="23"/>
      <c r="B230" s="24"/>
      <c r="C230" s="25"/>
      <c r="D230" s="26"/>
      <c r="E230" s="24"/>
      <c r="F230" s="24"/>
      <c r="G230" s="75"/>
      <c r="H230" s="75"/>
      <c r="I230" s="75"/>
      <c r="J230" s="27"/>
      <c r="K230" s="25"/>
      <c r="L230" s="28"/>
      <c r="M230" s="25"/>
      <c r="N230" s="25"/>
      <c r="O230" s="25"/>
      <c r="P230" s="27"/>
      <c r="Q230" s="25"/>
      <c r="R230" s="25"/>
    </row>
  </sheetData>
  <conditionalFormatting sqref="A180:R180 K176:K179 A183:R183 K181:K182 A188:R188 A185:O185 A163:O163 A189:F189 H189:R189 K192:K195 A157:O161 A168:O171 Q163:R163 Q185:R185 A190:R192 Q168:R171 A172:R175 A2:R156 Q157:R161 A196:R230">
    <cfRule type="expression" dxfId="201" priority="370">
      <formula>$K2="STAND-BY"</formula>
    </cfRule>
    <cfRule type="expression" dxfId="200" priority="371">
      <formula>$K2="AGUARDANDO APROVAÇÃO"</formula>
    </cfRule>
    <cfRule type="expression" dxfId="199" priority="372">
      <formula>$K2="OK"</formula>
    </cfRule>
    <cfRule type="expression" dxfId="198" priority="373">
      <formula>AND((TODAY()-$H2)&gt;0,$H2&lt;&gt;"",$I2="")=TRUE</formula>
    </cfRule>
  </conditionalFormatting>
  <conditionalFormatting sqref="A176:J176 L176:R176">
    <cfRule type="expression" dxfId="197" priority="121">
      <formula>$K176="STAND-BY"</formula>
    </cfRule>
    <cfRule type="expression" dxfId="196" priority="122">
      <formula>$K176="AGUARDANDO APROVAÇÃO"</formula>
    </cfRule>
    <cfRule type="expression" dxfId="195" priority="123">
      <formula>$K176="OK"</formula>
    </cfRule>
    <cfRule type="expression" dxfId="194" priority="124">
      <formula>AND((TODAY()-$H176)&gt;0,$H176&lt;&gt;"",$I176="")=TRUE</formula>
    </cfRule>
  </conditionalFormatting>
  <conditionalFormatting sqref="A177:J177 L177:R177">
    <cfRule type="expression" dxfId="193" priority="117">
      <formula>$K177="STAND-BY"</formula>
    </cfRule>
    <cfRule type="expression" dxfId="192" priority="118">
      <formula>$K177="AGUARDANDO APROVAÇÃO"</formula>
    </cfRule>
    <cfRule type="expression" dxfId="191" priority="119">
      <formula>$K177="OK"</formula>
    </cfRule>
    <cfRule type="expression" dxfId="190" priority="120">
      <formula>AND((TODAY()-$H177)&gt;0,$H177&lt;&gt;"",$I177="")=TRUE</formula>
    </cfRule>
  </conditionalFormatting>
  <conditionalFormatting sqref="A178:J178 L178:R178">
    <cfRule type="expression" dxfId="189" priority="113">
      <formula>$K178="STAND-BY"</formula>
    </cfRule>
    <cfRule type="expression" dxfId="188" priority="114">
      <formula>$K178="AGUARDANDO APROVAÇÃO"</formula>
    </cfRule>
    <cfRule type="expression" dxfId="187" priority="115">
      <formula>$K178="OK"</formula>
    </cfRule>
    <cfRule type="expression" dxfId="186" priority="116">
      <formula>AND((TODAY()-$H178)&gt;0,$H178&lt;&gt;"",$I178="")=TRUE</formula>
    </cfRule>
  </conditionalFormatting>
  <conditionalFormatting sqref="A179:J179 L179:R179">
    <cfRule type="expression" dxfId="185" priority="109">
      <formula>$K179="STAND-BY"</formula>
    </cfRule>
    <cfRule type="expression" dxfId="184" priority="110">
      <formula>$K179="AGUARDANDO APROVAÇÃO"</formula>
    </cfRule>
    <cfRule type="expression" dxfId="183" priority="111">
      <formula>$K179="OK"</formula>
    </cfRule>
    <cfRule type="expression" dxfId="182" priority="112">
      <formula>AND((TODAY()-$H179)&gt;0,$H179&lt;&gt;"",$I179="")=TRUE</formula>
    </cfRule>
  </conditionalFormatting>
  <conditionalFormatting sqref="A181:J181 L181:R181">
    <cfRule type="expression" dxfId="181" priority="105">
      <formula>$K181="STAND-BY"</formula>
    </cfRule>
    <cfRule type="expression" dxfId="180" priority="106">
      <formula>$K181="AGUARDANDO APROVAÇÃO"</formula>
    </cfRule>
    <cfRule type="expression" dxfId="179" priority="107">
      <formula>$K181="OK"</formula>
    </cfRule>
    <cfRule type="expression" dxfId="178" priority="108">
      <formula>AND((TODAY()-$H181)&gt;0,$H181&lt;&gt;"",$I181="")=TRUE</formula>
    </cfRule>
  </conditionalFormatting>
  <conditionalFormatting sqref="A182:J182 L182:R182">
    <cfRule type="expression" dxfId="177" priority="101">
      <formula>$K182="STAND-BY"</formula>
    </cfRule>
    <cfRule type="expression" dxfId="176" priority="102">
      <formula>$K182="AGUARDANDO APROVAÇÃO"</formula>
    </cfRule>
    <cfRule type="expression" dxfId="175" priority="103">
      <formula>$K182="OK"</formula>
    </cfRule>
    <cfRule type="expression" dxfId="174" priority="104">
      <formula>AND((TODAY()-$H182)&gt;0,$H182&lt;&gt;"",$I182="")=TRUE</formula>
    </cfRule>
  </conditionalFormatting>
  <conditionalFormatting sqref="A184:R184">
    <cfRule type="expression" dxfId="173" priority="97">
      <formula>$K184="STAND-BY"</formula>
    </cfRule>
    <cfRule type="expression" dxfId="172" priority="98">
      <formula>$K184="AGUARDANDO APROVAÇÃO"</formula>
    </cfRule>
    <cfRule type="expression" dxfId="171" priority="99">
      <formula>$K184="OK"</formula>
    </cfRule>
    <cfRule type="expression" dxfId="170" priority="100">
      <formula>AND((TODAY()-$H184)&gt;0,$H184&lt;&gt;"",$I184="")=TRUE</formula>
    </cfRule>
  </conditionalFormatting>
  <conditionalFormatting sqref="A186:H186 J186:O186 Q186:R186">
    <cfRule type="expression" dxfId="169" priority="93">
      <formula>$K186="STAND-BY"</formula>
    </cfRule>
    <cfRule type="expression" dxfId="168" priority="94">
      <formula>$K186="AGUARDANDO APROVAÇÃO"</formula>
    </cfRule>
    <cfRule type="expression" dxfId="167" priority="95">
      <formula>$K186="OK"</formula>
    </cfRule>
    <cfRule type="expression" dxfId="166" priority="96">
      <formula>AND((TODAY()-$H186)&gt;0,$H186&lt;&gt;"",$I186="")=TRUE</formula>
    </cfRule>
  </conditionalFormatting>
  <conditionalFormatting sqref="A187:H187 J187:O187 Q187:R187">
    <cfRule type="expression" dxfId="165" priority="89">
      <formula>$K187="STAND-BY"</formula>
    </cfRule>
    <cfRule type="expression" dxfId="164" priority="90">
      <formula>$K187="AGUARDANDO APROVAÇÃO"</formula>
    </cfRule>
    <cfRule type="expression" dxfId="163" priority="91">
      <formula>$K187="OK"</formula>
    </cfRule>
    <cfRule type="expression" dxfId="162" priority="92">
      <formula>AND((TODAY()-$H187)&gt;0,$H187&lt;&gt;"",$I187="")=TRUE</formula>
    </cfRule>
  </conditionalFormatting>
  <conditionalFormatting sqref="A162:O162 Q162:R162">
    <cfRule type="expression" dxfId="161" priority="85">
      <formula>$K162="STAND-BY"</formula>
    </cfRule>
    <cfRule type="expression" dxfId="160" priority="86">
      <formula>$K162="AGUARDANDO APROVAÇÃO"</formula>
    </cfRule>
    <cfRule type="expression" dxfId="159" priority="87">
      <formula>$K162="OK"</formula>
    </cfRule>
    <cfRule type="expression" dxfId="158" priority="88">
      <formula>AND((TODAY()-$H162)&gt;0,$H162&lt;&gt;"",$I162="")=TRUE</formula>
    </cfRule>
  </conditionalFormatting>
  <conditionalFormatting sqref="I186">
    <cfRule type="expression" dxfId="157" priority="81">
      <formula>$K186="STAND-BY"</formula>
    </cfRule>
    <cfRule type="expression" dxfId="156" priority="82">
      <formula>$K186="AGUARDANDO APROVAÇÃO"</formula>
    </cfRule>
    <cfRule type="expression" dxfId="155" priority="83">
      <formula>$K186="OK"</formula>
    </cfRule>
    <cfRule type="expression" dxfId="154" priority="84">
      <formula>AND((TODAY()-$H186)&gt;0,$H186&lt;&gt;"",$I186="")=TRUE</formula>
    </cfRule>
  </conditionalFormatting>
  <conditionalFormatting sqref="I187">
    <cfRule type="expression" dxfId="153" priority="77">
      <formula>$K187="STAND-BY"</formula>
    </cfRule>
    <cfRule type="expression" dxfId="152" priority="78">
      <formula>$K187="AGUARDANDO APROVAÇÃO"</formula>
    </cfRule>
    <cfRule type="expression" dxfId="151" priority="79">
      <formula>$K187="OK"</formula>
    </cfRule>
    <cfRule type="expression" dxfId="150" priority="80">
      <formula>AND((TODAY()-$H187)&gt;0,$H187&lt;&gt;"",$I187="")=TRUE</formula>
    </cfRule>
  </conditionalFormatting>
  <conditionalFormatting sqref="A164:O164 O164:O168 L164:L168 Q164:R168">
    <cfRule type="expression" dxfId="149" priority="73">
      <formula>$K164="STAND-BY"</formula>
    </cfRule>
    <cfRule type="expression" dxfId="148" priority="74">
      <formula>$K164="AGUARDANDO APROVAÇÃO"</formula>
    </cfRule>
    <cfRule type="expression" dxfId="147" priority="75">
      <formula>$K164="OK"</formula>
    </cfRule>
    <cfRule type="expression" dxfId="146" priority="76">
      <formula>AND((TODAY()-$H164)&gt;0,$H164&lt;&gt;"",$I164="")=TRUE</formula>
    </cfRule>
  </conditionalFormatting>
  <conditionalFormatting sqref="A165:O165 Q165:R165">
    <cfRule type="expression" dxfId="145" priority="69">
      <formula>$K165="STAND-BY"</formula>
    </cfRule>
    <cfRule type="expression" dxfId="144" priority="70">
      <formula>$K165="AGUARDANDO APROVAÇÃO"</formula>
    </cfRule>
    <cfRule type="expression" dxfId="143" priority="71">
      <formula>$K165="OK"</formula>
    </cfRule>
    <cfRule type="expression" dxfId="142" priority="72">
      <formula>AND((TODAY()-$H165)&gt;0,$H165&lt;&gt;"",$I165="")=TRUE</formula>
    </cfRule>
  </conditionalFormatting>
  <conditionalFormatting sqref="A166:O166 Q166:R166">
    <cfRule type="expression" dxfId="141" priority="65">
      <formula>$K166="STAND-BY"</formula>
    </cfRule>
    <cfRule type="expression" dxfId="140" priority="66">
      <formula>$K166="AGUARDANDO APROVAÇÃO"</formula>
    </cfRule>
    <cfRule type="expression" dxfId="139" priority="67">
      <formula>$K166="OK"</formula>
    </cfRule>
    <cfRule type="expression" dxfId="138" priority="68">
      <formula>AND((TODAY()-$H166)&gt;0,$H166&lt;&gt;"",$I166="")=TRUE</formula>
    </cfRule>
  </conditionalFormatting>
  <conditionalFormatting sqref="A167:O167 Q167:R167">
    <cfRule type="expression" dxfId="137" priority="61">
      <formula>$K167="STAND-BY"</formula>
    </cfRule>
    <cfRule type="expression" dxfId="136" priority="62">
      <formula>$K167="AGUARDANDO APROVAÇÃO"</formula>
    </cfRule>
    <cfRule type="expression" dxfId="135" priority="63">
      <formula>$K167="OK"</formula>
    </cfRule>
    <cfRule type="expression" dxfId="134" priority="64">
      <formula>AND((TODAY()-$H167)&gt;0,$H167&lt;&gt;"",$I167="")=TRUE</formula>
    </cfRule>
  </conditionalFormatting>
  <conditionalFormatting sqref="G189">
    <cfRule type="expression" dxfId="133" priority="57">
      <formula>$K189="STAND-BY"</formula>
    </cfRule>
    <cfRule type="expression" dxfId="132" priority="58">
      <formula>$K189="AGUARDANDO APROVAÇÃO"</formula>
    </cfRule>
    <cfRule type="expression" dxfId="131" priority="59">
      <formula>$K189="OK"</formula>
    </cfRule>
    <cfRule type="expression" dxfId="130" priority="60">
      <formula>AND((TODAY()-$H189)&gt;0,$H189&lt;&gt;"",$I189="")=TRUE</formula>
    </cfRule>
  </conditionalFormatting>
  <conditionalFormatting sqref="A193:L193 N193 P193">
    <cfRule type="expression" dxfId="129" priority="53">
      <formula>$K193="STAND-BY"</formula>
    </cfRule>
    <cfRule type="expression" dxfId="128" priority="54">
      <formula>$K193="AGUARDANDO APROVAÇÃO"</formula>
    </cfRule>
    <cfRule type="expression" dxfId="127" priority="55">
      <formula>$K193="OK"</formula>
    </cfRule>
    <cfRule type="expression" dxfId="126" priority="56">
      <formula>AND((TODAY()-$H193)&gt;0,$H193&lt;&gt;"",$I193="")=TRUE</formula>
    </cfRule>
  </conditionalFormatting>
  <conditionalFormatting sqref="A194:L194 N194 P194">
    <cfRule type="expression" dxfId="125" priority="49">
      <formula>$K194="STAND-BY"</formula>
    </cfRule>
    <cfRule type="expression" dxfId="124" priority="50">
      <formula>$K194="AGUARDANDO APROVAÇÃO"</formula>
    </cfRule>
    <cfRule type="expression" dxfId="123" priority="51">
      <formula>$K194="OK"</formula>
    </cfRule>
    <cfRule type="expression" dxfId="122" priority="52">
      <formula>AND((TODAY()-$H194)&gt;0,$H194&lt;&gt;"",$I194="")=TRUE</formula>
    </cfRule>
  </conditionalFormatting>
  <conditionalFormatting sqref="A195:L195 N195 P195">
    <cfRule type="expression" dxfId="121" priority="45">
      <formula>$K195="STAND-BY"</formula>
    </cfRule>
    <cfRule type="expression" dxfId="120" priority="46">
      <formula>$K195="AGUARDANDO APROVAÇÃO"</formula>
    </cfRule>
    <cfRule type="expression" dxfId="119" priority="47">
      <formula>$K195="OK"</formula>
    </cfRule>
    <cfRule type="expression" dxfId="118" priority="48">
      <formula>AND((TODAY()-$H195)&gt;0,$H195&lt;&gt;"",$I195="")=TRUE</formula>
    </cfRule>
  </conditionalFormatting>
  <conditionalFormatting sqref="M193">
    <cfRule type="expression" dxfId="117" priority="41">
      <formula>$K193="STAND-BY"</formula>
    </cfRule>
    <cfRule type="expression" dxfId="116" priority="42">
      <formula>$K193="AGUARDANDO APROVAÇÃO"</formula>
    </cfRule>
    <cfRule type="expression" dxfId="115" priority="43">
      <formula>$K193="OK"</formula>
    </cfRule>
    <cfRule type="expression" dxfId="114" priority="44">
      <formula>AND((TODAY()-$H193)&gt;0,$H193&lt;&gt;"",$I193="")=TRUE</formula>
    </cfRule>
  </conditionalFormatting>
  <conditionalFormatting sqref="M194">
    <cfRule type="expression" dxfId="113" priority="37">
      <formula>$K194="STAND-BY"</formula>
    </cfRule>
    <cfRule type="expression" dxfId="112" priority="38">
      <formula>$K194="AGUARDANDO APROVAÇÃO"</formula>
    </cfRule>
    <cfRule type="expression" dxfId="111" priority="39">
      <formula>$K194="OK"</formula>
    </cfRule>
    <cfRule type="expression" dxfId="110" priority="40">
      <formula>AND((TODAY()-$H194)&gt;0,$H194&lt;&gt;"",$I194="")=TRUE</formula>
    </cfRule>
  </conditionalFormatting>
  <conditionalFormatting sqref="M195">
    <cfRule type="expression" dxfId="109" priority="33">
      <formula>$K195="STAND-BY"</formula>
    </cfRule>
    <cfRule type="expression" dxfId="108" priority="34">
      <formula>$K195="AGUARDANDO APROVAÇÃO"</formula>
    </cfRule>
    <cfRule type="expression" dxfId="107" priority="35">
      <formula>$K195="OK"</formula>
    </cfRule>
    <cfRule type="expression" dxfId="106" priority="36">
      <formula>AND((TODAY()-$H195)&gt;0,$H195&lt;&gt;"",$I195="")=TRUE</formula>
    </cfRule>
  </conditionalFormatting>
  <conditionalFormatting sqref="O193">
    <cfRule type="expression" dxfId="105" priority="25">
      <formula>$K193="STAND-BY"</formula>
    </cfRule>
    <cfRule type="expression" dxfId="104" priority="26">
      <formula>$K193="AGUARDANDO APROVAÇÃO"</formula>
    </cfRule>
    <cfRule type="expression" dxfId="103" priority="27">
      <formula>$K193="OK"</formula>
    </cfRule>
    <cfRule type="expression" dxfId="102" priority="28">
      <formula>AND((TODAY()-$H193)&gt;0,$H193&lt;&gt;"",$I193="")=TRUE</formula>
    </cfRule>
  </conditionalFormatting>
  <conditionalFormatting sqref="O194">
    <cfRule type="expression" dxfId="101" priority="21">
      <formula>$K194="STAND-BY"</formula>
    </cfRule>
    <cfRule type="expression" dxfId="100" priority="22">
      <formula>$K194="AGUARDANDO APROVAÇÃO"</formula>
    </cfRule>
    <cfRule type="expression" dxfId="99" priority="23">
      <formula>$K194="OK"</formula>
    </cfRule>
    <cfRule type="expression" dxfId="98" priority="24">
      <formula>AND((TODAY()-$H194)&gt;0,$H194&lt;&gt;"",$I194="")=TRUE</formula>
    </cfRule>
  </conditionalFormatting>
  <conditionalFormatting sqref="O195">
    <cfRule type="expression" dxfId="97" priority="17">
      <formula>$K195="STAND-BY"</formula>
    </cfRule>
    <cfRule type="expression" dxfId="96" priority="18">
      <formula>$K195="AGUARDANDO APROVAÇÃO"</formula>
    </cfRule>
    <cfRule type="expression" dxfId="95" priority="19">
      <formula>$K195="OK"</formula>
    </cfRule>
    <cfRule type="expression" dxfId="94" priority="20">
      <formula>AND((TODAY()-$H195)&gt;0,$H195&lt;&gt;"",$I195="")=TRUE</formula>
    </cfRule>
  </conditionalFormatting>
  <conditionalFormatting sqref="Q193:R193">
    <cfRule type="expression" dxfId="93" priority="13">
      <formula>$K193="STAND-BY"</formula>
    </cfRule>
    <cfRule type="expression" dxfId="92" priority="14">
      <formula>$K193="AGUARDANDO APROVAÇÃO"</formula>
    </cfRule>
    <cfRule type="expression" dxfId="91" priority="15">
      <formula>$K193="OK"</formula>
    </cfRule>
    <cfRule type="expression" dxfId="90" priority="16">
      <formula>AND((TODAY()-$H193)&gt;0,$H193&lt;&gt;"",$I193="")=TRUE</formula>
    </cfRule>
  </conditionalFormatting>
  <conditionalFormatting sqref="Q194:R194">
    <cfRule type="expression" dxfId="89" priority="9">
      <formula>$K194="STAND-BY"</formula>
    </cfRule>
    <cfRule type="expression" dxfId="88" priority="10">
      <formula>$K194="AGUARDANDO APROVAÇÃO"</formula>
    </cfRule>
    <cfRule type="expression" dxfId="87" priority="11">
      <formula>$K194="OK"</formula>
    </cfRule>
    <cfRule type="expression" dxfId="86" priority="12">
      <formula>AND((TODAY()-$H194)&gt;0,$H194&lt;&gt;"",$I194="")=TRUE</formula>
    </cfRule>
  </conditionalFormatting>
  <conditionalFormatting sqref="Q195:R195">
    <cfRule type="expression" dxfId="85" priority="5">
      <formula>$K195="STAND-BY"</formula>
    </cfRule>
    <cfRule type="expression" dxfId="84" priority="6">
      <formula>$K195="AGUARDANDO APROVAÇÃO"</formula>
    </cfRule>
    <cfRule type="expression" dxfId="83" priority="7">
      <formula>$K195="OK"</formula>
    </cfRule>
    <cfRule type="expression" dxfId="82" priority="8">
      <formula>AND((TODAY()-$H195)&gt;0,$H195&lt;&gt;"",$I195="")=TRUE</formula>
    </cfRule>
  </conditionalFormatting>
  <conditionalFormatting sqref="P185:P187 P157:P171">
    <cfRule type="expression" dxfId="81" priority="1">
      <formula>$K157="STAND-BY"</formula>
    </cfRule>
    <cfRule type="expression" dxfId="80" priority="2">
      <formula>$K157="AGUARDANDO APROVAÇÃO"</formula>
    </cfRule>
    <cfRule type="expression" dxfId="79" priority="3">
      <formula>$K157="OK"</formula>
    </cfRule>
    <cfRule type="expression" dxfId="78" priority="4">
      <formula>AND((TODAY()-$H157)&gt;0,$H157&lt;&gt;"",$I157="")=TRUE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8FAD54A-B7F2-40BE-99BE-80D823BFABFB}">
          <x14:formula1>
            <xm:f>'NÃO MEXER'!$C$2:$C$85</xm:f>
          </x14:formula1>
          <xm:sqref>E2:E230</xm:sqref>
        </x14:dataValidation>
        <x14:dataValidation type="list" allowBlank="1" showInputMessage="1" showErrorMessage="1" xr:uid="{096E6FBC-4554-475B-B1DC-16C1287FF232}">
          <x14:formula1>
            <xm:f>'NÃO MEXER'!$J$2:$J$6</xm:f>
          </x14:formula1>
          <xm:sqref>R2:R230</xm:sqref>
        </x14:dataValidation>
        <x14:dataValidation type="list" allowBlank="1" showInputMessage="1" showErrorMessage="1" xr:uid="{D87D134A-3BDA-49F8-AFF7-011F8BCF2F00}">
          <x14:formula1>
            <xm:f>'NÃO MEXER'!$I$2:$I$6</xm:f>
          </x14:formula1>
          <xm:sqref>Q2:Q230</xm:sqref>
        </x14:dataValidation>
        <x14:dataValidation type="list" allowBlank="1" showInputMessage="1" showErrorMessage="1" xr:uid="{636A299C-BD43-4B28-9169-2E5D6FBA97BA}">
          <x14:formula1>
            <xm:f>'NÃO MEXER'!$H$2:$H$3</xm:f>
          </x14:formula1>
          <xm:sqref>O2:P230</xm:sqref>
        </x14:dataValidation>
        <x14:dataValidation type="list" allowBlank="1" showInputMessage="1" showErrorMessage="1" xr:uid="{C4AE30C5-1FDF-4374-AD4D-9BC2FAD87FD0}">
          <x14:formula1>
            <xm:f>'NÃO MEXER'!$G$2:$G$7</xm:f>
          </x14:formula1>
          <xm:sqref>M2:M230</xm:sqref>
        </x14:dataValidation>
        <x14:dataValidation type="list" allowBlank="1" showInputMessage="1" showErrorMessage="1" xr:uid="{9100BCEF-3F7C-4C70-975A-54A5F736ADD1}">
          <x14:formula1>
            <xm:f>'NÃO MEXER'!$E$2:$E$6</xm:f>
          </x14:formula1>
          <xm:sqref>K2:K230</xm:sqref>
        </x14:dataValidation>
        <x14:dataValidation type="list" allowBlank="1" showInputMessage="1" showErrorMessage="1" xr:uid="{0EC2BE34-66A3-49E9-AB16-9573BB8D7B8B}">
          <x14:formula1>
            <xm:f>'NÃO MEXER'!$A$2:$A$25</xm:f>
          </x14:formula1>
          <xm:sqref>A2:A230</xm:sqref>
        </x14:dataValidation>
        <x14:dataValidation type="list" allowBlank="1" showInputMessage="1" showErrorMessage="1" xr:uid="{A06D957B-8C59-4265-9FD0-05A4FFFE4952}">
          <x14:formula1>
            <xm:f>'NÃO MEXER'!$B$2:$B$15</xm:f>
          </x14:formula1>
          <xm:sqref>C2:C230</xm:sqref>
        </x14:dataValidation>
        <x14:dataValidation type="list" allowBlank="1" showInputMessage="1" showErrorMessage="1" xr:uid="{B7B02CDD-67A8-491A-A1AB-46650056B765}">
          <x14:formula1>
            <xm:f>'NÃO MEXER'!$F$2:$F$7</xm:f>
          </x14:formula1>
          <xm:sqref>L2:L230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FD661-0D65-48D9-BEB3-91D1B659EF97}">
  <sheetPr codeName="Planilha11"/>
  <dimension ref="A1:R52"/>
  <sheetViews>
    <sheetView workbookViewId="0">
      <selection activeCell="F29" sqref="F29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0.85546875" bestFit="1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38.5703125" bestFit="1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</row>
    <row r="2" spans="1:18" x14ac:dyDescent="0.25">
      <c r="A2" s="16" t="s">
        <v>30</v>
      </c>
      <c r="B2" s="17">
        <v>224197</v>
      </c>
      <c r="C2" s="18" t="s">
        <v>64</v>
      </c>
      <c r="D2" s="19" t="s">
        <v>260</v>
      </c>
      <c r="E2" s="17" t="s">
        <v>80</v>
      </c>
      <c r="F2" s="17">
        <v>1</v>
      </c>
      <c r="G2" s="74">
        <v>44256</v>
      </c>
      <c r="H2" s="74">
        <v>44274</v>
      </c>
      <c r="I2" s="74"/>
      <c r="J2" s="20"/>
      <c r="K2" s="18" t="s">
        <v>219</v>
      </c>
      <c r="L2" s="21" t="s">
        <v>42</v>
      </c>
      <c r="M2" s="18" t="s">
        <v>25</v>
      </c>
      <c r="N2" s="18"/>
      <c r="O2" s="18" t="s">
        <v>27</v>
      </c>
      <c r="P2" s="20"/>
      <c r="Q2" s="18" t="s">
        <v>29</v>
      </c>
      <c r="R2" s="18"/>
    </row>
    <row r="3" spans="1:18" ht="25.5" x14ac:dyDescent="0.25">
      <c r="A3" s="16" t="s">
        <v>68</v>
      </c>
      <c r="B3" s="17">
        <v>230329</v>
      </c>
      <c r="C3" s="18" t="s">
        <v>20</v>
      </c>
      <c r="D3" s="19" t="s">
        <v>280</v>
      </c>
      <c r="E3" s="17" t="s">
        <v>36</v>
      </c>
      <c r="F3" s="17">
        <v>1</v>
      </c>
      <c r="G3" s="74">
        <v>44281</v>
      </c>
      <c r="H3" s="74">
        <v>44292</v>
      </c>
      <c r="I3" s="74"/>
      <c r="J3" s="20"/>
      <c r="K3" s="18" t="s">
        <v>214</v>
      </c>
      <c r="L3" s="21" t="s">
        <v>42</v>
      </c>
      <c r="M3" s="18" t="s">
        <v>25</v>
      </c>
      <c r="N3" s="18"/>
      <c r="O3" s="18" t="s">
        <v>27</v>
      </c>
      <c r="P3" s="20"/>
      <c r="Q3" s="18" t="s">
        <v>29</v>
      </c>
      <c r="R3" s="18"/>
    </row>
    <row r="4" spans="1:18" ht="25.5" x14ac:dyDescent="0.25">
      <c r="A4" s="16" t="s">
        <v>68</v>
      </c>
      <c r="B4" s="17">
        <v>230329</v>
      </c>
      <c r="C4" s="18" t="s">
        <v>20</v>
      </c>
      <c r="D4" s="19" t="s">
        <v>280</v>
      </c>
      <c r="E4" s="17" t="s">
        <v>33</v>
      </c>
      <c r="F4" s="17">
        <v>1</v>
      </c>
      <c r="G4" s="74">
        <v>44281</v>
      </c>
      <c r="H4" s="74">
        <v>44292</v>
      </c>
      <c r="I4" s="74"/>
      <c r="J4" s="20"/>
      <c r="K4" s="18" t="s">
        <v>214</v>
      </c>
      <c r="L4" s="21" t="s">
        <v>42</v>
      </c>
      <c r="M4" s="18" t="s">
        <v>25</v>
      </c>
      <c r="N4" s="18"/>
      <c r="O4" s="18" t="s">
        <v>27</v>
      </c>
      <c r="P4" s="20"/>
      <c r="Q4" s="18" t="s">
        <v>29</v>
      </c>
      <c r="R4" s="18"/>
    </row>
    <row r="5" spans="1:18" ht="25.5" x14ac:dyDescent="0.25">
      <c r="A5" s="16" t="s">
        <v>68</v>
      </c>
      <c r="B5" s="17">
        <v>230329</v>
      </c>
      <c r="C5" s="18" t="s">
        <v>20</v>
      </c>
      <c r="D5" s="19" t="s">
        <v>280</v>
      </c>
      <c r="E5" s="17" t="s">
        <v>49</v>
      </c>
      <c r="F5" s="17">
        <v>1</v>
      </c>
      <c r="G5" s="74">
        <v>44281</v>
      </c>
      <c r="H5" s="74">
        <v>44292</v>
      </c>
      <c r="I5" s="74"/>
      <c r="J5" s="20"/>
      <c r="K5" s="18" t="s">
        <v>214</v>
      </c>
      <c r="L5" s="21" t="s">
        <v>42</v>
      </c>
      <c r="M5" s="18" t="s">
        <v>25</v>
      </c>
      <c r="N5" s="18"/>
      <c r="O5" s="18" t="s">
        <v>27</v>
      </c>
      <c r="P5" s="20"/>
      <c r="Q5" s="18" t="s">
        <v>29</v>
      </c>
      <c r="R5" s="18"/>
    </row>
    <row r="6" spans="1:18" x14ac:dyDescent="0.25">
      <c r="A6" s="16" t="s">
        <v>37</v>
      </c>
      <c r="B6" s="17">
        <v>231774</v>
      </c>
      <c r="C6" s="18" t="s">
        <v>20</v>
      </c>
      <c r="D6" s="19" t="s">
        <v>284</v>
      </c>
      <c r="E6" s="17" t="s">
        <v>22</v>
      </c>
      <c r="F6" s="17">
        <v>1</v>
      </c>
      <c r="G6" s="74">
        <v>44291</v>
      </c>
      <c r="H6" s="74">
        <v>44294</v>
      </c>
      <c r="I6" s="74"/>
      <c r="J6" s="20"/>
      <c r="K6" s="18" t="s">
        <v>214</v>
      </c>
      <c r="L6" s="21" t="s">
        <v>34</v>
      </c>
      <c r="M6" s="18" t="s">
        <v>25</v>
      </c>
      <c r="N6" s="18"/>
      <c r="O6" s="18" t="s">
        <v>26</v>
      </c>
      <c r="P6" s="20"/>
      <c r="Q6" s="18" t="s">
        <v>29</v>
      </c>
      <c r="R6" s="18" t="s">
        <v>54</v>
      </c>
    </row>
    <row r="7" spans="1:18" ht="25.5" x14ac:dyDescent="0.25">
      <c r="A7" s="16" t="s">
        <v>40</v>
      </c>
      <c r="B7" s="17" t="s">
        <v>300</v>
      </c>
      <c r="C7" s="18" t="s">
        <v>20</v>
      </c>
      <c r="D7" s="19" t="s">
        <v>301</v>
      </c>
      <c r="E7" s="17" t="s">
        <v>35</v>
      </c>
      <c r="F7" s="17">
        <v>1</v>
      </c>
      <c r="G7" s="74">
        <v>44300</v>
      </c>
      <c r="H7" s="74">
        <v>44301</v>
      </c>
      <c r="I7" s="74"/>
      <c r="J7" s="20"/>
      <c r="K7" s="18" t="s">
        <v>219</v>
      </c>
      <c r="L7" s="21" t="s">
        <v>24</v>
      </c>
      <c r="M7" s="18" t="s">
        <v>25</v>
      </c>
      <c r="N7" s="18"/>
      <c r="O7" s="18" t="s">
        <v>26</v>
      </c>
      <c r="P7" s="20"/>
      <c r="Q7" s="18" t="s">
        <v>29</v>
      </c>
      <c r="R7" s="18"/>
    </row>
    <row r="8" spans="1:18" ht="25.5" x14ac:dyDescent="0.25">
      <c r="A8" s="16" t="s">
        <v>37</v>
      </c>
      <c r="B8" s="17">
        <v>231977</v>
      </c>
      <c r="C8" s="18" t="s">
        <v>20</v>
      </c>
      <c r="D8" s="19" t="s">
        <v>302</v>
      </c>
      <c r="E8" s="17" t="s">
        <v>35</v>
      </c>
      <c r="F8" s="17">
        <v>1</v>
      </c>
      <c r="G8" s="74">
        <v>44292</v>
      </c>
      <c r="H8" s="74">
        <v>44309</v>
      </c>
      <c r="I8" s="74"/>
      <c r="J8" s="20"/>
      <c r="K8" s="18" t="s">
        <v>214</v>
      </c>
      <c r="L8" s="21" t="s">
        <v>42</v>
      </c>
      <c r="M8" s="18" t="s">
        <v>25</v>
      </c>
      <c r="N8" s="18">
        <v>1</v>
      </c>
      <c r="O8" s="18" t="s">
        <v>27</v>
      </c>
      <c r="P8" s="20"/>
      <c r="Q8" s="18" t="s">
        <v>54</v>
      </c>
      <c r="R8" s="18"/>
    </row>
    <row r="9" spans="1:18" ht="25.5" x14ac:dyDescent="0.25">
      <c r="A9" s="16" t="s">
        <v>47</v>
      </c>
      <c r="B9" s="17" t="s">
        <v>307</v>
      </c>
      <c r="C9" s="18" t="s">
        <v>31</v>
      </c>
      <c r="D9" s="19" t="s">
        <v>308</v>
      </c>
      <c r="E9" s="17" t="s">
        <v>33</v>
      </c>
      <c r="F9" s="17">
        <v>1</v>
      </c>
      <c r="G9" s="74">
        <v>44300</v>
      </c>
      <c r="H9" s="74">
        <v>44314</v>
      </c>
      <c r="I9" s="74">
        <v>44314</v>
      </c>
      <c r="J9" s="20"/>
      <c r="K9" s="18" t="s">
        <v>214</v>
      </c>
      <c r="L9" s="21" t="s">
        <v>24</v>
      </c>
      <c r="M9" s="18" t="s">
        <v>25</v>
      </c>
      <c r="N9" s="18"/>
      <c r="O9" s="18" t="s">
        <v>26</v>
      </c>
      <c r="P9" s="20" t="s">
        <v>27</v>
      </c>
      <c r="Q9" s="18" t="s">
        <v>74</v>
      </c>
      <c r="R9" s="18"/>
    </row>
    <row r="10" spans="1:18" ht="25.5" x14ac:dyDescent="0.25">
      <c r="A10" s="16" t="s">
        <v>47</v>
      </c>
      <c r="B10" s="17" t="s">
        <v>307</v>
      </c>
      <c r="C10" s="18" t="s">
        <v>31</v>
      </c>
      <c r="D10" s="19" t="s">
        <v>308</v>
      </c>
      <c r="E10" s="17" t="s">
        <v>35</v>
      </c>
      <c r="F10" s="17">
        <v>1</v>
      </c>
      <c r="G10" s="74">
        <v>44300</v>
      </c>
      <c r="H10" s="74">
        <v>44314</v>
      </c>
      <c r="I10" s="74">
        <v>44314</v>
      </c>
      <c r="J10" s="20"/>
      <c r="K10" s="18" t="s">
        <v>214</v>
      </c>
      <c r="L10" s="21" t="s">
        <v>24</v>
      </c>
      <c r="M10" s="18" t="s">
        <v>25</v>
      </c>
      <c r="N10" s="18"/>
      <c r="O10" s="18" t="s">
        <v>26</v>
      </c>
      <c r="P10" s="20" t="s">
        <v>27</v>
      </c>
      <c r="Q10" s="18" t="s">
        <v>74</v>
      </c>
      <c r="R10" s="18"/>
    </row>
    <row r="11" spans="1:18" ht="25.5" x14ac:dyDescent="0.25">
      <c r="A11" s="16" t="s">
        <v>47</v>
      </c>
      <c r="B11" s="17" t="s">
        <v>312</v>
      </c>
      <c r="C11" s="18" t="s">
        <v>31</v>
      </c>
      <c r="D11" s="19" t="s">
        <v>313</v>
      </c>
      <c r="E11" s="17" t="s">
        <v>35</v>
      </c>
      <c r="F11" s="17">
        <v>1</v>
      </c>
      <c r="G11" s="74">
        <v>44300</v>
      </c>
      <c r="H11" s="74">
        <v>44312</v>
      </c>
      <c r="I11" s="74">
        <v>44312</v>
      </c>
      <c r="J11" s="20"/>
      <c r="K11" s="18" t="s">
        <v>214</v>
      </c>
      <c r="L11" s="21" t="s">
        <v>24</v>
      </c>
      <c r="M11" s="18" t="s">
        <v>25</v>
      </c>
      <c r="N11" s="18"/>
      <c r="O11" s="18" t="s">
        <v>26</v>
      </c>
      <c r="P11" s="20" t="s">
        <v>27</v>
      </c>
      <c r="Q11" s="18" t="s">
        <v>28</v>
      </c>
      <c r="R11" s="18"/>
    </row>
    <row r="12" spans="1:18" ht="25.5" x14ac:dyDescent="0.25">
      <c r="A12" s="16" t="s">
        <v>47</v>
      </c>
      <c r="B12" s="17" t="s">
        <v>312</v>
      </c>
      <c r="C12" s="18" t="s">
        <v>31</v>
      </c>
      <c r="D12" s="19" t="s">
        <v>313</v>
      </c>
      <c r="E12" s="17" t="s">
        <v>314</v>
      </c>
      <c r="F12" s="17">
        <v>1</v>
      </c>
      <c r="G12" s="74">
        <v>44300</v>
      </c>
      <c r="H12" s="74">
        <v>44312</v>
      </c>
      <c r="I12" s="74">
        <v>44312</v>
      </c>
      <c r="J12" s="20"/>
      <c r="K12" s="18" t="s">
        <v>214</v>
      </c>
      <c r="L12" s="21" t="s">
        <v>24</v>
      </c>
      <c r="M12" s="18" t="s">
        <v>25</v>
      </c>
      <c r="N12" s="18"/>
      <c r="O12" s="18" t="s">
        <v>26</v>
      </c>
      <c r="P12" s="20" t="s">
        <v>27</v>
      </c>
      <c r="Q12" s="18" t="s">
        <v>28</v>
      </c>
      <c r="R12" s="18"/>
    </row>
    <row r="13" spans="1:18" x14ac:dyDescent="0.25">
      <c r="A13" s="16" t="s">
        <v>30</v>
      </c>
      <c r="B13" s="17" t="s">
        <v>326</v>
      </c>
      <c r="C13" s="18" t="s">
        <v>20</v>
      </c>
      <c r="D13" s="19" t="s">
        <v>327</v>
      </c>
      <c r="E13" s="17" t="s">
        <v>290</v>
      </c>
      <c r="F13" s="17">
        <v>1</v>
      </c>
      <c r="G13" s="74">
        <v>44315</v>
      </c>
      <c r="H13" s="74">
        <v>44321</v>
      </c>
      <c r="I13" s="74"/>
      <c r="J13" s="20"/>
      <c r="K13" s="18" t="s">
        <v>214</v>
      </c>
      <c r="L13" s="21" t="s">
        <v>24</v>
      </c>
      <c r="M13" s="18" t="s">
        <v>25</v>
      </c>
      <c r="N13" s="18"/>
      <c r="O13" s="18" t="s">
        <v>26</v>
      </c>
      <c r="P13" s="20" t="s">
        <v>27</v>
      </c>
      <c r="Q13" s="18" t="s">
        <v>29</v>
      </c>
      <c r="R13" s="18"/>
    </row>
    <row r="14" spans="1:18" x14ac:dyDescent="0.25">
      <c r="A14" s="16" t="s">
        <v>30</v>
      </c>
      <c r="B14" s="17" t="s">
        <v>326</v>
      </c>
      <c r="C14" s="18" t="s">
        <v>20</v>
      </c>
      <c r="D14" s="76" t="s">
        <v>327</v>
      </c>
      <c r="E14" s="17" t="s">
        <v>49</v>
      </c>
      <c r="F14" s="17">
        <v>1</v>
      </c>
      <c r="G14" s="74">
        <v>44315</v>
      </c>
      <c r="H14" s="74">
        <v>44321</v>
      </c>
      <c r="I14" s="74"/>
      <c r="J14" s="20"/>
      <c r="K14" s="18" t="s">
        <v>214</v>
      </c>
      <c r="L14" s="21" t="s">
        <v>24</v>
      </c>
      <c r="M14" s="18" t="s">
        <v>25</v>
      </c>
      <c r="N14" s="18"/>
      <c r="O14" s="18" t="s">
        <v>26</v>
      </c>
      <c r="P14" s="20" t="s">
        <v>27</v>
      </c>
      <c r="Q14" s="18" t="s">
        <v>29</v>
      </c>
      <c r="R14" s="18"/>
    </row>
    <row r="15" spans="1:18" x14ac:dyDescent="0.25">
      <c r="A15" s="16" t="s">
        <v>30</v>
      </c>
      <c r="B15" s="17" t="s">
        <v>326</v>
      </c>
      <c r="C15" s="18" t="s">
        <v>20</v>
      </c>
      <c r="D15" s="76" t="s">
        <v>327</v>
      </c>
      <c r="E15" s="17" t="s">
        <v>36</v>
      </c>
      <c r="F15" s="17">
        <v>2</v>
      </c>
      <c r="G15" s="74">
        <v>44315</v>
      </c>
      <c r="H15" s="74">
        <v>44321</v>
      </c>
      <c r="I15" s="74"/>
      <c r="J15" s="20"/>
      <c r="K15" s="18" t="s">
        <v>214</v>
      </c>
      <c r="L15" s="21" t="s">
        <v>24</v>
      </c>
      <c r="M15" s="18" t="s">
        <v>25</v>
      </c>
      <c r="N15" s="18"/>
      <c r="O15" s="18" t="s">
        <v>26</v>
      </c>
      <c r="P15" s="20" t="s">
        <v>27</v>
      </c>
      <c r="Q15" s="18" t="s">
        <v>29</v>
      </c>
      <c r="R15" s="18"/>
    </row>
    <row r="16" spans="1:18" x14ac:dyDescent="0.25">
      <c r="A16" s="16" t="s">
        <v>37</v>
      </c>
      <c r="B16" s="17" t="s">
        <v>328</v>
      </c>
      <c r="C16" s="18" t="s">
        <v>20</v>
      </c>
      <c r="D16" s="19" t="s">
        <v>329</v>
      </c>
      <c r="E16" s="17" t="s">
        <v>67</v>
      </c>
      <c r="F16" s="17"/>
      <c r="G16" s="74">
        <v>44306</v>
      </c>
      <c r="H16" s="74">
        <v>44320</v>
      </c>
      <c r="I16" s="74"/>
      <c r="J16" s="20"/>
      <c r="K16" s="18" t="s">
        <v>219</v>
      </c>
      <c r="L16" s="21"/>
      <c r="M16" s="18"/>
      <c r="N16" s="18"/>
      <c r="O16" s="18"/>
      <c r="P16" s="20"/>
      <c r="Q16" s="18"/>
      <c r="R16" s="18"/>
    </row>
    <row r="17" spans="1:18" ht="25.5" x14ac:dyDescent="0.25">
      <c r="A17" s="16" t="s">
        <v>30</v>
      </c>
      <c r="B17" s="17" t="s">
        <v>330</v>
      </c>
      <c r="C17" s="18" t="s">
        <v>31</v>
      </c>
      <c r="D17" s="19" t="s">
        <v>331</v>
      </c>
      <c r="E17" s="17" t="s">
        <v>39</v>
      </c>
      <c r="F17" s="17"/>
      <c r="G17" s="74">
        <v>44315</v>
      </c>
      <c r="H17" s="74">
        <v>44322</v>
      </c>
      <c r="I17" s="74"/>
      <c r="J17" s="20"/>
      <c r="K17" s="18" t="s">
        <v>219</v>
      </c>
      <c r="L17" s="21" t="s">
        <v>42</v>
      </c>
      <c r="M17" s="18"/>
      <c r="N17" s="18"/>
      <c r="O17" s="18"/>
      <c r="P17" s="20" t="s">
        <v>27</v>
      </c>
      <c r="Q17" s="18" t="s">
        <v>29</v>
      </c>
      <c r="R17" s="18"/>
    </row>
    <row r="18" spans="1:18" x14ac:dyDescent="0.25">
      <c r="A18" s="16" t="s">
        <v>178</v>
      </c>
      <c r="B18" s="17" t="s">
        <v>332</v>
      </c>
      <c r="C18" s="18" t="s">
        <v>31</v>
      </c>
      <c r="D18" s="19" t="s">
        <v>333</v>
      </c>
      <c r="E18" s="17" t="s">
        <v>33</v>
      </c>
      <c r="F18" s="17">
        <v>1</v>
      </c>
      <c r="G18" s="74">
        <v>44306</v>
      </c>
      <c r="H18" s="74">
        <v>44321</v>
      </c>
      <c r="I18" s="74">
        <v>44321</v>
      </c>
      <c r="J18" s="20"/>
      <c r="K18" s="18" t="s">
        <v>214</v>
      </c>
      <c r="L18" s="21" t="s">
        <v>42</v>
      </c>
      <c r="M18" s="18"/>
      <c r="N18" s="18"/>
      <c r="O18" s="18"/>
      <c r="P18" s="20" t="s">
        <v>27</v>
      </c>
      <c r="Q18" s="18" t="s">
        <v>54</v>
      </c>
      <c r="R18" s="18"/>
    </row>
    <row r="19" spans="1:18" x14ac:dyDescent="0.25">
      <c r="A19" s="16" t="s">
        <v>178</v>
      </c>
      <c r="B19" s="17" t="s">
        <v>332</v>
      </c>
      <c r="C19" s="18" t="s">
        <v>31</v>
      </c>
      <c r="D19" s="19" t="s">
        <v>333</v>
      </c>
      <c r="E19" s="17" t="s">
        <v>35</v>
      </c>
      <c r="F19" s="17">
        <v>1</v>
      </c>
      <c r="G19" s="74">
        <v>44306</v>
      </c>
      <c r="H19" s="74">
        <v>44321</v>
      </c>
      <c r="I19" s="74">
        <v>44321</v>
      </c>
      <c r="J19" s="20"/>
      <c r="K19" s="18" t="s">
        <v>214</v>
      </c>
      <c r="L19" s="21" t="s">
        <v>42</v>
      </c>
      <c r="M19" s="18"/>
      <c r="N19" s="18"/>
      <c r="O19" s="18"/>
      <c r="P19" s="20" t="s">
        <v>27</v>
      </c>
      <c r="Q19" s="18" t="s">
        <v>54</v>
      </c>
      <c r="R19" s="18"/>
    </row>
    <row r="20" spans="1:18" x14ac:dyDescent="0.25">
      <c r="A20" s="16" t="s">
        <v>30</v>
      </c>
      <c r="B20" s="17">
        <v>233943</v>
      </c>
      <c r="C20" s="18" t="s">
        <v>31</v>
      </c>
      <c r="D20" s="19" t="s">
        <v>336</v>
      </c>
      <c r="E20" s="17" t="s">
        <v>44</v>
      </c>
      <c r="F20" s="17">
        <v>1</v>
      </c>
      <c r="G20" s="74">
        <v>44314</v>
      </c>
      <c r="H20" s="74">
        <v>44320</v>
      </c>
      <c r="I20" s="74">
        <v>44320</v>
      </c>
      <c r="J20" s="20"/>
      <c r="K20" s="18" t="s">
        <v>23</v>
      </c>
      <c r="L20" s="21" t="s">
        <v>24</v>
      </c>
      <c r="M20" s="18"/>
      <c r="N20" s="18"/>
      <c r="O20" s="18"/>
      <c r="P20" s="20"/>
      <c r="Q20" s="18"/>
      <c r="R20" s="18"/>
    </row>
    <row r="21" spans="1:18" x14ac:dyDescent="0.25">
      <c r="A21" s="16" t="s">
        <v>55</v>
      </c>
      <c r="B21" s="17" t="s">
        <v>96</v>
      </c>
      <c r="C21" s="18" t="s">
        <v>31</v>
      </c>
      <c r="D21" s="19" t="s">
        <v>511</v>
      </c>
      <c r="E21" s="17" t="s">
        <v>39</v>
      </c>
      <c r="F21" s="17">
        <v>1</v>
      </c>
      <c r="G21" s="74">
        <v>44321</v>
      </c>
      <c r="H21" s="74">
        <v>44322</v>
      </c>
      <c r="I21" s="74"/>
      <c r="J21" s="20"/>
      <c r="K21" s="18" t="s">
        <v>219</v>
      </c>
      <c r="L21" s="21" t="s">
        <v>42</v>
      </c>
      <c r="M21" s="18"/>
      <c r="N21" s="18"/>
      <c r="O21" s="18"/>
      <c r="P21" s="20"/>
      <c r="Q21" s="18"/>
      <c r="R21" s="18"/>
    </row>
    <row r="22" spans="1:18" x14ac:dyDescent="0.25">
      <c r="A22" s="16" t="s">
        <v>55</v>
      </c>
      <c r="B22" s="17" t="s">
        <v>96</v>
      </c>
      <c r="C22" s="18" t="s">
        <v>31</v>
      </c>
      <c r="D22" s="19" t="s">
        <v>512</v>
      </c>
      <c r="E22" s="17" t="s">
        <v>290</v>
      </c>
      <c r="F22" s="17">
        <v>1</v>
      </c>
      <c r="G22" s="74">
        <v>44321</v>
      </c>
      <c r="H22" s="74">
        <v>44323</v>
      </c>
      <c r="I22" s="74"/>
      <c r="J22" s="20"/>
      <c r="K22" s="18" t="s">
        <v>219</v>
      </c>
      <c r="L22" s="21" t="s">
        <v>24</v>
      </c>
      <c r="M22" s="18"/>
      <c r="N22" s="18"/>
      <c r="O22" s="18"/>
      <c r="P22" s="20"/>
      <c r="Q22" s="18"/>
      <c r="R22" s="18"/>
    </row>
    <row r="23" spans="1:18" ht="25.5" x14ac:dyDescent="0.25">
      <c r="A23" s="16" t="s">
        <v>47</v>
      </c>
      <c r="B23" s="17" t="s">
        <v>312</v>
      </c>
      <c r="C23" s="18" t="s">
        <v>31</v>
      </c>
      <c r="D23" s="19" t="s">
        <v>313</v>
      </c>
      <c r="E23" s="17" t="s">
        <v>33</v>
      </c>
      <c r="F23" s="17">
        <v>7</v>
      </c>
      <c r="G23" s="74">
        <v>44320</v>
      </c>
      <c r="H23" s="74">
        <v>44323</v>
      </c>
      <c r="I23" s="74"/>
      <c r="J23" s="20"/>
      <c r="K23" s="18" t="s">
        <v>219</v>
      </c>
      <c r="L23" s="21" t="s">
        <v>24</v>
      </c>
      <c r="M23" s="18" t="s">
        <v>25</v>
      </c>
      <c r="N23" s="18"/>
      <c r="O23" s="18" t="s">
        <v>26</v>
      </c>
      <c r="P23" s="20" t="s">
        <v>27</v>
      </c>
      <c r="Q23" s="18" t="s">
        <v>28</v>
      </c>
      <c r="R23" s="18"/>
    </row>
    <row r="24" spans="1:18" x14ac:dyDescent="0.25">
      <c r="A24" s="16"/>
      <c r="B24" s="17"/>
      <c r="C24" s="18"/>
      <c r="D24" s="19"/>
      <c r="E24" s="17"/>
      <c r="F24" s="17"/>
      <c r="G24" s="74"/>
      <c r="H24" s="74"/>
      <c r="I24" s="74"/>
      <c r="J24" s="20"/>
      <c r="K24" s="18"/>
      <c r="L24" s="21"/>
      <c r="M24" s="18"/>
      <c r="N24" s="18"/>
      <c r="O24" s="18"/>
      <c r="P24" s="20"/>
      <c r="Q24" s="18"/>
      <c r="R24" s="18"/>
    </row>
    <row r="25" spans="1:18" x14ac:dyDescent="0.25">
      <c r="A25" s="16"/>
      <c r="B25" s="17"/>
      <c r="C25" s="18"/>
      <c r="D25" s="19"/>
      <c r="E25" s="17"/>
      <c r="F25" s="17"/>
      <c r="G25" s="74"/>
      <c r="H25" s="74"/>
      <c r="I25" s="74"/>
      <c r="J25" s="20"/>
      <c r="K25" s="18"/>
      <c r="L25" s="21"/>
      <c r="M25" s="18"/>
      <c r="N25" s="18"/>
      <c r="O25" s="18"/>
      <c r="P25" s="20"/>
      <c r="Q25" s="18"/>
      <c r="R25" s="18"/>
    </row>
    <row r="26" spans="1:18" x14ac:dyDescent="0.25">
      <c r="A26" s="16"/>
      <c r="B26" s="17"/>
      <c r="C26" s="18"/>
      <c r="D26" s="19"/>
      <c r="E26" s="17"/>
      <c r="F26" s="17"/>
      <c r="G26" s="74"/>
      <c r="H26" s="74"/>
      <c r="I26" s="74"/>
      <c r="J26" s="20"/>
      <c r="K26" s="18"/>
      <c r="L26" s="21"/>
      <c r="M26" s="18"/>
      <c r="N26" s="18"/>
      <c r="O26" s="18"/>
      <c r="P26" s="20"/>
      <c r="Q26" s="18"/>
      <c r="R26" s="18"/>
    </row>
    <row r="27" spans="1:18" x14ac:dyDescent="0.25">
      <c r="A27" s="16"/>
      <c r="B27" s="17"/>
      <c r="C27" s="18"/>
      <c r="D27" s="19"/>
      <c r="E27" s="17"/>
      <c r="F27" s="17"/>
      <c r="G27" s="74"/>
      <c r="H27" s="74"/>
      <c r="I27" s="74"/>
      <c r="J27" s="20"/>
      <c r="K27" s="18"/>
      <c r="L27" s="21"/>
      <c r="M27" s="18"/>
      <c r="N27" s="18"/>
      <c r="O27" s="18"/>
      <c r="P27" s="20"/>
      <c r="Q27" s="18"/>
      <c r="R27" s="18"/>
    </row>
    <row r="28" spans="1:18" x14ac:dyDescent="0.25">
      <c r="A28" s="16"/>
      <c r="B28" s="17"/>
      <c r="C28" s="18"/>
      <c r="D28" s="19"/>
      <c r="E28" s="17"/>
      <c r="F28" s="17"/>
      <c r="G28" s="74"/>
      <c r="H28" s="74"/>
      <c r="I28" s="74"/>
      <c r="J28" s="20"/>
      <c r="K28" s="18"/>
      <c r="L28" s="21"/>
      <c r="M28" s="18"/>
      <c r="N28" s="18"/>
      <c r="O28" s="18"/>
      <c r="P28" s="20"/>
      <c r="Q28" s="18"/>
      <c r="R28" s="18"/>
    </row>
    <row r="29" spans="1:18" x14ac:dyDescent="0.25">
      <c r="A29" s="16"/>
      <c r="B29" s="17"/>
      <c r="C29" s="18"/>
      <c r="D29" s="19"/>
      <c r="E29" s="17"/>
      <c r="F29" s="17"/>
      <c r="G29" s="74"/>
      <c r="H29" s="74"/>
      <c r="I29" s="74"/>
      <c r="J29" s="20"/>
      <c r="K29" s="18"/>
      <c r="L29" s="21"/>
      <c r="M29" s="18"/>
      <c r="N29" s="18"/>
      <c r="O29" s="18"/>
      <c r="P29" s="20"/>
      <c r="Q29" s="18"/>
      <c r="R29" s="18"/>
    </row>
    <row r="30" spans="1:18" x14ac:dyDescent="0.25">
      <c r="A30" s="16"/>
      <c r="B30" s="17"/>
      <c r="C30" s="18"/>
      <c r="D30" s="19"/>
      <c r="E30" s="17"/>
      <c r="F30" s="17"/>
      <c r="G30" s="74"/>
      <c r="H30" s="74"/>
      <c r="I30" s="74"/>
      <c r="J30" s="20"/>
      <c r="K30" s="18"/>
      <c r="L30" s="21"/>
      <c r="M30" s="18"/>
      <c r="N30" s="18"/>
      <c r="O30" s="18"/>
      <c r="P30" s="20"/>
      <c r="Q30" s="18"/>
      <c r="R30" s="18"/>
    </row>
    <row r="31" spans="1:18" x14ac:dyDescent="0.25">
      <c r="A31" s="16"/>
      <c r="B31" s="17"/>
      <c r="C31" s="18"/>
      <c r="D31" s="19"/>
      <c r="E31" s="17"/>
      <c r="F31" s="17"/>
      <c r="G31" s="74"/>
      <c r="H31" s="74"/>
      <c r="I31" s="74"/>
      <c r="J31" s="20"/>
      <c r="K31" s="18"/>
      <c r="L31" s="21"/>
      <c r="M31" s="18"/>
      <c r="N31" s="18"/>
      <c r="O31" s="18"/>
      <c r="P31" s="20"/>
      <c r="Q31" s="18"/>
      <c r="R31" s="18"/>
    </row>
    <row r="32" spans="1:18" x14ac:dyDescent="0.25">
      <c r="A32" s="16"/>
      <c r="B32" s="17"/>
      <c r="C32" s="18"/>
      <c r="D32" s="19"/>
      <c r="E32" s="17"/>
      <c r="F32" s="17"/>
      <c r="G32" s="74"/>
      <c r="H32" s="74"/>
      <c r="I32" s="74"/>
      <c r="J32" s="20"/>
      <c r="K32" s="18"/>
      <c r="L32" s="21"/>
      <c r="M32" s="18"/>
      <c r="N32" s="18"/>
      <c r="O32" s="18"/>
      <c r="P32" s="20"/>
      <c r="Q32" s="18"/>
      <c r="R32" s="18"/>
    </row>
    <row r="33" spans="1:18" x14ac:dyDescent="0.25">
      <c r="A33" s="16"/>
      <c r="B33" s="17"/>
      <c r="C33" s="18"/>
      <c r="D33" s="19"/>
      <c r="E33" s="17"/>
      <c r="F33" s="17"/>
      <c r="G33" s="74"/>
      <c r="H33" s="74"/>
      <c r="I33" s="74"/>
      <c r="J33" s="20"/>
      <c r="K33" s="18"/>
      <c r="L33" s="21"/>
      <c r="M33" s="18"/>
      <c r="N33" s="18"/>
      <c r="O33" s="18"/>
      <c r="P33" s="20"/>
      <c r="Q33" s="18"/>
      <c r="R33" s="18"/>
    </row>
    <row r="34" spans="1:18" x14ac:dyDescent="0.25">
      <c r="A34" s="16"/>
      <c r="B34" s="17"/>
      <c r="C34" s="18"/>
      <c r="D34" s="19"/>
      <c r="E34" s="17"/>
      <c r="F34" s="17"/>
      <c r="G34" s="74"/>
      <c r="H34" s="74"/>
      <c r="I34" s="74"/>
      <c r="J34" s="20"/>
      <c r="K34" s="18"/>
      <c r="L34" s="21"/>
      <c r="M34" s="18"/>
      <c r="N34" s="18"/>
      <c r="O34" s="18"/>
      <c r="P34" s="20"/>
      <c r="Q34" s="18"/>
      <c r="R34" s="18"/>
    </row>
    <row r="35" spans="1:18" x14ac:dyDescent="0.25">
      <c r="A35" s="16"/>
      <c r="B35" s="17"/>
      <c r="C35" s="18"/>
      <c r="D35" s="19"/>
      <c r="E35" s="17"/>
      <c r="F35" s="17"/>
      <c r="G35" s="74"/>
      <c r="H35" s="74"/>
      <c r="I35" s="74"/>
      <c r="J35" s="20"/>
      <c r="K35" s="18"/>
      <c r="L35" s="21"/>
      <c r="M35" s="18"/>
      <c r="N35" s="18"/>
      <c r="O35" s="18"/>
      <c r="P35" s="20"/>
      <c r="Q35" s="18"/>
      <c r="R35" s="18"/>
    </row>
    <row r="36" spans="1:18" x14ac:dyDescent="0.25">
      <c r="A36" s="16"/>
      <c r="B36" s="17"/>
      <c r="C36" s="18"/>
      <c r="D36" s="19"/>
      <c r="E36" s="17"/>
      <c r="F36" s="17"/>
      <c r="G36" s="74"/>
      <c r="H36" s="74"/>
      <c r="I36" s="74"/>
      <c r="J36" s="20"/>
      <c r="K36" s="18"/>
      <c r="L36" s="21"/>
      <c r="M36" s="18"/>
      <c r="N36" s="18"/>
      <c r="O36" s="18"/>
      <c r="P36" s="20"/>
      <c r="Q36" s="18"/>
      <c r="R36" s="18"/>
    </row>
    <row r="37" spans="1:18" x14ac:dyDescent="0.25">
      <c r="A37" s="16"/>
      <c r="B37" s="17"/>
      <c r="C37" s="18"/>
      <c r="D37" s="19"/>
      <c r="E37" s="17"/>
      <c r="F37" s="17"/>
      <c r="G37" s="74"/>
      <c r="H37" s="74"/>
      <c r="I37" s="74"/>
      <c r="J37" s="20"/>
      <c r="K37" s="18"/>
      <c r="L37" s="21"/>
      <c r="M37" s="18"/>
      <c r="N37" s="18"/>
      <c r="O37" s="18"/>
      <c r="P37" s="20"/>
      <c r="Q37" s="18"/>
      <c r="R37" s="18"/>
    </row>
    <row r="38" spans="1:18" x14ac:dyDescent="0.25">
      <c r="A38" s="16"/>
      <c r="B38" s="17"/>
      <c r="C38" s="18"/>
      <c r="D38" s="19"/>
      <c r="E38" s="17"/>
      <c r="F38" s="17"/>
      <c r="G38" s="74"/>
      <c r="H38" s="74"/>
      <c r="I38" s="74"/>
      <c r="J38" s="20"/>
      <c r="K38" s="18"/>
      <c r="L38" s="21"/>
      <c r="M38" s="18"/>
      <c r="N38" s="18"/>
      <c r="O38" s="18"/>
      <c r="P38" s="20"/>
      <c r="Q38" s="18"/>
      <c r="R38" s="18"/>
    </row>
    <row r="39" spans="1:18" x14ac:dyDescent="0.25">
      <c r="A39" s="16"/>
      <c r="B39" s="17"/>
      <c r="C39" s="18"/>
      <c r="D39" s="19"/>
      <c r="E39" s="17"/>
      <c r="F39" s="17"/>
      <c r="G39" s="74"/>
      <c r="H39" s="74"/>
      <c r="I39" s="74"/>
      <c r="J39" s="20"/>
      <c r="K39" s="18"/>
      <c r="L39" s="21"/>
      <c r="M39" s="18"/>
      <c r="N39" s="18"/>
      <c r="O39" s="18"/>
      <c r="P39" s="20"/>
      <c r="Q39" s="18"/>
      <c r="R39" s="18"/>
    </row>
    <row r="40" spans="1:18" x14ac:dyDescent="0.25">
      <c r="A40" s="16"/>
      <c r="B40" s="17"/>
      <c r="C40" s="18"/>
      <c r="D40" s="19"/>
      <c r="E40" s="17"/>
      <c r="F40" s="17"/>
      <c r="G40" s="74"/>
      <c r="H40" s="74"/>
      <c r="I40" s="74"/>
      <c r="J40" s="20"/>
      <c r="K40" s="18"/>
      <c r="L40" s="21"/>
      <c r="M40" s="18"/>
      <c r="N40" s="18"/>
      <c r="O40" s="18"/>
      <c r="P40" s="20"/>
      <c r="Q40" s="18"/>
      <c r="R40" s="18"/>
    </row>
    <row r="41" spans="1:18" x14ac:dyDescent="0.25">
      <c r="A41" s="16"/>
      <c r="B41" s="17"/>
      <c r="C41" s="18"/>
      <c r="D41" s="19"/>
      <c r="E41" s="17"/>
      <c r="F41" s="17"/>
      <c r="G41" s="74"/>
      <c r="H41" s="74"/>
      <c r="I41" s="74"/>
      <c r="J41" s="20"/>
      <c r="K41" s="18"/>
      <c r="L41" s="21"/>
      <c r="M41" s="18"/>
      <c r="N41" s="18"/>
      <c r="O41" s="18"/>
      <c r="P41" s="20"/>
      <c r="Q41" s="18"/>
      <c r="R41" s="18"/>
    </row>
    <row r="42" spans="1:18" x14ac:dyDescent="0.25">
      <c r="A42" s="16"/>
      <c r="B42" s="17"/>
      <c r="C42" s="18"/>
      <c r="D42" s="19"/>
      <c r="E42" s="17"/>
      <c r="F42" s="17"/>
      <c r="G42" s="74"/>
      <c r="H42" s="74"/>
      <c r="I42" s="74"/>
      <c r="J42" s="20"/>
      <c r="K42" s="18"/>
      <c r="L42" s="21"/>
      <c r="M42" s="18"/>
      <c r="N42" s="18"/>
      <c r="O42" s="18"/>
      <c r="P42" s="20"/>
      <c r="Q42" s="18"/>
      <c r="R42" s="18"/>
    </row>
    <row r="43" spans="1:18" x14ac:dyDescent="0.25">
      <c r="A43" s="16"/>
      <c r="B43" s="17"/>
      <c r="C43" s="18"/>
      <c r="D43" s="19"/>
      <c r="E43" s="17"/>
      <c r="F43" s="17"/>
      <c r="G43" s="74"/>
      <c r="H43" s="74"/>
      <c r="I43" s="74"/>
      <c r="J43" s="20"/>
      <c r="K43" s="18"/>
      <c r="L43" s="21"/>
      <c r="M43" s="18"/>
      <c r="N43" s="18"/>
      <c r="O43" s="18"/>
      <c r="P43" s="20"/>
      <c r="Q43" s="18"/>
      <c r="R43" s="18"/>
    </row>
    <row r="44" spans="1:18" x14ac:dyDescent="0.25">
      <c r="A44" s="16"/>
      <c r="B44" s="17"/>
      <c r="C44" s="18"/>
      <c r="D44" s="19"/>
      <c r="E44" s="17"/>
      <c r="F44" s="17"/>
      <c r="G44" s="74"/>
      <c r="H44" s="74"/>
      <c r="I44" s="74"/>
      <c r="J44" s="20"/>
      <c r="K44" s="18"/>
      <c r="L44" s="21"/>
      <c r="M44" s="18"/>
      <c r="N44" s="18"/>
      <c r="O44" s="18"/>
      <c r="P44" s="20"/>
      <c r="Q44" s="18"/>
      <c r="R44" s="18"/>
    </row>
    <row r="45" spans="1:18" x14ac:dyDescent="0.25">
      <c r="A45" s="16"/>
      <c r="B45" s="17"/>
      <c r="C45" s="18"/>
      <c r="D45" s="19"/>
      <c r="E45" s="17"/>
      <c r="F45" s="17"/>
      <c r="G45" s="74"/>
      <c r="H45" s="74"/>
      <c r="I45" s="74"/>
      <c r="J45" s="20"/>
      <c r="K45" s="18"/>
      <c r="L45" s="21"/>
      <c r="M45" s="18"/>
      <c r="N45" s="18"/>
      <c r="O45" s="18"/>
      <c r="P45" s="20"/>
      <c r="Q45" s="18"/>
      <c r="R45" s="18"/>
    </row>
    <row r="46" spans="1:18" x14ac:dyDescent="0.25">
      <c r="A46" s="16"/>
      <c r="B46" s="17"/>
      <c r="C46" s="18"/>
      <c r="D46" s="19"/>
      <c r="E46" s="17"/>
      <c r="F46" s="17"/>
      <c r="G46" s="74"/>
      <c r="H46" s="74"/>
      <c r="I46" s="74"/>
      <c r="J46" s="20"/>
      <c r="K46" s="18"/>
      <c r="L46" s="21"/>
      <c r="M46" s="18"/>
      <c r="N46" s="18"/>
      <c r="O46" s="18"/>
      <c r="P46" s="20"/>
      <c r="Q46" s="18"/>
      <c r="R46" s="18"/>
    </row>
    <row r="47" spans="1:18" x14ac:dyDescent="0.25">
      <c r="A47" s="16"/>
      <c r="B47" s="17"/>
      <c r="C47" s="18"/>
      <c r="D47" s="19"/>
      <c r="E47" s="17"/>
      <c r="F47" s="17"/>
      <c r="G47" s="74"/>
      <c r="H47" s="74"/>
      <c r="I47" s="74"/>
      <c r="J47" s="20"/>
      <c r="K47" s="18"/>
      <c r="L47" s="21"/>
      <c r="M47" s="18"/>
      <c r="N47" s="18"/>
      <c r="O47" s="18"/>
      <c r="P47" s="20"/>
      <c r="Q47" s="18"/>
      <c r="R47" s="18"/>
    </row>
    <row r="48" spans="1:18" x14ac:dyDescent="0.25">
      <c r="A48" s="16"/>
      <c r="B48" s="17"/>
      <c r="C48" s="18"/>
      <c r="D48" s="19"/>
      <c r="E48" s="17"/>
      <c r="F48" s="17"/>
      <c r="G48" s="74"/>
      <c r="H48" s="74"/>
      <c r="I48" s="74"/>
      <c r="J48" s="20"/>
      <c r="K48" s="18"/>
      <c r="L48" s="21"/>
      <c r="M48" s="18"/>
      <c r="N48" s="18"/>
      <c r="O48" s="18"/>
      <c r="P48" s="20"/>
      <c r="Q48" s="18"/>
      <c r="R48" s="18"/>
    </row>
    <row r="49" spans="1:18" x14ac:dyDescent="0.25">
      <c r="A49" s="16"/>
      <c r="B49" s="17"/>
      <c r="C49" s="18"/>
      <c r="D49" s="19"/>
      <c r="E49" s="17"/>
      <c r="F49" s="17"/>
      <c r="G49" s="74"/>
      <c r="H49" s="74"/>
      <c r="I49" s="74"/>
      <c r="J49" s="20"/>
      <c r="K49" s="18"/>
      <c r="L49" s="21"/>
      <c r="M49" s="18"/>
      <c r="N49" s="18"/>
      <c r="O49" s="18"/>
      <c r="P49" s="20"/>
      <c r="Q49" s="18"/>
      <c r="R49" s="18"/>
    </row>
    <row r="50" spans="1:18" x14ac:dyDescent="0.25">
      <c r="A50" s="16"/>
      <c r="B50" s="17"/>
      <c r="C50" s="18"/>
      <c r="D50" s="19"/>
      <c r="E50" s="17"/>
      <c r="F50" s="17"/>
      <c r="G50" s="74"/>
      <c r="H50" s="74"/>
      <c r="I50" s="74"/>
      <c r="J50" s="20"/>
      <c r="K50" s="18"/>
      <c r="L50" s="21"/>
      <c r="M50" s="18"/>
      <c r="N50" s="18"/>
      <c r="O50" s="18"/>
      <c r="P50" s="20"/>
      <c r="Q50" s="18"/>
      <c r="R50" s="18"/>
    </row>
    <row r="51" spans="1:18" x14ac:dyDescent="0.25">
      <c r="A51" s="16"/>
      <c r="B51" s="17"/>
      <c r="C51" s="18"/>
      <c r="D51" s="19"/>
      <c r="E51" s="17"/>
      <c r="F51" s="17"/>
      <c r="G51" s="74"/>
      <c r="H51" s="74"/>
      <c r="I51" s="74"/>
      <c r="J51" s="20"/>
      <c r="K51" s="18"/>
      <c r="L51" s="21"/>
      <c r="M51" s="18"/>
      <c r="N51" s="18"/>
      <c r="O51" s="18"/>
      <c r="P51" s="20"/>
      <c r="Q51" s="18"/>
      <c r="R51" s="18"/>
    </row>
    <row r="52" spans="1:18" x14ac:dyDescent="0.25">
      <c r="A52" s="23"/>
      <c r="B52" s="24"/>
      <c r="C52" s="25"/>
      <c r="D52" s="26"/>
      <c r="E52" s="24"/>
      <c r="F52" s="24"/>
      <c r="G52" s="75"/>
      <c r="H52" s="75"/>
      <c r="I52" s="75"/>
      <c r="J52" s="27"/>
      <c r="K52" s="25"/>
      <c r="L52" s="28"/>
      <c r="M52" s="25"/>
      <c r="N52" s="25"/>
      <c r="O52" s="25"/>
      <c r="P52" s="27"/>
      <c r="Q52" s="25"/>
      <c r="R52" s="25"/>
    </row>
  </sheetData>
  <conditionalFormatting sqref="A13:R13 A16:F16 H16:R16 A10:O12 Q10:R12 P9:P12 A2:R8 P14:P15 A17:R17 A19:R22 A24:R52">
    <cfRule type="expression" dxfId="54" priority="141">
      <formula>$K2="STAND-BY"</formula>
    </cfRule>
    <cfRule type="expression" dxfId="53" priority="142">
      <formula>$K2="AGUARDANDO APROVAÇÃO"</formula>
    </cfRule>
    <cfRule type="expression" dxfId="52" priority="143">
      <formula>$K2="OK"</formula>
    </cfRule>
    <cfRule type="expression" dxfId="51" priority="144">
      <formula>AND((TODAY()-$H2)&gt;0,$H2&lt;&gt;"",$I2="")=TRUE</formula>
    </cfRule>
  </conditionalFormatting>
  <conditionalFormatting sqref="A9:O9 Q9:R9">
    <cfRule type="expression" dxfId="50" priority="101">
      <formula>$K9="STAND-BY"</formula>
    </cfRule>
    <cfRule type="expression" dxfId="49" priority="102">
      <formula>$K9="AGUARDANDO APROVAÇÃO"</formula>
    </cfRule>
    <cfRule type="expression" dxfId="48" priority="103">
      <formula>$K9="OK"</formula>
    </cfRule>
    <cfRule type="expression" dxfId="47" priority="104">
      <formula>AND((TODAY()-$H9)&gt;0,$H9&lt;&gt;"",$I9="")=TRUE</formula>
    </cfRule>
  </conditionalFormatting>
  <conditionalFormatting sqref="G16">
    <cfRule type="expression" dxfId="46" priority="73">
      <formula>$K16="STAND-BY"</formula>
    </cfRule>
    <cfRule type="expression" dxfId="45" priority="74">
      <formula>$K16="AGUARDANDO APROVAÇÃO"</formula>
    </cfRule>
    <cfRule type="expression" dxfId="44" priority="75">
      <formula>$K16="OK"</formula>
    </cfRule>
    <cfRule type="expression" dxfId="43" priority="76">
      <formula>AND((TODAY()-$H16)&gt;0,$H16&lt;&gt;"",$I16="")=TRUE</formula>
    </cfRule>
  </conditionalFormatting>
  <conditionalFormatting sqref="A14:O14 Q14:R14">
    <cfRule type="expression" dxfId="42" priority="17">
      <formula>$K14="STAND-BY"</formula>
    </cfRule>
    <cfRule type="expression" dxfId="41" priority="18">
      <formula>$K14="AGUARDANDO APROVAÇÃO"</formula>
    </cfRule>
    <cfRule type="expression" dxfId="40" priority="19">
      <formula>$K14="OK"</formula>
    </cfRule>
    <cfRule type="expression" dxfId="39" priority="20">
      <formula>AND((TODAY()-$H14)&gt;0,$H14&lt;&gt;"",$I14="")=TRUE</formula>
    </cfRule>
  </conditionalFormatting>
  <conditionalFormatting sqref="A15:O15 Q15:R15">
    <cfRule type="expression" dxfId="38" priority="13">
      <formula>$K15="STAND-BY"</formula>
    </cfRule>
    <cfRule type="expression" dxfId="37" priority="14">
      <formula>$K15="AGUARDANDO APROVAÇÃO"</formula>
    </cfRule>
    <cfRule type="expression" dxfId="36" priority="15">
      <formula>$K15="OK"</formula>
    </cfRule>
    <cfRule type="expression" dxfId="35" priority="16">
      <formula>AND((TODAY()-$H15)&gt;0,$H15&lt;&gt;"",$I15="")=TRUE</formula>
    </cfRule>
  </conditionalFormatting>
  <conditionalFormatting sqref="A18:R18">
    <cfRule type="expression" dxfId="34" priority="9">
      <formula>$K18="STAND-BY"</formula>
    </cfRule>
    <cfRule type="expression" dxfId="33" priority="10">
      <formula>$K18="AGUARDANDO APROVAÇÃO"</formula>
    </cfRule>
    <cfRule type="expression" dxfId="32" priority="11">
      <formula>$K18="OK"</formula>
    </cfRule>
    <cfRule type="expression" dxfId="31" priority="12">
      <formula>AND((TODAY()-$H18)&gt;0,$H18&lt;&gt;"",$I18="")=TRUE</formula>
    </cfRule>
  </conditionalFormatting>
  <conditionalFormatting sqref="A23:O23 Q23:R23">
    <cfRule type="expression" dxfId="30" priority="5">
      <formula>$K23="STAND-BY"</formula>
    </cfRule>
    <cfRule type="expression" dxfId="29" priority="6">
      <formula>$K23="AGUARDANDO APROVAÇÃO"</formula>
    </cfRule>
    <cfRule type="expression" dxfId="28" priority="7">
      <formula>$K23="OK"</formula>
    </cfRule>
    <cfRule type="expression" dxfId="27" priority="8">
      <formula>AND((TODAY()-$H23)&gt;0,$H23&lt;&gt;"",$I23="")=TRUE</formula>
    </cfRule>
  </conditionalFormatting>
  <conditionalFormatting sqref="P23">
    <cfRule type="expression" dxfId="26" priority="1">
      <formula>$K23="STAND-BY"</formula>
    </cfRule>
    <cfRule type="expression" dxfId="25" priority="2">
      <formula>$K23="AGUARDANDO APROVAÇÃO"</formula>
    </cfRule>
    <cfRule type="expression" dxfId="24" priority="3">
      <formula>$K23="OK"</formula>
    </cfRule>
    <cfRule type="expression" dxfId="23" priority="4">
      <formula>AND((TODAY()-$H23)&gt;0,$H23&lt;&gt;"",$I23="")=TRUE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DEA69-90BA-4DE9-B6A8-E6AD9B7A6E39}">
          <x14:formula1>
            <xm:f>'NÃO MEXER'!$F$2:$F$7</xm:f>
          </x14:formula1>
          <xm:sqref>L2:L52</xm:sqref>
        </x14:dataValidation>
        <x14:dataValidation type="list" allowBlank="1" showInputMessage="1" showErrorMessage="1" xr:uid="{39F3492E-88FE-4522-834D-378A64A40F4E}">
          <x14:formula1>
            <xm:f>'NÃO MEXER'!$B$2:$B$15</xm:f>
          </x14:formula1>
          <xm:sqref>C2:C52</xm:sqref>
        </x14:dataValidation>
        <x14:dataValidation type="list" allowBlank="1" showInputMessage="1" showErrorMessage="1" xr:uid="{987F6463-72BF-4EF5-8F5E-B808625B8A4F}">
          <x14:formula1>
            <xm:f>'NÃO MEXER'!$A$2:$A$25</xm:f>
          </x14:formula1>
          <xm:sqref>A2:A52</xm:sqref>
        </x14:dataValidation>
        <x14:dataValidation type="list" allowBlank="1" showInputMessage="1" showErrorMessage="1" xr:uid="{68376E51-E33F-4459-9571-C4CCCC0AF98F}">
          <x14:formula1>
            <xm:f>'NÃO MEXER'!$E$2:$E$6</xm:f>
          </x14:formula1>
          <xm:sqref>K2:K52</xm:sqref>
        </x14:dataValidation>
        <x14:dataValidation type="list" allowBlank="1" showInputMessage="1" showErrorMessage="1" xr:uid="{960A2E7A-1819-4620-940A-ED907FC21EAA}">
          <x14:formula1>
            <xm:f>'NÃO MEXER'!$G$2:$G$7</xm:f>
          </x14:formula1>
          <xm:sqref>M2:M52</xm:sqref>
        </x14:dataValidation>
        <x14:dataValidation type="list" allowBlank="1" showInputMessage="1" showErrorMessage="1" xr:uid="{597F7EC7-F121-4A39-A7B4-D7D30226D276}">
          <x14:formula1>
            <xm:f>'NÃO MEXER'!$H$2:$H$3</xm:f>
          </x14:formula1>
          <xm:sqref>O2:P52</xm:sqref>
        </x14:dataValidation>
        <x14:dataValidation type="list" allowBlank="1" showInputMessage="1" showErrorMessage="1" xr:uid="{6D2EE834-E485-45E8-8A05-B20C6B2F1E48}">
          <x14:formula1>
            <xm:f>'NÃO MEXER'!$I$2:$I$6</xm:f>
          </x14:formula1>
          <xm:sqref>Q2:Q52</xm:sqref>
        </x14:dataValidation>
        <x14:dataValidation type="list" allowBlank="1" showInputMessage="1" showErrorMessage="1" xr:uid="{4AA4582B-03DD-42F2-92DD-E13EF1B79280}">
          <x14:formula1>
            <xm:f>'NÃO MEXER'!$J$2:$J$6</xm:f>
          </x14:formula1>
          <xm:sqref>R2:R52</xm:sqref>
        </x14:dataValidation>
        <x14:dataValidation type="list" allowBlank="1" showInputMessage="1" showErrorMessage="1" xr:uid="{D801043E-479C-42A2-AA88-D7BC1285E31B}">
          <x14:formula1>
            <xm:f>'NÃO MEXER'!$C$2:$C$85</xm:f>
          </x14:formula1>
          <xm:sqref>E2:E52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5</vt:i4>
      </vt:variant>
    </vt:vector>
  </HeadingPairs>
  <TitlesOfParts>
    <vt:vector size="15" baseType="lpstr">
      <vt:lpstr>CONSOLIDADO</vt:lpstr>
      <vt:lpstr>NÃO MEXER</vt:lpstr>
      <vt:lpstr>ROA</vt:lpstr>
      <vt:lpstr>ANÁLISE</vt:lpstr>
      <vt:lpstr>FAROL</vt:lpstr>
      <vt:lpstr>JAN</vt:lpstr>
      <vt:lpstr>FEV</vt:lpstr>
      <vt:lpstr>MAR</vt:lpstr>
      <vt:lpstr>ABR</vt:lpstr>
      <vt:lpstr>MAI</vt:lpstr>
      <vt:lpstr>Adaptação</vt:lpstr>
      <vt:lpstr>Criação</vt:lpstr>
      <vt:lpstr>Derivação</vt:lpstr>
      <vt:lpstr>Eventos_Apoio</vt:lpstr>
      <vt:lpstr>Vídeo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2021-05-06T13:47:28Z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  <property fmtid="{D5CDD505-2E9C-101B-9397-08002B2CF9AE}" pid="3" name="MSIP_Label_6459b2e0-2ec4-47e6-afc1-6e3f8b684f6a_Enabled">
    <vt:lpwstr>true</vt:lpwstr>
  </property>
  <property fmtid="{D5CDD505-2E9C-101B-9397-08002B2CF9AE}" pid="4" name="MSIP_Label_6459b2e0-2ec4-47e6-afc1-6e3f8b684f6a_SetDate">
    <vt:lpwstr>2021-05-05T18:23:24Z</vt:lpwstr>
  </property>
  <property fmtid="{D5CDD505-2E9C-101B-9397-08002B2CF9AE}" pid="5" name="MSIP_Label_6459b2e0-2ec4-47e6-afc1-6e3f8b684f6a_Method">
    <vt:lpwstr>Privileged</vt:lpwstr>
  </property>
  <property fmtid="{D5CDD505-2E9C-101B-9397-08002B2CF9AE}" pid="6" name="MSIP_Label_6459b2e0-2ec4-47e6-afc1-6e3f8b684f6a_Name">
    <vt:lpwstr>6459b2e0-2ec4-47e6-afc1-6e3f8b684f6a</vt:lpwstr>
  </property>
  <property fmtid="{D5CDD505-2E9C-101B-9397-08002B2CF9AE}" pid="7" name="MSIP_Label_6459b2e0-2ec4-47e6-afc1-6e3f8b684f6a_SiteId">
    <vt:lpwstr>b417b620-2ae9-4a83-ab6c-7fbd828bda1d</vt:lpwstr>
  </property>
  <property fmtid="{D5CDD505-2E9C-101B-9397-08002B2CF9AE}" pid="8" name="MSIP_Label_6459b2e0-2ec4-47e6-afc1-6e3f8b684f6a_ActionId">
    <vt:lpwstr>f635b24f-cfa2-429b-8f5a-4048a519209e</vt:lpwstr>
  </property>
  <property fmtid="{D5CDD505-2E9C-101B-9397-08002B2CF9AE}" pid="9" name="MSIP_Label_6459b2e0-2ec4-47e6-afc1-6e3f8b684f6a_ContentBits">
    <vt:lpwstr>0</vt:lpwstr>
  </property>
</Properties>
</file>