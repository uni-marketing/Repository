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namedSheetViews/namedSheetView2.xml" ContentType="application/vnd.ms-excel.namedsheetview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6" codeName="{00000000-0000-0000-0000-000000000000}"/>
  <workbookPr filterPrivacy="1" codeName="EstaPastaDeTrabalho"/>
  <xr:revisionPtr revIDLastSave="1190068" documentId="113_{99182A55-95A0-4077-AE47-94FC570D8BEC}" xr6:coauthVersionLast="46" xr6:coauthVersionMax="46" xr10:uidLastSave="{8159AE0C-A89A-411B-ADFA-C2B3526ED778}"/>
  <bookViews>
    <workbookView xWindow="-120" yWindow="-120" windowWidth="29040" windowHeight="15840" firstSheet="6" activeTab="6" xr2:uid="{00000000-000D-0000-FFFF-FFFF00000000}"/>
  </bookViews>
  <sheets>
    <sheet name="CONSOLIDADO" sheetId="11" r:id="rId1"/>
    <sheet name="NÃO MEXER" sheetId="1" r:id="rId2"/>
    <sheet name="ANÁLISE" sheetId="39" r:id="rId3"/>
    <sheet name="FAROL" sheetId="40" r:id="rId4"/>
    <sheet name="JAN" sheetId="34" r:id="rId5"/>
    <sheet name="FEV" sheetId="36" r:id="rId6"/>
    <sheet name="MAR" sheetId="38" r:id="rId7"/>
  </sheets>
  <externalReferences>
    <externalReference r:id="rId8"/>
  </externalReferences>
  <definedNames>
    <definedName name="_Adaptação_">'NÃO MEXER'!#REF!</definedName>
    <definedName name="_xlnm._FilterDatabase" localSheetId="0" hidden="1">CONSOLIDADO!$A$1:$R$1</definedName>
    <definedName name="_xlnm._FilterDatabase" localSheetId="1" hidden="1">'NÃO MEXER'!$C$2:$C$84</definedName>
    <definedName name="aaaaa">'NÃO MEXER'!#REF!</definedName>
    <definedName name="Adaptação">'NÃO MEXER'!$G$2:$G$3</definedName>
    <definedName name="Agendas_Calendários">'NÃO MEXER'!#REF!</definedName>
    <definedName name="bbbbbb">'NÃO MEXER'!#REF!</definedName>
    <definedName name="Brindes">'NÃO MEXER'!#REF!</definedName>
    <definedName name="Campanhas_endomarketing">'NÃO MEXER'!#REF!</definedName>
    <definedName name="Criação">'NÃO MEXER'!$G$4:$G$10</definedName>
    <definedName name="Dericação">'NÃO MEXER'!#REF!</definedName>
    <definedName name="Derivação">'NÃO MEXER'!$G$13:$G$14</definedName>
    <definedName name="Evento_apoio">'NÃO MEXER'!#REF!</definedName>
    <definedName name="Eventos">'NÃO MEXER'!#REF!</definedName>
    <definedName name="Eventos_Apoio">'NÃO MEXER'!$G$11:$G$12</definedName>
    <definedName name="Gestão_da_marca">'NÃO MEXER'!#REF!</definedName>
    <definedName name="Patrocínios">'NÃO MEXER'!#REF!</definedName>
    <definedName name="Planejamento_e_projetos">'NÃO MEXER'!#REF!</definedName>
    <definedName name="Redação">'NÃO MEXER'!#REF!</definedName>
    <definedName name="Redes_sociais">'NÃO MEXER'!#REF!</definedName>
    <definedName name="Site">'NÃO MEXER'!#REF!</definedName>
  </definedNames>
  <calcPr calcId="191028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1" i="40" l="1"/>
  <c r="F31" i="40"/>
  <c r="G30" i="40"/>
  <c r="G29" i="40"/>
  <c r="G28" i="40"/>
  <c r="G27" i="40"/>
  <c r="G26" i="40"/>
  <c r="G25" i="40"/>
  <c r="G24" i="40"/>
  <c r="G23" i="40"/>
  <c r="G22" i="40"/>
  <c r="G21" i="40"/>
  <c r="G20" i="40"/>
  <c r="F27" i="40"/>
  <c r="F30" i="40"/>
  <c r="F29" i="40"/>
  <c r="F28" i="40"/>
  <c r="F26" i="40"/>
  <c r="F25" i="40"/>
  <c r="F24" i="40"/>
  <c r="F23" i="40"/>
  <c r="F22" i="40"/>
  <c r="F21" i="40"/>
  <c r="F20" i="40"/>
  <c r="O15" i="40"/>
  <c r="P15" i="40" s="1"/>
  <c r="F15" i="40"/>
  <c r="G15" i="40" s="1"/>
  <c r="O14" i="40"/>
  <c r="P14" i="40" s="1"/>
  <c r="F14" i="40"/>
  <c r="G14" i="40" s="1"/>
  <c r="O13" i="40"/>
  <c r="P13" i="40" s="1"/>
  <c r="F13" i="40"/>
  <c r="G13" i="40" s="1"/>
  <c r="O12" i="40"/>
  <c r="P12" i="40" s="1"/>
  <c r="N12" i="40"/>
  <c r="G12" i="40"/>
  <c r="F12" i="40"/>
  <c r="P11" i="40"/>
  <c r="O11" i="40"/>
  <c r="G11" i="40"/>
  <c r="F11" i="40"/>
  <c r="P10" i="40"/>
  <c r="O10" i="40"/>
  <c r="G10" i="40"/>
  <c r="F10" i="40"/>
  <c r="P9" i="40"/>
  <c r="O9" i="40"/>
  <c r="G9" i="40"/>
  <c r="F9" i="40"/>
  <c r="P8" i="40"/>
  <c r="O8" i="40"/>
  <c r="G8" i="40"/>
  <c r="F8" i="40"/>
  <c r="O7" i="40"/>
  <c r="N7" i="40"/>
  <c r="G7" i="40"/>
  <c r="F7" i="40"/>
  <c r="P6" i="40"/>
  <c r="O6" i="40"/>
  <c r="G6" i="40"/>
  <c r="F6" i="40"/>
  <c r="P5" i="40"/>
  <c r="P16" i="40" s="1"/>
  <c r="O5" i="40"/>
  <c r="O16" i="40" s="1"/>
  <c r="G5" i="40"/>
  <c r="G16" i="40" s="1"/>
  <c r="F5" i="40"/>
  <c r="B4" i="39"/>
  <c r="B3" i="39"/>
  <c r="B5" i="39" s="1"/>
  <c r="F16" i="40" l="1"/>
</calcChain>
</file>

<file path=xl/sharedStrings.xml><?xml version="1.0" encoding="utf-8"?>
<sst xmlns="http://schemas.openxmlformats.org/spreadsheetml/2006/main" count="5002" uniqueCount="377">
  <si>
    <t>Cliente</t>
  </si>
  <si>
    <t>Origem</t>
  </si>
  <si>
    <t>Atribuição</t>
  </si>
  <si>
    <t>Nome do Chamado</t>
  </si>
  <si>
    <t>Peça</t>
  </si>
  <si>
    <t>Quantidade</t>
  </si>
  <si>
    <t>Data de Solicitação</t>
  </si>
  <si>
    <t>Prazo</t>
  </si>
  <si>
    <t>Data de Conclusão</t>
  </si>
  <si>
    <t>Observações</t>
  </si>
  <si>
    <t>Status</t>
  </si>
  <si>
    <t>Categoria</t>
  </si>
  <si>
    <t>Serviço</t>
  </si>
  <si>
    <t>Alterações</t>
  </si>
  <si>
    <t>Gôndola</t>
  </si>
  <si>
    <t>Boas Práticas</t>
  </si>
  <si>
    <t>Briefing</t>
  </si>
  <si>
    <t>Retorno à Central</t>
  </si>
  <si>
    <t>5004 - Sicoob UniCentro Brasileira</t>
  </si>
  <si>
    <t>Arley</t>
  </si>
  <si>
    <t>Informativo Top - 3ª Edição - UNICB</t>
  </si>
  <si>
    <t>Anúncio</t>
  </si>
  <si>
    <t>Ok</t>
  </si>
  <si>
    <t>Adaptação</t>
  </si>
  <si>
    <t>Peça de arte estática</t>
  </si>
  <si>
    <t>Sim</t>
  </si>
  <si>
    <t>Não</t>
  </si>
  <si>
    <t>3 - Regular</t>
  </si>
  <si>
    <t>4 - Bom</t>
  </si>
  <si>
    <t>5024 - Sicoob UniCentro Norte Goiano</t>
  </si>
  <si>
    <t>Ana Clara</t>
  </si>
  <si>
    <t>Peças promocionais condomínios 2021 - UNICNG</t>
  </si>
  <si>
    <t>Post Whatsapp</t>
  </si>
  <si>
    <t>Derivação</t>
  </si>
  <si>
    <t>E-mail MKT</t>
  </si>
  <si>
    <t>Story</t>
  </si>
  <si>
    <t>5631 - Sicoob Uni Sudeste</t>
  </si>
  <si>
    <t>Campanha Feirão de Veículos - UNI SUDESTE</t>
  </si>
  <si>
    <t>Banner</t>
  </si>
  <si>
    <t>2015 - Central Sicoob Uni</t>
  </si>
  <si>
    <t>Divulgação de resultado CNV Sicoobcard</t>
  </si>
  <si>
    <t>Criação</t>
  </si>
  <si>
    <t>Banner site</t>
  </si>
  <si>
    <t>Cartaz</t>
  </si>
  <si>
    <t>Filipeta</t>
  </si>
  <si>
    <t>SMS</t>
  </si>
  <si>
    <t>3246 - Sicoob Credseguro</t>
  </si>
  <si>
    <t>POST E SMS - pagamento de juros ao Capital</t>
  </si>
  <si>
    <t>Post Redes Sociais</t>
  </si>
  <si>
    <t>4 - Regular</t>
  </si>
  <si>
    <t>5 - Regular</t>
  </si>
  <si>
    <t>6 - Regular</t>
  </si>
  <si>
    <t>RDC</t>
  </si>
  <si>
    <t>5 - Ótimo</t>
  </si>
  <si>
    <t>3300 - Sicoob Lojicred</t>
  </si>
  <si>
    <t>Tatau</t>
  </si>
  <si>
    <t>Campanha de Crédito</t>
  </si>
  <si>
    <t>Dúvidas/Envio de material</t>
  </si>
  <si>
    <t>5014 - Sicoob Unicidades</t>
  </si>
  <si>
    <t>PORTIFÓLIO - LIVRETO - BOAS VINDAS</t>
  </si>
  <si>
    <t>Cartilha</t>
  </si>
  <si>
    <t>Folder</t>
  </si>
  <si>
    <t>Mockup</t>
  </si>
  <si>
    <t>João</t>
  </si>
  <si>
    <t>Peça aberta</t>
  </si>
  <si>
    <t>COTA PLUS | REGULAMENTO</t>
  </si>
  <si>
    <t>Apresentação</t>
  </si>
  <si>
    <t>5018 - Sicoob UniRondônia</t>
  </si>
  <si>
    <t>SOLICITAÇÃO DE ARTE - CONSIGNADO SEMANA DO APOSENTADO TAXAS INSS</t>
  </si>
  <si>
    <t>Campanha Crédito Rural - Safrinha</t>
  </si>
  <si>
    <t>3064 - Sicoob Goiânia</t>
  </si>
  <si>
    <t>Arte SIPAG</t>
  </si>
  <si>
    <t>Campanha</t>
  </si>
  <si>
    <t>2 - Ruim</t>
  </si>
  <si>
    <t>PPT - CNV 2021</t>
  </si>
  <si>
    <t>Post Vídeo</t>
  </si>
  <si>
    <t>3055 - Sicoob Coopercred</t>
  </si>
  <si>
    <t>Comunicado de pagamento de juros ao capital</t>
  </si>
  <si>
    <t>Campanha Sicoobcard - Incremento de faturamento</t>
  </si>
  <si>
    <t>Vídeo</t>
  </si>
  <si>
    <t>GIF</t>
  </si>
  <si>
    <t>PDF</t>
  </si>
  <si>
    <t>Identidade visual</t>
  </si>
  <si>
    <t>SOLICITAÇÃO DE ARTE PARA PIX</t>
  </si>
  <si>
    <t>3300_Campanha de Capitalização</t>
  </si>
  <si>
    <t>Comunicação Externa</t>
  </si>
  <si>
    <t>Comunicação Interna</t>
  </si>
  <si>
    <t>E-mail mkt</t>
  </si>
  <si>
    <t>Selo</t>
  </si>
  <si>
    <t>Post Carrossel</t>
  </si>
  <si>
    <t>Não Carrossel</t>
  </si>
  <si>
    <t>Carrossel</t>
  </si>
  <si>
    <t>Legenda Post</t>
  </si>
  <si>
    <t>Tv Senha</t>
  </si>
  <si>
    <t>2015 - UniCorretora</t>
  </si>
  <si>
    <t>ATIVA</t>
  </si>
  <si>
    <t>Ranking Grupo exclusivo</t>
  </si>
  <si>
    <t>Atualização organograma MKT</t>
  </si>
  <si>
    <t>Cota Plus - LOJICRED</t>
  </si>
  <si>
    <t>Associação Digital - UNICB</t>
  </si>
  <si>
    <t>Atendimento Geral Produtos</t>
  </si>
  <si>
    <t>5019 - Sicoob UniRondônia</t>
  </si>
  <si>
    <t>5020 - Sicoob UniRondônia</t>
  </si>
  <si>
    <t>Campanha Super Giro</t>
  </si>
  <si>
    <t>Campanha Linha de Crédito para Imposto</t>
  </si>
  <si>
    <t>SOLICITAÇÃO DE ARTE PARA CAPA DE CARNE SIPAG</t>
  </si>
  <si>
    <t>Campanha de atualização cadastral</t>
  </si>
  <si>
    <t>Peça conceito</t>
  </si>
  <si>
    <t>Campanhas/projetos_x000D_
e identidade visual</t>
  </si>
  <si>
    <t>interno e externo</t>
  </si>
  <si>
    <t>Wallpaper</t>
  </si>
  <si>
    <t>interno</t>
  </si>
  <si>
    <t>externo</t>
  </si>
  <si>
    <t>Elaboração de folder</t>
  </si>
  <si>
    <t>5038 - Sicoob UNIRBO</t>
  </si>
  <si>
    <t>2015 - 5038 - MATERIAL CONSIGNADO</t>
  </si>
  <si>
    <t>Peça Financiamento Imobiliário - 2015</t>
  </si>
  <si>
    <t>Ajustes Material | Guia de Associação Digital ao Sicoob</t>
  </si>
  <si>
    <t>Guia</t>
  </si>
  <si>
    <t>Consocio grupo especial</t>
  </si>
  <si>
    <t>5 - Bom</t>
  </si>
  <si>
    <t>6 - Bom</t>
  </si>
  <si>
    <t>7 - Bom</t>
  </si>
  <si>
    <t>Convite Ciclo de Conversas INVESTIMENTOS</t>
  </si>
  <si>
    <t>Apresentação PJ | Guia de Associação Digital ao Sicoob</t>
  </si>
  <si>
    <t>Material divulgação Consórcios - Filipeta e Banners</t>
  </si>
  <si>
    <t>Peças abertas Cota Plus 2021</t>
  </si>
  <si>
    <t>Atualizaçao Cadastral</t>
  </si>
  <si>
    <t>público EXTERNO</t>
  </si>
  <si>
    <t>público INTERNO</t>
  </si>
  <si>
    <t>3336 - Sicoob Credi Comigo</t>
  </si>
  <si>
    <t>ARTE PREMIAÇÃO</t>
  </si>
  <si>
    <t>Logo</t>
  </si>
  <si>
    <t>Alterações Folder Unicap 2021</t>
  </si>
  <si>
    <t>3058 - Sicoob Credigoiás</t>
  </si>
  <si>
    <t>alteração da logomarca no folder crédito rural</t>
  </si>
  <si>
    <t>Solicitação de Arte</t>
  </si>
  <si>
    <t>Adequação das peças da Campanha Crédito Consignado</t>
  </si>
  <si>
    <t>Campanha de Conscientização dos Cooperados sobre o pagamento duplicado de boleto de cartão de crédito</t>
  </si>
  <si>
    <t>Ranking Grupo Exclusivo Consorcio 1090 e 1171</t>
  </si>
  <si>
    <t>Campanha fotovoltaica</t>
  </si>
  <si>
    <t>Outdoor</t>
  </si>
  <si>
    <t>Placas de mesa PIX</t>
  </si>
  <si>
    <t>Placa</t>
  </si>
  <si>
    <t>Alterações Folder Unicap 2021 - Veículo</t>
  </si>
  <si>
    <t>SOLICITAÇÃO ARTE CAMPANHA ESQUENTA CARNAVAL - TAXAS INSS E SIAPE</t>
  </si>
  <si>
    <t>3350 - Sicoob Cooprem</t>
  </si>
  <si>
    <t>Cartão de reconhecimento</t>
  </si>
  <si>
    <t>Cartão</t>
  </si>
  <si>
    <t>Atualização planejamento mês a mês</t>
  </si>
  <si>
    <t>Peça de divulgação ENCERRAMENTO CAMPANHA AVANTE SIPAG</t>
  </si>
  <si>
    <t>Peças digitais - Taxas Consignado SIAPE/INSS</t>
  </si>
  <si>
    <t>3300_Quadros decorativos de produtos e serviços</t>
  </si>
  <si>
    <t>Quadro</t>
  </si>
  <si>
    <t>Ranking Grupo Exclusivo Consorcio 1090 e 1171 - 23/02</t>
  </si>
  <si>
    <t>Arte e Regulamento para Campanha de Cadatro</t>
  </si>
  <si>
    <t>Spot crédito para a vida melhorar</t>
  </si>
  <si>
    <t>Spot</t>
  </si>
  <si>
    <t>EDIÇÃO DE VIDEO</t>
  </si>
  <si>
    <t>Atualização do e-mail marketing</t>
  </si>
  <si>
    <t>Ranking Grupo Exclusivo Consorcio 1090 e 1171 - 24/02</t>
  </si>
  <si>
    <t>ARTE PARA DIVULGAÇÃO DO CRÉDITO CONSIGNADO - CREDSEGURO</t>
  </si>
  <si>
    <t>Aguardando Aprovação</t>
  </si>
  <si>
    <t>3056 - Sicoob Mineiros</t>
  </si>
  <si>
    <t>Divulgação edital de convocação das eleições 2021 - SICOOB MINEIROS</t>
  </si>
  <si>
    <t>Novo</t>
  </si>
  <si>
    <t>Art Serit - Adicionar logo OAB-RJ</t>
  </si>
  <si>
    <t>Solicitação para arte de divulgação do Uni Sudeste</t>
  </si>
  <si>
    <t>Seminário Responsabilidade De Dirigentes De Cooperativas De Crédito</t>
  </si>
  <si>
    <t>Diagramação - Revista Sicoob Uni Sudeste</t>
  </si>
  <si>
    <t>Peças Aniversariantes e Promoção</t>
  </si>
  <si>
    <t>CONSÓRCIO MOTO</t>
  </si>
  <si>
    <t>Saulo</t>
  </si>
  <si>
    <t>PIX - BOOK CENTRAL</t>
  </si>
  <si>
    <t>Prospecção de novos associados</t>
  </si>
  <si>
    <t>E-mail Marketing - CASAG PROSPECTS</t>
  </si>
  <si>
    <t>Renegociação de dívidas</t>
  </si>
  <si>
    <t>Tutorial para envio de WhatsApp</t>
  </si>
  <si>
    <t>Quadro sala de recuperação de crédito</t>
  </si>
  <si>
    <t>Anúncio - PIX</t>
  </si>
  <si>
    <t>Criação de convite para o 1º comite de pontos focais de produtos e negócios e Uni corretora</t>
  </si>
  <si>
    <t>Sicoobcard benefícios</t>
  </si>
  <si>
    <t>CAMPANHA CONTRATOU, GANHOU!</t>
  </si>
  <si>
    <t>5145 - Sicoob Medcred</t>
  </si>
  <si>
    <t>capitalização medcred sorteio</t>
  </si>
  <si>
    <t>Projeto para ampliação da base de associados - Planejamento Estratégico</t>
  </si>
  <si>
    <t>Videos Seguro Vida e Residencial</t>
  </si>
  <si>
    <t>Campanha Indicação Premiada</t>
  </si>
  <si>
    <t>Atualização cadastral</t>
  </si>
  <si>
    <t>medcred ainda mais forte</t>
  </si>
  <si>
    <t>Projeto prospecção Sicoob UniCentro Brasileira</t>
  </si>
  <si>
    <t>Campanha Central - CONSIGNADO (Gabi)</t>
  </si>
  <si>
    <t>Campanha Agro</t>
  </si>
  <si>
    <t>5008 - Sicoob UNIAM</t>
  </si>
  <si>
    <t>Feirão de Negócios do Sicoob Uniam | Auto | Náutica | Aéreo | Off Road</t>
  </si>
  <si>
    <t>Temos tudo que um banco tem, só que de um jeito diferente</t>
  </si>
  <si>
    <t>Carta Premiação Acelera Previ</t>
  </si>
  <si>
    <t>Cancelado</t>
  </si>
  <si>
    <t>Convite Ciclo de Conversas - Coopcerto e Sicoobcard</t>
  </si>
  <si>
    <t>Campanha Agência Digital Uni Sudeste</t>
  </si>
  <si>
    <t>Dia da Mulher - Produtos/Institucional</t>
  </si>
  <si>
    <t>PRODUÇÃO ARTE DE DIVULGAÇÃO - BONUS CNV SEGUROS GERAIS E VIDA (SEGUROS QUE LÁ VEM BONUS!)</t>
  </si>
  <si>
    <t>e-mail marketing</t>
  </si>
  <si>
    <t>Ciclo de Conversas - Consórcios</t>
  </si>
  <si>
    <t>Arte para Revista SINCOR - Juros pagos ao capital</t>
  </si>
  <si>
    <t>2015 - 5038 - PEÇAS NOVA POUPANÇA</t>
  </si>
  <si>
    <t>Peças - Pagamento Duplicado</t>
  </si>
  <si>
    <t>Solicitação Video - Ação Bancoob - Semana da Mulher</t>
  </si>
  <si>
    <t>Arte camiseta</t>
  </si>
  <si>
    <t>Camiseta</t>
  </si>
  <si>
    <t>Comunicação PARCEIRO + e seguro vida mulher</t>
  </si>
  <si>
    <t>Campanha Cota Premiada</t>
  </si>
  <si>
    <t>Vídeo Passo a Passo - Conta Digital</t>
  </si>
  <si>
    <t>CARTELA P/ VÍDEO</t>
  </si>
  <si>
    <t>COMUNICADO PAGAMENTO DE BÔNUS CONSÓRCIO</t>
  </si>
  <si>
    <t>Solicitação de arte de Parceria</t>
  </si>
  <si>
    <t>ARTE FACHADA</t>
  </si>
  <si>
    <t>Lona</t>
  </si>
  <si>
    <t>PUBLICAÇÃO DE ARTE SIPAG</t>
  </si>
  <si>
    <t>DICOTÔMICA</t>
  </si>
  <si>
    <t>Retorno Dado à Central</t>
  </si>
  <si>
    <t>Sistêmico</t>
  </si>
  <si>
    <t>Adesivo</t>
  </si>
  <si>
    <t>1 - Muito Ruim</t>
  </si>
  <si>
    <t>Bárbara</t>
  </si>
  <si>
    <t>Campanhas/projetos
e identidade visual</t>
  </si>
  <si>
    <t>3054 - Sicoob Credi-Rural</t>
  </si>
  <si>
    <t>Brenda</t>
  </si>
  <si>
    <t>ATM</t>
  </si>
  <si>
    <t>Stand-By</t>
  </si>
  <si>
    <t>Eventos e Apoio</t>
  </si>
  <si>
    <t>Redação</t>
  </si>
  <si>
    <t>Gabi</t>
  </si>
  <si>
    <t>Backdrop</t>
  </si>
  <si>
    <t>Eventos para Associados</t>
  </si>
  <si>
    <t>Balão</t>
  </si>
  <si>
    <t>Eventos para Colaboradores</t>
  </si>
  <si>
    <t>Júlia</t>
  </si>
  <si>
    <t>Kátia</t>
  </si>
  <si>
    <t>Marina</t>
  </si>
  <si>
    <t>Bateco</t>
  </si>
  <si>
    <t>3299 - Sicoob Engecred</t>
  </si>
  <si>
    <t>Michel</t>
  </si>
  <si>
    <t>Brinde</t>
  </si>
  <si>
    <t>Mônada</t>
  </si>
  <si>
    <t>Caderno</t>
  </si>
  <si>
    <t>Pedro</t>
  </si>
  <si>
    <t>3343 - Sicoob Empresarial</t>
  </si>
  <si>
    <t>Caneta</t>
  </si>
  <si>
    <t>Capa redes</t>
  </si>
  <si>
    <t>Cartão de visitas</t>
  </si>
  <si>
    <t>5028 - Sicoob Roraima</t>
  </si>
  <si>
    <t>Cheque Simbólico</t>
  </si>
  <si>
    <t>Convite digital</t>
  </si>
  <si>
    <t>Convite Impresso</t>
  </si>
  <si>
    <t>Crachá</t>
  </si>
  <si>
    <t>4295 - Sicoob UniSP</t>
  </si>
  <si>
    <t>Credencial</t>
  </si>
  <si>
    <t>Display</t>
  </si>
  <si>
    <t>Envelope</t>
  </si>
  <si>
    <t>Espaço Instagramável</t>
  </si>
  <si>
    <t>Faixa</t>
  </si>
  <si>
    <t>Fotos</t>
  </si>
  <si>
    <t>Lâmina PPT</t>
  </si>
  <si>
    <t>Mala direta</t>
  </si>
  <si>
    <t>Marca</t>
  </si>
  <si>
    <t>Móbile</t>
  </si>
  <si>
    <t>Mochila</t>
  </si>
  <si>
    <t>Moleskine</t>
  </si>
  <si>
    <t>Newsletter</t>
  </si>
  <si>
    <t>Painel de Led</t>
  </si>
  <si>
    <t>Panfleto</t>
  </si>
  <si>
    <t>Papel Timbrado</t>
  </si>
  <si>
    <t>Papelaria</t>
  </si>
  <si>
    <t>Pasta</t>
  </si>
  <si>
    <t>Porta contas</t>
  </si>
  <si>
    <t>Portifólio</t>
  </si>
  <si>
    <t>Power Point</t>
  </si>
  <si>
    <t>Revista</t>
  </si>
  <si>
    <t>Roteiro</t>
  </si>
  <si>
    <t>Rótulo</t>
  </si>
  <si>
    <t>Sacola</t>
  </si>
  <si>
    <t>Story Vídeo</t>
  </si>
  <si>
    <t>Tag</t>
  </si>
  <si>
    <t>Testeira</t>
  </si>
  <si>
    <t>Totem</t>
  </si>
  <si>
    <t>Voucher Digital</t>
  </si>
  <si>
    <t>Voucher Impresso</t>
  </si>
  <si>
    <t>Woobler</t>
  </si>
  <si>
    <t>USO DE GÔNDOLA</t>
  </si>
  <si>
    <t>DATAS DE REFERÊNCIA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</si>
  <si>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</si>
  <si>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</si>
  <si>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</si>
  <si>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</si>
  <si>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</si>
  <si>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</si>
  <si>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</si>
  <si>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</si>
  <si>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</si>
  <si>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</si>
  <si>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</si>
  <si>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</si>
  <si>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</si>
  <si>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</si>
  <si>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</si>
  <si>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</si>
  <si>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</si>
  <si>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</si>
  <si>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</si>
  <si>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</si>
  <si>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</si>
  <si>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</si>
  <si>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</si>
  <si>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</si>
  <si>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SIM</t>
  </si>
  <si>
    <t>&gt;=01/01/2021</t>
  </si>
  <si>
    <t>&gt;=01/02/2021</t>
  </si>
  <si>
    <t>&gt;=01/03/2021</t>
  </si>
  <si>
    <t>&gt;=01/04/2021</t>
  </si>
  <si>
    <t>&gt;=01/05/2021</t>
  </si>
  <si>
    <t>&gt;=01/06/2021</t>
  </si>
  <si>
    <t>&gt;=01/07/2021</t>
  </si>
  <si>
    <t>&gt;=01/08/2021</t>
  </si>
  <si>
    <t>&gt;=01/09/2021</t>
  </si>
  <si>
    <t>&gt;=01/10/2021</t>
  </si>
  <si>
    <t>&gt;=01/11/2021</t>
  </si>
  <si>
    <t>&gt;=01/12/2021</t>
  </si>
  <si>
    <t>NÃO</t>
  </si>
  <si>
    <t>&lt;=31/01/2021</t>
  </si>
  <si>
    <t>&lt;=28/02/2021</t>
  </si>
  <si>
    <t>&lt;=31/03/2021</t>
  </si>
  <si>
    <t>&lt;=30/04/2021</t>
  </si>
  <si>
    <t>&lt;=31/05/2021</t>
  </si>
  <si>
    <t>&lt;=30/06/2021</t>
  </si>
  <si>
    <t>&lt;=31/07/2021</t>
  </si>
  <si>
    <t>&lt;=31/08/2021</t>
  </si>
  <si>
    <t>&lt;=30/09/2021</t>
  </si>
  <si>
    <t>&lt;=31/10/2021</t>
  </si>
  <si>
    <t>&lt;=30/11/2021</t>
  </si>
  <si>
    <t>&lt;=31/12/2021</t>
  </si>
  <si>
    <t>PERCENTUAL</t>
  </si>
  <si>
    <t>HISTÓRICO DE FAROL DE METAS</t>
  </si>
  <si>
    <t>FAROL DE METAS MENSAL</t>
  </si>
  <si>
    <t>FAROL DE METAS - PRODUTOS JANEIRO</t>
  </si>
  <si>
    <t>FAROL DE METAS - PRODUTOS</t>
  </si>
  <si>
    <t>Métrica</t>
  </si>
  <si>
    <t>Peso Meta</t>
  </si>
  <si>
    <t>Meta Mês</t>
  </si>
  <si>
    <t>Real</t>
  </si>
  <si>
    <t>Atingimento</t>
  </si>
  <si>
    <t>Média Acum. Ano</t>
  </si>
  <si>
    <t>ROA</t>
  </si>
  <si>
    <t>Qualidade</t>
  </si>
  <si>
    <t>Cumprir agenda de visitas</t>
  </si>
  <si>
    <t>Média da avaliação de chamados = ou &gt; que 4</t>
  </si>
  <si>
    <t>Trade</t>
  </si>
  <si>
    <t>Entregas</t>
  </si>
  <si>
    <t>Passivas</t>
  </si>
  <si>
    <t>Ativas (Planejamento mês a mês)</t>
  </si>
  <si>
    <t>Rotina de Contatos (Centrais e CCS)</t>
  </si>
  <si>
    <t>Atingimento do Farol de Metas</t>
  </si>
  <si>
    <t>FAROL DE METAS - PRODUTOS FEVEREIRO</t>
  </si>
  <si>
    <t>Linha de Crédito especial para semana da mulher</t>
  </si>
  <si>
    <t>Anúncio da Revista da Associação Paulista de Medicina</t>
  </si>
  <si>
    <t>ATUALIZA QUE É VANTAGEM - SICOOB CREDSEGURO</t>
  </si>
  <si>
    <t>5028_RORAIMA_DIVULGAÇÃO_TAXA PROMOCIONAL</t>
  </si>
  <si>
    <t>Derivação de Peças</t>
  </si>
  <si>
    <t>Organograma MKT - CENTRAL</t>
  </si>
  <si>
    <t>SEMANA 2 - SEXta</t>
  </si>
  <si>
    <t>Lâmina Consórcios Grupo Exclusivo - Comitê de Mkt</t>
  </si>
  <si>
    <t>Lâmina Seguro Dia da Mulher - Comitê de Mkt</t>
  </si>
  <si>
    <t>Arte Atualização Cadastral</t>
  </si>
  <si>
    <t>Material para divulgação</t>
  </si>
  <si>
    <t>Campanha Indicação de Associados</t>
  </si>
  <si>
    <t>Arte deposito de cheque</t>
  </si>
  <si>
    <t>Campanha de financiamento de veículo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</si>
</sst>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3" formatCode="_-* #,##0.00_-;\-* #,##0.00_-;_-* &quot;-&quot;??_-;_-@_-"/>
  </numFmts>
  <fonts count="18">
    <font>
      <sz val="11"/>
      <color theme="1"/>
      <name val="Calibri"/>
      <family val="2"/>
      <scheme val="minor"/>
    </font>
    <font>
      <sz val="10"/>
      <color rgb="FF000000"/>
      <name val="Verdana"/>
      <family val="2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24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rgb="FF003641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6"/>
      <color theme="0"/>
      <name val="Calibri"/>
      <family val="2"/>
      <scheme val="minor"/>
    </font>
    <font>
      <sz val="10"/>
      <color rgb="FF000000"/>
      <name val="Verdana"/>
    </font>
  </fonts>
  <fills count="12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00364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3F1A1"/>
        <bgColor indexed="64"/>
      </patternFill>
    </fill>
  </fills>
  <borders count="18">
    <border>
      <left/>
      <right/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 style="thin">
        <color theme="1"/>
      </left>
      <right style="thin">
        <color theme="0" tint="-0.249977111117893"/>
      </right>
      <top style="thin">
        <color theme="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1"/>
      </right>
      <top style="thin">
        <color theme="1"/>
      </top>
      <bottom style="thin">
        <color theme="0" tint="-0.249977111117893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7">
    <xf numFmtId="0" fontId="0" fillId="0" borderId="0"/>
    <xf numFmtId="0" fontId="4" fillId="0" borderId="0" applyNumberForma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</cellStyleXfs>
  <cellXfs count="73">
    <xf numFmtId="0" fontId="0" fillId="0" borderId="0" xfId="0"/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0" fillId="4" borderId="0" xfId="0" applyFill="1" applyAlignment="1">
      <alignment vertical="center" wrapText="1"/>
    </xf>
    <xf numFmtId="0" fontId="0" fillId="0" borderId="0" xfId="0" applyNumberFormat="1"/>
    <xf numFmtId="0" fontId="2" fillId="6" borderId="1" xfId="0" applyFont="1" applyFill="1" applyBorder="1" applyAlignment="1">
      <alignment horizontal="center" vertical="center" wrapText="1"/>
    </xf>
    <xf numFmtId="0" fontId="2" fillId="6" borderId="2" xfId="0" applyFont="1" applyFill="1" applyBorder="1" applyAlignment="1">
      <alignment horizontal="center" vertical="center" wrapText="1"/>
    </xf>
    <xf numFmtId="0" fontId="2" fillId="6" borderId="3" xfId="0" applyFont="1" applyFill="1" applyBorder="1" applyAlignment="1">
      <alignment horizontal="center" vertical="center" wrapText="1"/>
    </xf>
    <xf numFmtId="0" fontId="0" fillId="5" borderId="0" xfId="0" applyFill="1" applyAlignment="1">
      <alignment vertical="center" wrapText="1"/>
    </xf>
    <xf numFmtId="0" fontId="2" fillId="6" borderId="4" xfId="0" applyFont="1" applyFill="1" applyBorder="1" applyAlignment="1">
      <alignment horizontal="center" vertical="center" wrapText="1"/>
    </xf>
    <xf numFmtId="0" fontId="2" fillId="6" borderId="5" xfId="0" applyFont="1" applyFill="1" applyBorder="1" applyAlignment="1">
      <alignment horizontal="center" vertical="center" wrapText="1"/>
    </xf>
    <xf numFmtId="14" fontId="2" fillId="6" borderId="5" xfId="0" applyNumberFormat="1" applyFont="1" applyFill="1" applyBorder="1" applyAlignment="1">
      <alignment horizontal="center" vertical="center" wrapText="1"/>
    </xf>
    <xf numFmtId="0" fontId="2" fillId="6" borderId="6" xfId="0" applyFont="1" applyFill="1" applyBorder="1" applyAlignment="1">
      <alignment horizontal="center" vertical="center" wrapText="1"/>
    </xf>
    <xf numFmtId="0" fontId="2" fillId="6" borderId="8" xfId="0" applyFont="1" applyFill="1" applyBorder="1" applyAlignment="1">
      <alignment horizontal="center" vertical="center" wrapText="1"/>
    </xf>
    <xf numFmtId="0" fontId="2" fillId="6" borderId="9" xfId="0" applyFont="1" applyFill="1" applyBorder="1" applyAlignment="1">
      <alignment horizontal="center" vertical="center" wrapText="1"/>
    </xf>
    <xf numFmtId="14" fontId="2" fillId="6" borderId="9" xfId="0" applyNumberFormat="1" applyFont="1" applyFill="1" applyBorder="1" applyAlignment="1">
      <alignment horizontal="center" vertical="center" wrapText="1"/>
    </xf>
    <xf numFmtId="0" fontId="2" fillId="6" borderId="10" xfId="0" applyFont="1" applyFill="1" applyBorder="1" applyAlignment="1">
      <alignment horizontal="center" vertical="center" wrapText="1"/>
    </xf>
    <xf numFmtId="0" fontId="0" fillId="0" borderId="11" xfId="0" applyBorder="1" applyAlignment="1">
      <alignment vertical="center"/>
    </xf>
    <xf numFmtId="0" fontId="3" fillId="0" borderId="7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" fillId="0" borderId="7" xfId="0" applyFont="1" applyBorder="1" applyAlignment="1">
      <alignment horizontal="left" vertical="center" wrapText="1"/>
    </xf>
    <xf numFmtId="14" fontId="3" fillId="0" borderId="7" xfId="0" applyNumberFormat="1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3" fillId="0" borderId="7" xfId="0" applyNumberFormat="1" applyFon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3" fillId="0" borderId="14" xfId="0" applyNumberFormat="1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" fillId="0" borderId="14" xfId="0" applyFont="1" applyBorder="1" applyAlignment="1">
      <alignment horizontal="left" vertical="center" wrapText="1"/>
    </xf>
    <xf numFmtId="0" fontId="3" fillId="0" borderId="14" xfId="0" applyFont="1" applyBorder="1" applyAlignment="1">
      <alignment horizontal="center" vertical="center"/>
    </xf>
    <xf numFmtId="14" fontId="3" fillId="0" borderId="14" xfId="0" applyNumberFormat="1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/>
    </xf>
    <xf numFmtId="0" fontId="0" fillId="0" borderId="0" xfId="0" applyAlignment="1">
      <alignment wrapText="1"/>
    </xf>
    <xf numFmtId="0" fontId="2" fillId="6" borderId="5" xfId="0" applyNumberFormat="1" applyFont="1" applyFill="1" applyBorder="1" applyAlignment="1">
      <alignment horizontal="center" vertical="center" wrapText="1"/>
    </xf>
    <xf numFmtId="0" fontId="0" fillId="0" borderId="16" xfId="0" applyBorder="1"/>
    <xf numFmtId="0" fontId="7" fillId="8" borderId="16" xfId="0" applyFont="1" applyFill="1" applyBorder="1"/>
    <xf numFmtId="0" fontId="8" fillId="0" borderId="16" xfId="4" applyFont="1" applyBorder="1" applyAlignment="1">
      <alignment horizontal="left"/>
    </xf>
    <xf numFmtId="0" fontId="0" fillId="3" borderId="16" xfId="0" applyFill="1" applyBorder="1"/>
    <xf numFmtId="14" fontId="5" fillId="0" borderId="16" xfId="5" applyNumberFormat="1" applyBorder="1" applyAlignment="1">
      <alignment horizontal="center"/>
    </xf>
    <xf numFmtId="9" fontId="0" fillId="3" borderId="16" xfId="6" applyFont="1" applyFill="1" applyBorder="1"/>
    <xf numFmtId="0" fontId="0" fillId="6" borderId="0" xfId="0" applyFill="1"/>
    <xf numFmtId="0" fontId="0" fillId="8" borderId="0" xfId="0" applyFill="1"/>
    <xf numFmtId="0" fontId="0" fillId="9" borderId="0" xfId="0" applyFill="1"/>
    <xf numFmtId="0" fontId="11" fillId="9" borderId="0" xfId="0" applyFont="1" applyFill="1"/>
    <xf numFmtId="0" fontId="6" fillId="9" borderId="0" xfId="0" applyFont="1" applyFill="1"/>
    <xf numFmtId="0" fontId="8" fillId="9" borderId="0" xfId="0" applyFont="1" applyFill="1" applyAlignment="1">
      <alignment horizontal="right" vertical="top"/>
    </xf>
    <xf numFmtId="0" fontId="13" fillId="10" borderId="17" xfId="0" applyFont="1" applyFill="1" applyBorder="1" applyAlignment="1">
      <alignment horizontal="center"/>
    </xf>
    <xf numFmtId="0" fontId="13" fillId="10" borderId="17" xfId="0" applyFont="1" applyFill="1" applyBorder="1" applyAlignment="1">
      <alignment horizontal="center" vertical="center"/>
    </xf>
    <xf numFmtId="0" fontId="14" fillId="11" borderId="17" xfId="0" applyFont="1" applyFill="1" applyBorder="1"/>
    <xf numFmtId="9" fontId="14" fillId="11" borderId="17" xfId="0" applyNumberFormat="1" applyFont="1" applyFill="1" applyBorder="1" applyAlignment="1">
      <alignment horizontal="center" vertical="center"/>
    </xf>
    <xf numFmtId="9" fontId="14" fillId="11" borderId="17" xfId="0" applyNumberFormat="1" applyFont="1" applyFill="1" applyBorder="1" applyAlignment="1">
      <alignment horizontal="center"/>
    </xf>
    <xf numFmtId="9" fontId="14" fillId="11" borderId="17" xfId="6" applyFont="1" applyFill="1" applyBorder="1" applyAlignment="1">
      <alignment horizontal="center" vertical="center"/>
    </xf>
    <xf numFmtId="9" fontId="14" fillId="11" borderId="17" xfId="6" applyFont="1" applyFill="1" applyBorder="1" applyAlignment="1">
      <alignment horizontal="center"/>
    </xf>
    <xf numFmtId="0" fontId="0" fillId="3" borderId="17" xfId="0" applyFill="1" applyBorder="1" applyAlignment="1">
      <alignment horizontal="left" indent="4"/>
    </xf>
    <xf numFmtId="9" fontId="0" fillId="3" borderId="17" xfId="6" applyFont="1" applyFill="1" applyBorder="1" applyAlignment="1">
      <alignment horizontal="center"/>
    </xf>
    <xf numFmtId="9" fontId="0" fillId="3" borderId="17" xfId="0" applyNumberFormat="1" applyFill="1" applyBorder="1" applyAlignment="1">
      <alignment horizontal="center"/>
    </xf>
    <xf numFmtId="9" fontId="11" fillId="3" borderId="17" xfId="0" applyNumberFormat="1" applyFont="1" applyFill="1" applyBorder="1" applyAlignment="1">
      <alignment horizontal="center" vertical="center"/>
    </xf>
    <xf numFmtId="9" fontId="15" fillId="3" borderId="17" xfId="0" applyNumberFormat="1" applyFont="1" applyFill="1" applyBorder="1" applyAlignment="1">
      <alignment horizontal="center" vertical="center"/>
    </xf>
    <xf numFmtId="0" fontId="0" fillId="3" borderId="17" xfId="0" applyFill="1" applyBorder="1" applyAlignment="1">
      <alignment horizontal="left" wrapText="1" indent="4"/>
    </xf>
    <xf numFmtId="9" fontId="0" fillId="3" borderId="17" xfId="6" applyFont="1" applyFill="1" applyBorder="1" applyAlignment="1">
      <alignment horizontal="center" vertical="center"/>
    </xf>
    <xf numFmtId="9" fontId="0" fillId="3" borderId="17" xfId="0" applyNumberFormat="1" applyFill="1" applyBorder="1" applyAlignment="1">
      <alignment horizontal="center" vertical="center"/>
    </xf>
    <xf numFmtId="9" fontId="11" fillId="3" borderId="17" xfId="6" applyFont="1" applyFill="1" applyBorder="1" applyAlignment="1">
      <alignment horizontal="center" vertical="center"/>
    </xf>
    <xf numFmtId="9" fontId="12" fillId="10" borderId="17" xfId="0" applyNumberFormat="1" applyFont="1" applyFill="1" applyBorder="1" applyAlignment="1">
      <alignment horizontal="center"/>
    </xf>
    <xf numFmtId="0" fontId="17" fillId="0" borderId="7" xfId="0" applyFont="1" applyBorder="1" applyAlignment="1">
      <alignment horizontal="left" vertical="center" wrapText="1"/>
    </xf>
    <xf numFmtId="0" fontId="7" fillId="6" borderId="0" xfId="0" applyFont="1" applyFill="1" applyAlignment="1">
      <alignment horizontal="center"/>
    </xf>
    <xf numFmtId="0" fontId="9" fillId="6" borderId="16" xfId="0" applyFont="1" applyFill="1" applyBorder="1" applyAlignment="1">
      <alignment horizontal="center" vertical="center"/>
    </xf>
    <xf numFmtId="0" fontId="12" fillId="6" borderId="17" xfId="0" applyFont="1" applyFill="1" applyBorder="1" applyAlignment="1">
      <alignment horizontal="center" vertical="center"/>
    </xf>
    <xf numFmtId="0" fontId="16" fillId="10" borderId="17" xfId="0" applyFont="1" applyFill="1" applyBorder="1" applyAlignment="1">
      <alignment horizontal="center"/>
    </xf>
    <xf numFmtId="0" fontId="10" fillId="7" borderId="0" xfId="0" applyFont="1" applyFill="1" applyAlignment="1">
      <alignment horizontal="center"/>
    </xf>
  </cellXfs>
  <cellStyles count="7">
    <cellStyle name="Hyperlink" xfId="1" xr:uid="{00000000-000B-0000-0000-000008000000}"/>
    <cellStyle name="Normal" xfId="0" builtinId="0"/>
    <cellStyle name="Normal 2 2" xfId="2" xr:uid="{076A180F-5C8B-42EE-ACA5-F60AC04102E4}"/>
    <cellStyle name="Normal 6" xfId="4" xr:uid="{B43F56A9-8EB4-40C7-B04D-D02413DD029B}"/>
    <cellStyle name="Porcentagem" xfId="6" builtinId="5"/>
    <cellStyle name="Porcentagem 2 2 2" xfId="3" xr:uid="{0034591D-2F19-4BA8-8732-99095DA192C8}"/>
    <cellStyle name="Vírgula" xfId="5" builtinId="3"/>
  </cellStyles>
  <dxfs count="305"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theme="0" tint="-0.34998626667073579"/>
        </top>
      </border>
    </dxf>
    <dxf>
      <border>
        <bottom style="thin">
          <color theme="0" tint="-0.34998626667073579"/>
        </bottom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theme="0" tint="-0.34998626667073579"/>
        </top>
      </border>
    </dxf>
    <dxf>
      <border>
        <bottom style="thin">
          <color theme="0" tint="-0.34998626667073579"/>
        </bottom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theme="0" tint="-0.34998626667073579"/>
        </top>
      </border>
    </dxf>
    <dxf>
      <border>
        <bottom style="thin">
          <color theme="0" tint="-0.34998626667073579"/>
        </bottom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CCC"/>
        </patternFill>
      </fill>
    </dxf>
    <dxf>
      <font>
        <color rgb="FF9C0006"/>
      </font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1" defaultTableStyle="TableStyleMedium2" defaultPivotStyle="PivotStyleLight16">
    <tableStyle name="Estilo de Tabela 1" pivot="0" count="0" xr9:uid="{6A0CBADB-4480-4C40-A2E2-B89D6BFA0B0C}"/>
  </tableStyles>
  <colors>
    <mruColors>
      <color rgb="FF003641"/>
      <color rgb="FFFF99FF"/>
      <color rgb="FF00A091"/>
      <color rgb="FFFF4F4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244930</xdr:colOff>
      <xdr:row>0</xdr:row>
      <xdr:rowOff>108856</xdr:rowOff>
    </xdr:from>
    <xdr:to>
      <xdr:col>20</xdr:col>
      <xdr:colOff>489859</xdr:colOff>
      <xdr:row>0</xdr:row>
      <xdr:rowOff>707571</xdr:rowOff>
    </xdr:to>
    <xdr:sp macro="[0]!CONSOLIDAR" textlink="">
      <xdr:nvSpPr>
        <xdr:cNvPr id="2" name="Fluxograma: Processo Alternativo 1">
          <a:extLst>
            <a:ext uri="{FF2B5EF4-FFF2-40B4-BE49-F238E27FC236}">
              <a16:creationId xmlns:a16="http://schemas.microsoft.com/office/drawing/2014/main" id="{3E3BFFA3-9BC0-4B62-80DD-76CD4473C6EC}"/>
            </a:ext>
          </a:extLst>
        </xdr:cNvPr>
        <xdr:cNvSpPr/>
      </xdr:nvSpPr>
      <xdr:spPr>
        <a:xfrm>
          <a:off x="20982216" y="108856"/>
          <a:ext cx="1469572" cy="598715"/>
        </a:xfrm>
        <a:prstGeom prst="flowChartAlternateProcess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consolidar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pedro.silva\Desktop\MKT%20LOCAL\08.AN&#193;LISE%20PANKD&#195;O\01.PRODUTOS\PRODUTOS%20-%20RESULTADOS%20ALFA%20202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DOS 2021"/>
      <sheetName val="FAROL"/>
      <sheetName val="ANÁLISE"/>
      <sheetName val="ROA"/>
      <sheetName val="ENTREGAS PASSIVAS"/>
    </sheetNames>
    <sheetDataSet>
      <sheetData sheetId="0">
        <row r="1">
          <cell r="I1" t="str">
            <v>Data de Conclusão</v>
          </cell>
          <cell r="K1" t="str">
            <v>Status</v>
          </cell>
          <cell r="O1" t="str">
            <v>Gôndola</v>
          </cell>
        </row>
        <row r="2">
          <cell r="I2">
            <v>44218</v>
          </cell>
          <cell r="K2" t="str">
            <v>Ok</v>
          </cell>
          <cell r="O2" t="str">
            <v>Sim</v>
          </cell>
        </row>
        <row r="3">
          <cell r="I3">
            <v>44218</v>
          </cell>
          <cell r="K3" t="str">
            <v>Ok</v>
          </cell>
          <cell r="O3" t="str">
            <v>Não</v>
          </cell>
        </row>
        <row r="4">
          <cell r="I4">
            <v>44218</v>
          </cell>
          <cell r="K4" t="str">
            <v>Ok</v>
          </cell>
          <cell r="O4" t="str">
            <v>Não</v>
          </cell>
        </row>
        <row r="5">
          <cell r="I5">
            <v>44218</v>
          </cell>
          <cell r="K5" t="str">
            <v>Ok</v>
          </cell>
          <cell r="O5" t="str">
            <v>Não</v>
          </cell>
        </row>
        <row r="6">
          <cell r="I6">
            <v>44215</v>
          </cell>
          <cell r="K6" t="str">
            <v>Ok</v>
          </cell>
          <cell r="O6" t="str">
            <v>Sim</v>
          </cell>
        </row>
        <row r="7">
          <cell r="I7">
            <v>44216</v>
          </cell>
          <cell r="K7" t="str">
            <v>Ok</v>
          </cell>
          <cell r="O7" t="str">
            <v>Não</v>
          </cell>
        </row>
        <row r="8">
          <cell r="I8">
            <v>44216</v>
          </cell>
          <cell r="K8" t="str">
            <v>Ok</v>
          </cell>
          <cell r="O8" t="str">
            <v>Não</v>
          </cell>
        </row>
        <row r="9">
          <cell r="I9">
            <v>44215</v>
          </cell>
          <cell r="K9" t="str">
            <v>Ok</v>
          </cell>
          <cell r="O9" t="str">
            <v>Sim</v>
          </cell>
        </row>
        <row r="10">
          <cell r="I10">
            <v>44215</v>
          </cell>
          <cell r="K10" t="str">
            <v>Ok</v>
          </cell>
          <cell r="O10" t="str">
            <v>Sim</v>
          </cell>
        </row>
        <row r="11">
          <cell r="I11">
            <v>44215</v>
          </cell>
          <cell r="K11" t="str">
            <v>Ok</v>
          </cell>
          <cell r="O11" t="str">
            <v>Sim</v>
          </cell>
        </row>
        <row r="12">
          <cell r="I12">
            <v>44215</v>
          </cell>
          <cell r="K12" t="str">
            <v>Ok</v>
          </cell>
          <cell r="O12" t="str">
            <v>Sim</v>
          </cell>
        </row>
        <row r="13">
          <cell r="I13">
            <v>44215</v>
          </cell>
          <cell r="K13" t="str">
            <v>Ok</v>
          </cell>
          <cell r="O13" t="str">
            <v>Sim</v>
          </cell>
        </row>
        <row r="14">
          <cell r="I14">
            <v>44215</v>
          </cell>
          <cell r="K14" t="str">
            <v>Ok</v>
          </cell>
          <cell r="O14" t="str">
            <v>Sim</v>
          </cell>
        </row>
        <row r="15">
          <cell r="I15">
            <v>44222</v>
          </cell>
          <cell r="K15" t="str">
            <v>Ok</v>
          </cell>
          <cell r="O15" t="str">
            <v>Sim</v>
          </cell>
        </row>
        <row r="16">
          <cell r="I16">
            <v>44222</v>
          </cell>
          <cell r="K16" t="str">
            <v>Ok</v>
          </cell>
          <cell r="O16" t="str">
            <v>Sim</v>
          </cell>
        </row>
        <row r="17">
          <cell r="I17">
            <v>44222</v>
          </cell>
          <cell r="K17" t="str">
            <v>Ok</v>
          </cell>
          <cell r="O17" t="str">
            <v>Sim</v>
          </cell>
        </row>
        <row r="18">
          <cell r="I18">
            <v>44222</v>
          </cell>
          <cell r="K18" t="str">
            <v>Ok</v>
          </cell>
          <cell r="O18" t="str">
            <v>Sim</v>
          </cell>
        </row>
        <row r="19">
          <cell r="I19">
            <v>44203</v>
          </cell>
          <cell r="K19" t="str">
            <v>Ok</v>
          </cell>
          <cell r="O19" t="str">
            <v>Sim</v>
          </cell>
        </row>
        <row r="20">
          <cell r="I20">
            <v>44046</v>
          </cell>
          <cell r="K20" t="str">
            <v>Ok</v>
          </cell>
          <cell r="O20" t="str">
            <v>Sim</v>
          </cell>
        </row>
        <row r="21">
          <cell r="I21">
            <v>44112</v>
          </cell>
          <cell r="K21" t="str">
            <v>Ok</v>
          </cell>
          <cell r="O21" t="str">
            <v>Não</v>
          </cell>
        </row>
        <row r="22">
          <cell r="I22">
            <v>44112</v>
          </cell>
          <cell r="K22" t="str">
            <v>Ok</v>
          </cell>
          <cell r="O22" t="str">
            <v>Não</v>
          </cell>
        </row>
        <row r="23">
          <cell r="I23">
            <v>44112</v>
          </cell>
          <cell r="K23" t="str">
            <v>Ok</v>
          </cell>
          <cell r="O23" t="str">
            <v>Não</v>
          </cell>
        </row>
        <row r="24">
          <cell r="I24">
            <v>44221</v>
          </cell>
          <cell r="K24" t="str">
            <v>Ok</v>
          </cell>
          <cell r="O24" t="str">
            <v>Não</v>
          </cell>
        </row>
        <row r="25">
          <cell r="I25">
            <v>44216</v>
          </cell>
          <cell r="K25" t="str">
            <v>Ok</v>
          </cell>
          <cell r="O25" t="str">
            <v>Sim</v>
          </cell>
        </row>
        <row r="26">
          <cell r="I26">
            <v>44216</v>
          </cell>
          <cell r="K26" t="str">
            <v>Ok</v>
          </cell>
          <cell r="O26" t="str">
            <v>Sim</v>
          </cell>
        </row>
        <row r="27">
          <cell r="I27">
            <v>44218</v>
          </cell>
          <cell r="K27" t="str">
            <v>Ok</v>
          </cell>
          <cell r="O27" t="str">
            <v>Sim</v>
          </cell>
        </row>
        <row r="28">
          <cell r="I28">
            <v>44218</v>
          </cell>
          <cell r="K28" t="str">
            <v>Ok</v>
          </cell>
          <cell r="O28" t="str">
            <v>Sim</v>
          </cell>
        </row>
        <row r="29">
          <cell r="I29">
            <v>44218</v>
          </cell>
          <cell r="K29" t="str">
            <v>Ok</v>
          </cell>
          <cell r="O29" t="str">
            <v>Sim</v>
          </cell>
        </row>
        <row r="30">
          <cell r="I30">
            <v>44211</v>
          </cell>
          <cell r="K30" t="str">
            <v>Ok</v>
          </cell>
          <cell r="O30" t="str">
            <v>Sim</v>
          </cell>
        </row>
        <row r="31">
          <cell r="I31">
            <v>44221</v>
          </cell>
          <cell r="K31" t="str">
            <v>Ok</v>
          </cell>
          <cell r="O31" t="str">
            <v>Sim</v>
          </cell>
        </row>
        <row r="32">
          <cell r="K32" t="str">
            <v>Ok</v>
          </cell>
          <cell r="O32" t="str">
            <v>Sim</v>
          </cell>
        </row>
        <row r="33">
          <cell r="I33">
            <v>44211</v>
          </cell>
          <cell r="K33" t="str">
            <v>Ok</v>
          </cell>
          <cell r="O33" t="str">
            <v>Sim</v>
          </cell>
        </row>
        <row r="34">
          <cell r="I34">
            <v>44211</v>
          </cell>
          <cell r="K34" t="str">
            <v>Ok</v>
          </cell>
          <cell r="O34" t="str">
            <v>Sim</v>
          </cell>
        </row>
        <row r="35">
          <cell r="I35">
            <v>44211</v>
          </cell>
          <cell r="K35" t="str">
            <v>Ok</v>
          </cell>
          <cell r="O35" t="str">
            <v>Sim</v>
          </cell>
        </row>
        <row r="36">
          <cell r="I36">
            <v>44211</v>
          </cell>
          <cell r="K36" t="str">
            <v>Ok</v>
          </cell>
          <cell r="O36" t="str">
            <v>Sim</v>
          </cell>
        </row>
        <row r="37">
          <cell r="I37">
            <v>44211</v>
          </cell>
          <cell r="K37" t="str">
            <v>Ok</v>
          </cell>
          <cell r="O37" t="str">
            <v>Sim</v>
          </cell>
        </row>
        <row r="38">
          <cell r="I38">
            <v>44224</v>
          </cell>
          <cell r="K38" t="str">
            <v>Ok</v>
          </cell>
          <cell r="O38" t="str">
            <v>Sim</v>
          </cell>
        </row>
        <row r="39">
          <cell r="I39">
            <v>44221</v>
          </cell>
          <cell r="K39" t="str">
            <v>Ok</v>
          </cell>
          <cell r="O39" t="str">
            <v>Sim</v>
          </cell>
        </row>
        <row r="40">
          <cell r="I40">
            <v>44221</v>
          </cell>
          <cell r="K40" t="str">
            <v>Ok</v>
          </cell>
          <cell r="O40" t="str">
            <v>Sim</v>
          </cell>
        </row>
        <row r="41">
          <cell r="I41">
            <v>44221</v>
          </cell>
          <cell r="K41" t="str">
            <v>Ok</v>
          </cell>
          <cell r="O41" t="str">
            <v>Sim</v>
          </cell>
        </row>
        <row r="42">
          <cell r="I42">
            <v>44211</v>
          </cell>
          <cell r="K42" t="str">
            <v>Ok</v>
          </cell>
        </row>
        <row r="43">
          <cell r="I43">
            <v>44211</v>
          </cell>
          <cell r="K43" t="str">
            <v>Ok</v>
          </cell>
        </row>
        <row r="44">
          <cell r="I44">
            <v>44211</v>
          </cell>
          <cell r="K44" t="str">
            <v>Ok</v>
          </cell>
        </row>
        <row r="45">
          <cell r="I45">
            <v>44211</v>
          </cell>
          <cell r="K45" t="str">
            <v>Ok</v>
          </cell>
        </row>
        <row r="46">
          <cell r="I46">
            <v>44211</v>
          </cell>
          <cell r="K46" t="str">
            <v>Ok</v>
          </cell>
        </row>
        <row r="47">
          <cell r="I47">
            <v>44211</v>
          </cell>
          <cell r="K47" t="str">
            <v>Ok</v>
          </cell>
        </row>
        <row r="48">
          <cell r="I48">
            <v>44224</v>
          </cell>
          <cell r="K48" t="str">
            <v>Ok</v>
          </cell>
          <cell r="O48" t="str">
            <v>Sim</v>
          </cell>
        </row>
        <row r="49">
          <cell r="I49">
            <v>44224</v>
          </cell>
          <cell r="K49" t="str">
            <v>Ok</v>
          </cell>
          <cell r="O49" t="str">
            <v>Sim</v>
          </cell>
        </row>
        <row r="50">
          <cell r="I50">
            <v>44224</v>
          </cell>
          <cell r="K50" t="str">
            <v>Ok</v>
          </cell>
          <cell r="O50" t="str">
            <v>Sim</v>
          </cell>
        </row>
        <row r="51">
          <cell r="I51">
            <v>44224</v>
          </cell>
          <cell r="K51" t="str">
            <v>Ok</v>
          </cell>
          <cell r="O51" t="str">
            <v>Sim</v>
          </cell>
        </row>
        <row r="52">
          <cell r="I52">
            <v>44211</v>
          </cell>
          <cell r="K52" t="str">
            <v>Ok</v>
          </cell>
          <cell r="O52" t="str">
            <v>Não</v>
          </cell>
        </row>
        <row r="53">
          <cell r="I53">
            <v>44211</v>
          </cell>
          <cell r="K53" t="str">
            <v>Ok</v>
          </cell>
          <cell r="O53" t="str">
            <v>Sim</v>
          </cell>
        </row>
        <row r="54">
          <cell r="I54">
            <v>44211</v>
          </cell>
          <cell r="K54" t="str">
            <v>Ok</v>
          </cell>
          <cell r="O54" t="str">
            <v>Não</v>
          </cell>
        </row>
        <row r="55">
          <cell r="I55">
            <v>44211</v>
          </cell>
          <cell r="K55" t="str">
            <v>Ok</v>
          </cell>
          <cell r="O55" t="str">
            <v>Não</v>
          </cell>
        </row>
        <row r="56">
          <cell r="I56">
            <v>44211</v>
          </cell>
          <cell r="K56" t="str">
            <v>Ok</v>
          </cell>
          <cell r="O56" t="str">
            <v>Sim</v>
          </cell>
        </row>
        <row r="57">
          <cell r="I57">
            <v>44211</v>
          </cell>
          <cell r="K57" t="str">
            <v>Ok</v>
          </cell>
          <cell r="O57" t="str">
            <v>Não</v>
          </cell>
        </row>
        <row r="58">
          <cell r="I58">
            <v>44211</v>
          </cell>
          <cell r="K58" t="str">
            <v>Ok</v>
          </cell>
          <cell r="O58" t="str">
            <v>Não</v>
          </cell>
        </row>
        <row r="59">
          <cell r="I59">
            <v>44211</v>
          </cell>
          <cell r="K59" t="str">
            <v>Ok</v>
          </cell>
          <cell r="O59" t="str">
            <v>Não</v>
          </cell>
        </row>
        <row r="60">
          <cell r="I60">
            <v>44211</v>
          </cell>
          <cell r="K60" t="str">
            <v>Ok</v>
          </cell>
          <cell r="O60" t="str">
            <v>Não</v>
          </cell>
        </row>
        <row r="61">
          <cell r="I61">
            <v>44211</v>
          </cell>
          <cell r="K61" t="str">
            <v>Ok</v>
          </cell>
          <cell r="O61" t="str">
            <v>Sim</v>
          </cell>
        </row>
        <row r="62">
          <cell r="I62">
            <v>44211</v>
          </cell>
          <cell r="K62" t="str">
            <v>Ok</v>
          </cell>
          <cell r="O62" t="str">
            <v>Sim</v>
          </cell>
        </row>
        <row r="63">
          <cell r="I63">
            <v>44211</v>
          </cell>
          <cell r="K63" t="str">
            <v>Ok</v>
          </cell>
          <cell r="O63" t="str">
            <v>Sim</v>
          </cell>
        </row>
        <row r="64">
          <cell r="I64">
            <v>44211</v>
          </cell>
          <cell r="K64" t="str">
            <v>Ok</v>
          </cell>
          <cell r="O64" t="str">
            <v>Não</v>
          </cell>
        </row>
        <row r="65">
          <cell r="I65">
            <v>44211</v>
          </cell>
          <cell r="K65" t="str">
            <v>Ok</v>
          </cell>
          <cell r="O65" t="str">
            <v>Não</v>
          </cell>
        </row>
        <row r="66">
          <cell r="I66">
            <v>44211</v>
          </cell>
          <cell r="K66" t="str">
            <v>Ok</v>
          </cell>
          <cell r="O66" t="str">
            <v>Sim</v>
          </cell>
        </row>
        <row r="67">
          <cell r="I67">
            <v>44211</v>
          </cell>
          <cell r="K67" t="str">
            <v>Ok</v>
          </cell>
          <cell r="O67" t="str">
            <v>Sim</v>
          </cell>
        </row>
        <row r="68">
          <cell r="I68">
            <v>44211</v>
          </cell>
          <cell r="K68" t="str">
            <v>Ok</v>
          </cell>
          <cell r="O68" t="str">
            <v>Sim</v>
          </cell>
        </row>
        <row r="69">
          <cell r="I69">
            <v>44211</v>
          </cell>
          <cell r="K69" t="str">
            <v>Ok</v>
          </cell>
          <cell r="O69" t="str">
            <v>Não</v>
          </cell>
        </row>
        <row r="70">
          <cell r="I70">
            <v>44224</v>
          </cell>
          <cell r="K70" t="str">
            <v>Ok</v>
          </cell>
          <cell r="O70" t="str">
            <v>Não</v>
          </cell>
        </row>
        <row r="71">
          <cell r="I71">
            <v>44222</v>
          </cell>
          <cell r="K71" t="str">
            <v>Ok</v>
          </cell>
          <cell r="O71" t="str">
            <v>Sim</v>
          </cell>
        </row>
        <row r="72">
          <cell r="I72">
            <v>44194</v>
          </cell>
          <cell r="K72" t="str">
            <v>Ok</v>
          </cell>
          <cell r="O72" t="str">
            <v>Não</v>
          </cell>
        </row>
        <row r="73">
          <cell r="I73">
            <v>44183</v>
          </cell>
          <cell r="K73" t="str">
            <v>Ok</v>
          </cell>
          <cell r="O73" t="str">
            <v>Sim</v>
          </cell>
        </row>
        <row r="74">
          <cell r="I74">
            <v>44174</v>
          </cell>
          <cell r="K74" t="str">
            <v>Ok</v>
          </cell>
          <cell r="O74" t="str">
            <v>Não</v>
          </cell>
        </row>
        <row r="75">
          <cell r="I75">
            <v>44174</v>
          </cell>
          <cell r="K75" t="str">
            <v>Ok</v>
          </cell>
          <cell r="O75" t="str">
            <v>Não</v>
          </cell>
        </row>
        <row r="76">
          <cell r="I76">
            <v>44134</v>
          </cell>
          <cell r="K76" t="str">
            <v>Ok</v>
          </cell>
          <cell r="O76" t="str">
            <v>Não</v>
          </cell>
        </row>
        <row r="77">
          <cell r="I77">
            <v>44159</v>
          </cell>
          <cell r="K77" t="str">
            <v>Ok</v>
          </cell>
          <cell r="O77" t="str">
            <v>Sim</v>
          </cell>
        </row>
        <row r="78">
          <cell r="I78">
            <v>44221</v>
          </cell>
          <cell r="K78" t="str">
            <v>Ok</v>
          </cell>
          <cell r="O78" t="str">
            <v>Sim</v>
          </cell>
        </row>
        <row r="79">
          <cell r="I79">
            <v>44221</v>
          </cell>
          <cell r="K79" t="str">
            <v>Ok</v>
          </cell>
          <cell r="O79" t="str">
            <v>Sim</v>
          </cell>
        </row>
        <row r="80">
          <cell r="I80">
            <v>44221</v>
          </cell>
          <cell r="K80" t="str">
            <v>Ok</v>
          </cell>
        </row>
        <row r="81">
          <cell r="I81">
            <v>44236</v>
          </cell>
          <cell r="K81" t="str">
            <v>Ok</v>
          </cell>
          <cell r="O81" t="str">
            <v>Não</v>
          </cell>
        </row>
        <row r="82">
          <cell r="I82">
            <v>44236</v>
          </cell>
          <cell r="K82" t="str">
            <v>Ok</v>
          </cell>
          <cell r="O82" t="str">
            <v>Não</v>
          </cell>
        </row>
        <row r="83">
          <cell r="I83">
            <v>44236</v>
          </cell>
          <cell r="K83" t="str">
            <v>Ok</v>
          </cell>
          <cell r="O83" t="str">
            <v>Não</v>
          </cell>
        </row>
        <row r="84">
          <cell r="I84">
            <v>44229</v>
          </cell>
          <cell r="K84" t="str">
            <v>Ok</v>
          </cell>
          <cell r="O84" t="str">
            <v>Não</v>
          </cell>
        </row>
        <row r="85">
          <cell r="I85">
            <v>44229</v>
          </cell>
          <cell r="K85" t="str">
            <v>Ok</v>
          </cell>
          <cell r="O85" t="str">
            <v>Não</v>
          </cell>
        </row>
        <row r="86">
          <cell r="I86">
            <v>44229</v>
          </cell>
          <cell r="K86" t="str">
            <v>Ok</v>
          </cell>
          <cell r="O86" t="str">
            <v>Não</v>
          </cell>
        </row>
        <row r="87">
          <cell r="I87">
            <v>44229</v>
          </cell>
          <cell r="K87" t="str">
            <v>Ok</v>
          </cell>
          <cell r="O87" t="str">
            <v>Não</v>
          </cell>
        </row>
        <row r="88">
          <cell r="I88">
            <v>44229</v>
          </cell>
          <cell r="K88" t="str">
            <v>Ok</v>
          </cell>
          <cell r="O88" t="str">
            <v>Não</v>
          </cell>
        </row>
        <row r="89">
          <cell r="I89">
            <v>44229</v>
          </cell>
          <cell r="K89" t="str">
            <v>Ok</v>
          </cell>
          <cell r="O89" t="str">
            <v>Não</v>
          </cell>
        </row>
        <row r="90">
          <cell r="I90">
            <v>44229</v>
          </cell>
          <cell r="K90" t="str">
            <v>Ok</v>
          </cell>
          <cell r="O90" t="str">
            <v>Sim</v>
          </cell>
        </row>
        <row r="91">
          <cell r="I91">
            <v>44229</v>
          </cell>
          <cell r="K91" t="str">
            <v>Ok</v>
          </cell>
          <cell r="O91" t="str">
            <v>Sim</v>
          </cell>
        </row>
        <row r="92">
          <cell r="I92">
            <v>44225</v>
          </cell>
          <cell r="K92" t="str">
            <v>Ok</v>
          </cell>
          <cell r="O92" t="str">
            <v>Sim</v>
          </cell>
        </row>
        <row r="93">
          <cell r="I93">
            <v>44225</v>
          </cell>
          <cell r="K93" t="str">
            <v>Ok</v>
          </cell>
          <cell r="O93" t="str">
            <v>Não</v>
          </cell>
        </row>
        <row r="94">
          <cell r="I94">
            <v>44225</v>
          </cell>
          <cell r="K94" t="str">
            <v>Ok</v>
          </cell>
          <cell r="O94" t="str">
            <v>Não</v>
          </cell>
        </row>
        <row r="95">
          <cell r="I95">
            <v>44225</v>
          </cell>
          <cell r="K95" t="str">
            <v>Ok</v>
          </cell>
          <cell r="O95" t="str">
            <v>Não</v>
          </cell>
        </row>
        <row r="96">
          <cell r="I96">
            <v>44225</v>
          </cell>
          <cell r="K96" t="str">
            <v>Ok</v>
          </cell>
          <cell r="O96" t="str">
            <v>Não</v>
          </cell>
        </row>
        <row r="97">
          <cell r="I97">
            <v>44229</v>
          </cell>
          <cell r="K97" t="str">
            <v>Ok</v>
          </cell>
          <cell r="O97" t="str">
            <v>Sim</v>
          </cell>
        </row>
        <row r="98">
          <cell r="I98">
            <v>44229</v>
          </cell>
          <cell r="K98" t="str">
            <v>Ok</v>
          </cell>
          <cell r="O98" t="str">
            <v>Sim</v>
          </cell>
        </row>
        <row r="99">
          <cell r="I99">
            <v>44229</v>
          </cell>
          <cell r="K99" t="str">
            <v>Ok</v>
          </cell>
          <cell r="O99" t="str">
            <v>Sim</v>
          </cell>
        </row>
        <row r="100">
          <cell r="I100">
            <v>44229</v>
          </cell>
          <cell r="K100" t="str">
            <v>Ok</v>
          </cell>
          <cell r="O100" t="str">
            <v>Sim</v>
          </cell>
        </row>
        <row r="101">
          <cell r="I101">
            <v>44229</v>
          </cell>
          <cell r="K101" t="str">
            <v>Ok</v>
          </cell>
          <cell r="O101" t="str">
            <v>Sim</v>
          </cell>
        </row>
        <row r="102">
          <cell r="I102">
            <v>44229</v>
          </cell>
          <cell r="K102" t="str">
            <v>Ok</v>
          </cell>
          <cell r="O102" t="str">
            <v>Sim</v>
          </cell>
        </row>
        <row r="103">
          <cell r="I103">
            <v>44229</v>
          </cell>
          <cell r="K103" t="str">
            <v>Ok</v>
          </cell>
          <cell r="O103" t="str">
            <v>Sim</v>
          </cell>
        </row>
        <row r="104">
          <cell r="I104">
            <v>44229</v>
          </cell>
          <cell r="K104" t="str">
            <v>Ok</v>
          </cell>
          <cell r="O104" t="str">
            <v>Sim</v>
          </cell>
        </row>
        <row r="105">
          <cell r="I105">
            <v>44230</v>
          </cell>
          <cell r="K105" t="str">
            <v>Ok</v>
          </cell>
        </row>
        <row r="106">
          <cell r="I106">
            <v>44232</v>
          </cell>
          <cell r="K106" t="str">
            <v>Ok</v>
          </cell>
          <cell r="O106" t="str">
            <v>Sim</v>
          </cell>
        </row>
        <row r="107">
          <cell r="I107">
            <v>44230</v>
          </cell>
          <cell r="K107" t="str">
            <v>Ok</v>
          </cell>
          <cell r="O107" t="str">
            <v>Sim</v>
          </cell>
        </row>
        <row r="108">
          <cell r="I108">
            <v>44230</v>
          </cell>
          <cell r="K108" t="str">
            <v>Ok</v>
          </cell>
          <cell r="O108" t="str">
            <v>Sim</v>
          </cell>
        </row>
        <row r="109">
          <cell r="I109">
            <v>44230</v>
          </cell>
          <cell r="K109" t="str">
            <v>Ok</v>
          </cell>
          <cell r="O109" t="str">
            <v>Sim</v>
          </cell>
        </row>
        <row r="110">
          <cell r="I110">
            <v>44230</v>
          </cell>
          <cell r="K110" t="str">
            <v>Ok</v>
          </cell>
          <cell r="O110" t="str">
            <v>Sim</v>
          </cell>
        </row>
        <row r="111">
          <cell r="I111">
            <v>44230</v>
          </cell>
          <cell r="K111" t="str">
            <v>Ok</v>
          </cell>
          <cell r="O111" t="str">
            <v>Sim</v>
          </cell>
        </row>
        <row r="112">
          <cell r="I112">
            <v>44230</v>
          </cell>
          <cell r="K112" t="str">
            <v>Ok</v>
          </cell>
          <cell r="O112" t="str">
            <v>Sim</v>
          </cell>
        </row>
        <row r="113">
          <cell r="K113" t="str">
            <v>Ok</v>
          </cell>
          <cell r="O113" t="str">
            <v>Sim</v>
          </cell>
        </row>
        <row r="114">
          <cell r="K114" t="str">
            <v>Ok</v>
          </cell>
          <cell r="O114" t="str">
            <v>Sim</v>
          </cell>
        </row>
        <row r="115">
          <cell r="K115" t="str">
            <v>Ok</v>
          </cell>
          <cell r="O115" t="str">
            <v>Sim</v>
          </cell>
        </row>
        <row r="116">
          <cell r="K116" t="str">
            <v>Ok</v>
          </cell>
          <cell r="O116" t="str">
            <v>Sim</v>
          </cell>
        </row>
        <row r="117">
          <cell r="K117" t="str">
            <v>Ok</v>
          </cell>
          <cell r="O117" t="str">
            <v>Não</v>
          </cell>
        </row>
        <row r="118">
          <cell r="K118" t="str">
            <v>Ok</v>
          </cell>
          <cell r="O118" t="str">
            <v>Não</v>
          </cell>
        </row>
        <row r="119">
          <cell r="K119" t="str">
            <v>Ok</v>
          </cell>
          <cell r="O119" t="str">
            <v>Não</v>
          </cell>
        </row>
        <row r="120">
          <cell r="I120">
            <v>44236</v>
          </cell>
          <cell r="K120" t="str">
            <v>Ok</v>
          </cell>
          <cell r="O120" t="str">
            <v>Sim</v>
          </cell>
        </row>
        <row r="121">
          <cell r="K121" t="str">
            <v>Ok</v>
          </cell>
          <cell r="O121" t="str">
            <v>Sim</v>
          </cell>
        </row>
        <row r="122">
          <cell r="I122">
            <v>44235</v>
          </cell>
          <cell r="K122" t="str">
            <v>Ok</v>
          </cell>
          <cell r="O122" t="str">
            <v>Sim</v>
          </cell>
        </row>
        <row r="123">
          <cell r="I123">
            <v>44236</v>
          </cell>
          <cell r="K123" t="str">
            <v>Ok</v>
          </cell>
          <cell r="O123" t="str">
            <v>Sim</v>
          </cell>
        </row>
        <row r="124">
          <cell r="I124">
            <v>44236</v>
          </cell>
          <cell r="K124" t="str">
            <v>Ok</v>
          </cell>
          <cell r="O124" t="str">
            <v>Sim</v>
          </cell>
        </row>
        <row r="125">
          <cell r="I125">
            <v>44248</v>
          </cell>
          <cell r="K125" t="str">
            <v>Ok</v>
          </cell>
          <cell r="O125" t="str">
            <v>Não</v>
          </cell>
        </row>
        <row r="126">
          <cell r="I126">
            <v>44248</v>
          </cell>
          <cell r="K126" t="str">
            <v>Ok</v>
          </cell>
          <cell r="O126" t="str">
            <v>Não</v>
          </cell>
        </row>
        <row r="127">
          <cell r="I127">
            <v>44238</v>
          </cell>
          <cell r="K127" t="str">
            <v>Ok</v>
          </cell>
          <cell r="O127" t="str">
            <v>Sim</v>
          </cell>
        </row>
        <row r="128">
          <cell r="I128">
            <v>44238</v>
          </cell>
          <cell r="K128" t="str">
            <v>Ok</v>
          </cell>
          <cell r="O128" t="str">
            <v>Sim</v>
          </cell>
        </row>
        <row r="129">
          <cell r="I129">
            <v>44238</v>
          </cell>
          <cell r="K129" t="str">
            <v>Ok</v>
          </cell>
          <cell r="O129" t="str">
            <v>Sim</v>
          </cell>
        </row>
        <row r="130">
          <cell r="I130">
            <v>44238</v>
          </cell>
          <cell r="K130" t="str">
            <v>Ok</v>
          </cell>
          <cell r="O130" t="str">
            <v>Sim</v>
          </cell>
        </row>
        <row r="131">
          <cell r="I131">
            <v>44238</v>
          </cell>
          <cell r="K131" t="str">
            <v>Ok</v>
          </cell>
          <cell r="O131" t="str">
            <v>Sim</v>
          </cell>
        </row>
        <row r="132">
          <cell r="I132">
            <v>44236</v>
          </cell>
          <cell r="K132" t="str">
            <v>Ok</v>
          </cell>
          <cell r="O132" t="str">
            <v>Não</v>
          </cell>
        </row>
        <row r="133">
          <cell r="I133">
            <v>44236</v>
          </cell>
          <cell r="K133" t="str">
            <v>Ok</v>
          </cell>
          <cell r="O133" t="str">
            <v>Não</v>
          </cell>
        </row>
        <row r="134">
          <cell r="I134">
            <v>44236</v>
          </cell>
          <cell r="K134" t="str">
            <v>Ok</v>
          </cell>
          <cell r="O134" t="str">
            <v>Não</v>
          </cell>
        </row>
        <row r="135">
          <cell r="I135">
            <v>44236</v>
          </cell>
          <cell r="K135" t="str">
            <v>Ok</v>
          </cell>
          <cell r="O135" t="str">
            <v>Não</v>
          </cell>
        </row>
        <row r="136">
          <cell r="I136">
            <v>44238</v>
          </cell>
          <cell r="K136" t="str">
            <v>Ok</v>
          </cell>
          <cell r="O136" t="str">
            <v>Sim</v>
          </cell>
        </row>
        <row r="137">
          <cell r="I137">
            <v>44239</v>
          </cell>
          <cell r="K137" t="str">
            <v>Ok</v>
          </cell>
          <cell r="O137" t="str">
            <v>Sim</v>
          </cell>
        </row>
        <row r="138">
          <cell r="I138">
            <v>44239</v>
          </cell>
          <cell r="K138" t="str">
            <v>Ok</v>
          </cell>
          <cell r="O138" t="str">
            <v>Sim</v>
          </cell>
        </row>
        <row r="139">
          <cell r="I139">
            <v>44238</v>
          </cell>
          <cell r="K139" t="str">
            <v>Ok</v>
          </cell>
          <cell r="O139" t="str">
            <v>Sim</v>
          </cell>
        </row>
        <row r="140">
          <cell r="I140">
            <v>44249</v>
          </cell>
          <cell r="K140" t="str">
            <v>Ok</v>
          </cell>
          <cell r="O140" t="str">
            <v>Sim</v>
          </cell>
        </row>
        <row r="141">
          <cell r="K141" t="str">
            <v>Ok</v>
          </cell>
          <cell r="O141" t="str">
            <v>Sim</v>
          </cell>
        </row>
        <row r="142">
          <cell r="I142">
            <v>44245</v>
          </cell>
          <cell r="K142" t="str">
            <v>Ok</v>
          </cell>
          <cell r="O142" t="str">
            <v>Sim</v>
          </cell>
        </row>
        <row r="143">
          <cell r="I143">
            <v>44236</v>
          </cell>
          <cell r="K143" t="str">
            <v>Ok</v>
          </cell>
          <cell r="O143" t="str">
            <v>Não</v>
          </cell>
        </row>
        <row r="144">
          <cell r="I144">
            <v>44229</v>
          </cell>
          <cell r="K144" t="str">
            <v>Ok</v>
          </cell>
          <cell r="O144" t="str">
            <v>Sim</v>
          </cell>
        </row>
        <row r="145">
          <cell r="I145">
            <v>44198</v>
          </cell>
          <cell r="K145" t="str">
            <v>Ok</v>
          </cell>
          <cell r="O145" t="str">
            <v>Não</v>
          </cell>
        </row>
        <row r="146">
          <cell r="I146">
            <v>44250</v>
          </cell>
          <cell r="K146" t="str">
            <v>Ok</v>
          </cell>
          <cell r="O146" t="str">
            <v>Sim</v>
          </cell>
        </row>
        <row r="147">
          <cell r="I147">
            <v>44250</v>
          </cell>
          <cell r="K147" t="str">
            <v>Ok</v>
          </cell>
          <cell r="O147" t="str">
            <v>Sim</v>
          </cell>
        </row>
        <row r="148">
          <cell r="K148" t="str">
            <v>Ok</v>
          </cell>
          <cell r="O148" t="str">
            <v>Não</v>
          </cell>
        </row>
        <row r="149">
          <cell r="I149">
            <v>44251</v>
          </cell>
          <cell r="K149" t="str">
            <v>Ok</v>
          </cell>
          <cell r="O149" t="str">
            <v>Sim</v>
          </cell>
        </row>
        <row r="150">
          <cell r="I150">
            <v>44250</v>
          </cell>
          <cell r="K150" t="str">
            <v>Ok</v>
          </cell>
          <cell r="O150" t="str">
            <v>Sim</v>
          </cell>
        </row>
        <row r="151">
          <cell r="K151" t="str">
            <v>Ok</v>
          </cell>
          <cell r="O151" t="str">
            <v>Sim</v>
          </cell>
        </row>
        <row r="152">
          <cell r="K152" t="str">
            <v>Ok</v>
          </cell>
          <cell r="O152" t="str">
            <v>Não</v>
          </cell>
        </row>
        <row r="153">
          <cell r="I153">
            <v>44253</v>
          </cell>
          <cell r="K153" t="str">
            <v>Ok</v>
          </cell>
          <cell r="O153" t="str">
            <v>Sim</v>
          </cell>
        </row>
        <row r="154">
          <cell r="I154">
            <v>44253</v>
          </cell>
          <cell r="K154" t="str">
            <v>Ok</v>
          </cell>
          <cell r="O154" t="str">
            <v>Sim</v>
          </cell>
        </row>
        <row r="155">
          <cell r="I155">
            <v>44256</v>
          </cell>
          <cell r="K155" t="str">
            <v>Ok</v>
          </cell>
          <cell r="O155" t="str">
            <v>Sim</v>
          </cell>
        </row>
        <row r="156">
          <cell r="I156">
            <v>44216</v>
          </cell>
          <cell r="K156" t="str">
            <v>Aguardando Aprovação</v>
          </cell>
          <cell r="O156" t="str">
            <v>Sim</v>
          </cell>
        </row>
        <row r="157">
          <cell r="I157">
            <v>44216</v>
          </cell>
          <cell r="K157" t="str">
            <v>Aguardando Aprovação</v>
          </cell>
          <cell r="O157" t="str">
            <v>Sim</v>
          </cell>
        </row>
        <row r="158">
          <cell r="K158" t="str">
            <v>Novo</v>
          </cell>
        </row>
        <row r="159">
          <cell r="I159">
            <v>44214</v>
          </cell>
          <cell r="K159" t="str">
            <v>Aguardando Aprovação</v>
          </cell>
          <cell r="O159" t="str">
            <v>Sim</v>
          </cell>
        </row>
        <row r="160">
          <cell r="K160" t="str">
            <v>Novo</v>
          </cell>
        </row>
        <row r="161">
          <cell r="K161" t="str">
            <v>Novo</v>
          </cell>
        </row>
        <row r="162">
          <cell r="I162">
            <v>44214</v>
          </cell>
          <cell r="K162" t="str">
            <v>Aguardando Aprovação</v>
          </cell>
          <cell r="O162" t="str">
            <v>Sim</v>
          </cell>
        </row>
        <row r="163">
          <cell r="K163" t="str">
            <v>Novo</v>
          </cell>
        </row>
        <row r="164">
          <cell r="K164" t="str">
            <v>Novo</v>
          </cell>
        </row>
        <row r="165">
          <cell r="K165" t="str">
            <v>Novo</v>
          </cell>
        </row>
        <row r="166">
          <cell r="K166" t="str">
            <v>Novo</v>
          </cell>
        </row>
        <row r="167">
          <cell r="K167" t="str">
            <v>Novo</v>
          </cell>
        </row>
        <row r="168">
          <cell r="I168">
            <v>44144</v>
          </cell>
          <cell r="K168" t="str">
            <v>Novo</v>
          </cell>
        </row>
        <row r="169">
          <cell r="I169">
            <v>44124</v>
          </cell>
          <cell r="K169" t="str">
            <v>Novo</v>
          </cell>
        </row>
        <row r="170">
          <cell r="I170">
            <v>44104</v>
          </cell>
          <cell r="K170" t="str">
            <v>Novo</v>
          </cell>
        </row>
        <row r="171">
          <cell r="I171">
            <v>44027</v>
          </cell>
          <cell r="K171" t="str">
            <v>Aguardando Aprovação</v>
          </cell>
        </row>
        <row r="172">
          <cell r="K172" t="str">
            <v>Novo</v>
          </cell>
        </row>
        <row r="173">
          <cell r="I173">
            <v>44118</v>
          </cell>
          <cell r="K173" t="str">
            <v>Novo</v>
          </cell>
        </row>
        <row r="174">
          <cell r="I174">
            <v>44132</v>
          </cell>
          <cell r="K174" t="str">
            <v>Novo</v>
          </cell>
        </row>
        <row r="175">
          <cell r="I175">
            <v>44117</v>
          </cell>
          <cell r="K175" t="str">
            <v>Novo</v>
          </cell>
        </row>
        <row r="176">
          <cell r="I176">
            <v>44118</v>
          </cell>
          <cell r="K176" t="str">
            <v>Novo</v>
          </cell>
        </row>
        <row r="177">
          <cell r="I177">
            <v>44119</v>
          </cell>
          <cell r="K177" t="str">
            <v>Novo</v>
          </cell>
        </row>
        <row r="178">
          <cell r="I178">
            <v>44120</v>
          </cell>
          <cell r="K178" t="str">
            <v>Novo</v>
          </cell>
        </row>
        <row r="179">
          <cell r="I179">
            <v>44123</v>
          </cell>
          <cell r="K179" t="str">
            <v>Novo</v>
          </cell>
        </row>
        <row r="180">
          <cell r="I180">
            <v>44118</v>
          </cell>
          <cell r="K180" t="str">
            <v>Novo</v>
          </cell>
        </row>
        <row r="181">
          <cell r="K181" t="str">
            <v>Novo</v>
          </cell>
        </row>
        <row r="182">
          <cell r="I182">
            <v>43951</v>
          </cell>
          <cell r="K182" t="str">
            <v>Novo</v>
          </cell>
        </row>
        <row r="183">
          <cell r="I183">
            <v>43983</v>
          </cell>
          <cell r="K183" t="str">
            <v>Novo</v>
          </cell>
        </row>
        <row r="184">
          <cell r="I184">
            <v>43908</v>
          </cell>
          <cell r="K184" t="str">
            <v>Novo</v>
          </cell>
        </row>
        <row r="185">
          <cell r="I185">
            <v>44119</v>
          </cell>
          <cell r="K185" t="str">
            <v>Novo</v>
          </cell>
        </row>
        <row r="186">
          <cell r="I186">
            <v>44119</v>
          </cell>
          <cell r="K186" t="str">
            <v>Novo</v>
          </cell>
        </row>
        <row r="187">
          <cell r="I187">
            <v>44119</v>
          </cell>
          <cell r="K187" t="str">
            <v>Novo</v>
          </cell>
        </row>
        <row r="188">
          <cell r="I188">
            <v>44117</v>
          </cell>
          <cell r="K188" t="str">
            <v>Novo</v>
          </cell>
        </row>
        <row r="189">
          <cell r="I189">
            <v>44117</v>
          </cell>
          <cell r="K189" t="str">
            <v>Novo</v>
          </cell>
        </row>
        <row r="190">
          <cell r="I190">
            <v>44117</v>
          </cell>
          <cell r="K190" t="str">
            <v>Novo</v>
          </cell>
        </row>
        <row r="191">
          <cell r="I191">
            <v>44076</v>
          </cell>
          <cell r="K191" t="str">
            <v>Novo</v>
          </cell>
        </row>
        <row r="192">
          <cell r="I192">
            <v>44105</v>
          </cell>
          <cell r="K192" t="str">
            <v>Novo</v>
          </cell>
        </row>
        <row r="193">
          <cell r="I193">
            <v>44090</v>
          </cell>
          <cell r="K193" t="str">
            <v>Novo</v>
          </cell>
        </row>
        <row r="194">
          <cell r="I194">
            <v>44090</v>
          </cell>
          <cell r="K194" t="str">
            <v>Novo</v>
          </cell>
        </row>
        <row r="195">
          <cell r="I195">
            <v>44090</v>
          </cell>
          <cell r="K195" t="str">
            <v>Novo</v>
          </cell>
        </row>
        <row r="196">
          <cell r="I196">
            <v>44090</v>
          </cell>
          <cell r="K196" t="str">
            <v>Novo</v>
          </cell>
        </row>
        <row r="197">
          <cell r="I197">
            <v>44090</v>
          </cell>
          <cell r="K197" t="str">
            <v>Novo</v>
          </cell>
        </row>
        <row r="198">
          <cell r="I198">
            <v>44083</v>
          </cell>
          <cell r="K198" t="str">
            <v>Novo</v>
          </cell>
        </row>
        <row r="199">
          <cell r="I199">
            <v>44083</v>
          </cell>
          <cell r="K199" t="str">
            <v>Novo</v>
          </cell>
        </row>
        <row r="200">
          <cell r="I200">
            <v>44069</v>
          </cell>
          <cell r="K200" t="str">
            <v>Novo</v>
          </cell>
        </row>
        <row r="201">
          <cell r="I201">
            <v>44069</v>
          </cell>
          <cell r="K201" t="str">
            <v>Novo</v>
          </cell>
        </row>
        <row r="202">
          <cell r="K202" t="str">
            <v>Cancelado</v>
          </cell>
          <cell r="O202" t="str">
            <v>Não</v>
          </cell>
        </row>
        <row r="203">
          <cell r="K203" t="str">
            <v>Aguardando Aprovação</v>
          </cell>
          <cell r="O203" t="str">
            <v>Sim</v>
          </cell>
        </row>
        <row r="204">
          <cell r="K204" t="str">
            <v>Aguardando Aprovação</v>
          </cell>
          <cell r="O204" t="str">
            <v>Sim</v>
          </cell>
        </row>
        <row r="205">
          <cell r="I205">
            <v>44246</v>
          </cell>
          <cell r="K205" t="str">
            <v>Aguardando Aprovação</v>
          </cell>
          <cell r="O205" t="str">
            <v>Não</v>
          </cell>
        </row>
        <row r="206">
          <cell r="K206" t="str">
            <v>Novo</v>
          </cell>
          <cell r="O206" t="str">
            <v>Sim</v>
          </cell>
        </row>
        <row r="207">
          <cell r="K207" t="str">
            <v>Aguardando Aprovação</v>
          </cell>
          <cell r="O207" t="str">
            <v>Sim</v>
          </cell>
        </row>
        <row r="208">
          <cell r="K208" t="str">
            <v>Aguardando Aprovação</v>
          </cell>
          <cell r="O208" t="str">
            <v>Sim</v>
          </cell>
        </row>
        <row r="209">
          <cell r="K209" t="str">
            <v>Novo</v>
          </cell>
          <cell r="O209" t="str">
            <v>Sim</v>
          </cell>
        </row>
        <row r="210">
          <cell r="K210" t="str">
            <v>Novo</v>
          </cell>
          <cell r="O210" t="str">
            <v>Não</v>
          </cell>
        </row>
        <row r="211">
          <cell r="K211" t="str">
            <v>Aguardando Aprovação</v>
          </cell>
          <cell r="O211" t="str">
            <v>Não</v>
          </cell>
        </row>
        <row r="212">
          <cell r="K212" t="str">
            <v>Aguardando Aprovação</v>
          </cell>
          <cell r="O212" t="str">
            <v>Não</v>
          </cell>
        </row>
        <row r="213">
          <cell r="K213" t="str">
            <v>Aguardando Aprovação</v>
          </cell>
          <cell r="O213" t="str">
            <v>Sim</v>
          </cell>
        </row>
        <row r="214">
          <cell r="K214" t="str">
            <v>Aguardando Aprovação</v>
          </cell>
          <cell r="O214" t="str">
            <v>Sim</v>
          </cell>
        </row>
        <row r="215">
          <cell r="K215" t="str">
            <v>Aguardando Aprovação</v>
          </cell>
          <cell r="O215" t="str">
            <v>Sim</v>
          </cell>
        </row>
        <row r="216">
          <cell r="K216" t="str">
            <v>Novo</v>
          </cell>
          <cell r="O216" t="str">
            <v>Sim</v>
          </cell>
        </row>
        <row r="217">
          <cell r="K217" t="str">
            <v>Aguardando Aprovação</v>
          </cell>
          <cell r="O217" t="str">
            <v>Não</v>
          </cell>
        </row>
        <row r="218">
          <cell r="K218" t="str">
            <v>Aguardando Aprovação</v>
          </cell>
          <cell r="O218" t="str">
            <v>Não</v>
          </cell>
        </row>
        <row r="219">
          <cell r="K219" t="str">
            <v>Aguardando Aprovação</v>
          </cell>
          <cell r="O219" t="str">
            <v>Não</v>
          </cell>
        </row>
        <row r="220">
          <cell r="K220" t="str">
            <v>Aguardando Aprovação</v>
          </cell>
          <cell r="O220" t="str">
            <v>Não</v>
          </cell>
        </row>
        <row r="221">
          <cell r="K221" t="str">
            <v>Aguardando Aprovação</v>
          </cell>
          <cell r="O221" t="str">
            <v>Não</v>
          </cell>
        </row>
        <row r="222">
          <cell r="K222" t="str">
            <v>Novo</v>
          </cell>
          <cell r="O222" t="str">
            <v>Não</v>
          </cell>
        </row>
        <row r="223">
          <cell r="K223" t="str">
            <v>Novo</v>
          </cell>
          <cell r="O223" t="str">
            <v>Sim</v>
          </cell>
        </row>
        <row r="224">
          <cell r="K224" t="str">
            <v>Novo</v>
          </cell>
          <cell r="O224" t="str">
            <v>Sim</v>
          </cell>
        </row>
        <row r="225">
          <cell r="K225" t="str">
            <v>Novo</v>
          </cell>
          <cell r="O225" t="str">
            <v>Não</v>
          </cell>
        </row>
        <row r="226">
          <cell r="I226">
            <v>44252</v>
          </cell>
          <cell r="K226" t="str">
            <v>Aguardando Aprovação</v>
          </cell>
          <cell r="O226" t="str">
            <v>Sim</v>
          </cell>
        </row>
        <row r="227">
          <cell r="K227" t="str">
            <v>Novo</v>
          </cell>
          <cell r="O227" t="str">
            <v>Não</v>
          </cell>
        </row>
        <row r="228">
          <cell r="K228" t="str">
            <v>Novo</v>
          </cell>
          <cell r="O228" t="str">
            <v>Não</v>
          </cell>
        </row>
        <row r="229">
          <cell r="K229" t="str">
            <v>Novo</v>
          </cell>
          <cell r="O229" t="str">
            <v>Sim</v>
          </cell>
        </row>
        <row r="230">
          <cell r="K230" t="str">
            <v>Novo</v>
          </cell>
          <cell r="O230" t="str">
            <v>Sim</v>
          </cell>
        </row>
        <row r="231">
          <cell r="K231" t="str">
            <v>Novo</v>
          </cell>
          <cell r="O231" t="str">
            <v>Sim</v>
          </cell>
        </row>
      </sheetData>
      <sheetData sheetId="1"/>
      <sheetData sheetId="2">
        <row r="3">
          <cell r="A3" t="str">
            <v>SIM</v>
          </cell>
          <cell r="O3" t="str">
            <v>&gt;=01/01/2021</v>
          </cell>
        </row>
        <row r="4">
          <cell r="A4" t="str">
            <v>NÃO</v>
          </cell>
          <cell r="O4" t="str">
            <v>&lt;=31/01/2021</v>
          </cell>
        </row>
      </sheetData>
      <sheetData sheetId="3"/>
      <sheetData sheetId="4"/>
    </sheetDataSet>
  </externalBook>
</externalLink>
</file>

<file path=xl/namedSheetViews/namedSheetView1.xml><?xml version="1.0" encoding="utf-8"?>
<namedSheetViews xmlns="http://schemas.microsoft.com/office/spreadsheetml/2019/namedsheetviews" xmlns:x="http://schemas.openxmlformats.org/spreadsheetml/2006/main">
  <namedSheetView name="Exibir1" id="{41DE8540-59C0-4F16-9BF2-F3ECD70E0922}"/>
</namedSheetViews>
</file>

<file path=xl/namedSheetViews/namedSheetView2.xml><?xml version="1.0" encoding="utf-8"?>
<namedSheetViews xmlns="http://schemas.microsoft.com/office/spreadsheetml/2019/namedsheetviews" xmlns:x="http://schemas.openxmlformats.org/spreadsheetml/2006/main">
  <namedSheetView name="Exibir1" id="{F7FC47BD-92B6-4691-A7FC-20ADC0994E29}">
    <nsvFilter filterId="{B0A2735B-AEA9-4976-BD57-D7D3B355918B}" ref="A1:R136" tableId="4"/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613BE6F-1C3B-448C-9D8D-949E983DF03A}" name="Tabela134" displayName="Tabela134" ref="A1:R71" totalsRowShown="0" headerRowDxfId="183" dataDxfId="182" headerRowBorderDxfId="180" tableBorderDxfId="181" totalsRowBorderDxfId="179">
  <autoFilter ref="A1:R71" xr:uid="{6E2E79EF-F309-4C9F-9A79-E8E4560B1C6E}"/>
  <tableColumns count="18">
    <tableColumn id="1" xr3:uid="{AA9474B7-B0E6-4ED1-A889-DC49C3017BE6}" name="Cliente" dataDxfId="178"/>
    <tableColumn id="2" xr3:uid="{71C5FC51-17FD-49BF-928D-AF7DA7C4B279}" name="Origem" dataDxfId="177"/>
    <tableColumn id="3" xr3:uid="{B61C151D-50E1-4F68-A3A8-1967222967D6}" name="Atribuição" dataDxfId="176"/>
    <tableColumn id="4" xr3:uid="{3F35109B-2DCE-4E6C-8C3A-BEB9AED94A76}" name="Nome do Chamado" dataDxfId="175"/>
    <tableColumn id="5" xr3:uid="{10B07128-997C-4420-9D2C-698A29765E53}" name="Peça" dataDxfId="174"/>
    <tableColumn id="6" xr3:uid="{AADB728B-F848-4D3B-8C17-E24D1983A39C}" name="Quantidade" dataDxfId="173"/>
    <tableColumn id="7" xr3:uid="{437F6107-1008-48CF-B2D5-F5AC0D61EE30}" name="Data de Solicitação" dataDxfId="172"/>
    <tableColumn id="8" xr3:uid="{FAC57980-05E9-44E5-8DA7-0E158AD55E5A}" name="Prazo" dataDxfId="171"/>
    <tableColumn id="9" xr3:uid="{CAA8285B-B46B-4BDE-B877-B5C32501D4E6}" name="Data de Conclusão" dataDxfId="170"/>
    <tableColumn id="10" xr3:uid="{BA6D3D44-F25D-47A5-ACA7-33B6FCC7B11A}" name="Observações" dataDxfId="169"/>
    <tableColumn id="11" xr3:uid="{253BE95D-FC40-46C2-98C5-BFA1C07C53AF}" name="Status" dataDxfId="168"/>
    <tableColumn id="12" xr3:uid="{8D479A52-10BC-4B39-A0AC-26C28E34A2CC}" name="Categoria" dataDxfId="167"/>
    <tableColumn id="13" xr3:uid="{7D91B75D-15A0-4D8A-9AFB-0D9CC06E3D1D}" name="Serviço" dataDxfId="166"/>
    <tableColumn id="14" xr3:uid="{1D3AEBD6-0E74-42EB-B39B-91F793773254}" name="Alterações" dataDxfId="165"/>
    <tableColumn id="15" xr3:uid="{B8CA9CDD-E5D3-4D50-ABAD-155C6384A2B0}" name="Gôndola" dataDxfId="164"/>
    <tableColumn id="16" xr3:uid="{1E3E1768-1660-4ABE-B683-39994F7AE447}" name="Boas Práticas" dataDxfId="163"/>
    <tableColumn id="17" xr3:uid="{FD3685A8-CB89-448B-A814-535B7121D451}" name="Briefing" dataDxfId="162"/>
    <tableColumn id="18" xr3:uid="{F92CAB28-F3F2-4F2E-A59B-21F8EE572616}" name="Retorno à Central" dataDxfId="161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BF2C3B5-2876-48DA-9287-36C2DBD154D2}" name="Tabela13423" displayName="Tabela13423" ref="A1:R85" totalsRowShown="0" headerRowDxfId="140" dataDxfId="139" headerRowBorderDxfId="137" tableBorderDxfId="138" totalsRowBorderDxfId="136">
  <autoFilter ref="A1:R85" xr:uid="{68CD74F5-752D-481F-9B05-B28045B15865}"/>
  <tableColumns count="18">
    <tableColumn id="1" xr3:uid="{38B8A345-5E5C-417E-88CE-69825C4878DD}" name="Cliente" dataDxfId="135"/>
    <tableColumn id="2" xr3:uid="{DA526638-866B-43E6-828F-4A5DA1B27E75}" name="Origem" dataDxfId="134"/>
    <tableColumn id="3" xr3:uid="{1366CDEC-730B-4322-B8F0-65BB3E1B6E04}" name="Atribuição" dataDxfId="133"/>
    <tableColumn id="4" xr3:uid="{4794EF17-CA86-4B1A-BCDB-D84A88CE250F}" name="Nome do Chamado" dataDxfId="132"/>
    <tableColumn id="5" xr3:uid="{5DFF4F66-1716-4783-AB7C-8DA68F69328D}" name="Peça" dataDxfId="131"/>
    <tableColumn id="6" xr3:uid="{711B3A3F-ABC7-4FF4-8DBB-0CE530D76505}" name="Quantidade" dataDxfId="130"/>
    <tableColumn id="7" xr3:uid="{463DF918-A0AF-4200-B575-B0253C623059}" name="Data de Solicitação" dataDxfId="129"/>
    <tableColumn id="8" xr3:uid="{EB46F7A8-55AD-4B59-ADF9-EDB748BE387E}" name="Prazo" dataDxfId="128"/>
    <tableColumn id="9" xr3:uid="{88DE93A5-27A0-44E5-809D-3F346FC5A4D0}" name="Data de Conclusão" dataDxfId="127"/>
    <tableColumn id="10" xr3:uid="{4BFBB660-7757-48AA-861A-B14764E4A186}" name="Observações" dataDxfId="126"/>
    <tableColumn id="11" xr3:uid="{BF756D26-ECA1-45C6-A3FB-1321F8370EC5}" name="Status" dataDxfId="125"/>
    <tableColumn id="12" xr3:uid="{8EB39143-C671-4371-968E-D3672D37B7D5}" name="Categoria" dataDxfId="124"/>
    <tableColumn id="13" xr3:uid="{EE7C0EF2-8E0A-4A3F-A5AF-1644D5D84C1D}" name="Serviço" dataDxfId="123"/>
    <tableColumn id="14" xr3:uid="{9B1371D9-0EA0-46F6-977A-DD58DF43A466}" name="Alterações" dataDxfId="122"/>
    <tableColumn id="15" xr3:uid="{8FC57AF6-EE27-4AE3-B676-1DA0D2406F51}" name="Gôndola" dataDxfId="121"/>
    <tableColumn id="16" xr3:uid="{FCAC1112-74A1-4BAC-AED3-AEC8A957527A}" name="Boas Práticas" dataDxfId="120"/>
    <tableColumn id="17" xr3:uid="{2927CA9E-7E94-45D6-A66D-D3A14C710411}" name="Briefing" dataDxfId="119"/>
    <tableColumn id="18" xr3:uid="{8268800D-61EF-48E2-89E7-47114467A312}" name="Retorno à Central" dataDxfId="118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34CBE85-2B51-4C41-BDB4-2A5266DDACB2}" name="Tabela1342325" displayName="Tabela1342325" ref="A1:R136" totalsRowShown="0" headerRowDxfId="22" dataDxfId="21" headerRowBorderDxfId="19" tableBorderDxfId="20" totalsRowBorderDxfId="18">
  <autoFilter ref="A1:R136" xr:uid="{B0A2735B-AEA9-4976-BD57-D7D3B355918B}">
    <filterColumn colId="10">
      <filters blank="1">
        <filter val="Aguardando Aprovação"/>
        <filter val="Cancelado"/>
        <filter val="Novo"/>
      </filters>
    </filterColumn>
  </autoFilter>
  <tableColumns count="18">
    <tableColumn id="1" xr3:uid="{5B095B5F-D831-4580-853D-75F34F5F042E}" name="Cliente" dataDxfId="17"/>
    <tableColumn id="2" xr3:uid="{BA5B06EA-EF69-4352-8470-BCE9E97F1376}" name="Origem" dataDxfId="16"/>
    <tableColumn id="3" xr3:uid="{86C037ED-84AB-4A65-A048-232E5472D443}" name="Atribuição" dataDxfId="15"/>
    <tableColumn id="4" xr3:uid="{8459F29E-CE67-4BAB-B425-3E4F6FEB3EB8}" name="Nome do Chamado" dataDxfId="14"/>
    <tableColumn id="5" xr3:uid="{ACF3DD17-4974-4770-98E1-7579ED872F7A}" name="Peça" dataDxfId="13"/>
    <tableColumn id="6" xr3:uid="{FFE59CC4-D80A-4701-B8C3-FB4E9E74C328}" name="Quantidade" dataDxfId="12"/>
    <tableColumn id="7" xr3:uid="{1C2C8338-D71A-4E69-A8DF-928386AB5E50}" name="Data de Solicitação" dataDxfId="11"/>
    <tableColumn id="8" xr3:uid="{5F320C70-F4E0-4ACC-88CC-E5F9F6C4FE9A}" name="Prazo" dataDxfId="10"/>
    <tableColumn id="9" xr3:uid="{2D0B6F32-530B-435E-BE6D-75933F434183}" name="Data de Conclusão" dataDxfId="9"/>
    <tableColumn id="10" xr3:uid="{1AC4CA4E-EEF2-435C-8093-55BB7272077F}" name="Observações" dataDxfId="8"/>
    <tableColumn id="11" xr3:uid="{BF7DD8E0-D919-429E-8B6F-D84E11C9AF46}" name="Status" dataDxfId="7"/>
    <tableColumn id="12" xr3:uid="{FCDED0F2-F1D5-4AB6-9EAA-4F3068D9AE38}" name="Categoria" dataDxfId="6"/>
    <tableColumn id="13" xr3:uid="{A6E8AE21-1B6C-4198-98B8-2F27278188CC}" name="Serviço" dataDxfId="5"/>
    <tableColumn id="14" xr3:uid="{0211DBE2-A1E5-4744-B9C2-99A053D91DAB}" name="Alterações" dataDxfId="4"/>
    <tableColumn id="15" xr3:uid="{21B034CF-80CA-410F-BF4B-C2DA52CD08BB}" name="Gôndola" dataDxfId="3"/>
    <tableColumn id="16" xr3:uid="{81C6D489-9273-4453-9ACB-532AE295A483}" name="Boas Práticas" dataDxfId="2"/>
    <tableColumn id="17" xr3:uid="{3FA861FD-3D90-4C5C-9ABD-8671617354EE}" name="Briefing" dataDxfId="1"/>
    <tableColumn id="18" xr3:uid="{D3D2CB9A-EAA3-4C76-B2E5-9569575B5DC1}" name="Retorno à Central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microsoft.com/office/2019/04/relationships/namedSheetView" Target="../namedSheetViews/namedSheetView1.xml"/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2" Type="http://schemas.microsoft.com/office/2019/04/relationships/namedSheetView" Target="../namedSheetViews/namedSheetView2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D34EB-E8FE-4B1C-AECD-1F8392745AB8}">
  <sheetPr codeName="Planilha1"/>
  <dimension ref="A1:R231"/>
  <sheetViews>
    <sheetView topLeftCell="B1" zoomScale="85" zoomScaleNormal="85" workbookViewId="0">
      <selection sqref="A1:R1048576"/>
    </sheetView>
  </sheetViews>
  <sheetFormatPr defaultRowHeight="15"/>
  <cols>
    <col min="1" max="1" width="35.28515625" customWidth="1"/>
    <col min="2" max="2" width="11.85546875" customWidth="1"/>
    <col min="3" max="3" width="14" customWidth="1"/>
    <col min="4" max="4" width="12" customWidth="1"/>
    <col min="5" max="5" width="22.28515625" customWidth="1"/>
    <col min="6" max="6" width="14.42578125" customWidth="1"/>
    <col min="7" max="7" width="34.85546875" customWidth="1"/>
    <col min="9" max="9" width="12.42578125" style="5" customWidth="1"/>
    <col min="10" max="10" width="19.28515625" style="5" customWidth="1"/>
    <col min="11" max="11" width="13.85546875" style="5" customWidth="1"/>
    <col min="12" max="12" width="20.7109375" customWidth="1"/>
    <col min="13" max="13" width="17.85546875" customWidth="1"/>
    <col min="14" max="14" width="11.7109375" customWidth="1"/>
    <col min="15" max="15" width="23.85546875" bestFit="1" customWidth="1"/>
    <col min="16" max="16" width="15" customWidth="1"/>
    <col min="17" max="17" width="12.85546875" customWidth="1"/>
    <col min="18" max="18" width="18.85546875" customWidth="1"/>
  </cols>
  <sheetData>
    <row r="1" spans="1:18" ht="60.75" customHeight="1">
      <c r="A1" s="10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12" t="s">
        <v>6</v>
      </c>
      <c r="H1" s="12" t="s">
        <v>7</v>
      </c>
      <c r="I1" s="37" t="s">
        <v>8</v>
      </c>
      <c r="J1" s="11" t="s">
        <v>9</v>
      </c>
      <c r="K1" s="11" t="s">
        <v>10</v>
      </c>
      <c r="L1" s="11" t="s">
        <v>11</v>
      </c>
      <c r="M1" s="11" t="s">
        <v>12</v>
      </c>
      <c r="N1" s="11" t="s">
        <v>13</v>
      </c>
      <c r="O1" s="11" t="s">
        <v>14</v>
      </c>
      <c r="P1" s="11" t="s">
        <v>15</v>
      </c>
      <c r="Q1" s="11" t="s">
        <v>16</v>
      </c>
      <c r="R1" s="13" t="s">
        <v>17</v>
      </c>
    </row>
    <row r="2" spans="1:18" ht="15" customHeight="1">
      <c r="A2" t="s">
        <v>18</v>
      </c>
      <c r="B2">
        <v>198501</v>
      </c>
      <c r="C2" t="s">
        <v>19</v>
      </c>
      <c r="D2" t="s">
        <v>20</v>
      </c>
      <c r="E2" t="s">
        <v>21</v>
      </c>
      <c r="F2">
        <v>4</v>
      </c>
      <c r="G2">
        <v>44132</v>
      </c>
      <c r="H2">
        <v>44216</v>
      </c>
      <c r="I2" s="5">
        <v>44218</v>
      </c>
      <c r="K2" s="5" t="s">
        <v>22</v>
      </c>
      <c r="L2" t="s">
        <v>23</v>
      </c>
      <c r="M2" t="s">
        <v>24</v>
      </c>
      <c r="N2">
        <v>3</v>
      </c>
      <c r="O2" t="s">
        <v>25</v>
      </c>
      <c r="P2" t="s">
        <v>26</v>
      </c>
      <c r="Q2" t="s">
        <v>27</v>
      </c>
      <c r="R2" t="s">
        <v>28</v>
      </c>
    </row>
    <row r="3" spans="1:18" ht="15" customHeight="1">
      <c r="A3" t="s">
        <v>29</v>
      </c>
      <c r="B3">
        <v>215118</v>
      </c>
      <c r="C3" t="s">
        <v>30</v>
      </c>
      <c r="D3" t="s">
        <v>31</v>
      </c>
      <c r="E3" t="s">
        <v>32</v>
      </c>
      <c r="F3">
        <v>1</v>
      </c>
      <c r="G3">
        <v>44214</v>
      </c>
      <c r="H3">
        <v>44218</v>
      </c>
      <c r="I3" s="5">
        <v>44218</v>
      </c>
      <c r="K3" s="5" t="s">
        <v>22</v>
      </c>
      <c r="L3" t="s">
        <v>33</v>
      </c>
      <c r="M3" t="s">
        <v>24</v>
      </c>
      <c r="N3">
        <v>0</v>
      </c>
      <c r="O3" t="s">
        <v>26</v>
      </c>
      <c r="P3" t="s">
        <v>26</v>
      </c>
      <c r="Q3" t="s">
        <v>27</v>
      </c>
      <c r="R3" t="s">
        <v>28</v>
      </c>
    </row>
    <row r="4" spans="1:18" ht="15" customHeight="1">
      <c r="A4" t="s">
        <v>29</v>
      </c>
      <c r="B4">
        <v>215118</v>
      </c>
      <c r="C4" t="s">
        <v>30</v>
      </c>
      <c r="D4" t="s">
        <v>31</v>
      </c>
      <c r="E4" t="s">
        <v>34</v>
      </c>
      <c r="F4">
        <v>1</v>
      </c>
      <c r="G4">
        <v>44214</v>
      </c>
      <c r="H4">
        <v>44218</v>
      </c>
      <c r="I4" s="5">
        <v>44218</v>
      </c>
      <c r="K4" s="5" t="s">
        <v>22</v>
      </c>
      <c r="L4" t="s">
        <v>33</v>
      </c>
      <c r="M4" t="s">
        <v>24</v>
      </c>
      <c r="N4">
        <v>0</v>
      </c>
      <c r="O4" t="s">
        <v>26</v>
      </c>
      <c r="P4" t="s">
        <v>26</v>
      </c>
      <c r="Q4" t="s">
        <v>27</v>
      </c>
      <c r="R4" t="s">
        <v>28</v>
      </c>
    </row>
    <row r="5" spans="1:18" ht="15" customHeight="1">
      <c r="A5" t="s">
        <v>29</v>
      </c>
      <c r="B5">
        <v>215118</v>
      </c>
      <c r="C5" t="s">
        <v>30</v>
      </c>
      <c r="D5" t="s">
        <v>31</v>
      </c>
      <c r="E5" t="s">
        <v>35</v>
      </c>
      <c r="F5">
        <v>7</v>
      </c>
      <c r="G5">
        <v>44214</v>
      </c>
      <c r="H5">
        <v>44218</v>
      </c>
      <c r="I5" s="5">
        <v>44218</v>
      </c>
      <c r="K5" s="5" t="s">
        <v>22</v>
      </c>
      <c r="L5" t="s">
        <v>33</v>
      </c>
      <c r="M5" t="s">
        <v>24</v>
      </c>
      <c r="N5">
        <v>1</v>
      </c>
      <c r="O5" t="s">
        <v>26</v>
      </c>
      <c r="P5" t="s">
        <v>26</v>
      </c>
      <c r="Q5" t="s">
        <v>27</v>
      </c>
      <c r="R5" t="s">
        <v>28</v>
      </c>
    </row>
    <row r="6" spans="1:18" ht="15" customHeight="1">
      <c r="A6" t="s">
        <v>36</v>
      </c>
      <c r="B6">
        <v>214003</v>
      </c>
      <c r="C6" t="s">
        <v>19</v>
      </c>
      <c r="D6" t="s">
        <v>37</v>
      </c>
      <c r="E6" t="s">
        <v>38</v>
      </c>
      <c r="F6">
        <v>1</v>
      </c>
      <c r="G6">
        <v>44210</v>
      </c>
      <c r="H6">
        <v>44215</v>
      </c>
      <c r="I6" s="5">
        <v>44215</v>
      </c>
      <c r="K6" s="5" t="s">
        <v>22</v>
      </c>
      <c r="L6" t="s">
        <v>23</v>
      </c>
      <c r="M6" t="s">
        <v>24</v>
      </c>
      <c r="O6" t="s">
        <v>25</v>
      </c>
      <c r="P6" t="s">
        <v>25</v>
      </c>
      <c r="Q6" t="s">
        <v>28</v>
      </c>
      <c r="R6" t="s">
        <v>28</v>
      </c>
    </row>
    <row r="7" spans="1:18" ht="15" customHeight="1">
      <c r="A7" t="s">
        <v>39</v>
      </c>
      <c r="B7">
        <v>214035</v>
      </c>
      <c r="C7" t="s">
        <v>30</v>
      </c>
      <c r="D7" t="s">
        <v>40</v>
      </c>
      <c r="E7" t="s">
        <v>32</v>
      </c>
      <c r="F7">
        <v>1</v>
      </c>
      <c r="G7">
        <v>44208</v>
      </c>
      <c r="H7">
        <v>44216</v>
      </c>
      <c r="I7" s="5">
        <v>44216</v>
      </c>
      <c r="K7" s="5" t="s">
        <v>22</v>
      </c>
      <c r="L7" t="s">
        <v>41</v>
      </c>
      <c r="M7" t="s">
        <v>24</v>
      </c>
      <c r="N7">
        <v>1</v>
      </c>
      <c r="O7" t="s">
        <v>26</v>
      </c>
      <c r="P7" t="s">
        <v>26</v>
      </c>
      <c r="Q7" t="s">
        <v>27</v>
      </c>
      <c r="R7" t="s">
        <v>28</v>
      </c>
    </row>
    <row r="8" spans="1:18" ht="15" customHeight="1">
      <c r="A8" t="s">
        <v>39</v>
      </c>
      <c r="B8">
        <v>214035</v>
      </c>
      <c r="C8" t="s">
        <v>30</v>
      </c>
      <c r="D8" t="s">
        <v>40</v>
      </c>
      <c r="E8" t="s">
        <v>34</v>
      </c>
      <c r="F8">
        <v>1</v>
      </c>
      <c r="G8">
        <v>44208</v>
      </c>
      <c r="H8">
        <v>44216</v>
      </c>
      <c r="I8" s="5">
        <v>44216</v>
      </c>
      <c r="K8" s="5" t="s">
        <v>22</v>
      </c>
      <c r="L8" t="s">
        <v>41</v>
      </c>
      <c r="M8" t="s">
        <v>24</v>
      </c>
      <c r="N8">
        <v>1</v>
      </c>
      <c r="O8" t="s">
        <v>26</v>
      </c>
      <c r="P8" t="s">
        <v>26</v>
      </c>
      <c r="Q8" t="s">
        <v>27</v>
      </c>
      <c r="R8" t="s">
        <v>28</v>
      </c>
    </row>
    <row r="9" spans="1:18" ht="15" customHeight="1">
      <c r="A9" t="s">
        <v>36</v>
      </c>
      <c r="B9">
        <v>214003</v>
      </c>
      <c r="C9" t="s">
        <v>19</v>
      </c>
      <c r="D9" t="s">
        <v>37</v>
      </c>
      <c r="E9" t="s">
        <v>42</v>
      </c>
      <c r="F9">
        <v>1</v>
      </c>
      <c r="G9">
        <v>44210</v>
      </c>
      <c r="H9">
        <v>44215</v>
      </c>
      <c r="I9" s="5">
        <v>44215</v>
      </c>
      <c r="K9" s="5" t="s">
        <v>22</v>
      </c>
      <c r="L9" t="s">
        <v>23</v>
      </c>
      <c r="M9" t="s">
        <v>24</v>
      </c>
      <c r="O9" t="s">
        <v>25</v>
      </c>
      <c r="P9" t="s">
        <v>25</v>
      </c>
      <c r="Q9" t="s">
        <v>28</v>
      </c>
      <c r="R9" t="s">
        <v>28</v>
      </c>
    </row>
    <row r="10" spans="1:18" ht="15" customHeight="1">
      <c r="A10" t="s">
        <v>36</v>
      </c>
      <c r="B10">
        <v>214003</v>
      </c>
      <c r="C10" t="s">
        <v>19</v>
      </c>
      <c r="D10" t="s">
        <v>37</v>
      </c>
      <c r="E10" t="s">
        <v>43</v>
      </c>
      <c r="F10">
        <v>1</v>
      </c>
      <c r="G10">
        <v>44210</v>
      </c>
      <c r="H10">
        <v>44215</v>
      </c>
      <c r="I10" s="5">
        <v>44215</v>
      </c>
      <c r="K10" s="5" t="s">
        <v>22</v>
      </c>
      <c r="L10" t="s">
        <v>23</v>
      </c>
      <c r="M10" t="s">
        <v>24</v>
      </c>
      <c r="O10" t="s">
        <v>25</v>
      </c>
      <c r="P10" t="s">
        <v>25</v>
      </c>
      <c r="Q10" t="s">
        <v>28</v>
      </c>
      <c r="R10" t="s">
        <v>28</v>
      </c>
    </row>
    <row r="11" spans="1:18" ht="15" customHeight="1">
      <c r="A11" t="s">
        <v>36</v>
      </c>
      <c r="B11">
        <v>214003</v>
      </c>
      <c r="C11" t="s">
        <v>19</v>
      </c>
      <c r="D11" t="s">
        <v>37</v>
      </c>
      <c r="E11" t="s">
        <v>34</v>
      </c>
      <c r="F11">
        <v>1</v>
      </c>
      <c r="G11">
        <v>44210</v>
      </c>
      <c r="H11">
        <v>44215</v>
      </c>
      <c r="I11" s="5">
        <v>44215</v>
      </c>
      <c r="K11" s="5" t="s">
        <v>22</v>
      </c>
      <c r="L11" t="s">
        <v>23</v>
      </c>
      <c r="M11" t="s">
        <v>24</v>
      </c>
      <c r="O11" t="s">
        <v>25</v>
      </c>
      <c r="P11" t="s">
        <v>25</v>
      </c>
      <c r="Q11" t="s">
        <v>28</v>
      </c>
      <c r="R11" t="s">
        <v>28</v>
      </c>
    </row>
    <row r="12" spans="1:18" ht="15" customHeight="1">
      <c r="A12" t="s">
        <v>36</v>
      </c>
      <c r="B12">
        <v>214003</v>
      </c>
      <c r="C12" t="s">
        <v>19</v>
      </c>
      <c r="D12" t="s">
        <v>37</v>
      </c>
      <c r="E12" t="s">
        <v>44</v>
      </c>
      <c r="F12">
        <v>1</v>
      </c>
      <c r="G12">
        <v>44210</v>
      </c>
      <c r="H12">
        <v>44215</v>
      </c>
      <c r="I12" s="5">
        <v>44215</v>
      </c>
      <c r="K12" s="5" t="s">
        <v>22</v>
      </c>
      <c r="L12" t="s">
        <v>23</v>
      </c>
      <c r="M12" t="s">
        <v>24</v>
      </c>
      <c r="O12" t="s">
        <v>25</v>
      </c>
      <c r="P12" t="s">
        <v>25</v>
      </c>
      <c r="Q12" t="s">
        <v>28</v>
      </c>
      <c r="R12" t="s">
        <v>28</v>
      </c>
    </row>
    <row r="13" spans="1:18" ht="15" customHeight="1">
      <c r="A13" t="s">
        <v>36</v>
      </c>
      <c r="B13">
        <v>214003</v>
      </c>
      <c r="C13" t="s">
        <v>19</v>
      </c>
      <c r="D13" t="s">
        <v>37</v>
      </c>
      <c r="E13" t="s">
        <v>32</v>
      </c>
      <c r="F13">
        <v>1</v>
      </c>
      <c r="G13">
        <v>44210</v>
      </c>
      <c r="H13">
        <v>44215</v>
      </c>
      <c r="I13" s="5">
        <v>44215</v>
      </c>
      <c r="K13" s="5" t="s">
        <v>22</v>
      </c>
      <c r="L13" t="s">
        <v>23</v>
      </c>
      <c r="M13" t="s">
        <v>24</v>
      </c>
      <c r="O13" t="s">
        <v>25</v>
      </c>
      <c r="P13" t="s">
        <v>25</v>
      </c>
      <c r="Q13" t="s">
        <v>28</v>
      </c>
      <c r="R13" t="s">
        <v>28</v>
      </c>
    </row>
    <row r="14" spans="1:18" ht="15" customHeight="1">
      <c r="A14" t="s">
        <v>36</v>
      </c>
      <c r="B14">
        <v>214003</v>
      </c>
      <c r="C14" t="s">
        <v>19</v>
      </c>
      <c r="D14" t="s">
        <v>37</v>
      </c>
      <c r="E14" t="s">
        <v>45</v>
      </c>
      <c r="F14">
        <v>1</v>
      </c>
      <c r="G14">
        <v>44210</v>
      </c>
      <c r="H14">
        <v>44215</v>
      </c>
      <c r="I14" s="5">
        <v>44215</v>
      </c>
      <c r="K14" s="5" t="s">
        <v>22</v>
      </c>
      <c r="L14" t="s">
        <v>23</v>
      </c>
      <c r="M14" t="s">
        <v>24</v>
      </c>
      <c r="O14" t="s">
        <v>25</v>
      </c>
      <c r="P14" t="s">
        <v>25</v>
      </c>
      <c r="Q14" t="s">
        <v>28</v>
      </c>
      <c r="R14" t="s">
        <v>28</v>
      </c>
    </row>
    <row r="15" spans="1:18" ht="15" customHeight="1">
      <c r="A15" t="s">
        <v>46</v>
      </c>
      <c r="B15">
        <v>213500</v>
      </c>
      <c r="C15" t="s">
        <v>19</v>
      </c>
      <c r="D15" t="s">
        <v>47</v>
      </c>
      <c r="E15" t="s">
        <v>48</v>
      </c>
      <c r="F15">
        <v>1</v>
      </c>
      <c r="G15">
        <v>44207</v>
      </c>
      <c r="H15">
        <v>44211</v>
      </c>
      <c r="I15" s="5">
        <v>44222</v>
      </c>
      <c r="K15" s="5" t="s">
        <v>22</v>
      </c>
      <c r="L15" t="s">
        <v>23</v>
      </c>
      <c r="M15" t="s">
        <v>24</v>
      </c>
      <c r="N15">
        <v>3</v>
      </c>
      <c r="O15" t="s">
        <v>25</v>
      </c>
      <c r="P15" t="s">
        <v>25</v>
      </c>
      <c r="Q15" t="s">
        <v>27</v>
      </c>
      <c r="R15" t="s">
        <v>27</v>
      </c>
    </row>
    <row r="16" spans="1:18" ht="15" customHeight="1">
      <c r="A16" t="s">
        <v>46</v>
      </c>
      <c r="B16">
        <v>213500</v>
      </c>
      <c r="C16" t="s">
        <v>19</v>
      </c>
      <c r="D16" t="s">
        <v>47</v>
      </c>
      <c r="E16" t="s">
        <v>32</v>
      </c>
      <c r="F16">
        <v>1</v>
      </c>
      <c r="G16">
        <v>44207</v>
      </c>
      <c r="H16">
        <v>44211</v>
      </c>
      <c r="I16" s="5">
        <v>44222</v>
      </c>
      <c r="K16" s="5" t="s">
        <v>22</v>
      </c>
      <c r="L16" t="s">
        <v>23</v>
      </c>
      <c r="M16" t="s">
        <v>24</v>
      </c>
      <c r="N16">
        <v>3</v>
      </c>
      <c r="O16" t="s">
        <v>25</v>
      </c>
      <c r="P16" t="s">
        <v>25</v>
      </c>
      <c r="Q16" t="s">
        <v>49</v>
      </c>
      <c r="R16" t="s">
        <v>49</v>
      </c>
    </row>
    <row r="17" spans="1:18" ht="15" customHeight="1">
      <c r="A17" t="s">
        <v>46</v>
      </c>
      <c r="B17">
        <v>213500</v>
      </c>
      <c r="C17" t="s">
        <v>19</v>
      </c>
      <c r="D17" t="s">
        <v>47</v>
      </c>
      <c r="E17" t="s">
        <v>45</v>
      </c>
      <c r="F17">
        <v>1</v>
      </c>
      <c r="G17">
        <v>44207</v>
      </c>
      <c r="H17">
        <v>44211</v>
      </c>
      <c r="I17" s="5">
        <v>44222</v>
      </c>
      <c r="K17" s="5" t="s">
        <v>22</v>
      </c>
      <c r="L17" t="s">
        <v>23</v>
      </c>
      <c r="M17" t="s">
        <v>24</v>
      </c>
      <c r="N17">
        <v>3</v>
      </c>
      <c r="O17" t="s">
        <v>25</v>
      </c>
      <c r="P17" t="s">
        <v>25</v>
      </c>
      <c r="Q17" t="s">
        <v>50</v>
      </c>
      <c r="R17" t="s">
        <v>50</v>
      </c>
    </row>
    <row r="18" spans="1:18" ht="15" customHeight="1">
      <c r="A18" t="s">
        <v>46</v>
      </c>
      <c r="B18">
        <v>213500</v>
      </c>
      <c r="C18" t="s">
        <v>19</v>
      </c>
      <c r="D18" t="s">
        <v>47</v>
      </c>
      <c r="E18" t="s">
        <v>35</v>
      </c>
      <c r="F18">
        <v>1</v>
      </c>
      <c r="G18">
        <v>44207</v>
      </c>
      <c r="H18">
        <v>44211</v>
      </c>
      <c r="I18" s="5">
        <v>44222</v>
      </c>
      <c r="K18" s="5" t="s">
        <v>22</v>
      </c>
      <c r="L18" t="s">
        <v>23</v>
      </c>
      <c r="M18" t="s">
        <v>24</v>
      </c>
      <c r="N18">
        <v>3</v>
      </c>
      <c r="O18" t="s">
        <v>25</v>
      </c>
      <c r="P18" t="s">
        <v>25</v>
      </c>
      <c r="Q18" t="s">
        <v>51</v>
      </c>
      <c r="R18" t="s">
        <v>51</v>
      </c>
    </row>
    <row r="19" spans="1:18" ht="15" customHeight="1">
      <c r="A19" t="s">
        <v>39</v>
      </c>
      <c r="B19">
        <v>212637</v>
      </c>
      <c r="C19" t="s">
        <v>19</v>
      </c>
      <c r="D19" t="s">
        <v>52</v>
      </c>
      <c r="E19" t="s">
        <v>34</v>
      </c>
      <c r="F19">
        <v>2</v>
      </c>
      <c r="G19">
        <v>44202</v>
      </c>
      <c r="H19">
        <v>44203</v>
      </c>
      <c r="I19" s="5">
        <v>44203</v>
      </c>
      <c r="K19" s="5" t="s">
        <v>22</v>
      </c>
      <c r="L19" t="s">
        <v>33</v>
      </c>
      <c r="M19" t="s">
        <v>24</v>
      </c>
      <c r="N19">
        <v>1</v>
      </c>
      <c r="O19" t="s">
        <v>25</v>
      </c>
      <c r="P19" t="s">
        <v>26</v>
      </c>
      <c r="Q19" t="s">
        <v>28</v>
      </c>
      <c r="R19" t="s">
        <v>53</v>
      </c>
    </row>
    <row r="20" spans="1:18" ht="15" customHeight="1">
      <c r="A20" t="s">
        <v>54</v>
      </c>
      <c r="B20">
        <v>179193</v>
      </c>
      <c r="C20" t="s">
        <v>55</v>
      </c>
      <c r="D20" t="s">
        <v>56</v>
      </c>
      <c r="E20" t="s">
        <v>34</v>
      </c>
      <c r="F20">
        <v>2</v>
      </c>
      <c r="G20">
        <v>44039</v>
      </c>
      <c r="I20" s="5">
        <v>44046</v>
      </c>
      <c r="K20" s="5" t="s">
        <v>22</v>
      </c>
      <c r="L20" t="s">
        <v>57</v>
      </c>
      <c r="O20" t="s">
        <v>25</v>
      </c>
      <c r="P20" t="s">
        <v>26</v>
      </c>
      <c r="Q20" t="s">
        <v>28</v>
      </c>
      <c r="R20" t="s">
        <v>27</v>
      </c>
    </row>
    <row r="21" spans="1:18" ht="15" customHeight="1">
      <c r="A21" t="s">
        <v>58</v>
      </c>
      <c r="B21">
        <v>190879</v>
      </c>
      <c r="C21" t="s">
        <v>55</v>
      </c>
      <c r="D21" t="s">
        <v>59</v>
      </c>
      <c r="E21" t="s">
        <v>60</v>
      </c>
      <c r="F21">
        <v>1</v>
      </c>
      <c r="G21">
        <v>44096</v>
      </c>
      <c r="I21" s="5">
        <v>44112</v>
      </c>
      <c r="K21" s="5" t="s">
        <v>22</v>
      </c>
      <c r="L21" t="s">
        <v>41</v>
      </c>
      <c r="M21" t="s">
        <v>24</v>
      </c>
      <c r="O21" t="s">
        <v>26</v>
      </c>
      <c r="P21" t="s">
        <v>26</v>
      </c>
      <c r="Q21" t="s">
        <v>28</v>
      </c>
      <c r="R21" t="s">
        <v>28</v>
      </c>
    </row>
    <row r="22" spans="1:18" ht="15" customHeight="1">
      <c r="A22" t="s">
        <v>58</v>
      </c>
      <c r="B22">
        <v>190879</v>
      </c>
      <c r="C22" t="s">
        <v>55</v>
      </c>
      <c r="D22" t="s">
        <v>59</v>
      </c>
      <c r="E22" t="s">
        <v>61</v>
      </c>
      <c r="F22">
        <v>1</v>
      </c>
      <c r="G22">
        <v>44096</v>
      </c>
      <c r="I22" s="5">
        <v>44112</v>
      </c>
      <c r="K22" s="5" t="s">
        <v>22</v>
      </c>
      <c r="L22" t="s">
        <v>33</v>
      </c>
      <c r="M22" t="s">
        <v>24</v>
      </c>
      <c r="O22" t="s">
        <v>26</v>
      </c>
      <c r="P22" t="s">
        <v>26</v>
      </c>
      <c r="Q22" t="s">
        <v>28</v>
      </c>
      <c r="R22" t="s">
        <v>28</v>
      </c>
    </row>
    <row r="23" spans="1:18" ht="15" customHeight="1">
      <c r="A23" t="s">
        <v>58</v>
      </c>
      <c r="B23">
        <v>190879</v>
      </c>
      <c r="C23" t="s">
        <v>55</v>
      </c>
      <c r="D23" t="s">
        <v>59</v>
      </c>
      <c r="E23" t="s">
        <v>62</v>
      </c>
      <c r="F23">
        <v>3</v>
      </c>
      <c r="G23">
        <v>44096</v>
      </c>
      <c r="I23" s="5">
        <v>44112</v>
      </c>
      <c r="K23" s="5" t="s">
        <v>22</v>
      </c>
      <c r="L23" t="s">
        <v>41</v>
      </c>
      <c r="M23" t="s">
        <v>24</v>
      </c>
      <c r="O23" t="s">
        <v>26</v>
      </c>
      <c r="P23" t="s">
        <v>26</v>
      </c>
      <c r="Q23" t="s">
        <v>28</v>
      </c>
      <c r="R23" t="s">
        <v>28</v>
      </c>
    </row>
    <row r="24" spans="1:18" ht="15" customHeight="1">
      <c r="A24" t="s">
        <v>58</v>
      </c>
      <c r="B24">
        <v>190879</v>
      </c>
      <c r="C24" t="s">
        <v>63</v>
      </c>
      <c r="D24" t="s">
        <v>59</v>
      </c>
      <c r="E24" t="s">
        <v>64</v>
      </c>
      <c r="F24">
        <v>1</v>
      </c>
      <c r="G24">
        <v>44096</v>
      </c>
      <c r="I24" s="5">
        <v>44221</v>
      </c>
      <c r="K24" s="5" t="s">
        <v>22</v>
      </c>
      <c r="L24" t="s">
        <v>57</v>
      </c>
      <c r="M24" t="s">
        <v>24</v>
      </c>
      <c r="O24" t="s">
        <v>26</v>
      </c>
      <c r="P24" t="s">
        <v>26</v>
      </c>
      <c r="Q24" t="s">
        <v>28</v>
      </c>
      <c r="R24" t="s">
        <v>28</v>
      </c>
    </row>
    <row r="25" spans="1:18" ht="15" customHeight="1">
      <c r="A25" t="s">
        <v>58</v>
      </c>
      <c r="B25">
        <v>214128</v>
      </c>
      <c r="C25" t="s">
        <v>63</v>
      </c>
      <c r="D25" t="s">
        <v>65</v>
      </c>
      <c r="E25" t="s">
        <v>66</v>
      </c>
      <c r="F25">
        <v>1</v>
      </c>
      <c r="G25">
        <v>44209</v>
      </c>
      <c r="I25" s="5">
        <v>44216</v>
      </c>
      <c r="K25" s="5" t="s">
        <v>22</v>
      </c>
      <c r="L25" t="s">
        <v>57</v>
      </c>
      <c r="M25" t="s">
        <v>24</v>
      </c>
      <c r="O25" t="s">
        <v>25</v>
      </c>
      <c r="P25" t="s">
        <v>25</v>
      </c>
      <c r="Q25" t="s">
        <v>53</v>
      </c>
      <c r="R25" t="s">
        <v>53</v>
      </c>
    </row>
    <row r="26" spans="1:18" ht="15" customHeight="1">
      <c r="A26" t="s">
        <v>58</v>
      </c>
      <c r="B26">
        <v>214128</v>
      </c>
      <c r="C26" t="s">
        <v>63</v>
      </c>
      <c r="D26" t="s">
        <v>65</v>
      </c>
      <c r="E26" t="s">
        <v>61</v>
      </c>
      <c r="F26">
        <v>1</v>
      </c>
      <c r="G26">
        <v>44209</v>
      </c>
      <c r="I26" s="5">
        <v>44216</v>
      </c>
      <c r="K26" s="5" t="s">
        <v>22</v>
      </c>
      <c r="L26" t="s">
        <v>57</v>
      </c>
      <c r="M26" t="s">
        <v>24</v>
      </c>
      <c r="O26" t="s">
        <v>25</v>
      </c>
      <c r="P26" t="s">
        <v>25</v>
      </c>
      <c r="Q26" t="s">
        <v>53</v>
      </c>
      <c r="R26" t="s">
        <v>53</v>
      </c>
    </row>
    <row r="27" spans="1:18" ht="15" customHeight="1">
      <c r="A27" t="s">
        <v>67</v>
      </c>
      <c r="B27">
        <v>216194</v>
      </c>
      <c r="C27" t="s">
        <v>63</v>
      </c>
      <c r="D27" t="s">
        <v>68</v>
      </c>
      <c r="E27" t="s">
        <v>48</v>
      </c>
      <c r="F27">
        <v>2</v>
      </c>
      <c r="G27">
        <v>44218</v>
      </c>
      <c r="H27">
        <v>44218</v>
      </c>
      <c r="I27" s="5">
        <v>44218</v>
      </c>
      <c r="K27" s="5" t="s">
        <v>22</v>
      </c>
      <c r="L27" t="s">
        <v>57</v>
      </c>
      <c r="M27" t="s">
        <v>24</v>
      </c>
      <c r="O27" t="s">
        <v>25</v>
      </c>
      <c r="P27" t="s">
        <v>26</v>
      </c>
      <c r="Q27" t="s">
        <v>27</v>
      </c>
      <c r="R27" t="s">
        <v>28</v>
      </c>
    </row>
    <row r="28" spans="1:18" ht="15" customHeight="1">
      <c r="A28" t="s">
        <v>67</v>
      </c>
      <c r="B28">
        <v>216194</v>
      </c>
      <c r="C28" t="s">
        <v>63</v>
      </c>
      <c r="D28" t="s">
        <v>68</v>
      </c>
      <c r="E28" t="s">
        <v>34</v>
      </c>
      <c r="F28">
        <v>2</v>
      </c>
      <c r="G28">
        <v>44218</v>
      </c>
      <c r="H28">
        <v>44218</v>
      </c>
      <c r="I28" s="5">
        <v>44218</v>
      </c>
      <c r="K28" s="5" t="s">
        <v>22</v>
      </c>
      <c r="L28" t="s">
        <v>57</v>
      </c>
      <c r="M28" t="s">
        <v>24</v>
      </c>
      <c r="O28" t="s">
        <v>25</v>
      </c>
      <c r="P28" t="s">
        <v>26</v>
      </c>
      <c r="Q28" t="s">
        <v>27</v>
      </c>
      <c r="R28" t="s">
        <v>28</v>
      </c>
    </row>
    <row r="29" spans="1:18" ht="15" customHeight="1">
      <c r="A29" t="s">
        <v>67</v>
      </c>
      <c r="B29">
        <v>216194</v>
      </c>
      <c r="C29" t="s">
        <v>63</v>
      </c>
      <c r="D29" t="s">
        <v>68</v>
      </c>
      <c r="E29" t="s">
        <v>35</v>
      </c>
      <c r="F29">
        <v>2</v>
      </c>
      <c r="G29">
        <v>44218</v>
      </c>
      <c r="H29">
        <v>44218</v>
      </c>
      <c r="I29" s="5">
        <v>44218</v>
      </c>
      <c r="K29" s="5" t="s">
        <v>22</v>
      </c>
      <c r="L29" t="s">
        <v>57</v>
      </c>
      <c r="M29" t="s">
        <v>24</v>
      </c>
      <c r="O29" t="s">
        <v>25</v>
      </c>
      <c r="P29" t="s">
        <v>26</v>
      </c>
      <c r="Q29" t="s">
        <v>27</v>
      </c>
      <c r="R29" t="s">
        <v>28</v>
      </c>
    </row>
    <row r="30" spans="1:18" ht="15" customHeight="1">
      <c r="A30" t="s">
        <v>29</v>
      </c>
      <c r="B30">
        <v>212059</v>
      </c>
      <c r="C30" t="s">
        <v>19</v>
      </c>
      <c r="D30" t="s">
        <v>69</v>
      </c>
      <c r="E30" t="s">
        <v>43</v>
      </c>
      <c r="F30">
        <v>1</v>
      </c>
      <c r="G30">
        <v>44210</v>
      </c>
      <c r="H30">
        <v>44214</v>
      </c>
      <c r="I30" s="5">
        <v>44211</v>
      </c>
      <c r="K30" s="5" t="s">
        <v>22</v>
      </c>
      <c r="L30" t="s">
        <v>33</v>
      </c>
      <c r="M30" t="s">
        <v>24</v>
      </c>
      <c r="O30" t="s">
        <v>25</v>
      </c>
      <c r="P30" t="s">
        <v>25</v>
      </c>
      <c r="Q30" t="s">
        <v>53</v>
      </c>
      <c r="R30" t="s">
        <v>53</v>
      </c>
    </row>
    <row r="31" spans="1:18" ht="15" customHeight="1">
      <c r="A31" t="s">
        <v>70</v>
      </c>
      <c r="B31">
        <v>215322</v>
      </c>
      <c r="C31" t="s">
        <v>30</v>
      </c>
      <c r="D31" t="s">
        <v>71</v>
      </c>
      <c r="E31" t="s">
        <v>72</v>
      </c>
      <c r="F31">
        <v>1</v>
      </c>
      <c r="G31">
        <v>44215</v>
      </c>
      <c r="H31">
        <v>44221</v>
      </c>
      <c r="I31" s="5">
        <v>44221</v>
      </c>
      <c r="K31" s="5" t="s">
        <v>22</v>
      </c>
      <c r="L31" t="s">
        <v>57</v>
      </c>
      <c r="M31" t="s">
        <v>24</v>
      </c>
      <c r="N31">
        <v>0</v>
      </c>
      <c r="O31" t="s">
        <v>25</v>
      </c>
      <c r="P31" t="s">
        <v>26</v>
      </c>
      <c r="Q31" t="s">
        <v>53</v>
      </c>
      <c r="R31" t="s">
        <v>73</v>
      </c>
    </row>
    <row r="32" spans="1:18" ht="15" customHeight="1">
      <c r="A32" t="s">
        <v>46</v>
      </c>
      <c r="B32">
        <v>215073</v>
      </c>
      <c r="C32" t="s">
        <v>63</v>
      </c>
      <c r="D32" t="s">
        <v>74</v>
      </c>
      <c r="E32" t="s">
        <v>66</v>
      </c>
      <c r="F32">
        <v>1</v>
      </c>
      <c r="G32">
        <v>44214</v>
      </c>
      <c r="H32">
        <v>44218</v>
      </c>
      <c r="K32" s="5" t="s">
        <v>22</v>
      </c>
      <c r="L32" t="s">
        <v>57</v>
      </c>
      <c r="M32" t="s">
        <v>24</v>
      </c>
      <c r="O32" t="s">
        <v>25</v>
      </c>
      <c r="P32" t="s">
        <v>26</v>
      </c>
      <c r="Q32" t="s">
        <v>28</v>
      </c>
      <c r="R32" t="s">
        <v>53</v>
      </c>
    </row>
    <row r="33" spans="1:18" ht="15" customHeight="1">
      <c r="A33" t="s">
        <v>29</v>
      </c>
      <c r="B33">
        <v>212059</v>
      </c>
      <c r="C33" t="s">
        <v>19</v>
      </c>
      <c r="D33" t="s">
        <v>69</v>
      </c>
      <c r="E33" t="s">
        <v>34</v>
      </c>
      <c r="F33">
        <v>1</v>
      </c>
      <c r="G33">
        <v>44210</v>
      </c>
      <c r="H33">
        <v>44214</v>
      </c>
      <c r="I33" s="5">
        <v>44211</v>
      </c>
      <c r="K33" s="5" t="s">
        <v>22</v>
      </c>
      <c r="L33" t="s">
        <v>33</v>
      </c>
      <c r="M33" t="s">
        <v>24</v>
      </c>
      <c r="O33" t="s">
        <v>25</v>
      </c>
      <c r="P33" t="s">
        <v>25</v>
      </c>
      <c r="Q33" t="s">
        <v>53</v>
      </c>
      <c r="R33" t="s">
        <v>53</v>
      </c>
    </row>
    <row r="34" spans="1:18" ht="15" customHeight="1">
      <c r="A34" t="s">
        <v>29</v>
      </c>
      <c r="B34">
        <v>212059</v>
      </c>
      <c r="C34" t="s">
        <v>19</v>
      </c>
      <c r="D34" t="s">
        <v>69</v>
      </c>
      <c r="E34" t="s">
        <v>32</v>
      </c>
      <c r="F34">
        <v>1</v>
      </c>
      <c r="G34">
        <v>44210</v>
      </c>
      <c r="H34">
        <v>44214</v>
      </c>
      <c r="I34" s="5">
        <v>44211</v>
      </c>
      <c r="K34" s="5" t="s">
        <v>22</v>
      </c>
      <c r="L34" t="s">
        <v>33</v>
      </c>
      <c r="M34" t="s">
        <v>24</v>
      </c>
      <c r="O34" t="s">
        <v>25</v>
      </c>
      <c r="P34" t="s">
        <v>25</v>
      </c>
      <c r="Q34" t="s">
        <v>53</v>
      </c>
      <c r="R34" t="s">
        <v>53</v>
      </c>
    </row>
    <row r="35" spans="1:18" ht="15" customHeight="1">
      <c r="A35" t="s">
        <v>29</v>
      </c>
      <c r="B35">
        <v>212059</v>
      </c>
      <c r="C35" t="s">
        <v>19</v>
      </c>
      <c r="D35" t="s">
        <v>69</v>
      </c>
      <c r="E35" t="s">
        <v>75</v>
      </c>
      <c r="F35">
        <v>1</v>
      </c>
      <c r="G35">
        <v>44210</v>
      </c>
      <c r="H35">
        <v>44214</v>
      </c>
      <c r="I35" s="5">
        <v>44211</v>
      </c>
      <c r="K35" s="5" t="s">
        <v>22</v>
      </c>
      <c r="L35" t="s">
        <v>33</v>
      </c>
      <c r="M35" t="s">
        <v>24</v>
      </c>
      <c r="O35" t="s">
        <v>25</v>
      </c>
      <c r="P35" t="s">
        <v>25</v>
      </c>
      <c r="Q35" t="s">
        <v>53</v>
      </c>
      <c r="R35" t="s">
        <v>53</v>
      </c>
    </row>
    <row r="36" spans="1:18" ht="15" customHeight="1">
      <c r="A36" t="s">
        <v>29</v>
      </c>
      <c r="B36">
        <v>212059</v>
      </c>
      <c r="C36" t="s">
        <v>19</v>
      </c>
      <c r="D36" t="s">
        <v>69</v>
      </c>
      <c r="E36" t="s">
        <v>48</v>
      </c>
      <c r="F36">
        <v>1</v>
      </c>
      <c r="G36">
        <v>44210</v>
      </c>
      <c r="H36">
        <v>44214</v>
      </c>
      <c r="I36" s="5">
        <v>44211</v>
      </c>
      <c r="K36" s="5" t="s">
        <v>22</v>
      </c>
      <c r="L36" t="s">
        <v>33</v>
      </c>
      <c r="M36" t="s">
        <v>24</v>
      </c>
      <c r="O36" t="s">
        <v>25</v>
      </c>
      <c r="P36" t="s">
        <v>25</v>
      </c>
      <c r="Q36" t="s">
        <v>53</v>
      </c>
      <c r="R36" t="s">
        <v>53</v>
      </c>
    </row>
    <row r="37" spans="1:18" ht="15" customHeight="1">
      <c r="A37" t="s">
        <v>29</v>
      </c>
      <c r="B37">
        <v>212059</v>
      </c>
      <c r="C37" t="s">
        <v>19</v>
      </c>
      <c r="D37" t="s">
        <v>69</v>
      </c>
      <c r="E37" t="s">
        <v>35</v>
      </c>
      <c r="F37">
        <v>5</v>
      </c>
      <c r="G37">
        <v>44210</v>
      </c>
      <c r="H37">
        <v>44214</v>
      </c>
      <c r="I37" s="5">
        <v>44211</v>
      </c>
      <c r="K37" s="5" t="s">
        <v>22</v>
      </c>
      <c r="L37" t="s">
        <v>33</v>
      </c>
      <c r="M37" t="s">
        <v>24</v>
      </c>
      <c r="O37" t="s">
        <v>25</v>
      </c>
      <c r="P37" t="s">
        <v>25</v>
      </c>
      <c r="Q37" t="s">
        <v>53</v>
      </c>
      <c r="R37" t="s">
        <v>53</v>
      </c>
    </row>
    <row r="38" spans="1:18" ht="15" customHeight="1">
      <c r="A38" t="s">
        <v>76</v>
      </c>
      <c r="B38">
        <v>215220</v>
      </c>
      <c r="C38" t="s">
        <v>19</v>
      </c>
      <c r="D38" t="s">
        <v>77</v>
      </c>
      <c r="E38" t="s">
        <v>35</v>
      </c>
      <c r="F38">
        <v>1</v>
      </c>
      <c r="G38">
        <v>44214</v>
      </c>
      <c r="H38">
        <v>44221</v>
      </c>
      <c r="I38" s="5">
        <v>44224</v>
      </c>
      <c r="K38" s="5" t="s">
        <v>22</v>
      </c>
      <c r="L38" t="s">
        <v>23</v>
      </c>
      <c r="M38" t="s">
        <v>24</v>
      </c>
      <c r="N38">
        <v>1</v>
      </c>
      <c r="O38" t="s">
        <v>25</v>
      </c>
      <c r="P38" t="s">
        <v>25</v>
      </c>
      <c r="Q38" t="s">
        <v>28</v>
      </c>
      <c r="R38" t="s">
        <v>53</v>
      </c>
    </row>
    <row r="39" spans="1:18" ht="15" customHeight="1">
      <c r="A39" t="s">
        <v>39</v>
      </c>
      <c r="B39">
        <v>189842</v>
      </c>
      <c r="C39" t="s">
        <v>30</v>
      </c>
      <c r="D39" t="s">
        <v>78</v>
      </c>
      <c r="E39" t="s">
        <v>34</v>
      </c>
      <c r="F39">
        <v>7</v>
      </c>
      <c r="G39">
        <v>44221</v>
      </c>
      <c r="H39">
        <v>44221</v>
      </c>
      <c r="I39" s="5">
        <v>44221</v>
      </c>
      <c r="K39" s="5" t="s">
        <v>22</v>
      </c>
      <c r="L39" t="s">
        <v>33</v>
      </c>
      <c r="M39" t="s">
        <v>24</v>
      </c>
      <c r="N39">
        <v>2</v>
      </c>
      <c r="O39" t="s">
        <v>25</v>
      </c>
      <c r="P39" t="s">
        <v>26</v>
      </c>
      <c r="Q39" t="s">
        <v>28</v>
      </c>
      <c r="R39" t="s">
        <v>53</v>
      </c>
    </row>
    <row r="40" spans="1:18" ht="15" customHeight="1">
      <c r="A40" t="s">
        <v>39</v>
      </c>
      <c r="B40">
        <v>189842</v>
      </c>
      <c r="C40" t="s">
        <v>30</v>
      </c>
      <c r="D40" t="s">
        <v>78</v>
      </c>
      <c r="E40" t="s">
        <v>32</v>
      </c>
      <c r="F40">
        <v>1</v>
      </c>
      <c r="G40">
        <v>44221</v>
      </c>
      <c r="H40">
        <v>44221</v>
      </c>
      <c r="I40" s="5">
        <v>44221</v>
      </c>
      <c r="K40" s="5" t="s">
        <v>22</v>
      </c>
      <c r="L40" t="s">
        <v>33</v>
      </c>
      <c r="M40" t="s">
        <v>24</v>
      </c>
      <c r="N40">
        <v>2</v>
      </c>
      <c r="O40" t="s">
        <v>25</v>
      </c>
      <c r="P40" t="s">
        <v>26</v>
      </c>
      <c r="Q40" t="s">
        <v>28</v>
      </c>
      <c r="R40" t="s">
        <v>53</v>
      </c>
    </row>
    <row r="41" spans="1:18" ht="15" customHeight="1">
      <c r="A41" t="s">
        <v>39</v>
      </c>
      <c r="B41">
        <v>189842</v>
      </c>
      <c r="C41" t="s">
        <v>30</v>
      </c>
      <c r="D41" t="s">
        <v>78</v>
      </c>
      <c r="E41" t="s">
        <v>66</v>
      </c>
      <c r="F41">
        <v>5</v>
      </c>
      <c r="G41">
        <v>44221</v>
      </c>
      <c r="H41">
        <v>44221</v>
      </c>
      <c r="I41" s="5">
        <v>44221</v>
      </c>
      <c r="K41" s="5" t="s">
        <v>22</v>
      </c>
      <c r="L41" t="s">
        <v>33</v>
      </c>
      <c r="M41" t="s">
        <v>24</v>
      </c>
      <c r="N41">
        <v>2</v>
      </c>
      <c r="O41" t="s">
        <v>25</v>
      </c>
      <c r="P41" t="s">
        <v>26</v>
      </c>
      <c r="Q41" t="s">
        <v>28</v>
      </c>
      <c r="R41" t="s">
        <v>53</v>
      </c>
    </row>
    <row r="42" spans="1:18" ht="15" customHeight="1">
      <c r="A42" t="s">
        <v>39</v>
      </c>
      <c r="B42">
        <v>189842</v>
      </c>
      <c r="C42" t="s">
        <v>55</v>
      </c>
      <c r="D42" t="s">
        <v>78</v>
      </c>
      <c r="E42" t="s">
        <v>34</v>
      </c>
      <c r="F42">
        <v>24</v>
      </c>
      <c r="G42">
        <v>44090</v>
      </c>
      <c r="H42">
        <v>44211</v>
      </c>
      <c r="I42" s="5">
        <v>44211</v>
      </c>
      <c r="K42" s="5" t="s">
        <v>22</v>
      </c>
      <c r="L42" t="s">
        <v>33</v>
      </c>
      <c r="M42" t="s">
        <v>24</v>
      </c>
    </row>
    <row r="43" spans="1:18" ht="15" customHeight="1">
      <c r="A43" t="s">
        <v>39</v>
      </c>
      <c r="B43">
        <v>189842</v>
      </c>
      <c r="C43" t="s">
        <v>55</v>
      </c>
      <c r="D43" t="s">
        <v>78</v>
      </c>
      <c r="E43" t="s">
        <v>79</v>
      </c>
      <c r="F43">
        <v>11</v>
      </c>
      <c r="G43">
        <v>44090</v>
      </c>
      <c r="H43">
        <v>44211</v>
      </c>
      <c r="I43" s="5">
        <v>44211</v>
      </c>
      <c r="K43" s="5" t="s">
        <v>22</v>
      </c>
      <c r="L43" t="s">
        <v>33</v>
      </c>
      <c r="M43" t="s">
        <v>79</v>
      </c>
    </row>
    <row r="44" spans="1:18" ht="15" customHeight="1">
      <c r="A44" t="s">
        <v>39</v>
      </c>
      <c r="B44">
        <v>189842</v>
      </c>
      <c r="C44" t="s">
        <v>55</v>
      </c>
      <c r="D44" t="s">
        <v>78</v>
      </c>
      <c r="E44" t="s">
        <v>80</v>
      </c>
      <c r="F44">
        <v>31</v>
      </c>
      <c r="G44">
        <v>44090</v>
      </c>
      <c r="H44">
        <v>44211</v>
      </c>
      <c r="I44" s="5">
        <v>44211</v>
      </c>
      <c r="K44" s="5" t="s">
        <v>22</v>
      </c>
      <c r="L44" t="s">
        <v>33</v>
      </c>
      <c r="M44" t="s">
        <v>79</v>
      </c>
    </row>
    <row r="45" spans="1:18" ht="15" customHeight="1">
      <c r="A45" t="s">
        <v>39</v>
      </c>
      <c r="B45">
        <v>189842</v>
      </c>
      <c r="C45" t="s">
        <v>55</v>
      </c>
      <c r="D45" t="s">
        <v>78</v>
      </c>
      <c r="E45" t="s">
        <v>81</v>
      </c>
      <c r="F45">
        <v>20</v>
      </c>
      <c r="G45">
        <v>44090</v>
      </c>
      <c r="H45">
        <v>44211</v>
      </c>
      <c r="I45" s="5">
        <v>44211</v>
      </c>
      <c r="K45" s="5" t="s">
        <v>22</v>
      </c>
      <c r="L45" t="s">
        <v>33</v>
      </c>
      <c r="M45" t="s">
        <v>24</v>
      </c>
    </row>
    <row r="46" spans="1:18" ht="15" customHeight="1">
      <c r="A46" t="s">
        <v>39</v>
      </c>
      <c r="B46">
        <v>189842</v>
      </c>
      <c r="C46" t="s">
        <v>55</v>
      </c>
      <c r="D46" t="s">
        <v>78</v>
      </c>
      <c r="E46" t="s">
        <v>82</v>
      </c>
      <c r="F46">
        <v>1</v>
      </c>
      <c r="G46">
        <v>44090</v>
      </c>
      <c r="H46">
        <v>44211</v>
      </c>
      <c r="I46" s="5">
        <v>44211</v>
      </c>
      <c r="K46" s="5" t="s">
        <v>22</v>
      </c>
      <c r="L46" t="s">
        <v>41</v>
      </c>
      <c r="M46" t="s">
        <v>24</v>
      </c>
    </row>
    <row r="47" spans="1:18" ht="15" customHeight="1">
      <c r="A47" t="s">
        <v>39</v>
      </c>
      <c r="B47">
        <v>189842</v>
      </c>
      <c r="C47" t="s">
        <v>55</v>
      </c>
      <c r="D47" t="s">
        <v>78</v>
      </c>
      <c r="E47" t="s">
        <v>66</v>
      </c>
      <c r="F47">
        <v>1</v>
      </c>
      <c r="G47">
        <v>44090</v>
      </c>
      <c r="H47">
        <v>44211</v>
      </c>
      <c r="I47" s="5">
        <v>44211</v>
      </c>
      <c r="K47" s="5" t="s">
        <v>22</v>
      </c>
      <c r="L47" t="s">
        <v>41</v>
      </c>
      <c r="M47" t="s">
        <v>24</v>
      </c>
    </row>
    <row r="48" spans="1:18" ht="15" customHeight="1">
      <c r="A48" t="s">
        <v>76</v>
      </c>
      <c r="B48">
        <v>215220</v>
      </c>
      <c r="C48" t="s">
        <v>19</v>
      </c>
      <c r="D48" t="s">
        <v>77</v>
      </c>
      <c r="E48" t="s">
        <v>48</v>
      </c>
      <c r="F48">
        <v>1</v>
      </c>
      <c r="G48">
        <v>44214</v>
      </c>
      <c r="H48">
        <v>44221</v>
      </c>
      <c r="I48" s="5">
        <v>44224</v>
      </c>
      <c r="K48" s="5" t="s">
        <v>22</v>
      </c>
      <c r="L48" t="s">
        <v>23</v>
      </c>
      <c r="M48" t="s">
        <v>24</v>
      </c>
      <c r="N48">
        <v>1</v>
      </c>
      <c r="O48" t="s">
        <v>25</v>
      </c>
      <c r="P48" t="s">
        <v>25</v>
      </c>
      <c r="Q48" t="s">
        <v>28</v>
      </c>
      <c r="R48" t="s">
        <v>53</v>
      </c>
    </row>
    <row r="49" spans="1:18" ht="15" customHeight="1">
      <c r="A49" t="s">
        <v>76</v>
      </c>
      <c r="B49">
        <v>215220</v>
      </c>
      <c r="C49" t="s">
        <v>19</v>
      </c>
      <c r="D49" t="s">
        <v>77</v>
      </c>
      <c r="E49" t="s">
        <v>32</v>
      </c>
      <c r="F49">
        <v>1</v>
      </c>
      <c r="G49">
        <v>44214</v>
      </c>
      <c r="H49">
        <v>44221</v>
      </c>
      <c r="I49" s="5">
        <v>44224</v>
      </c>
      <c r="K49" s="5" t="s">
        <v>22</v>
      </c>
      <c r="L49" t="s">
        <v>23</v>
      </c>
      <c r="M49" t="s">
        <v>24</v>
      </c>
      <c r="N49">
        <v>1</v>
      </c>
      <c r="O49" t="s">
        <v>25</v>
      </c>
      <c r="P49" t="s">
        <v>25</v>
      </c>
      <c r="Q49" t="s">
        <v>28</v>
      </c>
      <c r="R49" t="s">
        <v>53</v>
      </c>
    </row>
    <row r="50" spans="1:18" ht="15" customHeight="1">
      <c r="A50" t="s">
        <v>76</v>
      </c>
      <c r="B50">
        <v>215220</v>
      </c>
      <c r="C50" t="s">
        <v>19</v>
      </c>
      <c r="D50" t="s">
        <v>77</v>
      </c>
      <c r="E50" t="s">
        <v>45</v>
      </c>
      <c r="F50">
        <v>1</v>
      </c>
      <c r="G50">
        <v>44214</v>
      </c>
      <c r="H50">
        <v>44221</v>
      </c>
      <c r="I50" s="5">
        <v>44224</v>
      </c>
      <c r="K50" s="5" t="s">
        <v>22</v>
      </c>
      <c r="L50" t="s">
        <v>23</v>
      </c>
      <c r="M50" t="s">
        <v>24</v>
      </c>
      <c r="N50">
        <v>1</v>
      </c>
      <c r="O50" t="s">
        <v>25</v>
      </c>
      <c r="P50" t="s">
        <v>25</v>
      </c>
      <c r="Q50" t="s">
        <v>28</v>
      </c>
      <c r="R50" t="s">
        <v>53</v>
      </c>
    </row>
    <row r="51" spans="1:18" ht="15" customHeight="1">
      <c r="A51" t="s">
        <v>67</v>
      </c>
      <c r="B51">
        <v>217161</v>
      </c>
      <c r="C51" t="s">
        <v>30</v>
      </c>
      <c r="D51" t="s">
        <v>83</v>
      </c>
      <c r="E51" t="s">
        <v>43</v>
      </c>
      <c r="F51">
        <v>2</v>
      </c>
      <c r="G51">
        <v>44223</v>
      </c>
      <c r="H51">
        <v>44224</v>
      </c>
      <c r="I51" s="5">
        <v>44224</v>
      </c>
      <c r="K51" s="5" t="s">
        <v>22</v>
      </c>
      <c r="L51" t="s">
        <v>33</v>
      </c>
      <c r="M51" t="s">
        <v>24</v>
      </c>
      <c r="O51" t="s">
        <v>25</v>
      </c>
      <c r="P51" t="s">
        <v>26</v>
      </c>
      <c r="Q51" t="s">
        <v>28</v>
      </c>
      <c r="R51" t="s">
        <v>27</v>
      </c>
    </row>
    <row r="52" spans="1:18" ht="15" customHeight="1">
      <c r="A52" t="s">
        <v>54</v>
      </c>
      <c r="B52">
        <v>179192</v>
      </c>
      <c r="C52" t="s">
        <v>55</v>
      </c>
      <c r="D52" t="s">
        <v>84</v>
      </c>
      <c r="E52" t="s">
        <v>66</v>
      </c>
      <c r="F52">
        <v>3</v>
      </c>
      <c r="G52">
        <v>44039</v>
      </c>
      <c r="I52" s="5">
        <v>44211</v>
      </c>
      <c r="K52" s="5" t="s">
        <v>22</v>
      </c>
      <c r="L52" t="s">
        <v>41</v>
      </c>
      <c r="M52" t="s">
        <v>24</v>
      </c>
      <c r="O52" t="s">
        <v>26</v>
      </c>
      <c r="P52" t="s">
        <v>25</v>
      </c>
      <c r="Q52" t="s">
        <v>28</v>
      </c>
      <c r="R52" t="s">
        <v>53</v>
      </c>
    </row>
    <row r="53" spans="1:18" ht="15" customHeight="1">
      <c r="A53" t="s">
        <v>54</v>
      </c>
      <c r="B53">
        <v>179192</v>
      </c>
      <c r="C53" t="s">
        <v>55</v>
      </c>
      <c r="D53" t="s">
        <v>84</v>
      </c>
      <c r="E53" t="s">
        <v>34</v>
      </c>
      <c r="F53">
        <v>4</v>
      </c>
      <c r="G53">
        <v>44039</v>
      </c>
      <c r="I53" s="5">
        <v>44211</v>
      </c>
      <c r="J53" s="5" t="s">
        <v>85</v>
      </c>
      <c r="K53" s="5" t="s">
        <v>22</v>
      </c>
      <c r="L53" t="s">
        <v>33</v>
      </c>
      <c r="M53" t="s">
        <v>24</v>
      </c>
      <c r="O53" t="s">
        <v>25</v>
      </c>
      <c r="P53" t="s">
        <v>25</v>
      </c>
      <c r="Q53" t="s">
        <v>28</v>
      </c>
      <c r="R53" t="s">
        <v>53</v>
      </c>
    </row>
    <row r="54" spans="1:18" ht="15" customHeight="1">
      <c r="A54" t="s">
        <v>54</v>
      </c>
      <c r="B54">
        <v>179192</v>
      </c>
      <c r="C54" t="s">
        <v>55</v>
      </c>
      <c r="D54" t="s">
        <v>84</v>
      </c>
      <c r="E54" t="s">
        <v>34</v>
      </c>
      <c r="F54">
        <v>5</v>
      </c>
      <c r="G54">
        <v>44039</v>
      </c>
      <c r="I54" s="5">
        <v>44211</v>
      </c>
      <c r="J54" s="5" t="s">
        <v>86</v>
      </c>
      <c r="K54" s="5" t="s">
        <v>22</v>
      </c>
      <c r="L54" t="s">
        <v>41</v>
      </c>
      <c r="M54" t="s">
        <v>24</v>
      </c>
      <c r="O54" t="s">
        <v>26</v>
      </c>
      <c r="P54" t="s">
        <v>25</v>
      </c>
      <c r="Q54" t="s">
        <v>28</v>
      </c>
      <c r="R54" t="s">
        <v>53</v>
      </c>
    </row>
    <row r="55" spans="1:18" ht="15" customHeight="1">
      <c r="A55" t="s">
        <v>54</v>
      </c>
      <c r="B55">
        <v>179192</v>
      </c>
      <c r="C55" t="s">
        <v>55</v>
      </c>
      <c r="D55" t="s">
        <v>84</v>
      </c>
      <c r="E55" t="s">
        <v>80</v>
      </c>
      <c r="F55">
        <v>5</v>
      </c>
      <c r="G55">
        <v>44039</v>
      </c>
      <c r="I55" s="5">
        <v>44211</v>
      </c>
      <c r="J55" s="5" t="s">
        <v>87</v>
      </c>
      <c r="K55" s="5" t="s">
        <v>22</v>
      </c>
      <c r="L55" t="s">
        <v>41</v>
      </c>
      <c r="M55" t="s">
        <v>24</v>
      </c>
      <c r="O55" t="s">
        <v>26</v>
      </c>
      <c r="P55" t="s">
        <v>25</v>
      </c>
      <c r="Q55" t="s">
        <v>28</v>
      </c>
      <c r="R55" t="s">
        <v>53</v>
      </c>
    </row>
    <row r="56" spans="1:18" ht="15" customHeight="1">
      <c r="A56" t="s">
        <v>54</v>
      </c>
      <c r="B56">
        <v>179192</v>
      </c>
      <c r="C56" t="s">
        <v>55</v>
      </c>
      <c r="D56" t="s">
        <v>84</v>
      </c>
      <c r="E56" t="s">
        <v>61</v>
      </c>
      <c r="F56">
        <v>2</v>
      </c>
      <c r="G56">
        <v>44039</v>
      </c>
      <c r="I56" s="5">
        <v>44211</v>
      </c>
      <c r="K56" s="5" t="s">
        <v>22</v>
      </c>
      <c r="L56" t="s">
        <v>33</v>
      </c>
      <c r="M56" t="s">
        <v>24</v>
      </c>
      <c r="O56" t="s">
        <v>25</v>
      </c>
      <c r="P56" t="s">
        <v>25</v>
      </c>
      <c r="Q56" t="s">
        <v>28</v>
      </c>
      <c r="R56" t="s">
        <v>53</v>
      </c>
    </row>
    <row r="57" spans="1:18" ht="15" customHeight="1">
      <c r="A57" t="s">
        <v>54</v>
      </c>
      <c r="B57">
        <v>179192</v>
      </c>
      <c r="C57" t="s">
        <v>55</v>
      </c>
      <c r="D57" t="s">
        <v>84</v>
      </c>
      <c r="E57" t="s">
        <v>88</v>
      </c>
      <c r="F57">
        <v>1</v>
      </c>
      <c r="G57">
        <v>44039</v>
      </c>
      <c r="I57" s="5">
        <v>44211</v>
      </c>
      <c r="K57" s="5" t="s">
        <v>22</v>
      </c>
      <c r="L57" t="s">
        <v>41</v>
      </c>
      <c r="M57" t="s">
        <v>24</v>
      </c>
      <c r="O57" t="s">
        <v>26</v>
      </c>
      <c r="P57" t="s">
        <v>25</v>
      </c>
      <c r="Q57" t="s">
        <v>28</v>
      </c>
      <c r="R57" t="s">
        <v>53</v>
      </c>
    </row>
    <row r="58" spans="1:18" ht="15" customHeight="1">
      <c r="A58" t="s">
        <v>54</v>
      </c>
      <c r="B58">
        <v>179192</v>
      </c>
      <c r="C58" t="s">
        <v>55</v>
      </c>
      <c r="D58" t="s">
        <v>84</v>
      </c>
      <c r="E58" t="s">
        <v>62</v>
      </c>
      <c r="F58">
        <v>2</v>
      </c>
      <c r="G58">
        <v>44039</v>
      </c>
      <c r="I58" s="5">
        <v>44211</v>
      </c>
      <c r="K58" s="5" t="s">
        <v>22</v>
      </c>
      <c r="L58" t="s">
        <v>41</v>
      </c>
      <c r="M58" t="s">
        <v>24</v>
      </c>
      <c r="O58" t="s">
        <v>26</v>
      </c>
      <c r="P58" t="s">
        <v>25</v>
      </c>
      <c r="Q58" t="s">
        <v>28</v>
      </c>
      <c r="R58" t="s">
        <v>53</v>
      </c>
    </row>
    <row r="59" spans="1:18" ht="15" customHeight="1">
      <c r="A59" t="s">
        <v>54</v>
      </c>
      <c r="B59">
        <v>179192</v>
      </c>
      <c r="C59" t="s">
        <v>55</v>
      </c>
      <c r="D59" t="s">
        <v>84</v>
      </c>
      <c r="E59" t="s">
        <v>80</v>
      </c>
      <c r="F59">
        <v>3</v>
      </c>
      <c r="G59">
        <v>44039</v>
      </c>
      <c r="I59" s="5">
        <v>44211</v>
      </c>
      <c r="K59" s="5" t="s">
        <v>22</v>
      </c>
      <c r="L59" t="s">
        <v>41</v>
      </c>
      <c r="M59" t="s">
        <v>24</v>
      </c>
      <c r="O59" t="s">
        <v>26</v>
      </c>
      <c r="P59" t="s">
        <v>25</v>
      </c>
      <c r="Q59" t="s">
        <v>28</v>
      </c>
      <c r="R59" t="s">
        <v>53</v>
      </c>
    </row>
    <row r="60" spans="1:18" ht="15" customHeight="1">
      <c r="A60" t="s">
        <v>54</v>
      </c>
      <c r="B60">
        <v>179192</v>
      </c>
      <c r="C60" t="s">
        <v>55</v>
      </c>
      <c r="D60" t="s">
        <v>84</v>
      </c>
      <c r="E60" t="s">
        <v>79</v>
      </c>
      <c r="F60">
        <v>1</v>
      </c>
      <c r="G60">
        <v>44039</v>
      </c>
      <c r="I60" s="5">
        <v>44211</v>
      </c>
      <c r="K60" s="5" t="s">
        <v>22</v>
      </c>
      <c r="L60" t="s">
        <v>41</v>
      </c>
      <c r="M60" t="s">
        <v>24</v>
      </c>
      <c r="O60" t="s">
        <v>26</v>
      </c>
      <c r="P60" t="s">
        <v>25</v>
      </c>
      <c r="Q60" t="s">
        <v>28</v>
      </c>
      <c r="R60" t="s">
        <v>53</v>
      </c>
    </row>
    <row r="61" spans="1:18" ht="15" customHeight="1">
      <c r="A61" t="s">
        <v>54</v>
      </c>
      <c r="B61">
        <v>179192</v>
      </c>
      <c r="C61" t="s">
        <v>55</v>
      </c>
      <c r="D61" t="s">
        <v>84</v>
      </c>
      <c r="E61" t="s">
        <v>48</v>
      </c>
      <c r="F61">
        <v>6</v>
      </c>
      <c r="G61">
        <v>44039</v>
      </c>
      <c r="I61" s="5">
        <v>44211</v>
      </c>
      <c r="K61" s="5" t="s">
        <v>22</v>
      </c>
      <c r="L61" t="s">
        <v>33</v>
      </c>
      <c r="M61" t="s">
        <v>24</v>
      </c>
      <c r="O61" t="s">
        <v>25</v>
      </c>
      <c r="P61" t="s">
        <v>25</v>
      </c>
      <c r="Q61" t="s">
        <v>28</v>
      </c>
      <c r="R61" t="s">
        <v>53</v>
      </c>
    </row>
    <row r="62" spans="1:18" ht="15" customHeight="1">
      <c r="A62" t="s">
        <v>54</v>
      </c>
      <c r="B62">
        <v>179192</v>
      </c>
      <c r="C62" t="s">
        <v>55</v>
      </c>
      <c r="D62" t="s">
        <v>84</v>
      </c>
      <c r="E62" t="s">
        <v>89</v>
      </c>
      <c r="F62">
        <v>4</v>
      </c>
      <c r="G62">
        <v>44039</v>
      </c>
      <c r="I62" s="5">
        <v>44211</v>
      </c>
      <c r="K62" s="5" t="s">
        <v>22</v>
      </c>
      <c r="L62" t="s">
        <v>33</v>
      </c>
      <c r="M62" t="s">
        <v>24</v>
      </c>
      <c r="O62" t="s">
        <v>25</v>
      </c>
      <c r="P62" t="s">
        <v>25</v>
      </c>
      <c r="Q62" t="s">
        <v>28</v>
      </c>
      <c r="R62" t="s">
        <v>53</v>
      </c>
    </row>
    <row r="63" spans="1:18" ht="15" customHeight="1">
      <c r="A63" t="s">
        <v>54</v>
      </c>
      <c r="B63">
        <v>179192</v>
      </c>
      <c r="C63" t="s">
        <v>55</v>
      </c>
      <c r="D63" t="s">
        <v>84</v>
      </c>
      <c r="E63" t="s">
        <v>32</v>
      </c>
      <c r="F63">
        <v>3</v>
      </c>
      <c r="G63">
        <v>44039</v>
      </c>
      <c r="I63" s="5">
        <v>44211</v>
      </c>
      <c r="K63" s="5" t="s">
        <v>22</v>
      </c>
      <c r="L63" t="s">
        <v>33</v>
      </c>
      <c r="M63" t="s">
        <v>24</v>
      </c>
      <c r="O63" t="s">
        <v>25</v>
      </c>
      <c r="P63" t="s">
        <v>25</v>
      </c>
      <c r="Q63" t="s">
        <v>28</v>
      </c>
      <c r="R63" t="s">
        <v>53</v>
      </c>
    </row>
    <row r="64" spans="1:18" ht="15" customHeight="1">
      <c r="A64" t="s">
        <v>54</v>
      </c>
      <c r="B64">
        <v>179192</v>
      </c>
      <c r="C64" t="s">
        <v>55</v>
      </c>
      <c r="D64" t="s">
        <v>84</v>
      </c>
      <c r="E64" t="s">
        <v>35</v>
      </c>
      <c r="F64">
        <v>14</v>
      </c>
      <c r="G64">
        <v>44039</v>
      </c>
      <c r="I64" s="5">
        <v>44211</v>
      </c>
      <c r="J64" s="5" t="s">
        <v>90</v>
      </c>
      <c r="K64" s="5" t="s">
        <v>22</v>
      </c>
      <c r="L64" t="s">
        <v>41</v>
      </c>
      <c r="M64" t="s">
        <v>24</v>
      </c>
      <c r="O64" t="s">
        <v>26</v>
      </c>
      <c r="P64" t="s">
        <v>25</v>
      </c>
      <c r="Q64" t="s">
        <v>28</v>
      </c>
      <c r="R64" t="s">
        <v>53</v>
      </c>
    </row>
    <row r="65" spans="1:18" ht="15" customHeight="1">
      <c r="A65" t="s">
        <v>54</v>
      </c>
      <c r="B65">
        <v>179192</v>
      </c>
      <c r="C65" t="s">
        <v>55</v>
      </c>
      <c r="D65" t="s">
        <v>84</v>
      </c>
      <c r="E65" t="s">
        <v>35</v>
      </c>
      <c r="F65">
        <v>2</v>
      </c>
      <c r="G65">
        <v>44039</v>
      </c>
      <c r="I65" s="5">
        <v>44211</v>
      </c>
      <c r="J65" s="5" t="s">
        <v>91</v>
      </c>
      <c r="K65" s="5" t="s">
        <v>22</v>
      </c>
      <c r="L65" t="s">
        <v>41</v>
      </c>
      <c r="M65" t="s">
        <v>24</v>
      </c>
      <c r="O65" t="s">
        <v>26</v>
      </c>
      <c r="P65" t="s">
        <v>25</v>
      </c>
      <c r="Q65" t="s">
        <v>28</v>
      </c>
      <c r="R65" t="s">
        <v>53</v>
      </c>
    </row>
    <row r="66" spans="1:18" ht="15" customHeight="1">
      <c r="A66" t="s">
        <v>54</v>
      </c>
      <c r="B66">
        <v>179192</v>
      </c>
      <c r="C66" t="s">
        <v>55</v>
      </c>
      <c r="D66" t="s">
        <v>84</v>
      </c>
      <c r="E66" t="s">
        <v>92</v>
      </c>
      <c r="F66">
        <v>5</v>
      </c>
      <c r="G66">
        <v>44039</v>
      </c>
      <c r="I66" s="5">
        <v>44211</v>
      </c>
      <c r="K66" s="5" t="s">
        <v>22</v>
      </c>
      <c r="L66" t="s">
        <v>33</v>
      </c>
      <c r="M66" t="s">
        <v>24</v>
      </c>
      <c r="O66" t="s">
        <v>25</v>
      </c>
      <c r="P66" t="s">
        <v>25</v>
      </c>
      <c r="Q66" t="s">
        <v>28</v>
      </c>
      <c r="R66" t="s">
        <v>53</v>
      </c>
    </row>
    <row r="67" spans="1:18" ht="15" customHeight="1">
      <c r="A67" t="s">
        <v>54</v>
      </c>
      <c r="B67">
        <v>179192</v>
      </c>
      <c r="C67" t="s">
        <v>55</v>
      </c>
      <c r="D67" t="s">
        <v>84</v>
      </c>
      <c r="E67" t="s">
        <v>42</v>
      </c>
      <c r="F67">
        <v>2</v>
      </c>
      <c r="G67">
        <v>44039</v>
      </c>
      <c r="I67" s="5">
        <v>44211</v>
      </c>
      <c r="K67" s="5" t="s">
        <v>22</v>
      </c>
      <c r="L67" t="s">
        <v>33</v>
      </c>
      <c r="M67" t="s">
        <v>24</v>
      </c>
      <c r="O67" t="s">
        <v>25</v>
      </c>
      <c r="P67" t="s">
        <v>25</v>
      </c>
      <c r="Q67" t="s">
        <v>28</v>
      </c>
      <c r="R67" t="s">
        <v>53</v>
      </c>
    </row>
    <row r="68" spans="1:18" ht="15" customHeight="1">
      <c r="A68" t="s">
        <v>54</v>
      </c>
      <c r="C68" t="s">
        <v>55</v>
      </c>
      <c r="D68" t="s">
        <v>84</v>
      </c>
      <c r="E68" t="s">
        <v>93</v>
      </c>
      <c r="F68">
        <v>1</v>
      </c>
      <c r="G68">
        <v>44039</v>
      </c>
      <c r="I68" s="5">
        <v>44211</v>
      </c>
      <c r="K68" s="5" t="s">
        <v>22</v>
      </c>
      <c r="L68" t="s">
        <v>33</v>
      </c>
      <c r="M68" t="s">
        <v>24</v>
      </c>
      <c r="O68" t="s">
        <v>25</v>
      </c>
      <c r="P68" t="s">
        <v>25</v>
      </c>
      <c r="Q68" t="s">
        <v>28</v>
      </c>
      <c r="R68" t="s">
        <v>53</v>
      </c>
    </row>
    <row r="69" spans="1:18" ht="15" customHeight="1">
      <c r="A69" t="s">
        <v>54</v>
      </c>
      <c r="B69">
        <v>179192</v>
      </c>
      <c r="C69" t="s">
        <v>55</v>
      </c>
      <c r="D69" t="s">
        <v>84</v>
      </c>
      <c r="E69" t="s">
        <v>82</v>
      </c>
      <c r="F69">
        <v>6</v>
      </c>
      <c r="G69">
        <v>44039</v>
      </c>
      <c r="I69" s="5">
        <v>44211</v>
      </c>
      <c r="K69" s="5" t="s">
        <v>22</v>
      </c>
      <c r="L69" t="s">
        <v>41</v>
      </c>
      <c r="M69" t="s">
        <v>24</v>
      </c>
      <c r="O69" t="s">
        <v>26</v>
      </c>
      <c r="P69" t="s">
        <v>25</v>
      </c>
      <c r="Q69" t="s">
        <v>28</v>
      </c>
      <c r="R69" t="s">
        <v>53</v>
      </c>
    </row>
    <row r="70" spans="1:18" ht="15" customHeight="1">
      <c r="A70" t="s">
        <v>94</v>
      </c>
      <c r="B70" t="s">
        <v>95</v>
      </c>
      <c r="C70" t="s">
        <v>30</v>
      </c>
      <c r="D70" t="s">
        <v>96</v>
      </c>
      <c r="E70" t="s">
        <v>34</v>
      </c>
      <c r="F70">
        <v>1</v>
      </c>
      <c r="G70">
        <v>44224</v>
      </c>
      <c r="H70">
        <v>44224</v>
      </c>
      <c r="I70" s="5">
        <v>44224</v>
      </c>
      <c r="K70" s="5" t="s">
        <v>22</v>
      </c>
      <c r="L70" t="s">
        <v>41</v>
      </c>
      <c r="M70" t="s">
        <v>24</v>
      </c>
      <c r="N70">
        <v>3</v>
      </c>
      <c r="O70" t="s">
        <v>26</v>
      </c>
      <c r="P70" t="s">
        <v>26</v>
      </c>
      <c r="Q70" t="s">
        <v>28</v>
      </c>
      <c r="R70" t="s">
        <v>28</v>
      </c>
    </row>
    <row r="71" spans="1:18" ht="15" customHeight="1">
      <c r="A71" t="s">
        <v>39</v>
      </c>
      <c r="B71" t="s">
        <v>95</v>
      </c>
      <c r="C71" t="s">
        <v>30</v>
      </c>
      <c r="D71" t="s">
        <v>97</v>
      </c>
      <c r="E71" t="s">
        <v>66</v>
      </c>
      <c r="F71">
        <v>4</v>
      </c>
      <c r="G71">
        <v>44222</v>
      </c>
      <c r="H71">
        <v>44222</v>
      </c>
      <c r="I71" s="5">
        <v>44222</v>
      </c>
      <c r="K71" s="5" t="s">
        <v>22</v>
      </c>
      <c r="L71" t="s">
        <v>23</v>
      </c>
      <c r="M71" t="s">
        <v>24</v>
      </c>
      <c r="N71">
        <v>2</v>
      </c>
      <c r="O71" t="s">
        <v>25</v>
      </c>
      <c r="P71" t="s">
        <v>26</v>
      </c>
      <c r="Q71" t="s">
        <v>28</v>
      </c>
      <c r="R71" t="s">
        <v>28</v>
      </c>
    </row>
    <row r="72" spans="1:18" ht="15" customHeight="1">
      <c r="A72" t="s">
        <v>54</v>
      </c>
      <c r="C72" t="s">
        <v>55</v>
      </c>
      <c r="D72" t="s">
        <v>98</v>
      </c>
      <c r="E72" t="s">
        <v>34</v>
      </c>
      <c r="F72">
        <v>34</v>
      </c>
      <c r="G72">
        <v>44188</v>
      </c>
      <c r="H72">
        <v>44194</v>
      </c>
      <c r="I72" s="5">
        <v>44194</v>
      </c>
      <c r="K72" s="5" t="s">
        <v>22</v>
      </c>
      <c r="L72" t="s">
        <v>41</v>
      </c>
      <c r="M72" t="s">
        <v>24</v>
      </c>
      <c r="O72" t="s">
        <v>26</v>
      </c>
      <c r="Q72" t="s">
        <v>53</v>
      </c>
      <c r="R72" t="s">
        <v>28</v>
      </c>
    </row>
    <row r="73" spans="1:18" ht="15" customHeight="1">
      <c r="A73" t="s">
        <v>18</v>
      </c>
      <c r="B73">
        <v>208701</v>
      </c>
      <c r="C73" t="s">
        <v>55</v>
      </c>
      <c r="D73" t="s">
        <v>99</v>
      </c>
      <c r="E73" t="s">
        <v>32</v>
      </c>
      <c r="F73">
        <v>10</v>
      </c>
      <c r="G73">
        <v>44180</v>
      </c>
      <c r="H73">
        <v>44194</v>
      </c>
      <c r="I73" s="5">
        <v>44183</v>
      </c>
      <c r="K73" s="5" t="s">
        <v>22</v>
      </c>
      <c r="L73" t="s">
        <v>23</v>
      </c>
      <c r="M73" t="s">
        <v>24</v>
      </c>
      <c r="N73">
        <v>3</v>
      </c>
      <c r="O73" t="s">
        <v>25</v>
      </c>
      <c r="Q73" t="s">
        <v>28</v>
      </c>
      <c r="R73" t="s">
        <v>73</v>
      </c>
    </row>
    <row r="74" spans="1:18" ht="15" customHeight="1">
      <c r="A74" t="s">
        <v>54</v>
      </c>
      <c r="B74">
        <v>179192</v>
      </c>
      <c r="C74" t="s">
        <v>55</v>
      </c>
      <c r="D74" t="s">
        <v>98</v>
      </c>
      <c r="E74" t="s">
        <v>34</v>
      </c>
      <c r="F74">
        <v>3</v>
      </c>
      <c r="G74">
        <v>44180.510289351849</v>
      </c>
      <c r="H74">
        <v>44174</v>
      </c>
      <c r="I74" s="5">
        <v>44174</v>
      </c>
      <c r="K74" s="5" t="s">
        <v>22</v>
      </c>
      <c r="L74" t="s">
        <v>41</v>
      </c>
      <c r="M74" t="s">
        <v>24</v>
      </c>
      <c r="O74" t="s">
        <v>26</v>
      </c>
      <c r="Q74" t="s">
        <v>53</v>
      </c>
      <c r="R74" t="s">
        <v>28</v>
      </c>
    </row>
    <row r="75" spans="1:18" ht="15" customHeight="1">
      <c r="A75" t="s">
        <v>54</v>
      </c>
      <c r="B75">
        <v>179192</v>
      </c>
      <c r="C75" t="s">
        <v>55</v>
      </c>
      <c r="D75" t="s">
        <v>98</v>
      </c>
      <c r="E75" t="s">
        <v>32</v>
      </c>
      <c r="F75">
        <v>12</v>
      </c>
      <c r="G75">
        <v>44173</v>
      </c>
      <c r="H75">
        <v>44174</v>
      </c>
      <c r="I75" s="5">
        <v>44174</v>
      </c>
      <c r="K75" s="5" t="s">
        <v>22</v>
      </c>
      <c r="L75" t="s">
        <v>41</v>
      </c>
      <c r="M75" t="s">
        <v>24</v>
      </c>
      <c r="N75">
        <v>4</v>
      </c>
      <c r="O75" t="s">
        <v>26</v>
      </c>
      <c r="Q75" t="s">
        <v>28</v>
      </c>
      <c r="R75" t="s">
        <v>28</v>
      </c>
    </row>
    <row r="76" spans="1:18" ht="15" customHeight="1">
      <c r="A76" t="s">
        <v>54</v>
      </c>
      <c r="B76">
        <v>179192</v>
      </c>
      <c r="C76" t="s">
        <v>55</v>
      </c>
      <c r="D76" t="s">
        <v>98</v>
      </c>
      <c r="E76" t="s">
        <v>62</v>
      </c>
      <c r="F76">
        <v>3</v>
      </c>
      <c r="G76">
        <v>44134</v>
      </c>
      <c r="H76">
        <v>44134</v>
      </c>
      <c r="I76" s="5">
        <v>44134</v>
      </c>
      <c r="K76" s="5" t="s">
        <v>22</v>
      </c>
      <c r="L76" t="s">
        <v>41</v>
      </c>
      <c r="M76" t="s">
        <v>24</v>
      </c>
      <c r="N76">
        <v>2</v>
      </c>
      <c r="O76" t="s">
        <v>26</v>
      </c>
      <c r="Q76" t="s">
        <v>28</v>
      </c>
      <c r="R76" t="s">
        <v>28</v>
      </c>
    </row>
    <row r="77" spans="1:18" ht="15" customHeight="1">
      <c r="A77" t="s">
        <v>39</v>
      </c>
      <c r="B77">
        <v>198253</v>
      </c>
      <c r="C77" t="s">
        <v>19</v>
      </c>
      <c r="D77" t="s">
        <v>100</v>
      </c>
      <c r="E77" t="s">
        <v>21</v>
      </c>
      <c r="F77">
        <v>2</v>
      </c>
      <c r="G77">
        <v>44140.671620370369</v>
      </c>
      <c r="H77">
        <v>44140</v>
      </c>
      <c r="I77" s="5">
        <v>44159</v>
      </c>
      <c r="K77" s="5" t="s">
        <v>22</v>
      </c>
      <c r="L77" t="s">
        <v>23</v>
      </c>
      <c r="M77" t="s">
        <v>24</v>
      </c>
      <c r="N77">
        <v>1</v>
      </c>
      <c r="O77" t="s">
        <v>25</v>
      </c>
      <c r="P77" t="s">
        <v>25</v>
      </c>
      <c r="Q77" t="s">
        <v>28</v>
      </c>
      <c r="R77" t="s">
        <v>28</v>
      </c>
    </row>
    <row r="78" spans="1:18" ht="15" customHeight="1">
      <c r="A78" t="s">
        <v>67</v>
      </c>
      <c r="B78">
        <v>216194</v>
      </c>
      <c r="C78" t="s">
        <v>19</v>
      </c>
      <c r="D78" t="s">
        <v>68</v>
      </c>
      <c r="E78" t="s">
        <v>32</v>
      </c>
      <c r="F78">
        <v>1</v>
      </c>
      <c r="G78">
        <v>44218</v>
      </c>
      <c r="H78">
        <v>44221</v>
      </c>
      <c r="I78" s="5">
        <v>44221</v>
      </c>
      <c r="K78" s="5" t="s">
        <v>22</v>
      </c>
      <c r="L78" t="s">
        <v>57</v>
      </c>
      <c r="M78" t="s">
        <v>24</v>
      </c>
      <c r="N78">
        <v>2</v>
      </c>
      <c r="O78" t="s">
        <v>25</v>
      </c>
      <c r="P78" t="s">
        <v>26</v>
      </c>
      <c r="Q78" t="s">
        <v>27</v>
      </c>
      <c r="R78" t="s">
        <v>28</v>
      </c>
    </row>
    <row r="79" spans="1:18" ht="15" customHeight="1">
      <c r="A79" t="s">
        <v>101</v>
      </c>
      <c r="B79">
        <v>216194</v>
      </c>
      <c r="C79" t="s">
        <v>19</v>
      </c>
      <c r="D79" t="s">
        <v>68</v>
      </c>
      <c r="E79" t="s">
        <v>32</v>
      </c>
      <c r="F79">
        <v>1</v>
      </c>
      <c r="G79">
        <v>44218</v>
      </c>
      <c r="H79">
        <v>44221</v>
      </c>
      <c r="I79" s="5">
        <v>44221</v>
      </c>
      <c r="K79" s="5" t="s">
        <v>22</v>
      </c>
      <c r="N79">
        <v>2</v>
      </c>
      <c r="O79" t="s">
        <v>25</v>
      </c>
      <c r="P79" t="s">
        <v>26</v>
      </c>
      <c r="Q79" t="s">
        <v>27</v>
      </c>
      <c r="R79" t="s">
        <v>28</v>
      </c>
    </row>
    <row r="80" spans="1:18" ht="15" customHeight="1">
      <c r="A80" t="s">
        <v>102</v>
      </c>
      <c r="B80">
        <v>216194</v>
      </c>
      <c r="C80" t="s">
        <v>19</v>
      </c>
      <c r="D80" t="s">
        <v>68</v>
      </c>
      <c r="E80" t="s">
        <v>92</v>
      </c>
      <c r="F80">
        <v>1</v>
      </c>
      <c r="G80">
        <v>44218</v>
      </c>
      <c r="H80">
        <v>44221</v>
      </c>
      <c r="I80" s="5">
        <v>44221</v>
      </c>
      <c r="K80" s="5" t="s">
        <v>22</v>
      </c>
    </row>
    <row r="81" spans="1:18" ht="15" customHeight="1">
      <c r="A81" t="s">
        <v>36</v>
      </c>
      <c r="B81">
        <v>214006</v>
      </c>
      <c r="C81" t="s">
        <v>30</v>
      </c>
      <c r="D81" t="s">
        <v>103</v>
      </c>
      <c r="E81" t="s">
        <v>34</v>
      </c>
      <c r="F81">
        <v>1</v>
      </c>
      <c r="G81">
        <v>44208</v>
      </c>
      <c r="H81">
        <v>44232</v>
      </c>
      <c r="I81" s="5">
        <v>44236</v>
      </c>
      <c r="K81" s="5" t="s">
        <v>22</v>
      </c>
      <c r="L81" t="s">
        <v>41</v>
      </c>
      <c r="M81" t="s">
        <v>24</v>
      </c>
      <c r="O81" t="s">
        <v>26</v>
      </c>
      <c r="P81" t="s">
        <v>26</v>
      </c>
      <c r="Q81" t="s">
        <v>28</v>
      </c>
    </row>
    <row r="82" spans="1:18" ht="15" customHeight="1">
      <c r="A82" t="s">
        <v>36</v>
      </c>
      <c r="B82">
        <v>214006</v>
      </c>
      <c r="C82" t="s">
        <v>30</v>
      </c>
      <c r="D82" t="s">
        <v>103</v>
      </c>
      <c r="E82" t="s">
        <v>48</v>
      </c>
      <c r="F82">
        <v>1</v>
      </c>
      <c r="G82">
        <v>44208</v>
      </c>
      <c r="H82">
        <v>44232</v>
      </c>
      <c r="I82" s="5">
        <v>44236</v>
      </c>
      <c r="K82" s="5" t="s">
        <v>22</v>
      </c>
      <c r="L82" t="s">
        <v>41</v>
      </c>
      <c r="M82" t="s">
        <v>24</v>
      </c>
      <c r="O82" t="s">
        <v>26</v>
      </c>
      <c r="P82" t="s">
        <v>26</v>
      </c>
      <c r="Q82" t="s">
        <v>28</v>
      </c>
    </row>
    <row r="83" spans="1:18" ht="15" customHeight="1">
      <c r="A83" t="s">
        <v>36</v>
      </c>
      <c r="B83">
        <v>214006</v>
      </c>
      <c r="C83" t="s">
        <v>30</v>
      </c>
      <c r="D83" t="s">
        <v>103</v>
      </c>
      <c r="E83" t="s">
        <v>32</v>
      </c>
      <c r="F83">
        <v>1</v>
      </c>
      <c r="G83">
        <v>44208</v>
      </c>
      <c r="H83">
        <v>44232</v>
      </c>
      <c r="I83" s="5">
        <v>44236</v>
      </c>
      <c r="K83" s="5" t="s">
        <v>22</v>
      </c>
      <c r="L83" t="s">
        <v>41</v>
      </c>
      <c r="M83" t="s">
        <v>24</v>
      </c>
      <c r="O83" t="s">
        <v>26</v>
      </c>
      <c r="P83" t="s">
        <v>26</v>
      </c>
      <c r="Q83" t="s">
        <v>28</v>
      </c>
    </row>
    <row r="84" spans="1:18" ht="15" customHeight="1">
      <c r="A84" t="s">
        <v>36</v>
      </c>
      <c r="B84">
        <v>214001</v>
      </c>
      <c r="C84" t="s">
        <v>30</v>
      </c>
      <c r="D84" t="s">
        <v>104</v>
      </c>
      <c r="E84" t="s">
        <v>34</v>
      </c>
      <c r="F84">
        <v>1</v>
      </c>
      <c r="G84">
        <v>44208</v>
      </c>
      <c r="H84">
        <v>44228</v>
      </c>
      <c r="I84" s="5">
        <v>44229</v>
      </c>
      <c r="K84" s="5" t="s">
        <v>22</v>
      </c>
      <c r="L84" t="s">
        <v>41</v>
      </c>
      <c r="M84" t="s">
        <v>24</v>
      </c>
      <c r="O84" t="s">
        <v>26</v>
      </c>
      <c r="P84" t="s">
        <v>26</v>
      </c>
      <c r="Q84" t="s">
        <v>28</v>
      </c>
    </row>
    <row r="85" spans="1:18" ht="15" customHeight="1">
      <c r="A85" t="s">
        <v>36</v>
      </c>
      <c r="B85">
        <v>214001</v>
      </c>
      <c r="C85" t="s">
        <v>30</v>
      </c>
      <c r="D85" t="s">
        <v>104</v>
      </c>
      <c r="E85" t="s">
        <v>48</v>
      </c>
      <c r="F85">
        <v>1</v>
      </c>
      <c r="G85">
        <v>44208</v>
      </c>
      <c r="H85">
        <v>44228</v>
      </c>
      <c r="I85" s="5">
        <v>44229</v>
      </c>
      <c r="K85" s="5" t="s">
        <v>22</v>
      </c>
      <c r="L85" t="s">
        <v>41</v>
      </c>
      <c r="M85" t="s">
        <v>24</v>
      </c>
      <c r="O85" t="s">
        <v>26</v>
      </c>
      <c r="P85" t="s">
        <v>26</v>
      </c>
      <c r="Q85" t="s">
        <v>28</v>
      </c>
    </row>
    <row r="86" spans="1:18" ht="15" customHeight="1">
      <c r="A86" t="s">
        <v>36</v>
      </c>
      <c r="B86">
        <v>214001</v>
      </c>
      <c r="C86" t="s">
        <v>30</v>
      </c>
      <c r="D86" t="s">
        <v>104</v>
      </c>
      <c r="E86" t="s">
        <v>32</v>
      </c>
      <c r="F86">
        <v>1</v>
      </c>
      <c r="G86">
        <v>44208</v>
      </c>
      <c r="H86">
        <v>44228</v>
      </c>
      <c r="I86" s="5">
        <v>44229</v>
      </c>
      <c r="K86" s="5" t="s">
        <v>22</v>
      </c>
      <c r="L86" t="s">
        <v>41</v>
      </c>
      <c r="M86" t="s">
        <v>24</v>
      </c>
      <c r="O86" t="s">
        <v>26</v>
      </c>
      <c r="P86" t="s">
        <v>26</v>
      </c>
      <c r="Q86" t="s">
        <v>28</v>
      </c>
    </row>
    <row r="87" spans="1:18" ht="15" customHeight="1">
      <c r="A87" t="s">
        <v>36</v>
      </c>
      <c r="B87">
        <v>214001</v>
      </c>
      <c r="C87" t="s">
        <v>30</v>
      </c>
      <c r="D87" t="s">
        <v>104</v>
      </c>
      <c r="E87" t="s">
        <v>43</v>
      </c>
      <c r="F87">
        <v>1</v>
      </c>
      <c r="G87">
        <v>44208</v>
      </c>
      <c r="H87">
        <v>44228</v>
      </c>
      <c r="I87" s="5">
        <v>44229</v>
      </c>
      <c r="K87" s="5" t="s">
        <v>22</v>
      </c>
      <c r="L87" t="s">
        <v>41</v>
      </c>
      <c r="M87" t="s">
        <v>24</v>
      </c>
      <c r="O87" t="s">
        <v>26</v>
      </c>
      <c r="P87" t="s">
        <v>26</v>
      </c>
      <c r="Q87" t="s">
        <v>28</v>
      </c>
    </row>
    <row r="88" spans="1:18" ht="15" customHeight="1">
      <c r="A88" t="s">
        <v>36</v>
      </c>
      <c r="B88">
        <v>214001</v>
      </c>
      <c r="C88" t="s">
        <v>30</v>
      </c>
      <c r="D88" t="s">
        <v>104</v>
      </c>
      <c r="E88" t="s">
        <v>35</v>
      </c>
      <c r="F88">
        <v>3</v>
      </c>
      <c r="G88">
        <v>44208</v>
      </c>
      <c r="H88">
        <v>44228</v>
      </c>
      <c r="I88" s="5">
        <v>44229</v>
      </c>
      <c r="K88" s="5" t="s">
        <v>22</v>
      </c>
      <c r="L88" t="s">
        <v>41</v>
      </c>
      <c r="M88" t="s">
        <v>24</v>
      </c>
      <c r="O88" t="s">
        <v>26</v>
      </c>
      <c r="P88" t="s">
        <v>26</v>
      </c>
      <c r="Q88" t="s">
        <v>28</v>
      </c>
    </row>
    <row r="89" spans="1:18" ht="15" customHeight="1">
      <c r="A89" t="s">
        <v>36</v>
      </c>
      <c r="B89">
        <v>214001</v>
      </c>
      <c r="C89" t="s">
        <v>30</v>
      </c>
      <c r="D89" t="s">
        <v>104</v>
      </c>
      <c r="E89" t="s">
        <v>66</v>
      </c>
      <c r="F89">
        <v>1</v>
      </c>
      <c r="G89">
        <v>44208</v>
      </c>
      <c r="H89">
        <v>44228</v>
      </c>
      <c r="I89" s="5">
        <v>44229</v>
      </c>
      <c r="K89" s="5" t="s">
        <v>22</v>
      </c>
      <c r="L89" t="s">
        <v>41</v>
      </c>
      <c r="M89" t="s">
        <v>24</v>
      </c>
      <c r="O89" t="s">
        <v>26</v>
      </c>
      <c r="P89" t="s">
        <v>26</v>
      </c>
      <c r="Q89" t="s">
        <v>28</v>
      </c>
    </row>
    <row r="90" spans="1:18" ht="15" customHeight="1">
      <c r="A90" t="s">
        <v>67</v>
      </c>
      <c r="B90">
        <v>216500</v>
      </c>
      <c r="C90" t="s">
        <v>19</v>
      </c>
      <c r="D90" t="s">
        <v>105</v>
      </c>
      <c r="E90" t="s">
        <v>21</v>
      </c>
      <c r="F90">
        <v>1</v>
      </c>
      <c r="G90">
        <v>44223</v>
      </c>
      <c r="H90">
        <v>44224</v>
      </c>
      <c r="I90" s="5">
        <v>44229</v>
      </c>
      <c r="K90" s="5" t="s">
        <v>22</v>
      </c>
      <c r="L90" t="s">
        <v>33</v>
      </c>
      <c r="M90" t="s">
        <v>24</v>
      </c>
      <c r="O90" t="s">
        <v>25</v>
      </c>
      <c r="P90" t="s">
        <v>26</v>
      </c>
      <c r="Q90" t="s">
        <v>28</v>
      </c>
      <c r="R90" t="s">
        <v>53</v>
      </c>
    </row>
    <row r="91" spans="1:18" ht="15" customHeight="1">
      <c r="A91" t="s">
        <v>67</v>
      </c>
      <c r="B91">
        <v>216500</v>
      </c>
      <c r="C91" t="s">
        <v>19</v>
      </c>
      <c r="D91" t="s">
        <v>105</v>
      </c>
      <c r="E91" t="s">
        <v>62</v>
      </c>
      <c r="F91">
        <v>1</v>
      </c>
      <c r="G91">
        <v>44223</v>
      </c>
      <c r="H91">
        <v>44224</v>
      </c>
      <c r="I91" s="5">
        <v>44229</v>
      </c>
      <c r="K91" s="5" t="s">
        <v>22</v>
      </c>
      <c r="L91" t="s">
        <v>33</v>
      </c>
      <c r="M91" t="s">
        <v>24</v>
      </c>
      <c r="O91" t="s">
        <v>25</v>
      </c>
      <c r="P91" t="s">
        <v>26</v>
      </c>
      <c r="Q91" t="s">
        <v>28</v>
      </c>
      <c r="R91" t="s">
        <v>53</v>
      </c>
    </row>
    <row r="92" spans="1:18" ht="15" customHeight="1">
      <c r="A92" t="s">
        <v>39</v>
      </c>
      <c r="B92" t="s">
        <v>95</v>
      </c>
      <c r="C92" t="s">
        <v>30</v>
      </c>
      <c r="D92" t="s">
        <v>106</v>
      </c>
      <c r="E92" t="s">
        <v>107</v>
      </c>
      <c r="F92">
        <v>1</v>
      </c>
      <c r="G92">
        <v>44218</v>
      </c>
      <c r="H92">
        <v>44225</v>
      </c>
      <c r="I92" s="5">
        <v>44225</v>
      </c>
      <c r="K92" s="5" t="s">
        <v>22</v>
      </c>
      <c r="L92" t="s">
        <v>23</v>
      </c>
      <c r="M92" s="36" t="s">
        <v>108</v>
      </c>
      <c r="O92" t="s">
        <v>25</v>
      </c>
      <c r="P92" t="s">
        <v>26</v>
      </c>
      <c r="Q92" t="s">
        <v>53</v>
      </c>
      <c r="R92" t="s">
        <v>53</v>
      </c>
    </row>
    <row r="93" spans="1:18" ht="15" customHeight="1">
      <c r="A93" t="s">
        <v>39</v>
      </c>
      <c r="B93" t="s">
        <v>95</v>
      </c>
      <c r="C93" t="s">
        <v>30</v>
      </c>
      <c r="D93" t="s">
        <v>106</v>
      </c>
      <c r="E93" t="s">
        <v>34</v>
      </c>
      <c r="F93">
        <v>2</v>
      </c>
      <c r="G93">
        <v>44218</v>
      </c>
      <c r="H93">
        <v>44225</v>
      </c>
      <c r="I93" s="5">
        <v>44225</v>
      </c>
      <c r="J93" s="5" t="s">
        <v>109</v>
      </c>
      <c r="K93" s="5" t="s">
        <v>22</v>
      </c>
      <c r="L93" t="s">
        <v>23</v>
      </c>
      <c r="M93" t="s">
        <v>24</v>
      </c>
      <c r="O93" t="s">
        <v>26</v>
      </c>
      <c r="P93" t="s">
        <v>26</v>
      </c>
      <c r="Q93" t="s">
        <v>53</v>
      </c>
      <c r="R93" t="s">
        <v>53</v>
      </c>
    </row>
    <row r="94" spans="1:18" ht="15" customHeight="1">
      <c r="A94" t="s">
        <v>39</v>
      </c>
      <c r="B94" t="s">
        <v>95</v>
      </c>
      <c r="C94" t="s">
        <v>30</v>
      </c>
      <c r="D94" t="s">
        <v>106</v>
      </c>
      <c r="E94" t="s">
        <v>110</v>
      </c>
      <c r="F94">
        <v>1</v>
      </c>
      <c r="G94">
        <v>44218</v>
      </c>
      <c r="H94">
        <v>44225</v>
      </c>
      <c r="I94" s="5">
        <v>44225</v>
      </c>
      <c r="J94" s="5" t="s">
        <v>111</v>
      </c>
      <c r="K94" s="5" t="s">
        <v>22</v>
      </c>
      <c r="L94" t="s">
        <v>23</v>
      </c>
      <c r="M94" t="s">
        <v>24</v>
      </c>
      <c r="O94" t="s">
        <v>26</v>
      </c>
      <c r="P94" t="s">
        <v>26</v>
      </c>
      <c r="Q94" t="s">
        <v>53</v>
      </c>
      <c r="R94" t="s">
        <v>53</v>
      </c>
    </row>
    <row r="95" spans="1:18" ht="15" customHeight="1">
      <c r="A95" t="s">
        <v>39</v>
      </c>
      <c r="B95" t="s">
        <v>95</v>
      </c>
      <c r="C95" t="s">
        <v>30</v>
      </c>
      <c r="D95" t="s">
        <v>106</v>
      </c>
      <c r="E95" t="s">
        <v>32</v>
      </c>
      <c r="F95">
        <v>1</v>
      </c>
      <c r="G95">
        <v>44218</v>
      </c>
      <c r="H95">
        <v>44225</v>
      </c>
      <c r="I95" s="5">
        <v>44225</v>
      </c>
      <c r="J95" s="5" t="s">
        <v>111</v>
      </c>
      <c r="K95" s="5" t="s">
        <v>22</v>
      </c>
      <c r="L95" t="s">
        <v>23</v>
      </c>
      <c r="M95" t="s">
        <v>24</v>
      </c>
      <c r="O95" t="s">
        <v>26</v>
      </c>
      <c r="P95" t="s">
        <v>26</v>
      </c>
      <c r="Q95" t="s">
        <v>53</v>
      </c>
      <c r="R95" t="s">
        <v>53</v>
      </c>
    </row>
    <row r="96" spans="1:18" ht="15" customHeight="1">
      <c r="A96" t="s">
        <v>39</v>
      </c>
      <c r="B96" t="s">
        <v>95</v>
      </c>
      <c r="C96" t="s">
        <v>30</v>
      </c>
      <c r="D96" t="s">
        <v>106</v>
      </c>
      <c r="E96" t="s">
        <v>48</v>
      </c>
      <c r="F96">
        <v>1</v>
      </c>
      <c r="G96">
        <v>44218</v>
      </c>
      <c r="H96">
        <v>44225</v>
      </c>
      <c r="I96" s="5">
        <v>44225</v>
      </c>
      <c r="J96" s="5" t="s">
        <v>112</v>
      </c>
      <c r="K96" s="5" t="s">
        <v>22</v>
      </c>
      <c r="L96" t="s">
        <v>23</v>
      </c>
      <c r="M96" t="s">
        <v>24</v>
      </c>
      <c r="O96" t="s">
        <v>26</v>
      </c>
      <c r="P96" t="s">
        <v>26</v>
      </c>
      <c r="Q96" t="s">
        <v>53</v>
      </c>
      <c r="R96" t="s">
        <v>53</v>
      </c>
    </row>
    <row r="97" spans="1:18" ht="15" customHeight="1">
      <c r="A97" t="s">
        <v>70</v>
      </c>
      <c r="B97">
        <v>216974</v>
      </c>
      <c r="C97" t="s">
        <v>19</v>
      </c>
      <c r="D97" t="s">
        <v>113</v>
      </c>
      <c r="E97" t="s">
        <v>44</v>
      </c>
      <c r="F97">
        <v>1</v>
      </c>
      <c r="G97">
        <v>44222</v>
      </c>
      <c r="H97">
        <v>44229</v>
      </c>
      <c r="I97" s="5">
        <v>44229</v>
      </c>
      <c r="K97" s="5" t="s">
        <v>22</v>
      </c>
      <c r="L97" t="s">
        <v>57</v>
      </c>
      <c r="M97" t="s">
        <v>24</v>
      </c>
      <c r="O97" t="s">
        <v>25</v>
      </c>
      <c r="P97" t="s">
        <v>26</v>
      </c>
      <c r="Q97" t="s">
        <v>28</v>
      </c>
      <c r="R97" t="s">
        <v>27</v>
      </c>
    </row>
    <row r="98" spans="1:18" ht="15" customHeight="1">
      <c r="A98" t="s">
        <v>114</v>
      </c>
      <c r="B98">
        <v>217140</v>
      </c>
      <c r="C98" t="s">
        <v>19</v>
      </c>
      <c r="D98" t="s">
        <v>115</v>
      </c>
      <c r="E98" t="s">
        <v>43</v>
      </c>
      <c r="F98">
        <v>1</v>
      </c>
      <c r="G98">
        <v>44223</v>
      </c>
      <c r="H98">
        <v>44229</v>
      </c>
      <c r="I98" s="5">
        <v>44229</v>
      </c>
      <c r="K98" s="5" t="s">
        <v>22</v>
      </c>
      <c r="L98" t="s">
        <v>57</v>
      </c>
      <c r="M98" t="s">
        <v>24</v>
      </c>
      <c r="O98" t="s">
        <v>25</v>
      </c>
      <c r="P98" t="s">
        <v>26</v>
      </c>
      <c r="Q98" t="s">
        <v>27</v>
      </c>
    </row>
    <row r="99" spans="1:18" ht="15" customHeight="1">
      <c r="A99" t="s">
        <v>114</v>
      </c>
      <c r="B99">
        <v>217140</v>
      </c>
      <c r="C99" t="s">
        <v>19</v>
      </c>
      <c r="D99" t="s">
        <v>115</v>
      </c>
      <c r="E99" t="s">
        <v>34</v>
      </c>
      <c r="F99">
        <v>1</v>
      </c>
      <c r="G99">
        <v>44223</v>
      </c>
      <c r="H99">
        <v>44229</v>
      </c>
      <c r="I99" s="5">
        <v>44229</v>
      </c>
      <c r="K99" s="5" t="s">
        <v>22</v>
      </c>
      <c r="L99" t="s">
        <v>57</v>
      </c>
      <c r="M99" t="s">
        <v>24</v>
      </c>
      <c r="O99" t="s">
        <v>25</v>
      </c>
      <c r="P99" t="s">
        <v>26</v>
      </c>
      <c r="Q99" t="s">
        <v>27</v>
      </c>
    </row>
    <row r="100" spans="1:18" ht="15" customHeight="1">
      <c r="A100" t="s">
        <v>114</v>
      </c>
      <c r="B100">
        <v>217140</v>
      </c>
      <c r="C100" t="s">
        <v>19</v>
      </c>
      <c r="D100" t="s">
        <v>115</v>
      </c>
      <c r="E100" t="s">
        <v>44</v>
      </c>
      <c r="F100">
        <v>1</v>
      </c>
      <c r="G100">
        <v>44223</v>
      </c>
      <c r="H100">
        <v>44229</v>
      </c>
      <c r="I100" s="5">
        <v>44229</v>
      </c>
      <c r="K100" s="5" t="s">
        <v>22</v>
      </c>
      <c r="L100" t="s">
        <v>57</v>
      </c>
      <c r="M100" t="s">
        <v>24</v>
      </c>
      <c r="O100" t="s">
        <v>25</v>
      </c>
      <c r="P100" t="s">
        <v>26</v>
      </c>
      <c r="Q100" t="s">
        <v>27</v>
      </c>
    </row>
    <row r="101" spans="1:18" ht="15" customHeight="1">
      <c r="A101" t="s">
        <v>114</v>
      </c>
      <c r="B101">
        <v>217140</v>
      </c>
      <c r="C101" t="s">
        <v>19</v>
      </c>
      <c r="D101" t="s">
        <v>115</v>
      </c>
      <c r="E101" t="s">
        <v>32</v>
      </c>
      <c r="F101">
        <v>1</v>
      </c>
      <c r="G101">
        <v>44223</v>
      </c>
      <c r="H101">
        <v>44229</v>
      </c>
      <c r="I101" s="5">
        <v>44229</v>
      </c>
      <c r="K101" s="5" t="s">
        <v>22</v>
      </c>
      <c r="L101" t="s">
        <v>57</v>
      </c>
      <c r="M101" t="s">
        <v>24</v>
      </c>
      <c r="O101" t="s">
        <v>25</v>
      </c>
      <c r="P101" t="s">
        <v>26</v>
      </c>
      <c r="Q101" t="s">
        <v>27</v>
      </c>
    </row>
    <row r="102" spans="1:18" ht="15" customHeight="1">
      <c r="A102" t="s">
        <v>114</v>
      </c>
      <c r="B102">
        <v>217140</v>
      </c>
      <c r="C102" t="s">
        <v>19</v>
      </c>
      <c r="D102" t="s">
        <v>115</v>
      </c>
      <c r="E102" t="s">
        <v>93</v>
      </c>
      <c r="F102">
        <v>1</v>
      </c>
      <c r="G102">
        <v>44223</v>
      </c>
      <c r="H102">
        <v>44229</v>
      </c>
      <c r="I102" s="5">
        <v>44229</v>
      </c>
      <c r="K102" s="5" t="s">
        <v>22</v>
      </c>
      <c r="L102" t="s">
        <v>57</v>
      </c>
      <c r="M102" t="s">
        <v>24</v>
      </c>
      <c r="O102" t="s">
        <v>25</v>
      </c>
      <c r="P102" t="s">
        <v>26</v>
      </c>
      <c r="Q102" t="s">
        <v>27</v>
      </c>
    </row>
    <row r="103" spans="1:18" ht="15" customHeight="1">
      <c r="A103" t="s">
        <v>114</v>
      </c>
      <c r="B103">
        <v>217140</v>
      </c>
      <c r="C103" t="s">
        <v>19</v>
      </c>
      <c r="D103" t="s">
        <v>115</v>
      </c>
      <c r="E103" t="s">
        <v>110</v>
      </c>
      <c r="F103">
        <v>1</v>
      </c>
      <c r="G103">
        <v>44223</v>
      </c>
      <c r="H103">
        <v>44229</v>
      </c>
      <c r="I103" s="5">
        <v>44229</v>
      </c>
      <c r="K103" s="5" t="s">
        <v>22</v>
      </c>
      <c r="L103" t="s">
        <v>57</v>
      </c>
      <c r="M103" t="s">
        <v>24</v>
      </c>
      <c r="O103" t="s">
        <v>25</v>
      </c>
      <c r="P103" t="s">
        <v>26</v>
      </c>
      <c r="Q103" t="s">
        <v>27</v>
      </c>
    </row>
    <row r="104" spans="1:18" ht="15" customHeight="1">
      <c r="A104" t="s">
        <v>114</v>
      </c>
      <c r="B104">
        <v>217140</v>
      </c>
      <c r="C104" t="s">
        <v>19</v>
      </c>
      <c r="D104" t="s">
        <v>115</v>
      </c>
      <c r="E104" t="s">
        <v>92</v>
      </c>
      <c r="F104">
        <v>1</v>
      </c>
      <c r="G104">
        <v>44223</v>
      </c>
      <c r="H104">
        <v>44229</v>
      </c>
      <c r="I104" s="5">
        <v>44229</v>
      </c>
      <c r="K104" s="5" t="s">
        <v>22</v>
      </c>
      <c r="L104" t="s">
        <v>57</v>
      </c>
      <c r="M104" t="s">
        <v>24</v>
      </c>
      <c r="O104" t="s">
        <v>25</v>
      </c>
      <c r="P104" t="s">
        <v>26</v>
      </c>
      <c r="Q104" t="s">
        <v>27</v>
      </c>
    </row>
    <row r="105" spans="1:18" ht="15" customHeight="1">
      <c r="A105" t="s">
        <v>39</v>
      </c>
      <c r="B105">
        <v>218126</v>
      </c>
      <c r="C105" t="s">
        <v>30</v>
      </c>
      <c r="D105" t="s">
        <v>116</v>
      </c>
      <c r="E105" t="s">
        <v>34</v>
      </c>
      <c r="F105">
        <v>2</v>
      </c>
      <c r="G105">
        <v>44228</v>
      </c>
      <c r="H105">
        <v>44230</v>
      </c>
      <c r="I105" s="5">
        <v>44230</v>
      </c>
      <c r="K105" s="5" t="s">
        <v>22</v>
      </c>
      <c r="L105" t="s">
        <v>41</v>
      </c>
      <c r="M105" t="s">
        <v>24</v>
      </c>
    </row>
    <row r="106" spans="1:18" ht="15" customHeight="1">
      <c r="A106" t="s">
        <v>18</v>
      </c>
      <c r="B106">
        <v>217549</v>
      </c>
      <c r="C106" t="s">
        <v>30</v>
      </c>
      <c r="D106" t="s">
        <v>117</v>
      </c>
      <c r="E106" t="s">
        <v>118</v>
      </c>
      <c r="F106">
        <v>1</v>
      </c>
      <c r="G106">
        <v>44255</v>
      </c>
      <c r="H106">
        <v>44231</v>
      </c>
      <c r="I106" s="5">
        <v>44232</v>
      </c>
      <c r="K106" s="5" t="s">
        <v>22</v>
      </c>
      <c r="L106" t="s">
        <v>23</v>
      </c>
      <c r="M106" t="s">
        <v>24</v>
      </c>
      <c r="O106" t="s">
        <v>25</v>
      </c>
    </row>
    <row r="107" spans="1:18" ht="15" customHeight="1">
      <c r="A107" t="s">
        <v>54</v>
      </c>
      <c r="B107">
        <v>218206</v>
      </c>
      <c r="C107" t="s">
        <v>19</v>
      </c>
      <c r="D107" t="s">
        <v>119</v>
      </c>
      <c r="E107" t="s">
        <v>42</v>
      </c>
      <c r="F107">
        <v>4</v>
      </c>
      <c r="G107">
        <v>44229</v>
      </c>
      <c r="H107">
        <v>44230</v>
      </c>
      <c r="I107" s="5">
        <v>44230</v>
      </c>
      <c r="K107" s="5" t="s">
        <v>22</v>
      </c>
      <c r="L107" t="s">
        <v>33</v>
      </c>
      <c r="M107" t="s">
        <v>24</v>
      </c>
      <c r="O107" t="s">
        <v>25</v>
      </c>
      <c r="Q107" t="s">
        <v>28</v>
      </c>
      <c r="R107" t="s">
        <v>27</v>
      </c>
    </row>
    <row r="108" spans="1:18" ht="15" customHeight="1">
      <c r="A108" t="s">
        <v>54</v>
      </c>
      <c r="B108">
        <v>218206</v>
      </c>
      <c r="C108" t="s">
        <v>19</v>
      </c>
      <c r="D108" t="s">
        <v>119</v>
      </c>
      <c r="E108" t="s">
        <v>44</v>
      </c>
      <c r="F108">
        <v>2</v>
      </c>
      <c r="G108">
        <v>44229</v>
      </c>
      <c r="H108">
        <v>44230</v>
      </c>
      <c r="I108" s="5">
        <v>44230</v>
      </c>
      <c r="K108" s="5" t="s">
        <v>22</v>
      </c>
      <c r="L108" t="s">
        <v>33</v>
      </c>
      <c r="M108" t="s">
        <v>24</v>
      </c>
      <c r="O108" t="s">
        <v>25</v>
      </c>
      <c r="Q108" t="s">
        <v>120</v>
      </c>
      <c r="R108" t="s">
        <v>49</v>
      </c>
    </row>
    <row r="109" spans="1:18" ht="15" customHeight="1">
      <c r="A109" t="s">
        <v>54</v>
      </c>
      <c r="B109">
        <v>218206</v>
      </c>
      <c r="C109" t="s">
        <v>19</v>
      </c>
      <c r="D109" t="s">
        <v>119</v>
      </c>
      <c r="E109" t="s">
        <v>34</v>
      </c>
      <c r="F109">
        <v>2</v>
      </c>
      <c r="G109">
        <v>44229</v>
      </c>
      <c r="H109">
        <v>44230</v>
      </c>
      <c r="I109" s="5">
        <v>44230</v>
      </c>
      <c r="K109" s="5" t="s">
        <v>22</v>
      </c>
      <c r="L109" t="s">
        <v>33</v>
      </c>
      <c r="M109" t="s">
        <v>24</v>
      </c>
      <c r="O109" t="s">
        <v>25</v>
      </c>
      <c r="Q109" t="s">
        <v>121</v>
      </c>
      <c r="R109" t="s">
        <v>50</v>
      </c>
    </row>
    <row r="110" spans="1:18" ht="15" customHeight="1">
      <c r="A110" t="s">
        <v>54</v>
      </c>
      <c r="B110">
        <v>218206</v>
      </c>
      <c r="C110" t="s">
        <v>19</v>
      </c>
      <c r="D110" t="s">
        <v>119</v>
      </c>
      <c r="E110" t="s">
        <v>48</v>
      </c>
      <c r="F110">
        <v>4</v>
      </c>
      <c r="G110">
        <v>44229</v>
      </c>
      <c r="H110">
        <v>44230</v>
      </c>
      <c r="I110" s="5">
        <v>44230</v>
      </c>
      <c r="K110" s="5" t="s">
        <v>22</v>
      </c>
      <c r="L110" t="s">
        <v>33</v>
      </c>
      <c r="M110" t="s">
        <v>24</v>
      </c>
      <c r="O110" t="s">
        <v>25</v>
      </c>
      <c r="Q110" t="s">
        <v>122</v>
      </c>
      <c r="R110" t="s">
        <v>51</v>
      </c>
    </row>
    <row r="111" spans="1:18" ht="15" customHeight="1">
      <c r="A111" t="s">
        <v>39</v>
      </c>
      <c r="B111">
        <v>218502</v>
      </c>
      <c r="C111" t="s">
        <v>19</v>
      </c>
      <c r="D111" t="s">
        <v>123</v>
      </c>
      <c r="E111" t="s">
        <v>34</v>
      </c>
      <c r="F111">
        <v>1</v>
      </c>
      <c r="G111">
        <v>44229</v>
      </c>
      <c r="H111">
        <v>44230</v>
      </c>
      <c r="I111" s="5">
        <v>44230</v>
      </c>
      <c r="K111" s="5" t="s">
        <v>22</v>
      </c>
      <c r="L111" t="s">
        <v>23</v>
      </c>
      <c r="M111" t="s">
        <v>24</v>
      </c>
      <c r="O111" t="s">
        <v>25</v>
      </c>
      <c r="P111" t="s">
        <v>26</v>
      </c>
      <c r="Q111" t="s">
        <v>53</v>
      </c>
      <c r="R111" t="s">
        <v>28</v>
      </c>
    </row>
    <row r="112" spans="1:18" ht="15" customHeight="1">
      <c r="A112" t="s">
        <v>39</v>
      </c>
      <c r="B112">
        <v>218502</v>
      </c>
      <c r="C112" t="s">
        <v>19</v>
      </c>
      <c r="D112" t="s">
        <v>123</v>
      </c>
      <c r="E112" t="s">
        <v>32</v>
      </c>
      <c r="F112">
        <v>1</v>
      </c>
      <c r="G112">
        <v>44229</v>
      </c>
      <c r="H112">
        <v>44230</v>
      </c>
      <c r="I112" s="5">
        <v>44230</v>
      </c>
      <c r="K112" s="5" t="s">
        <v>22</v>
      </c>
      <c r="L112" t="s">
        <v>23</v>
      </c>
      <c r="M112" t="s">
        <v>24</v>
      </c>
      <c r="O112" t="s">
        <v>25</v>
      </c>
      <c r="P112" t="s">
        <v>26</v>
      </c>
      <c r="Q112" t="s">
        <v>53</v>
      </c>
      <c r="R112" t="s">
        <v>28</v>
      </c>
    </row>
    <row r="113" spans="1:18" ht="15" customHeight="1">
      <c r="A113" t="s">
        <v>18</v>
      </c>
      <c r="B113">
        <v>217553</v>
      </c>
      <c r="C113" t="s">
        <v>63</v>
      </c>
      <c r="D113" t="s">
        <v>124</v>
      </c>
      <c r="E113" t="s">
        <v>66</v>
      </c>
      <c r="F113">
        <v>1</v>
      </c>
      <c r="G113">
        <v>44255</v>
      </c>
      <c r="H113">
        <v>44230</v>
      </c>
      <c r="K113" s="5" t="s">
        <v>22</v>
      </c>
      <c r="L113" t="s">
        <v>57</v>
      </c>
      <c r="M113" t="s">
        <v>24</v>
      </c>
      <c r="O113" t="s">
        <v>25</v>
      </c>
    </row>
    <row r="114" spans="1:18" ht="15" customHeight="1">
      <c r="A114" t="s">
        <v>94</v>
      </c>
      <c r="B114">
        <v>213012</v>
      </c>
      <c r="C114" t="s">
        <v>19</v>
      </c>
      <c r="D114" t="s">
        <v>125</v>
      </c>
      <c r="E114" t="s">
        <v>44</v>
      </c>
      <c r="F114">
        <v>1</v>
      </c>
      <c r="G114">
        <v>44203</v>
      </c>
      <c r="H114">
        <v>44204</v>
      </c>
      <c r="K114" s="5" t="s">
        <v>22</v>
      </c>
      <c r="L114" t="s">
        <v>57</v>
      </c>
      <c r="M114" t="s">
        <v>24</v>
      </c>
      <c r="O114" t="s">
        <v>25</v>
      </c>
      <c r="P114" t="s">
        <v>26</v>
      </c>
      <c r="Q114" t="s">
        <v>27</v>
      </c>
      <c r="R114" t="s">
        <v>27</v>
      </c>
    </row>
    <row r="115" spans="1:18" ht="15" customHeight="1">
      <c r="A115" t="s">
        <v>94</v>
      </c>
      <c r="B115">
        <v>213012</v>
      </c>
      <c r="C115" t="s">
        <v>19</v>
      </c>
      <c r="D115" t="s">
        <v>125</v>
      </c>
      <c r="E115" t="s">
        <v>38</v>
      </c>
      <c r="F115">
        <v>1</v>
      </c>
      <c r="G115">
        <v>44203</v>
      </c>
      <c r="H115">
        <v>44204</v>
      </c>
      <c r="K115" s="5" t="s">
        <v>22</v>
      </c>
      <c r="L115" t="s">
        <v>57</v>
      </c>
      <c r="M115" t="s">
        <v>24</v>
      </c>
      <c r="O115" t="s">
        <v>25</v>
      </c>
      <c r="P115" t="s">
        <v>26</v>
      </c>
      <c r="Q115" t="s">
        <v>27</v>
      </c>
      <c r="R115" t="s">
        <v>27</v>
      </c>
    </row>
    <row r="116" spans="1:18" ht="15" customHeight="1">
      <c r="A116" t="s">
        <v>18</v>
      </c>
      <c r="B116">
        <v>213356</v>
      </c>
      <c r="C116" t="s">
        <v>55</v>
      </c>
      <c r="D116" t="s">
        <v>126</v>
      </c>
      <c r="E116" t="s">
        <v>72</v>
      </c>
      <c r="F116">
        <v>1</v>
      </c>
      <c r="G116">
        <v>44204</v>
      </c>
      <c r="H116">
        <v>44204</v>
      </c>
      <c r="K116" s="5" t="s">
        <v>22</v>
      </c>
      <c r="L116" t="s">
        <v>57</v>
      </c>
      <c r="M116" t="s">
        <v>24</v>
      </c>
      <c r="O116" t="s">
        <v>25</v>
      </c>
      <c r="P116" t="s">
        <v>26</v>
      </c>
      <c r="Q116" t="s">
        <v>28</v>
      </c>
      <c r="R116" t="s">
        <v>28</v>
      </c>
    </row>
    <row r="117" spans="1:18" ht="15" customHeight="1">
      <c r="A117" t="s">
        <v>39</v>
      </c>
      <c r="B117">
        <v>173565</v>
      </c>
      <c r="C117" t="s">
        <v>55</v>
      </c>
      <c r="D117" t="s">
        <v>127</v>
      </c>
      <c r="E117" t="s">
        <v>82</v>
      </c>
      <c r="F117">
        <v>1</v>
      </c>
      <c r="G117">
        <v>44008</v>
      </c>
      <c r="H117">
        <v>44069</v>
      </c>
      <c r="J117" s="5" t="s">
        <v>128</v>
      </c>
      <c r="K117" s="5" t="s">
        <v>22</v>
      </c>
      <c r="L117" t="s">
        <v>41</v>
      </c>
      <c r="M117" t="s">
        <v>24</v>
      </c>
      <c r="N117">
        <v>1</v>
      </c>
      <c r="O117" t="s">
        <v>26</v>
      </c>
      <c r="P117" t="s">
        <v>26</v>
      </c>
      <c r="Q117" t="s">
        <v>28</v>
      </c>
      <c r="R117" t="s">
        <v>28</v>
      </c>
    </row>
    <row r="118" spans="1:18" ht="15" customHeight="1">
      <c r="A118" t="s">
        <v>39</v>
      </c>
      <c r="B118">
        <v>173565</v>
      </c>
      <c r="C118" t="s">
        <v>55</v>
      </c>
      <c r="D118" t="s">
        <v>127</v>
      </c>
      <c r="E118" t="s">
        <v>82</v>
      </c>
      <c r="F118">
        <v>1</v>
      </c>
      <c r="G118">
        <v>44008</v>
      </c>
      <c r="H118">
        <v>44069</v>
      </c>
      <c r="J118" s="5" t="s">
        <v>129</v>
      </c>
      <c r="K118" s="5" t="s">
        <v>22</v>
      </c>
      <c r="L118" t="s">
        <v>41</v>
      </c>
      <c r="M118" t="s">
        <v>24</v>
      </c>
      <c r="N118">
        <v>1</v>
      </c>
      <c r="O118" t="s">
        <v>26</v>
      </c>
      <c r="P118" t="s">
        <v>26</v>
      </c>
      <c r="Q118" t="s">
        <v>28</v>
      </c>
      <c r="R118" t="s">
        <v>28</v>
      </c>
    </row>
    <row r="119" spans="1:18" ht="15" customHeight="1">
      <c r="A119" t="s">
        <v>39</v>
      </c>
      <c r="B119">
        <v>173565</v>
      </c>
      <c r="C119" t="s">
        <v>55</v>
      </c>
      <c r="D119" t="s">
        <v>127</v>
      </c>
      <c r="E119" t="s">
        <v>66</v>
      </c>
      <c r="F119">
        <v>1</v>
      </c>
      <c r="G119">
        <v>44008</v>
      </c>
      <c r="H119">
        <v>44069</v>
      </c>
      <c r="K119" s="5" t="s">
        <v>22</v>
      </c>
      <c r="L119" t="s">
        <v>41</v>
      </c>
      <c r="M119" t="s">
        <v>24</v>
      </c>
      <c r="N119">
        <v>1</v>
      </c>
      <c r="O119" t="s">
        <v>26</v>
      </c>
      <c r="P119" t="s">
        <v>26</v>
      </c>
      <c r="Q119" t="s">
        <v>28</v>
      </c>
      <c r="R119" t="s">
        <v>28</v>
      </c>
    </row>
    <row r="120" spans="1:18" ht="15" customHeight="1">
      <c r="A120" t="s">
        <v>130</v>
      </c>
      <c r="B120">
        <v>218925</v>
      </c>
      <c r="C120" t="s">
        <v>19</v>
      </c>
      <c r="D120" t="s">
        <v>131</v>
      </c>
      <c r="E120" t="s">
        <v>43</v>
      </c>
      <c r="F120">
        <v>1</v>
      </c>
      <c r="G120">
        <v>44230</v>
      </c>
      <c r="H120">
        <v>44236</v>
      </c>
      <c r="I120" s="5">
        <v>44236</v>
      </c>
      <c r="K120" s="5" t="s">
        <v>22</v>
      </c>
      <c r="L120" t="s">
        <v>33</v>
      </c>
      <c r="M120" t="s">
        <v>24</v>
      </c>
      <c r="N120">
        <v>1</v>
      </c>
      <c r="O120" t="s">
        <v>25</v>
      </c>
      <c r="P120" t="s">
        <v>26</v>
      </c>
      <c r="Q120" t="s">
        <v>28</v>
      </c>
      <c r="R120" t="s">
        <v>53</v>
      </c>
    </row>
    <row r="121" spans="1:18" ht="15" customHeight="1">
      <c r="A121" t="s">
        <v>70</v>
      </c>
      <c r="B121">
        <v>218864</v>
      </c>
      <c r="C121" t="s">
        <v>63</v>
      </c>
      <c r="D121" t="s">
        <v>132</v>
      </c>
      <c r="E121" t="s">
        <v>132</v>
      </c>
      <c r="F121">
        <v>1</v>
      </c>
      <c r="G121">
        <v>44230</v>
      </c>
      <c r="H121">
        <v>44232</v>
      </c>
      <c r="K121" s="5" t="s">
        <v>22</v>
      </c>
      <c r="L121" t="s">
        <v>57</v>
      </c>
      <c r="M121" t="s">
        <v>24</v>
      </c>
      <c r="O121" t="s">
        <v>25</v>
      </c>
      <c r="P121" t="s">
        <v>26</v>
      </c>
      <c r="Q121" t="s">
        <v>53</v>
      </c>
      <c r="R121" t="s">
        <v>53</v>
      </c>
    </row>
    <row r="122" spans="1:18" ht="15" customHeight="1">
      <c r="A122" t="s">
        <v>29</v>
      </c>
      <c r="B122">
        <v>219822</v>
      </c>
      <c r="C122" t="s">
        <v>19</v>
      </c>
      <c r="D122" t="s">
        <v>133</v>
      </c>
      <c r="E122" t="s">
        <v>61</v>
      </c>
      <c r="F122">
        <v>1</v>
      </c>
      <c r="G122">
        <v>44235</v>
      </c>
      <c r="H122">
        <v>44235</v>
      </c>
      <c r="I122" s="5">
        <v>44235</v>
      </c>
      <c r="K122" s="5" t="s">
        <v>22</v>
      </c>
      <c r="L122" t="s">
        <v>23</v>
      </c>
      <c r="M122" t="s">
        <v>24</v>
      </c>
      <c r="O122" t="s">
        <v>25</v>
      </c>
      <c r="Q122" t="s">
        <v>53</v>
      </c>
      <c r="R122" t="s">
        <v>53</v>
      </c>
    </row>
    <row r="123" spans="1:18" ht="15" customHeight="1">
      <c r="A123" t="s">
        <v>130</v>
      </c>
      <c r="B123">
        <v>218925</v>
      </c>
      <c r="C123" t="s">
        <v>19</v>
      </c>
      <c r="D123" t="s">
        <v>131</v>
      </c>
      <c r="E123" t="s">
        <v>32</v>
      </c>
      <c r="F123">
        <v>1</v>
      </c>
      <c r="G123">
        <v>44230</v>
      </c>
      <c r="H123">
        <v>44236</v>
      </c>
      <c r="I123" s="5">
        <v>44236</v>
      </c>
      <c r="K123" s="5" t="s">
        <v>22</v>
      </c>
      <c r="L123" t="s">
        <v>33</v>
      </c>
      <c r="M123" t="s">
        <v>24</v>
      </c>
      <c r="N123">
        <v>1</v>
      </c>
      <c r="O123" t="s">
        <v>25</v>
      </c>
      <c r="P123" t="s">
        <v>26</v>
      </c>
      <c r="Q123" t="s">
        <v>28</v>
      </c>
      <c r="R123" t="s">
        <v>53</v>
      </c>
    </row>
    <row r="124" spans="1:18" ht="15" customHeight="1">
      <c r="A124" t="s">
        <v>134</v>
      </c>
      <c r="B124">
        <v>218963</v>
      </c>
      <c r="C124" t="s">
        <v>19</v>
      </c>
      <c r="D124" t="s">
        <v>135</v>
      </c>
      <c r="E124" t="s">
        <v>61</v>
      </c>
      <c r="F124">
        <v>1</v>
      </c>
      <c r="G124">
        <v>44230</v>
      </c>
      <c r="H124">
        <v>44236</v>
      </c>
      <c r="I124" s="5">
        <v>44236</v>
      </c>
      <c r="K124" s="5" t="s">
        <v>22</v>
      </c>
      <c r="L124" t="s">
        <v>23</v>
      </c>
      <c r="M124" t="s">
        <v>24</v>
      </c>
      <c r="O124" t="s">
        <v>25</v>
      </c>
      <c r="Q124" t="s">
        <v>28</v>
      </c>
      <c r="R124" t="s">
        <v>27</v>
      </c>
    </row>
    <row r="125" spans="1:18" ht="15" customHeight="1">
      <c r="A125" t="s">
        <v>70</v>
      </c>
      <c r="B125">
        <v>219755</v>
      </c>
      <c r="C125" t="s">
        <v>30</v>
      </c>
      <c r="D125" t="s">
        <v>136</v>
      </c>
      <c r="E125" t="s">
        <v>48</v>
      </c>
      <c r="F125">
        <v>1</v>
      </c>
      <c r="G125">
        <v>44232</v>
      </c>
      <c r="H125">
        <v>44237</v>
      </c>
      <c r="I125" s="5">
        <v>44248</v>
      </c>
      <c r="K125" s="5" t="s">
        <v>22</v>
      </c>
      <c r="L125" t="s">
        <v>41</v>
      </c>
      <c r="M125" t="s">
        <v>24</v>
      </c>
      <c r="O125" t="s">
        <v>26</v>
      </c>
      <c r="P125" t="s">
        <v>26</v>
      </c>
      <c r="Q125" t="s">
        <v>73</v>
      </c>
    </row>
    <row r="126" spans="1:18" ht="15" customHeight="1">
      <c r="A126" t="s">
        <v>70</v>
      </c>
      <c r="B126">
        <v>219755</v>
      </c>
      <c r="C126" t="s">
        <v>30</v>
      </c>
      <c r="D126" t="s">
        <v>136</v>
      </c>
      <c r="E126" t="s">
        <v>34</v>
      </c>
      <c r="F126">
        <v>1</v>
      </c>
      <c r="G126">
        <v>44232</v>
      </c>
      <c r="H126">
        <v>44237</v>
      </c>
      <c r="I126" s="5">
        <v>44248</v>
      </c>
      <c r="K126" s="5" t="s">
        <v>22</v>
      </c>
      <c r="L126" t="s">
        <v>41</v>
      </c>
      <c r="M126" t="s">
        <v>24</v>
      </c>
      <c r="O126" t="s">
        <v>26</v>
      </c>
      <c r="P126" t="s">
        <v>26</v>
      </c>
      <c r="Q126" t="s">
        <v>73</v>
      </c>
    </row>
    <row r="127" spans="1:18" ht="15" customHeight="1">
      <c r="A127" t="s">
        <v>36</v>
      </c>
      <c r="B127">
        <v>219991</v>
      </c>
      <c r="C127" t="s">
        <v>19</v>
      </c>
      <c r="D127" t="s">
        <v>137</v>
      </c>
      <c r="E127" t="s">
        <v>43</v>
      </c>
      <c r="F127">
        <v>13</v>
      </c>
      <c r="G127">
        <v>44235</v>
      </c>
      <c r="H127">
        <v>44244</v>
      </c>
      <c r="I127" s="5">
        <v>44238</v>
      </c>
      <c r="K127" s="5" t="s">
        <v>22</v>
      </c>
      <c r="L127" t="s">
        <v>23</v>
      </c>
      <c r="M127" t="s">
        <v>24</v>
      </c>
      <c r="O127" t="s">
        <v>25</v>
      </c>
      <c r="P127" t="s">
        <v>26</v>
      </c>
      <c r="Q127" t="s">
        <v>53</v>
      </c>
      <c r="R127" t="s">
        <v>53</v>
      </c>
    </row>
    <row r="128" spans="1:18" ht="15" customHeight="1">
      <c r="A128" t="s">
        <v>36</v>
      </c>
      <c r="B128">
        <v>219991</v>
      </c>
      <c r="C128" t="s">
        <v>19</v>
      </c>
      <c r="D128" t="s">
        <v>137</v>
      </c>
      <c r="E128" t="s">
        <v>38</v>
      </c>
      <c r="F128">
        <v>13</v>
      </c>
      <c r="G128">
        <v>44235</v>
      </c>
      <c r="H128">
        <v>44244</v>
      </c>
      <c r="I128" s="5">
        <v>44238</v>
      </c>
      <c r="K128" s="5" t="s">
        <v>22</v>
      </c>
      <c r="L128" t="s">
        <v>23</v>
      </c>
      <c r="M128" t="s">
        <v>24</v>
      </c>
      <c r="O128" t="s">
        <v>25</v>
      </c>
      <c r="P128" t="s">
        <v>26</v>
      </c>
      <c r="Q128" t="s">
        <v>53</v>
      </c>
      <c r="R128" t="s">
        <v>53</v>
      </c>
    </row>
    <row r="129" spans="1:18" ht="15" customHeight="1">
      <c r="A129" t="s">
        <v>36</v>
      </c>
      <c r="B129">
        <v>219991</v>
      </c>
      <c r="C129" t="s">
        <v>19</v>
      </c>
      <c r="D129" t="s">
        <v>137</v>
      </c>
      <c r="E129" t="s">
        <v>32</v>
      </c>
      <c r="F129">
        <v>13</v>
      </c>
      <c r="G129">
        <v>44235</v>
      </c>
      <c r="H129">
        <v>44244</v>
      </c>
      <c r="I129" s="5">
        <v>44238</v>
      </c>
      <c r="K129" s="5" t="s">
        <v>22</v>
      </c>
      <c r="L129" t="s">
        <v>23</v>
      </c>
      <c r="M129" t="s">
        <v>24</v>
      </c>
      <c r="O129" t="s">
        <v>25</v>
      </c>
      <c r="P129" t="s">
        <v>26</v>
      </c>
      <c r="Q129" t="s">
        <v>53</v>
      </c>
      <c r="R129" t="s">
        <v>53</v>
      </c>
    </row>
    <row r="130" spans="1:18" ht="15" customHeight="1">
      <c r="A130" t="s">
        <v>36</v>
      </c>
      <c r="B130">
        <v>219991</v>
      </c>
      <c r="C130" t="s">
        <v>19</v>
      </c>
      <c r="D130" t="s">
        <v>137</v>
      </c>
      <c r="E130" t="s">
        <v>48</v>
      </c>
      <c r="F130">
        <v>1</v>
      </c>
      <c r="G130">
        <v>44235</v>
      </c>
      <c r="H130">
        <v>44244</v>
      </c>
      <c r="I130" s="5">
        <v>44238</v>
      </c>
      <c r="K130" s="5" t="s">
        <v>22</v>
      </c>
      <c r="L130" t="s">
        <v>23</v>
      </c>
      <c r="M130" t="s">
        <v>24</v>
      </c>
      <c r="O130" t="s">
        <v>25</v>
      </c>
      <c r="P130" t="s">
        <v>26</v>
      </c>
      <c r="Q130" t="s">
        <v>53</v>
      </c>
      <c r="R130" t="s">
        <v>53</v>
      </c>
    </row>
    <row r="131" spans="1:18" ht="15" customHeight="1">
      <c r="A131" t="s">
        <v>36</v>
      </c>
      <c r="B131">
        <v>219991</v>
      </c>
      <c r="C131" t="s">
        <v>19</v>
      </c>
      <c r="D131" t="s">
        <v>137</v>
      </c>
      <c r="E131" t="s">
        <v>92</v>
      </c>
      <c r="F131">
        <v>1</v>
      </c>
      <c r="G131">
        <v>44235</v>
      </c>
      <c r="H131">
        <v>44244</v>
      </c>
      <c r="I131" s="5">
        <v>44238</v>
      </c>
      <c r="K131" s="5" t="s">
        <v>22</v>
      </c>
      <c r="L131" t="s">
        <v>23</v>
      </c>
      <c r="M131" t="s">
        <v>24</v>
      </c>
      <c r="O131" t="s">
        <v>25</v>
      </c>
      <c r="P131" t="s">
        <v>26</v>
      </c>
      <c r="Q131" t="s">
        <v>53</v>
      </c>
      <c r="R131" t="s">
        <v>53</v>
      </c>
    </row>
    <row r="132" spans="1:18" ht="15" customHeight="1">
      <c r="A132" t="s">
        <v>36</v>
      </c>
      <c r="B132">
        <v>213148</v>
      </c>
      <c r="C132" t="s">
        <v>19</v>
      </c>
      <c r="D132" t="s">
        <v>138</v>
      </c>
      <c r="E132" t="s">
        <v>34</v>
      </c>
      <c r="F132">
        <v>2</v>
      </c>
      <c r="G132">
        <v>44203</v>
      </c>
      <c r="H132">
        <v>44221</v>
      </c>
      <c r="I132" s="5">
        <v>44236</v>
      </c>
      <c r="K132" s="5" t="s">
        <v>22</v>
      </c>
      <c r="L132" t="s">
        <v>41</v>
      </c>
      <c r="M132" t="s">
        <v>24</v>
      </c>
      <c r="O132" t="s">
        <v>26</v>
      </c>
      <c r="P132" t="s">
        <v>26</v>
      </c>
      <c r="Q132" t="s">
        <v>28</v>
      </c>
      <c r="R132" t="s">
        <v>53</v>
      </c>
    </row>
    <row r="133" spans="1:18" ht="15" customHeight="1">
      <c r="A133" t="s">
        <v>36</v>
      </c>
      <c r="B133">
        <v>213148</v>
      </c>
      <c r="C133" t="s">
        <v>19</v>
      </c>
      <c r="D133" t="s">
        <v>138</v>
      </c>
      <c r="E133" t="s">
        <v>43</v>
      </c>
      <c r="F133">
        <v>2</v>
      </c>
      <c r="G133">
        <v>44203</v>
      </c>
      <c r="H133">
        <v>44221</v>
      </c>
      <c r="I133" s="5">
        <v>44236</v>
      </c>
      <c r="K133" s="5" t="s">
        <v>22</v>
      </c>
      <c r="L133" t="s">
        <v>41</v>
      </c>
      <c r="M133" t="s">
        <v>24</v>
      </c>
      <c r="O133" t="s">
        <v>26</v>
      </c>
      <c r="P133" t="s">
        <v>26</v>
      </c>
      <c r="Q133" t="s">
        <v>28</v>
      </c>
      <c r="R133" t="s">
        <v>53</v>
      </c>
    </row>
    <row r="134" spans="1:18" ht="15" customHeight="1">
      <c r="A134" t="s">
        <v>36</v>
      </c>
      <c r="B134">
        <v>213148</v>
      </c>
      <c r="C134" t="s">
        <v>19</v>
      </c>
      <c r="D134" t="s">
        <v>138</v>
      </c>
      <c r="E134" t="s">
        <v>48</v>
      </c>
      <c r="F134">
        <v>2</v>
      </c>
      <c r="G134">
        <v>44203</v>
      </c>
      <c r="H134">
        <v>44221</v>
      </c>
      <c r="I134" s="5">
        <v>44236</v>
      </c>
      <c r="K134" s="5" t="s">
        <v>22</v>
      </c>
      <c r="L134" t="s">
        <v>41</v>
      </c>
      <c r="M134" t="s">
        <v>24</v>
      </c>
      <c r="O134" t="s">
        <v>26</v>
      </c>
      <c r="P134" t="s">
        <v>26</v>
      </c>
      <c r="Q134" t="s">
        <v>28</v>
      </c>
      <c r="R134" t="s">
        <v>53</v>
      </c>
    </row>
    <row r="135" spans="1:18" ht="15" customHeight="1">
      <c r="A135" t="s">
        <v>36</v>
      </c>
      <c r="B135">
        <v>213148</v>
      </c>
      <c r="C135" t="s">
        <v>19</v>
      </c>
      <c r="D135" t="s">
        <v>138</v>
      </c>
      <c r="E135" t="s">
        <v>48</v>
      </c>
      <c r="F135">
        <v>8</v>
      </c>
      <c r="G135">
        <v>44203</v>
      </c>
      <c r="H135">
        <v>44221</v>
      </c>
      <c r="I135" s="5">
        <v>44236</v>
      </c>
      <c r="K135" s="5" t="s">
        <v>22</v>
      </c>
      <c r="L135" t="s">
        <v>41</v>
      </c>
      <c r="M135" t="s">
        <v>24</v>
      </c>
      <c r="O135" t="s">
        <v>26</v>
      </c>
      <c r="P135" t="s">
        <v>26</v>
      </c>
      <c r="Q135" t="s">
        <v>28</v>
      </c>
      <c r="R135" t="s">
        <v>53</v>
      </c>
    </row>
    <row r="136" spans="1:18" ht="15" customHeight="1">
      <c r="A136" t="s">
        <v>39</v>
      </c>
      <c r="B136">
        <v>220827</v>
      </c>
      <c r="C136" t="s">
        <v>30</v>
      </c>
      <c r="D136" t="s">
        <v>139</v>
      </c>
      <c r="E136" t="s">
        <v>34</v>
      </c>
      <c r="F136">
        <v>1</v>
      </c>
      <c r="G136">
        <v>44238</v>
      </c>
      <c r="H136">
        <v>44238</v>
      </c>
      <c r="I136" s="5">
        <v>44238</v>
      </c>
      <c r="K136" s="5" t="s">
        <v>22</v>
      </c>
      <c r="L136" t="s">
        <v>23</v>
      </c>
      <c r="M136" t="s">
        <v>24</v>
      </c>
      <c r="O136" t="s">
        <v>25</v>
      </c>
      <c r="P136" t="s">
        <v>26</v>
      </c>
      <c r="Q136" t="s">
        <v>28</v>
      </c>
    </row>
    <row r="137" spans="1:18" ht="15" customHeight="1">
      <c r="A137" t="s">
        <v>29</v>
      </c>
      <c r="B137">
        <v>220694</v>
      </c>
      <c r="C137" t="s">
        <v>19</v>
      </c>
      <c r="D137" t="s">
        <v>140</v>
      </c>
      <c r="E137" t="s">
        <v>141</v>
      </c>
      <c r="F137">
        <v>2</v>
      </c>
      <c r="G137">
        <v>44237</v>
      </c>
      <c r="H137">
        <v>44238</v>
      </c>
      <c r="I137" s="5">
        <v>44239</v>
      </c>
      <c r="K137" s="5" t="s">
        <v>22</v>
      </c>
      <c r="L137" t="s">
        <v>33</v>
      </c>
      <c r="M137" t="s">
        <v>24</v>
      </c>
      <c r="O137" t="s">
        <v>25</v>
      </c>
      <c r="P137" t="s">
        <v>25</v>
      </c>
      <c r="Q137" t="s">
        <v>28</v>
      </c>
      <c r="R137" t="s">
        <v>53</v>
      </c>
    </row>
    <row r="138" spans="1:18" ht="15" customHeight="1">
      <c r="A138" t="s">
        <v>29</v>
      </c>
      <c r="B138">
        <v>220694</v>
      </c>
      <c r="C138" t="s">
        <v>19</v>
      </c>
      <c r="D138" t="s">
        <v>140</v>
      </c>
      <c r="E138" t="s">
        <v>89</v>
      </c>
      <c r="F138">
        <v>6</v>
      </c>
      <c r="G138">
        <v>44237</v>
      </c>
      <c r="H138">
        <v>44238</v>
      </c>
      <c r="I138" s="5">
        <v>44239</v>
      </c>
      <c r="K138" s="5" t="s">
        <v>22</v>
      </c>
      <c r="L138" t="s">
        <v>33</v>
      </c>
      <c r="M138" t="s">
        <v>24</v>
      </c>
      <c r="O138" t="s">
        <v>25</v>
      </c>
      <c r="P138" t="s">
        <v>25</v>
      </c>
      <c r="Q138" t="s">
        <v>28</v>
      </c>
      <c r="R138" t="s">
        <v>53</v>
      </c>
    </row>
    <row r="139" spans="1:18" ht="15" customHeight="1">
      <c r="A139" t="s">
        <v>29</v>
      </c>
      <c r="B139">
        <v>220594</v>
      </c>
      <c r="C139" t="s">
        <v>19</v>
      </c>
      <c r="D139" t="s">
        <v>142</v>
      </c>
      <c r="E139" t="s">
        <v>143</v>
      </c>
      <c r="F139">
        <v>1</v>
      </c>
      <c r="G139">
        <v>44237</v>
      </c>
      <c r="H139">
        <v>44238</v>
      </c>
      <c r="I139" s="5">
        <v>44238</v>
      </c>
      <c r="K139" s="5" t="s">
        <v>22</v>
      </c>
      <c r="L139" t="s">
        <v>57</v>
      </c>
      <c r="M139" t="s">
        <v>24</v>
      </c>
      <c r="O139" t="s">
        <v>25</v>
      </c>
      <c r="Q139" t="s">
        <v>28</v>
      </c>
    </row>
    <row r="140" spans="1:18" ht="15" customHeight="1">
      <c r="A140" t="s">
        <v>29</v>
      </c>
      <c r="B140">
        <v>221313</v>
      </c>
      <c r="C140" t="s">
        <v>19</v>
      </c>
      <c r="D140" t="s">
        <v>144</v>
      </c>
      <c r="E140" t="s">
        <v>61</v>
      </c>
      <c r="F140">
        <v>1</v>
      </c>
      <c r="G140">
        <v>44239</v>
      </c>
      <c r="H140">
        <v>44245</v>
      </c>
      <c r="I140" s="5">
        <v>44249</v>
      </c>
      <c r="K140" s="5" t="s">
        <v>22</v>
      </c>
      <c r="L140" t="s">
        <v>33</v>
      </c>
      <c r="M140" t="s">
        <v>24</v>
      </c>
      <c r="N140">
        <v>1</v>
      </c>
      <c r="O140" t="s">
        <v>25</v>
      </c>
      <c r="P140" t="s">
        <v>25</v>
      </c>
      <c r="Q140" t="s">
        <v>28</v>
      </c>
      <c r="R140" t="s">
        <v>53</v>
      </c>
    </row>
    <row r="141" spans="1:18" ht="15" customHeight="1">
      <c r="A141" t="s">
        <v>67</v>
      </c>
      <c r="B141">
        <v>218839</v>
      </c>
      <c r="C141" t="s">
        <v>63</v>
      </c>
      <c r="D141" t="s">
        <v>145</v>
      </c>
      <c r="E141" t="s">
        <v>72</v>
      </c>
      <c r="F141">
        <v>1</v>
      </c>
      <c r="G141">
        <v>44230</v>
      </c>
      <c r="H141">
        <v>44235</v>
      </c>
      <c r="K141" s="5" t="s">
        <v>22</v>
      </c>
      <c r="L141" t="s">
        <v>57</v>
      </c>
      <c r="M141" t="s">
        <v>24</v>
      </c>
      <c r="O141" t="s">
        <v>25</v>
      </c>
      <c r="Q141" t="s">
        <v>28</v>
      </c>
      <c r="R141" t="s">
        <v>53</v>
      </c>
    </row>
    <row r="142" spans="1:18" ht="15" customHeight="1">
      <c r="A142" t="s">
        <v>39</v>
      </c>
      <c r="B142">
        <v>221808</v>
      </c>
      <c r="C142" t="s">
        <v>30</v>
      </c>
      <c r="D142" t="s">
        <v>139</v>
      </c>
      <c r="E142" t="s">
        <v>34</v>
      </c>
      <c r="F142">
        <v>1</v>
      </c>
      <c r="G142">
        <v>44245</v>
      </c>
      <c r="H142">
        <v>44245</v>
      </c>
      <c r="I142" s="5">
        <v>44245</v>
      </c>
      <c r="K142" s="5" t="s">
        <v>22</v>
      </c>
      <c r="L142" t="s">
        <v>23</v>
      </c>
      <c r="M142" t="s">
        <v>24</v>
      </c>
      <c r="O142" t="s">
        <v>25</v>
      </c>
      <c r="Q142" t="s">
        <v>28</v>
      </c>
    </row>
    <row r="143" spans="1:18" ht="15" customHeight="1">
      <c r="A143" t="s">
        <v>146</v>
      </c>
      <c r="B143" t="s">
        <v>95</v>
      </c>
      <c r="C143" t="s">
        <v>30</v>
      </c>
      <c r="D143" t="s">
        <v>147</v>
      </c>
      <c r="E143" t="s">
        <v>148</v>
      </c>
      <c r="F143">
        <v>2</v>
      </c>
      <c r="G143">
        <v>44236</v>
      </c>
      <c r="H143">
        <v>44236</v>
      </c>
      <c r="I143" s="5">
        <v>44236</v>
      </c>
      <c r="K143" s="5" t="s">
        <v>22</v>
      </c>
      <c r="L143" t="s">
        <v>41</v>
      </c>
      <c r="M143" t="s">
        <v>24</v>
      </c>
      <c r="N143">
        <v>2</v>
      </c>
      <c r="O143" t="s">
        <v>26</v>
      </c>
      <c r="P143" t="s">
        <v>26</v>
      </c>
      <c r="Q143" t="s">
        <v>27</v>
      </c>
      <c r="R143" t="s">
        <v>27</v>
      </c>
    </row>
    <row r="144" spans="1:18" ht="15" customHeight="1">
      <c r="A144" t="s">
        <v>39</v>
      </c>
      <c r="B144" t="s">
        <v>95</v>
      </c>
      <c r="C144" t="s">
        <v>30</v>
      </c>
      <c r="D144" t="s">
        <v>149</v>
      </c>
      <c r="E144" t="s">
        <v>66</v>
      </c>
      <c r="F144">
        <v>1</v>
      </c>
      <c r="G144">
        <v>44229</v>
      </c>
      <c r="H144">
        <v>44229</v>
      </c>
      <c r="I144" s="5">
        <v>44229</v>
      </c>
      <c r="K144" s="5" t="s">
        <v>22</v>
      </c>
      <c r="L144" t="s">
        <v>23</v>
      </c>
      <c r="M144" t="s">
        <v>24</v>
      </c>
      <c r="O144" t="s">
        <v>25</v>
      </c>
      <c r="P144" t="s">
        <v>26</v>
      </c>
      <c r="Q144" t="s">
        <v>53</v>
      </c>
      <c r="R144" t="s">
        <v>53</v>
      </c>
    </row>
    <row r="145" spans="1:18" ht="15" customHeight="1">
      <c r="A145" t="s">
        <v>39</v>
      </c>
      <c r="B145">
        <v>209685</v>
      </c>
      <c r="C145" t="s">
        <v>19</v>
      </c>
      <c r="D145" t="s">
        <v>150</v>
      </c>
      <c r="E145" t="s">
        <v>34</v>
      </c>
      <c r="F145">
        <v>1</v>
      </c>
      <c r="G145">
        <v>44551</v>
      </c>
      <c r="H145">
        <v>44553</v>
      </c>
      <c r="I145" s="5">
        <v>44198</v>
      </c>
      <c r="K145" s="5" t="s">
        <v>22</v>
      </c>
      <c r="L145" t="s">
        <v>41</v>
      </c>
      <c r="M145" t="s">
        <v>24</v>
      </c>
      <c r="O145" t="s">
        <v>26</v>
      </c>
    </row>
    <row r="146" spans="1:18" ht="15" customHeight="1">
      <c r="A146" t="s">
        <v>67</v>
      </c>
      <c r="B146">
        <v>222213</v>
      </c>
      <c r="C146" t="s">
        <v>19</v>
      </c>
      <c r="D146" t="s">
        <v>151</v>
      </c>
      <c r="E146" t="s">
        <v>34</v>
      </c>
      <c r="F146">
        <v>2</v>
      </c>
      <c r="G146">
        <v>44246</v>
      </c>
      <c r="H146">
        <v>44250</v>
      </c>
      <c r="I146" s="5">
        <v>44250</v>
      </c>
      <c r="K146" s="5" t="s">
        <v>22</v>
      </c>
      <c r="L146" t="s">
        <v>33</v>
      </c>
      <c r="M146" t="s">
        <v>24</v>
      </c>
      <c r="O146" t="s">
        <v>25</v>
      </c>
      <c r="P146" t="s">
        <v>26</v>
      </c>
      <c r="Q146" t="s">
        <v>28</v>
      </c>
      <c r="R146" t="s">
        <v>28</v>
      </c>
    </row>
    <row r="147" spans="1:18" ht="15" customHeight="1">
      <c r="A147" t="s">
        <v>67</v>
      </c>
      <c r="B147">
        <v>222213</v>
      </c>
      <c r="C147" t="s">
        <v>19</v>
      </c>
      <c r="D147" t="s">
        <v>151</v>
      </c>
      <c r="E147" t="s">
        <v>32</v>
      </c>
      <c r="F147">
        <v>2</v>
      </c>
      <c r="G147">
        <v>44246</v>
      </c>
      <c r="H147">
        <v>44250</v>
      </c>
      <c r="I147" s="5">
        <v>44250</v>
      </c>
      <c r="K147" s="5" t="s">
        <v>22</v>
      </c>
      <c r="L147" t="s">
        <v>33</v>
      </c>
      <c r="M147" t="s">
        <v>24</v>
      </c>
      <c r="O147" t="s">
        <v>25</v>
      </c>
      <c r="P147" t="s">
        <v>26</v>
      </c>
      <c r="Q147" t="s">
        <v>28</v>
      </c>
      <c r="R147" t="s">
        <v>28</v>
      </c>
    </row>
    <row r="148" spans="1:18" ht="15" customHeight="1">
      <c r="A148" t="s">
        <v>54</v>
      </c>
      <c r="B148">
        <v>222473</v>
      </c>
      <c r="C148" t="s">
        <v>63</v>
      </c>
      <c r="D148" t="s">
        <v>152</v>
      </c>
      <c r="E148" t="s">
        <v>153</v>
      </c>
      <c r="F148">
        <v>7</v>
      </c>
      <c r="G148">
        <v>44249</v>
      </c>
      <c r="H148">
        <v>44249</v>
      </c>
      <c r="K148" s="5" t="s">
        <v>22</v>
      </c>
      <c r="L148" t="s">
        <v>57</v>
      </c>
      <c r="M148" t="s">
        <v>24</v>
      </c>
      <c r="O148" t="s">
        <v>26</v>
      </c>
      <c r="Q148" t="s">
        <v>28</v>
      </c>
      <c r="R148" t="s">
        <v>28</v>
      </c>
    </row>
    <row r="149" spans="1:18" ht="15" customHeight="1">
      <c r="A149" t="s">
        <v>39</v>
      </c>
      <c r="B149">
        <v>223252</v>
      </c>
      <c r="C149" t="s">
        <v>30</v>
      </c>
      <c r="D149" t="s">
        <v>154</v>
      </c>
      <c r="E149" t="s">
        <v>34</v>
      </c>
      <c r="F149">
        <v>1</v>
      </c>
      <c r="G149">
        <v>44251</v>
      </c>
      <c r="H149">
        <v>44251</v>
      </c>
      <c r="I149" s="5">
        <v>44251</v>
      </c>
      <c r="K149" s="5" t="s">
        <v>22</v>
      </c>
      <c r="L149" t="s">
        <v>23</v>
      </c>
      <c r="M149" t="s">
        <v>24</v>
      </c>
      <c r="N149">
        <v>3</v>
      </c>
      <c r="O149" t="s">
        <v>25</v>
      </c>
      <c r="Q149" t="s">
        <v>28</v>
      </c>
    </row>
    <row r="150" spans="1:18" ht="15" customHeight="1">
      <c r="A150" t="s">
        <v>46</v>
      </c>
      <c r="B150">
        <v>222723</v>
      </c>
      <c r="C150" t="s">
        <v>30</v>
      </c>
      <c r="D150" t="s">
        <v>155</v>
      </c>
      <c r="E150" t="s">
        <v>72</v>
      </c>
      <c r="F150">
        <v>1</v>
      </c>
      <c r="G150">
        <v>44250</v>
      </c>
      <c r="H150">
        <v>44253</v>
      </c>
      <c r="I150" s="5">
        <v>44250</v>
      </c>
      <c r="K150" s="5" t="s">
        <v>22</v>
      </c>
      <c r="L150" t="s">
        <v>57</v>
      </c>
      <c r="M150" t="s">
        <v>24</v>
      </c>
      <c r="O150" t="s">
        <v>25</v>
      </c>
      <c r="Q150" t="s">
        <v>27</v>
      </c>
    </row>
    <row r="151" spans="1:18" ht="15" customHeight="1">
      <c r="A151" t="s">
        <v>29</v>
      </c>
      <c r="B151">
        <v>22281</v>
      </c>
      <c r="C151" t="s">
        <v>63</v>
      </c>
      <c r="D151" t="s">
        <v>156</v>
      </c>
      <c r="E151" t="s">
        <v>157</v>
      </c>
      <c r="F151">
        <v>1</v>
      </c>
      <c r="G151">
        <v>44246</v>
      </c>
      <c r="H151">
        <v>44251</v>
      </c>
      <c r="K151" s="5" t="s">
        <v>22</v>
      </c>
      <c r="L151" t="s">
        <v>57</v>
      </c>
      <c r="M151" t="s">
        <v>24</v>
      </c>
      <c r="O151" t="s">
        <v>25</v>
      </c>
      <c r="Q151" t="s">
        <v>53</v>
      </c>
      <c r="R151" t="s">
        <v>53</v>
      </c>
    </row>
    <row r="152" spans="1:18" ht="15" customHeight="1">
      <c r="A152" t="s">
        <v>130</v>
      </c>
      <c r="B152">
        <v>222424</v>
      </c>
      <c r="C152" t="s">
        <v>63</v>
      </c>
      <c r="D152" t="s">
        <v>158</v>
      </c>
      <c r="E152" t="s">
        <v>79</v>
      </c>
      <c r="F152">
        <v>0</v>
      </c>
      <c r="G152">
        <v>44249</v>
      </c>
      <c r="H152">
        <v>44253</v>
      </c>
      <c r="K152" s="5" t="s">
        <v>22</v>
      </c>
      <c r="L152" t="s">
        <v>41</v>
      </c>
      <c r="M152" t="s">
        <v>79</v>
      </c>
      <c r="O152" t="s">
        <v>26</v>
      </c>
      <c r="Q152" t="s">
        <v>27</v>
      </c>
    </row>
    <row r="153" spans="1:18" ht="15" customHeight="1">
      <c r="A153" t="s">
        <v>39</v>
      </c>
      <c r="B153">
        <v>223640</v>
      </c>
      <c r="C153" t="s">
        <v>19</v>
      </c>
      <c r="D153" t="s">
        <v>159</v>
      </c>
      <c r="E153" t="s">
        <v>34</v>
      </c>
      <c r="F153">
        <v>1</v>
      </c>
      <c r="G153">
        <v>44252</v>
      </c>
      <c r="H153">
        <v>44253</v>
      </c>
      <c r="I153" s="5">
        <v>44253</v>
      </c>
      <c r="K153" s="5" t="s">
        <v>22</v>
      </c>
      <c r="L153" t="s">
        <v>23</v>
      </c>
      <c r="M153" t="s">
        <v>24</v>
      </c>
      <c r="O153" t="s">
        <v>25</v>
      </c>
      <c r="Q153" t="s">
        <v>53</v>
      </c>
      <c r="R153" t="s">
        <v>53</v>
      </c>
    </row>
    <row r="154" spans="1:18" ht="15" customHeight="1">
      <c r="A154" t="s">
        <v>39</v>
      </c>
      <c r="B154">
        <v>223640</v>
      </c>
      <c r="C154" t="s">
        <v>19</v>
      </c>
      <c r="D154" t="s">
        <v>159</v>
      </c>
      <c r="E154" t="s">
        <v>32</v>
      </c>
      <c r="F154">
        <v>1</v>
      </c>
      <c r="G154">
        <v>44252</v>
      </c>
      <c r="H154">
        <v>44253</v>
      </c>
      <c r="I154" s="5">
        <v>44253</v>
      </c>
      <c r="K154" s="5" t="s">
        <v>22</v>
      </c>
      <c r="L154" t="s">
        <v>23</v>
      </c>
      <c r="M154" t="s">
        <v>24</v>
      </c>
      <c r="O154" t="s">
        <v>25</v>
      </c>
      <c r="Q154" t="s">
        <v>53</v>
      </c>
      <c r="R154" t="s">
        <v>53</v>
      </c>
    </row>
    <row r="155" spans="1:18" ht="15" customHeight="1">
      <c r="A155" t="s">
        <v>39</v>
      </c>
      <c r="B155">
        <v>223735</v>
      </c>
      <c r="C155" t="s">
        <v>30</v>
      </c>
      <c r="D155" t="s">
        <v>160</v>
      </c>
      <c r="E155" t="s">
        <v>34</v>
      </c>
      <c r="F155">
        <v>1</v>
      </c>
      <c r="G155">
        <v>44252</v>
      </c>
      <c r="H155">
        <v>44256</v>
      </c>
      <c r="I155" s="5">
        <v>44256</v>
      </c>
      <c r="K155" s="5" t="s">
        <v>22</v>
      </c>
      <c r="L155" t="s">
        <v>23</v>
      </c>
      <c r="M155" t="s">
        <v>24</v>
      </c>
      <c r="O155" t="s">
        <v>25</v>
      </c>
      <c r="Q155" t="s">
        <v>53</v>
      </c>
    </row>
    <row r="156" spans="1:18" ht="15" customHeight="1">
      <c r="A156" t="s">
        <v>46</v>
      </c>
      <c r="B156">
        <v>214279</v>
      </c>
      <c r="C156" t="s">
        <v>30</v>
      </c>
      <c r="D156" t="s">
        <v>161</v>
      </c>
      <c r="E156" t="s">
        <v>34</v>
      </c>
      <c r="F156">
        <v>1</v>
      </c>
      <c r="G156">
        <v>44209</v>
      </c>
      <c r="H156">
        <v>44216</v>
      </c>
      <c r="I156" s="5">
        <v>44216</v>
      </c>
      <c r="K156" s="5" t="s">
        <v>162</v>
      </c>
      <c r="L156" t="s">
        <v>23</v>
      </c>
      <c r="M156" t="s">
        <v>24</v>
      </c>
      <c r="N156">
        <v>0</v>
      </c>
      <c r="O156" t="s">
        <v>25</v>
      </c>
      <c r="P156" t="s">
        <v>26</v>
      </c>
      <c r="Q156" t="s">
        <v>73</v>
      </c>
      <c r="R156" t="s">
        <v>73</v>
      </c>
    </row>
    <row r="157" spans="1:18" ht="15" customHeight="1">
      <c r="A157" t="s">
        <v>46</v>
      </c>
      <c r="B157">
        <v>214279</v>
      </c>
      <c r="C157" t="s">
        <v>30</v>
      </c>
      <c r="D157" t="s">
        <v>161</v>
      </c>
      <c r="E157" t="s">
        <v>43</v>
      </c>
      <c r="F157">
        <v>1</v>
      </c>
      <c r="G157">
        <v>44209</v>
      </c>
      <c r="H157">
        <v>44216</v>
      </c>
      <c r="I157" s="5">
        <v>44216</v>
      </c>
      <c r="K157" s="5" t="s">
        <v>162</v>
      </c>
      <c r="L157" t="s">
        <v>23</v>
      </c>
      <c r="M157" t="s">
        <v>24</v>
      </c>
      <c r="N157">
        <v>2</v>
      </c>
      <c r="O157" t="s">
        <v>25</v>
      </c>
      <c r="P157" t="s">
        <v>26</v>
      </c>
      <c r="Q157" t="s">
        <v>73</v>
      </c>
      <c r="R157" t="s">
        <v>73</v>
      </c>
    </row>
    <row r="158" spans="1:18" ht="15" customHeight="1">
      <c r="A158" t="s">
        <v>163</v>
      </c>
      <c r="B158">
        <v>213706</v>
      </c>
      <c r="C158" t="s">
        <v>55</v>
      </c>
      <c r="D158" t="s">
        <v>164</v>
      </c>
      <c r="G158">
        <v>44214.760844907411</v>
      </c>
      <c r="H158">
        <v>44218</v>
      </c>
      <c r="K158" s="5" t="s">
        <v>165</v>
      </c>
    </row>
    <row r="159" spans="1:18" ht="15" customHeight="1">
      <c r="A159" t="s">
        <v>36</v>
      </c>
      <c r="B159">
        <v>214915</v>
      </c>
      <c r="C159" t="s">
        <v>19</v>
      </c>
      <c r="D159" t="s">
        <v>166</v>
      </c>
      <c r="E159" t="s">
        <v>34</v>
      </c>
      <c r="F159">
        <v>1</v>
      </c>
      <c r="G159">
        <v>44211</v>
      </c>
      <c r="H159">
        <v>44215</v>
      </c>
      <c r="I159" s="5">
        <v>44214</v>
      </c>
      <c r="K159" s="5" t="s">
        <v>162</v>
      </c>
      <c r="L159" t="s">
        <v>33</v>
      </c>
      <c r="M159" t="s">
        <v>24</v>
      </c>
      <c r="O159" t="s">
        <v>25</v>
      </c>
      <c r="P159" t="s">
        <v>25</v>
      </c>
      <c r="Q159" t="s">
        <v>53</v>
      </c>
      <c r="R159" t="s">
        <v>27</v>
      </c>
    </row>
    <row r="160" spans="1:18" ht="15" customHeight="1">
      <c r="A160" t="s">
        <v>36</v>
      </c>
      <c r="B160">
        <v>215204</v>
      </c>
      <c r="C160" t="s">
        <v>55</v>
      </c>
      <c r="D160" t="s">
        <v>167</v>
      </c>
      <c r="G160">
        <v>44214.683125000003</v>
      </c>
      <c r="H160">
        <v>44228</v>
      </c>
      <c r="K160" s="5" t="s">
        <v>165</v>
      </c>
    </row>
    <row r="161" spans="1:18" ht="15" customHeight="1">
      <c r="A161" t="s">
        <v>39</v>
      </c>
      <c r="B161">
        <v>214857</v>
      </c>
      <c r="C161" t="s">
        <v>55</v>
      </c>
      <c r="D161" t="s">
        <v>168</v>
      </c>
      <c r="G161">
        <v>44214.353356481479</v>
      </c>
      <c r="K161" s="5" t="s">
        <v>165</v>
      </c>
    </row>
    <row r="162" spans="1:18" ht="15" customHeight="1">
      <c r="A162" t="s">
        <v>36</v>
      </c>
      <c r="B162">
        <v>214915</v>
      </c>
      <c r="C162" t="s">
        <v>19</v>
      </c>
      <c r="D162" t="s">
        <v>166</v>
      </c>
      <c r="E162" t="s">
        <v>32</v>
      </c>
      <c r="F162">
        <v>1</v>
      </c>
      <c r="G162">
        <v>44211</v>
      </c>
      <c r="H162">
        <v>44215</v>
      </c>
      <c r="I162" s="5">
        <v>44214</v>
      </c>
      <c r="K162" s="5" t="s">
        <v>162</v>
      </c>
      <c r="L162" t="s">
        <v>33</v>
      </c>
      <c r="M162" t="s">
        <v>24</v>
      </c>
      <c r="O162" t="s">
        <v>25</v>
      </c>
      <c r="P162" t="s">
        <v>25</v>
      </c>
      <c r="Q162" t="s">
        <v>53</v>
      </c>
      <c r="R162" t="s">
        <v>27</v>
      </c>
    </row>
    <row r="163" spans="1:18" ht="15" customHeight="1">
      <c r="C163" t="s">
        <v>55</v>
      </c>
      <c r="D163" t="s">
        <v>169</v>
      </c>
      <c r="G163">
        <v>44214</v>
      </c>
      <c r="H163">
        <v>44218</v>
      </c>
      <c r="K163" s="5" t="s">
        <v>165</v>
      </c>
    </row>
    <row r="164" spans="1:18" ht="15" customHeight="1">
      <c r="A164" t="s">
        <v>39</v>
      </c>
      <c r="B164">
        <v>213540</v>
      </c>
      <c r="C164" t="s">
        <v>55</v>
      </c>
      <c r="D164" t="s">
        <v>170</v>
      </c>
      <c r="G164">
        <v>44208.364039351851</v>
      </c>
      <c r="H164">
        <v>44216</v>
      </c>
      <c r="K164" s="5" t="s">
        <v>165</v>
      </c>
    </row>
    <row r="165" spans="1:18" ht="15" customHeight="1">
      <c r="A165" t="s">
        <v>39</v>
      </c>
      <c r="B165">
        <v>213540</v>
      </c>
      <c r="C165" t="s">
        <v>55</v>
      </c>
      <c r="D165" t="s">
        <v>170</v>
      </c>
      <c r="G165">
        <v>44208.363854166666</v>
      </c>
      <c r="H165">
        <v>44216</v>
      </c>
      <c r="K165" s="5" t="s">
        <v>165</v>
      </c>
    </row>
    <row r="166" spans="1:18" ht="15" customHeight="1">
      <c r="C166" t="s">
        <v>55</v>
      </c>
      <c r="D166" t="s">
        <v>171</v>
      </c>
      <c r="G166">
        <v>44203</v>
      </c>
      <c r="H166">
        <v>44218</v>
      </c>
      <c r="K166" s="5" t="s">
        <v>165</v>
      </c>
    </row>
    <row r="167" spans="1:18" ht="15" customHeight="1">
      <c r="A167" t="s">
        <v>29</v>
      </c>
      <c r="B167">
        <v>212059</v>
      </c>
      <c r="C167" t="s">
        <v>55</v>
      </c>
      <c r="D167" t="s">
        <v>69</v>
      </c>
      <c r="G167">
        <v>44200</v>
      </c>
      <c r="H167">
        <v>44207</v>
      </c>
      <c r="K167" s="5" t="s">
        <v>165</v>
      </c>
    </row>
    <row r="168" spans="1:18" ht="15" customHeight="1">
      <c r="A168" t="s">
        <v>39</v>
      </c>
      <c r="C168" t="s">
        <v>172</v>
      </c>
      <c r="D168" t="s">
        <v>173</v>
      </c>
      <c r="F168">
        <v>1</v>
      </c>
      <c r="G168">
        <v>44139</v>
      </c>
      <c r="H168">
        <v>44145</v>
      </c>
      <c r="I168" s="5">
        <v>44144</v>
      </c>
      <c r="K168" s="5" t="s">
        <v>165</v>
      </c>
    </row>
    <row r="169" spans="1:18" ht="15" customHeight="1">
      <c r="A169" t="s">
        <v>54</v>
      </c>
      <c r="B169">
        <v>169096</v>
      </c>
      <c r="C169" t="s">
        <v>55</v>
      </c>
      <c r="D169" t="s">
        <v>174</v>
      </c>
      <c r="F169">
        <v>1</v>
      </c>
      <c r="G169">
        <v>44123</v>
      </c>
      <c r="I169" s="5">
        <v>44124</v>
      </c>
      <c r="K169" s="5" t="s">
        <v>165</v>
      </c>
      <c r="L169" t="s">
        <v>41</v>
      </c>
    </row>
    <row r="170" spans="1:18" ht="15" customHeight="1">
      <c r="C170" t="s">
        <v>55</v>
      </c>
      <c r="F170">
        <v>1</v>
      </c>
      <c r="G170">
        <v>44104</v>
      </c>
      <c r="I170" s="5">
        <v>44104</v>
      </c>
      <c r="K170" s="5" t="s">
        <v>165</v>
      </c>
      <c r="L170" t="s">
        <v>41</v>
      </c>
    </row>
    <row r="171" spans="1:18" ht="15" customHeight="1">
      <c r="A171" t="s">
        <v>54</v>
      </c>
      <c r="B171">
        <v>169096</v>
      </c>
      <c r="C171" t="s">
        <v>63</v>
      </c>
      <c r="D171" t="s">
        <v>174</v>
      </c>
      <c r="F171">
        <v>1</v>
      </c>
      <c r="G171">
        <v>43985</v>
      </c>
      <c r="I171" s="5">
        <v>44027</v>
      </c>
      <c r="K171" s="5" t="s">
        <v>162</v>
      </c>
      <c r="L171" t="s">
        <v>41</v>
      </c>
    </row>
    <row r="172" spans="1:18" ht="15" customHeight="1">
      <c r="C172" t="s">
        <v>55</v>
      </c>
      <c r="D172" t="s">
        <v>175</v>
      </c>
      <c r="F172">
        <v>1</v>
      </c>
      <c r="G172">
        <v>44112</v>
      </c>
      <c r="K172" s="5" t="s">
        <v>165</v>
      </c>
      <c r="L172" t="s">
        <v>33</v>
      </c>
    </row>
    <row r="173" spans="1:18" ht="15" customHeight="1">
      <c r="B173">
        <v>195215</v>
      </c>
      <c r="C173" t="s">
        <v>55</v>
      </c>
      <c r="D173" t="s">
        <v>176</v>
      </c>
      <c r="F173">
        <v>1</v>
      </c>
      <c r="G173">
        <v>44117</v>
      </c>
      <c r="I173" s="5">
        <v>44118</v>
      </c>
      <c r="K173" s="5" t="s">
        <v>165</v>
      </c>
      <c r="L173" t="s">
        <v>57</v>
      </c>
    </row>
    <row r="174" spans="1:18" ht="15" customHeight="1">
      <c r="C174" t="s">
        <v>55</v>
      </c>
      <c r="D174" t="s">
        <v>177</v>
      </c>
      <c r="F174">
        <v>1</v>
      </c>
      <c r="G174">
        <v>44113</v>
      </c>
      <c r="I174" s="5">
        <v>44132</v>
      </c>
      <c r="K174" s="5" t="s">
        <v>165</v>
      </c>
      <c r="L174" t="s">
        <v>41</v>
      </c>
    </row>
    <row r="175" spans="1:18" ht="15" customHeight="1">
      <c r="C175" t="s">
        <v>55</v>
      </c>
      <c r="D175" t="s">
        <v>178</v>
      </c>
      <c r="F175">
        <v>1</v>
      </c>
      <c r="G175">
        <v>44113</v>
      </c>
      <c r="I175" s="5">
        <v>44117</v>
      </c>
      <c r="K175" s="5" t="s">
        <v>165</v>
      </c>
      <c r="L175" t="s">
        <v>41</v>
      </c>
    </row>
    <row r="176" spans="1:18" ht="15" customHeight="1">
      <c r="A176" t="s">
        <v>39</v>
      </c>
      <c r="B176">
        <v>195121</v>
      </c>
      <c r="C176" t="s">
        <v>55</v>
      </c>
      <c r="D176" t="s">
        <v>179</v>
      </c>
      <c r="F176">
        <v>1</v>
      </c>
      <c r="G176">
        <v>44117</v>
      </c>
      <c r="I176" s="5">
        <v>44118</v>
      </c>
      <c r="K176" s="5" t="s">
        <v>165</v>
      </c>
      <c r="L176" t="s">
        <v>23</v>
      </c>
    </row>
    <row r="177" spans="1:17" ht="15" customHeight="1">
      <c r="A177" t="s">
        <v>39</v>
      </c>
      <c r="B177">
        <v>193661</v>
      </c>
      <c r="C177" t="s">
        <v>55</v>
      </c>
      <c r="D177" t="s">
        <v>180</v>
      </c>
      <c r="F177">
        <v>1</v>
      </c>
      <c r="G177">
        <v>44109</v>
      </c>
      <c r="I177" s="5">
        <v>44119</v>
      </c>
      <c r="K177" s="5" t="s">
        <v>165</v>
      </c>
      <c r="L177" t="s">
        <v>41</v>
      </c>
    </row>
    <row r="178" spans="1:17" ht="15" customHeight="1">
      <c r="A178" t="s">
        <v>54</v>
      </c>
      <c r="B178">
        <v>193724</v>
      </c>
      <c r="C178" t="s">
        <v>55</v>
      </c>
      <c r="D178" t="s">
        <v>181</v>
      </c>
      <c r="F178">
        <v>1</v>
      </c>
      <c r="G178">
        <v>44109</v>
      </c>
      <c r="I178" s="5">
        <v>44120</v>
      </c>
      <c r="K178" s="5" t="s">
        <v>165</v>
      </c>
      <c r="L178" t="s">
        <v>41</v>
      </c>
    </row>
    <row r="179" spans="1:17" ht="15" customHeight="1">
      <c r="A179" t="s">
        <v>67</v>
      </c>
      <c r="B179">
        <v>193091</v>
      </c>
      <c r="C179" t="s">
        <v>55</v>
      </c>
      <c r="D179" t="s">
        <v>182</v>
      </c>
      <c r="F179">
        <v>1</v>
      </c>
      <c r="G179">
        <v>44105</v>
      </c>
      <c r="I179" s="5">
        <v>44123</v>
      </c>
      <c r="K179" s="5" t="s">
        <v>165</v>
      </c>
      <c r="L179" t="s">
        <v>41</v>
      </c>
    </row>
    <row r="180" spans="1:17" ht="15" customHeight="1">
      <c r="A180" t="s">
        <v>183</v>
      </c>
      <c r="B180">
        <v>193525</v>
      </c>
      <c r="C180" t="s">
        <v>55</v>
      </c>
      <c r="D180" t="s">
        <v>184</v>
      </c>
      <c r="F180">
        <v>1</v>
      </c>
      <c r="G180">
        <v>44106</v>
      </c>
      <c r="I180" s="5">
        <v>44118</v>
      </c>
      <c r="K180" s="5" t="s">
        <v>165</v>
      </c>
      <c r="L180" t="s">
        <v>41</v>
      </c>
      <c r="Q180" t="s">
        <v>28</v>
      </c>
    </row>
    <row r="181" spans="1:17" ht="15" customHeight="1">
      <c r="A181" t="s">
        <v>39</v>
      </c>
      <c r="B181">
        <v>160587</v>
      </c>
      <c r="C181" t="s">
        <v>55</v>
      </c>
      <c r="D181" t="s">
        <v>185</v>
      </c>
      <c r="F181">
        <v>1</v>
      </c>
      <c r="G181">
        <v>43934</v>
      </c>
      <c r="K181" s="5" t="s">
        <v>165</v>
      </c>
      <c r="L181" t="s">
        <v>41</v>
      </c>
    </row>
    <row r="182" spans="1:17" ht="15" customHeight="1">
      <c r="A182" t="s">
        <v>94</v>
      </c>
      <c r="B182">
        <v>160624</v>
      </c>
      <c r="C182" t="s">
        <v>55</v>
      </c>
      <c r="D182" t="s">
        <v>186</v>
      </c>
      <c r="F182">
        <v>1</v>
      </c>
      <c r="G182">
        <v>43934</v>
      </c>
      <c r="I182" s="5">
        <v>43951</v>
      </c>
      <c r="K182" s="5" t="s">
        <v>165</v>
      </c>
      <c r="L182" t="s">
        <v>41</v>
      </c>
    </row>
    <row r="183" spans="1:17" ht="15" customHeight="1">
      <c r="A183" t="s">
        <v>39</v>
      </c>
      <c r="B183" t="s">
        <v>95</v>
      </c>
      <c r="C183" t="s">
        <v>55</v>
      </c>
      <c r="D183" t="s">
        <v>187</v>
      </c>
      <c r="F183">
        <v>1</v>
      </c>
      <c r="G183">
        <v>43949</v>
      </c>
      <c r="I183" s="5">
        <v>43983</v>
      </c>
      <c r="K183" s="5" t="s">
        <v>165</v>
      </c>
      <c r="L183" t="s">
        <v>33</v>
      </c>
    </row>
    <row r="184" spans="1:17" ht="15" customHeight="1">
      <c r="A184" t="s">
        <v>39</v>
      </c>
      <c r="B184">
        <v>153722</v>
      </c>
      <c r="C184" t="s">
        <v>19</v>
      </c>
      <c r="D184" t="s">
        <v>188</v>
      </c>
      <c r="G184">
        <v>43894</v>
      </c>
      <c r="I184" s="5">
        <v>43908</v>
      </c>
      <c r="K184" s="5" t="s">
        <v>165</v>
      </c>
    </row>
    <row r="185" spans="1:17" ht="15" customHeight="1">
      <c r="A185" t="s">
        <v>183</v>
      </c>
      <c r="B185">
        <v>193243</v>
      </c>
      <c r="C185" t="s">
        <v>55</v>
      </c>
      <c r="D185" t="s">
        <v>189</v>
      </c>
      <c r="F185">
        <v>2</v>
      </c>
      <c r="G185">
        <v>44105</v>
      </c>
      <c r="I185" s="5">
        <v>44119</v>
      </c>
      <c r="K185" s="5" t="s">
        <v>165</v>
      </c>
      <c r="L185" t="s">
        <v>23</v>
      </c>
    </row>
    <row r="186" spans="1:17" ht="15" customHeight="1">
      <c r="A186" t="s">
        <v>183</v>
      </c>
      <c r="B186">
        <v>193243</v>
      </c>
      <c r="C186" t="s">
        <v>55</v>
      </c>
      <c r="D186" t="s">
        <v>189</v>
      </c>
      <c r="F186">
        <v>1</v>
      </c>
      <c r="G186">
        <v>44105</v>
      </c>
      <c r="I186" s="5">
        <v>44119</v>
      </c>
      <c r="K186" s="5" t="s">
        <v>165</v>
      </c>
      <c r="L186" t="s">
        <v>23</v>
      </c>
    </row>
    <row r="187" spans="1:17" ht="15" customHeight="1">
      <c r="A187" t="s">
        <v>183</v>
      </c>
      <c r="B187">
        <v>193243</v>
      </c>
      <c r="C187" t="s">
        <v>55</v>
      </c>
      <c r="D187" t="s">
        <v>189</v>
      </c>
      <c r="F187">
        <v>1</v>
      </c>
      <c r="G187">
        <v>44105</v>
      </c>
      <c r="I187" s="5">
        <v>44119</v>
      </c>
      <c r="K187" s="5" t="s">
        <v>165</v>
      </c>
      <c r="L187" t="s">
        <v>23</v>
      </c>
    </row>
    <row r="188" spans="1:17" ht="15" customHeight="1">
      <c r="A188" t="s">
        <v>46</v>
      </c>
      <c r="B188">
        <v>194777</v>
      </c>
      <c r="C188" t="s">
        <v>55</v>
      </c>
      <c r="D188" t="s">
        <v>175</v>
      </c>
      <c r="F188">
        <v>3</v>
      </c>
      <c r="G188">
        <v>44112</v>
      </c>
      <c r="I188" s="5">
        <v>44117</v>
      </c>
      <c r="K188" s="5" t="s">
        <v>165</v>
      </c>
      <c r="L188" t="s">
        <v>33</v>
      </c>
    </row>
    <row r="189" spans="1:17" ht="15" customHeight="1">
      <c r="A189" t="s">
        <v>46</v>
      </c>
      <c r="B189">
        <v>194777</v>
      </c>
      <c r="C189" t="s">
        <v>55</v>
      </c>
      <c r="D189" t="s">
        <v>175</v>
      </c>
      <c r="F189">
        <v>1</v>
      </c>
      <c r="G189">
        <v>44112</v>
      </c>
      <c r="I189" s="5">
        <v>44117</v>
      </c>
      <c r="K189" s="5" t="s">
        <v>165</v>
      </c>
      <c r="L189" t="s">
        <v>33</v>
      </c>
    </row>
    <row r="190" spans="1:17" ht="15" customHeight="1">
      <c r="A190" t="s">
        <v>46</v>
      </c>
      <c r="B190">
        <v>194777</v>
      </c>
      <c r="C190" t="s">
        <v>55</v>
      </c>
      <c r="D190" t="s">
        <v>175</v>
      </c>
      <c r="F190">
        <v>1</v>
      </c>
      <c r="G190">
        <v>44112</v>
      </c>
      <c r="I190" s="5">
        <v>44117</v>
      </c>
      <c r="K190" s="5" t="s">
        <v>165</v>
      </c>
      <c r="L190" t="s">
        <v>33</v>
      </c>
    </row>
    <row r="191" spans="1:17" ht="15" customHeight="1">
      <c r="C191" t="s">
        <v>55</v>
      </c>
      <c r="D191" t="s">
        <v>190</v>
      </c>
      <c r="F191">
        <v>1</v>
      </c>
      <c r="G191">
        <v>44099</v>
      </c>
      <c r="I191" s="5">
        <v>44076</v>
      </c>
      <c r="K191" s="5" t="s">
        <v>165</v>
      </c>
      <c r="L191" t="s">
        <v>41</v>
      </c>
    </row>
    <row r="192" spans="1:17" ht="15" customHeight="1">
      <c r="C192" t="s">
        <v>55</v>
      </c>
      <c r="D192" t="s">
        <v>191</v>
      </c>
      <c r="F192">
        <v>5</v>
      </c>
      <c r="G192">
        <v>44104</v>
      </c>
      <c r="I192" s="5">
        <v>44105</v>
      </c>
      <c r="K192" s="5" t="s">
        <v>165</v>
      </c>
      <c r="L192" t="s">
        <v>41</v>
      </c>
    </row>
    <row r="193" spans="1:17" ht="15" customHeight="1">
      <c r="C193" t="s">
        <v>55</v>
      </c>
      <c r="D193" t="s">
        <v>192</v>
      </c>
      <c r="F193">
        <v>2</v>
      </c>
      <c r="G193">
        <v>44071</v>
      </c>
      <c r="I193" s="5">
        <v>44090</v>
      </c>
      <c r="K193" s="5" t="s">
        <v>165</v>
      </c>
      <c r="L193" t="s">
        <v>41</v>
      </c>
      <c r="N193">
        <v>2</v>
      </c>
    </row>
    <row r="194" spans="1:17" ht="15" customHeight="1">
      <c r="C194" t="s">
        <v>55</v>
      </c>
      <c r="D194" t="s">
        <v>192</v>
      </c>
      <c r="F194">
        <v>1</v>
      </c>
      <c r="G194">
        <v>44071</v>
      </c>
      <c r="I194" s="5">
        <v>44090</v>
      </c>
      <c r="K194" s="5" t="s">
        <v>165</v>
      </c>
      <c r="L194" t="s">
        <v>41</v>
      </c>
      <c r="N194">
        <v>2</v>
      </c>
    </row>
    <row r="195" spans="1:17" ht="15" customHeight="1">
      <c r="C195" t="s">
        <v>55</v>
      </c>
      <c r="D195" t="s">
        <v>192</v>
      </c>
      <c r="F195">
        <v>1</v>
      </c>
      <c r="G195">
        <v>44071</v>
      </c>
      <c r="I195" s="5">
        <v>44090</v>
      </c>
      <c r="K195" s="5" t="s">
        <v>165</v>
      </c>
      <c r="L195" t="s">
        <v>41</v>
      </c>
    </row>
    <row r="196" spans="1:17" ht="15" customHeight="1">
      <c r="C196" t="s">
        <v>55</v>
      </c>
      <c r="D196" t="s">
        <v>192</v>
      </c>
      <c r="F196">
        <v>1</v>
      </c>
      <c r="G196">
        <v>44071</v>
      </c>
      <c r="I196" s="5">
        <v>44090</v>
      </c>
      <c r="K196" s="5" t="s">
        <v>165</v>
      </c>
      <c r="L196" t="s">
        <v>41</v>
      </c>
      <c r="N196">
        <v>2</v>
      </c>
    </row>
    <row r="197" spans="1:17" ht="15" customHeight="1">
      <c r="C197" t="s">
        <v>55</v>
      </c>
      <c r="D197" t="s">
        <v>192</v>
      </c>
      <c r="F197">
        <v>1</v>
      </c>
      <c r="G197">
        <v>44071</v>
      </c>
      <c r="I197" s="5">
        <v>44090</v>
      </c>
      <c r="K197" s="5" t="s">
        <v>165</v>
      </c>
      <c r="L197" t="s">
        <v>41</v>
      </c>
      <c r="N197">
        <v>1</v>
      </c>
    </row>
    <row r="198" spans="1:17" ht="15" customHeight="1">
      <c r="A198" t="s">
        <v>193</v>
      </c>
      <c r="C198" t="s">
        <v>55</v>
      </c>
      <c r="D198" t="s">
        <v>194</v>
      </c>
      <c r="F198">
        <v>2</v>
      </c>
      <c r="G198">
        <v>44062</v>
      </c>
      <c r="I198" s="5">
        <v>44083</v>
      </c>
      <c r="K198" s="5" t="s">
        <v>165</v>
      </c>
      <c r="L198" t="s">
        <v>41</v>
      </c>
    </row>
    <row r="199" spans="1:17" ht="15" customHeight="1">
      <c r="A199" t="s">
        <v>193</v>
      </c>
      <c r="C199" t="s">
        <v>55</v>
      </c>
      <c r="D199" t="s">
        <v>194</v>
      </c>
      <c r="F199">
        <v>1</v>
      </c>
      <c r="G199">
        <v>44062</v>
      </c>
      <c r="I199" s="5">
        <v>44083</v>
      </c>
      <c r="K199" s="5" t="s">
        <v>165</v>
      </c>
      <c r="L199" t="s">
        <v>41</v>
      </c>
    </row>
    <row r="200" spans="1:17" ht="15" customHeight="1">
      <c r="C200" t="s">
        <v>55</v>
      </c>
      <c r="D200" t="s">
        <v>195</v>
      </c>
      <c r="F200">
        <v>2</v>
      </c>
      <c r="G200">
        <v>44061</v>
      </c>
      <c r="I200" s="5">
        <v>44069</v>
      </c>
      <c r="K200" s="5" t="s">
        <v>165</v>
      </c>
      <c r="L200" t="s">
        <v>23</v>
      </c>
    </row>
    <row r="201" spans="1:17" ht="15" customHeight="1">
      <c r="C201" t="s">
        <v>55</v>
      </c>
      <c r="D201" t="s">
        <v>195</v>
      </c>
      <c r="F201">
        <v>1</v>
      </c>
      <c r="G201">
        <v>44061</v>
      </c>
      <c r="I201" s="5">
        <v>44069</v>
      </c>
      <c r="K201" s="5" t="s">
        <v>165</v>
      </c>
      <c r="L201" t="s">
        <v>41</v>
      </c>
    </row>
    <row r="202" spans="1:17" ht="15" customHeight="1">
      <c r="A202" t="s">
        <v>39</v>
      </c>
      <c r="B202">
        <v>215807</v>
      </c>
      <c r="C202" t="s">
        <v>30</v>
      </c>
      <c r="D202" t="s">
        <v>196</v>
      </c>
      <c r="E202" t="s">
        <v>61</v>
      </c>
      <c r="F202">
        <v>4</v>
      </c>
      <c r="G202">
        <v>44216</v>
      </c>
      <c r="H202">
        <v>44222</v>
      </c>
      <c r="K202" s="5" t="s">
        <v>197</v>
      </c>
      <c r="L202" t="s">
        <v>41</v>
      </c>
      <c r="M202" t="s">
        <v>24</v>
      </c>
      <c r="O202" t="s">
        <v>26</v>
      </c>
    </row>
    <row r="203" spans="1:17" ht="15" customHeight="1">
      <c r="A203" t="s">
        <v>39</v>
      </c>
      <c r="B203">
        <v>216830</v>
      </c>
      <c r="C203" t="s">
        <v>19</v>
      </c>
      <c r="D203" t="s">
        <v>198</v>
      </c>
      <c r="E203" t="s">
        <v>34</v>
      </c>
      <c r="F203">
        <v>1</v>
      </c>
      <c r="G203">
        <v>44223</v>
      </c>
      <c r="H203">
        <v>44223</v>
      </c>
      <c r="K203" s="5" t="s">
        <v>162</v>
      </c>
      <c r="L203" t="s">
        <v>23</v>
      </c>
      <c r="M203" t="s">
        <v>24</v>
      </c>
      <c r="O203" t="s">
        <v>25</v>
      </c>
      <c r="P203" t="s">
        <v>25</v>
      </c>
      <c r="Q203" t="s">
        <v>28</v>
      </c>
    </row>
    <row r="204" spans="1:17" ht="15" customHeight="1">
      <c r="A204" t="s">
        <v>39</v>
      </c>
      <c r="B204">
        <v>216830</v>
      </c>
      <c r="C204" t="s">
        <v>19</v>
      </c>
      <c r="D204" t="s">
        <v>198</v>
      </c>
      <c r="E204" t="s">
        <v>32</v>
      </c>
      <c r="F204">
        <v>1</v>
      </c>
      <c r="G204">
        <v>44223</v>
      </c>
      <c r="H204">
        <v>44223</v>
      </c>
      <c r="K204" s="5" t="s">
        <v>162</v>
      </c>
      <c r="L204" t="s">
        <v>23</v>
      </c>
      <c r="M204" t="s">
        <v>24</v>
      </c>
      <c r="O204" t="s">
        <v>25</v>
      </c>
      <c r="P204" t="s">
        <v>25</v>
      </c>
      <c r="Q204" t="s">
        <v>28</v>
      </c>
    </row>
    <row r="205" spans="1:17" ht="15" customHeight="1">
      <c r="A205" t="s">
        <v>36</v>
      </c>
      <c r="B205">
        <v>216047</v>
      </c>
      <c r="C205" t="s">
        <v>30</v>
      </c>
      <c r="D205" t="s">
        <v>199</v>
      </c>
      <c r="E205" t="s">
        <v>72</v>
      </c>
      <c r="F205">
        <v>1</v>
      </c>
      <c r="G205">
        <v>44217</v>
      </c>
      <c r="H205">
        <v>44246</v>
      </c>
      <c r="I205" s="5">
        <v>44246</v>
      </c>
      <c r="K205" s="5" t="s">
        <v>162</v>
      </c>
      <c r="L205" t="s">
        <v>41</v>
      </c>
      <c r="M205" s="36" t="s">
        <v>108</v>
      </c>
      <c r="O205" t="s">
        <v>26</v>
      </c>
      <c r="P205" t="s">
        <v>26</v>
      </c>
      <c r="Q205" t="s">
        <v>28</v>
      </c>
    </row>
    <row r="206" spans="1:17" ht="15" customHeight="1">
      <c r="A206" t="s">
        <v>29</v>
      </c>
      <c r="B206">
        <v>217017</v>
      </c>
      <c r="C206" t="s">
        <v>19</v>
      </c>
      <c r="D206" t="s">
        <v>200</v>
      </c>
      <c r="E206" t="s">
        <v>72</v>
      </c>
      <c r="F206">
        <v>1</v>
      </c>
      <c r="G206">
        <v>44224</v>
      </c>
      <c r="H206">
        <v>44229</v>
      </c>
      <c r="K206" s="5" t="s">
        <v>165</v>
      </c>
      <c r="L206" t="s">
        <v>57</v>
      </c>
      <c r="M206" t="s">
        <v>24</v>
      </c>
      <c r="O206" t="s">
        <v>25</v>
      </c>
      <c r="P206" t="s">
        <v>26</v>
      </c>
      <c r="Q206" t="s">
        <v>28</v>
      </c>
    </row>
    <row r="207" spans="1:17" ht="15" customHeight="1">
      <c r="A207" t="s">
        <v>94</v>
      </c>
      <c r="B207">
        <v>217989</v>
      </c>
      <c r="C207" t="s">
        <v>19</v>
      </c>
      <c r="D207" t="s">
        <v>201</v>
      </c>
      <c r="E207" t="s">
        <v>34</v>
      </c>
      <c r="F207">
        <v>1</v>
      </c>
      <c r="G207">
        <v>44228</v>
      </c>
      <c r="H207">
        <v>44230</v>
      </c>
      <c r="K207" s="5" t="s">
        <v>162</v>
      </c>
      <c r="L207" t="s">
        <v>23</v>
      </c>
      <c r="M207" t="s">
        <v>24</v>
      </c>
      <c r="O207" t="s">
        <v>25</v>
      </c>
      <c r="Q207" t="s">
        <v>28</v>
      </c>
    </row>
    <row r="208" spans="1:17" ht="15" customHeight="1">
      <c r="A208" t="s">
        <v>94</v>
      </c>
      <c r="B208">
        <v>217989</v>
      </c>
      <c r="C208" t="s">
        <v>19</v>
      </c>
      <c r="D208" t="s">
        <v>201</v>
      </c>
      <c r="E208" t="s">
        <v>32</v>
      </c>
      <c r="F208">
        <v>1</v>
      </c>
      <c r="G208">
        <v>44228</v>
      </c>
      <c r="H208">
        <v>44230</v>
      </c>
      <c r="K208" s="5" t="s">
        <v>162</v>
      </c>
      <c r="L208" t="s">
        <v>23</v>
      </c>
      <c r="M208" t="s">
        <v>24</v>
      </c>
      <c r="O208" t="s">
        <v>25</v>
      </c>
      <c r="Q208" t="s">
        <v>28</v>
      </c>
    </row>
    <row r="209" spans="1:17" ht="15" customHeight="1">
      <c r="A209" t="s">
        <v>146</v>
      </c>
      <c r="B209">
        <v>218759</v>
      </c>
      <c r="C209" t="s">
        <v>19</v>
      </c>
      <c r="D209" t="s">
        <v>202</v>
      </c>
      <c r="E209" t="s">
        <v>34</v>
      </c>
      <c r="F209">
        <v>2</v>
      </c>
      <c r="G209">
        <v>44230</v>
      </c>
      <c r="H209">
        <v>44230</v>
      </c>
      <c r="K209" s="5" t="s">
        <v>165</v>
      </c>
      <c r="L209" t="s">
        <v>33</v>
      </c>
      <c r="M209" t="s">
        <v>24</v>
      </c>
      <c r="O209" t="s">
        <v>25</v>
      </c>
    </row>
    <row r="210" spans="1:17" ht="15" customHeight="1">
      <c r="A210" t="s">
        <v>39</v>
      </c>
      <c r="B210">
        <v>219689</v>
      </c>
      <c r="C210" t="s">
        <v>19</v>
      </c>
      <c r="D210" t="s">
        <v>203</v>
      </c>
      <c r="E210" t="s">
        <v>82</v>
      </c>
      <c r="F210">
        <v>1</v>
      </c>
      <c r="G210">
        <v>44236</v>
      </c>
      <c r="H210">
        <v>44238</v>
      </c>
      <c r="K210" s="5" t="s">
        <v>165</v>
      </c>
      <c r="L210" t="s">
        <v>41</v>
      </c>
      <c r="M210" t="s">
        <v>24</v>
      </c>
      <c r="O210" t="s">
        <v>26</v>
      </c>
      <c r="P210" t="s">
        <v>25</v>
      </c>
      <c r="Q210" t="s">
        <v>28</v>
      </c>
    </row>
    <row r="211" spans="1:17" ht="15" customHeight="1">
      <c r="A211" t="s">
        <v>39</v>
      </c>
      <c r="B211">
        <v>219689</v>
      </c>
      <c r="C211" t="s">
        <v>19</v>
      </c>
      <c r="D211" t="s">
        <v>203</v>
      </c>
      <c r="E211" t="s">
        <v>34</v>
      </c>
      <c r="F211">
        <v>1</v>
      </c>
      <c r="G211">
        <v>44236</v>
      </c>
      <c r="H211">
        <v>44238</v>
      </c>
      <c r="K211" s="5" t="s">
        <v>162</v>
      </c>
      <c r="L211" t="s">
        <v>23</v>
      </c>
      <c r="M211" t="s">
        <v>24</v>
      </c>
      <c r="O211" t="s">
        <v>26</v>
      </c>
      <c r="P211" t="s">
        <v>25</v>
      </c>
      <c r="Q211" t="s">
        <v>28</v>
      </c>
    </row>
    <row r="212" spans="1:17" ht="15" customHeight="1">
      <c r="A212" t="s">
        <v>39</v>
      </c>
      <c r="B212">
        <v>219689</v>
      </c>
      <c r="C212" t="s">
        <v>19</v>
      </c>
      <c r="D212" t="s">
        <v>203</v>
      </c>
      <c r="E212" t="s">
        <v>32</v>
      </c>
      <c r="F212">
        <v>1</v>
      </c>
      <c r="G212">
        <v>44236</v>
      </c>
      <c r="H212">
        <v>44238</v>
      </c>
      <c r="K212" s="5" t="s">
        <v>162</v>
      </c>
      <c r="L212" t="s">
        <v>23</v>
      </c>
      <c r="M212" t="s">
        <v>24</v>
      </c>
      <c r="O212" t="s">
        <v>26</v>
      </c>
      <c r="P212" t="s">
        <v>25</v>
      </c>
      <c r="Q212" t="s">
        <v>28</v>
      </c>
    </row>
    <row r="213" spans="1:17" ht="15" customHeight="1">
      <c r="A213" t="s">
        <v>39</v>
      </c>
      <c r="B213">
        <v>220202</v>
      </c>
      <c r="C213" t="s">
        <v>19</v>
      </c>
      <c r="D213" t="s">
        <v>203</v>
      </c>
      <c r="E213" t="s">
        <v>34</v>
      </c>
      <c r="F213">
        <v>1</v>
      </c>
      <c r="G213">
        <v>44236</v>
      </c>
      <c r="H213">
        <v>44236</v>
      </c>
      <c r="K213" s="5" t="s">
        <v>162</v>
      </c>
      <c r="L213" t="s">
        <v>23</v>
      </c>
      <c r="M213" t="s">
        <v>24</v>
      </c>
      <c r="O213" t="s">
        <v>25</v>
      </c>
      <c r="P213" t="s">
        <v>25</v>
      </c>
      <c r="Q213" t="s">
        <v>28</v>
      </c>
    </row>
    <row r="214" spans="1:17" ht="15" customHeight="1">
      <c r="A214" t="s">
        <v>39</v>
      </c>
      <c r="B214">
        <v>220202</v>
      </c>
      <c r="C214" t="s">
        <v>19</v>
      </c>
      <c r="D214" t="s">
        <v>203</v>
      </c>
      <c r="E214" t="s">
        <v>32</v>
      </c>
      <c r="F214">
        <v>1</v>
      </c>
      <c r="G214">
        <v>44236</v>
      </c>
      <c r="H214">
        <v>44236</v>
      </c>
      <c r="K214" s="5" t="s">
        <v>162</v>
      </c>
      <c r="L214" t="s">
        <v>23</v>
      </c>
      <c r="M214" t="s">
        <v>24</v>
      </c>
      <c r="O214" t="s">
        <v>25</v>
      </c>
      <c r="P214" t="s">
        <v>25</v>
      </c>
      <c r="Q214" t="s">
        <v>28</v>
      </c>
    </row>
    <row r="215" spans="1:17" ht="15" customHeight="1">
      <c r="A215" t="s">
        <v>46</v>
      </c>
      <c r="B215">
        <v>221895</v>
      </c>
      <c r="C215" t="s">
        <v>19</v>
      </c>
      <c r="D215" t="s">
        <v>204</v>
      </c>
      <c r="E215" t="s">
        <v>42</v>
      </c>
      <c r="F215">
        <v>1</v>
      </c>
      <c r="G215">
        <v>44245</v>
      </c>
      <c r="H215">
        <v>44246</v>
      </c>
      <c r="K215" s="5" t="s">
        <v>162</v>
      </c>
      <c r="L215" t="s">
        <v>33</v>
      </c>
      <c r="M215" t="s">
        <v>24</v>
      </c>
      <c r="O215" t="s">
        <v>25</v>
      </c>
      <c r="P215" t="s">
        <v>25</v>
      </c>
      <c r="Q215" t="s">
        <v>28</v>
      </c>
    </row>
    <row r="216" spans="1:17" ht="15" customHeight="1">
      <c r="A216" t="s">
        <v>114</v>
      </c>
      <c r="B216">
        <v>218999</v>
      </c>
      <c r="C216" t="s">
        <v>19</v>
      </c>
      <c r="D216" t="s">
        <v>205</v>
      </c>
      <c r="E216" t="s">
        <v>72</v>
      </c>
      <c r="F216">
        <v>1</v>
      </c>
      <c r="G216">
        <v>44230</v>
      </c>
      <c r="H216">
        <v>44249</v>
      </c>
      <c r="K216" s="5" t="s">
        <v>165</v>
      </c>
      <c r="L216" t="s">
        <v>23</v>
      </c>
      <c r="M216" t="s">
        <v>24</v>
      </c>
      <c r="O216" t="s">
        <v>25</v>
      </c>
      <c r="Q216" t="s">
        <v>27</v>
      </c>
    </row>
    <row r="217" spans="1:17" ht="15" customHeight="1">
      <c r="A217" t="s">
        <v>36</v>
      </c>
      <c r="B217">
        <v>222168</v>
      </c>
      <c r="C217" t="s">
        <v>19</v>
      </c>
      <c r="D217" t="s">
        <v>206</v>
      </c>
      <c r="E217" t="s">
        <v>34</v>
      </c>
      <c r="F217">
        <v>2</v>
      </c>
      <c r="G217">
        <v>44246</v>
      </c>
      <c r="H217">
        <v>44253</v>
      </c>
      <c r="K217" s="5" t="s">
        <v>162</v>
      </c>
      <c r="L217" t="s">
        <v>33</v>
      </c>
      <c r="M217" t="s">
        <v>24</v>
      </c>
      <c r="O217" t="s">
        <v>26</v>
      </c>
      <c r="P217" t="s">
        <v>26</v>
      </c>
      <c r="Q217" t="s">
        <v>28</v>
      </c>
    </row>
    <row r="218" spans="1:17" ht="15" customHeight="1">
      <c r="A218" t="s">
        <v>36</v>
      </c>
      <c r="B218">
        <v>222168</v>
      </c>
      <c r="C218" t="s">
        <v>19</v>
      </c>
      <c r="D218" t="s">
        <v>206</v>
      </c>
      <c r="E218" t="s">
        <v>43</v>
      </c>
      <c r="F218">
        <v>2</v>
      </c>
      <c r="G218">
        <v>44246</v>
      </c>
      <c r="H218">
        <v>44253</v>
      </c>
      <c r="K218" s="5" t="s">
        <v>162</v>
      </c>
      <c r="L218" t="s">
        <v>33</v>
      </c>
      <c r="M218" t="s">
        <v>24</v>
      </c>
      <c r="O218" t="s">
        <v>26</v>
      </c>
      <c r="P218" t="s">
        <v>26</v>
      </c>
      <c r="Q218" t="s">
        <v>28</v>
      </c>
    </row>
    <row r="219" spans="1:17" ht="15" customHeight="1">
      <c r="A219" t="s">
        <v>36</v>
      </c>
      <c r="B219">
        <v>222168</v>
      </c>
      <c r="C219" t="s">
        <v>19</v>
      </c>
      <c r="D219" t="s">
        <v>206</v>
      </c>
      <c r="E219" t="s">
        <v>35</v>
      </c>
      <c r="F219">
        <v>4</v>
      </c>
      <c r="G219">
        <v>44246</v>
      </c>
      <c r="H219">
        <v>44253</v>
      </c>
      <c r="K219" s="5" t="s">
        <v>162</v>
      </c>
      <c r="L219" t="s">
        <v>33</v>
      </c>
      <c r="M219" t="s">
        <v>24</v>
      </c>
      <c r="O219" t="s">
        <v>26</v>
      </c>
      <c r="P219" t="s">
        <v>26</v>
      </c>
      <c r="Q219" t="s">
        <v>28</v>
      </c>
    </row>
    <row r="220" spans="1:17" ht="15" customHeight="1">
      <c r="A220" t="s">
        <v>36</v>
      </c>
      <c r="B220">
        <v>222168</v>
      </c>
      <c r="C220" t="s">
        <v>19</v>
      </c>
      <c r="D220" t="s">
        <v>206</v>
      </c>
      <c r="E220" t="s">
        <v>92</v>
      </c>
      <c r="F220">
        <v>2</v>
      </c>
      <c r="G220">
        <v>44246</v>
      </c>
      <c r="H220">
        <v>44253</v>
      </c>
      <c r="K220" s="5" t="s">
        <v>162</v>
      </c>
      <c r="L220" t="s">
        <v>33</v>
      </c>
      <c r="M220" t="s">
        <v>24</v>
      </c>
      <c r="O220" t="s">
        <v>26</v>
      </c>
      <c r="P220" t="s">
        <v>26</v>
      </c>
      <c r="Q220" t="s">
        <v>28</v>
      </c>
    </row>
    <row r="221" spans="1:17" ht="15" customHeight="1">
      <c r="A221" t="s">
        <v>36</v>
      </c>
      <c r="B221">
        <v>222168</v>
      </c>
      <c r="C221" t="s">
        <v>19</v>
      </c>
      <c r="D221" t="s">
        <v>206</v>
      </c>
      <c r="E221" t="s">
        <v>75</v>
      </c>
      <c r="F221">
        <v>1</v>
      </c>
      <c r="G221">
        <v>44246</v>
      </c>
      <c r="H221">
        <v>44256</v>
      </c>
      <c r="K221" s="5" t="s">
        <v>162</v>
      </c>
      <c r="L221" t="s">
        <v>33</v>
      </c>
      <c r="M221" t="s">
        <v>24</v>
      </c>
      <c r="O221" t="s">
        <v>26</v>
      </c>
      <c r="P221" t="s">
        <v>26</v>
      </c>
      <c r="Q221" t="s">
        <v>28</v>
      </c>
    </row>
    <row r="222" spans="1:17" ht="15" customHeight="1">
      <c r="A222" t="s">
        <v>94</v>
      </c>
      <c r="B222">
        <v>222688</v>
      </c>
      <c r="C222" t="s">
        <v>63</v>
      </c>
      <c r="D222" t="s">
        <v>207</v>
      </c>
      <c r="E222" t="s">
        <v>79</v>
      </c>
      <c r="F222">
        <v>1</v>
      </c>
      <c r="G222">
        <v>44249</v>
      </c>
      <c r="H222">
        <v>44258</v>
      </c>
      <c r="K222" s="5" t="s">
        <v>165</v>
      </c>
      <c r="L222" t="s">
        <v>41</v>
      </c>
      <c r="M222" t="s">
        <v>79</v>
      </c>
      <c r="O222" t="s">
        <v>26</v>
      </c>
      <c r="Q222" t="s">
        <v>28</v>
      </c>
    </row>
    <row r="223" spans="1:17" ht="15" customHeight="1">
      <c r="A223" t="s">
        <v>146</v>
      </c>
      <c r="B223">
        <v>222008</v>
      </c>
      <c r="C223" t="s">
        <v>19</v>
      </c>
      <c r="D223" t="s">
        <v>208</v>
      </c>
      <c r="E223" t="s">
        <v>209</v>
      </c>
      <c r="F223">
        <v>1</v>
      </c>
      <c r="G223">
        <v>44245</v>
      </c>
      <c r="H223">
        <v>44258</v>
      </c>
      <c r="K223" s="5" t="s">
        <v>165</v>
      </c>
      <c r="L223" t="s">
        <v>33</v>
      </c>
      <c r="M223" t="s">
        <v>24</v>
      </c>
      <c r="O223" t="s">
        <v>25</v>
      </c>
      <c r="Q223" t="s">
        <v>28</v>
      </c>
    </row>
    <row r="224" spans="1:17" ht="15" customHeight="1">
      <c r="A224" t="s">
        <v>146</v>
      </c>
      <c r="B224">
        <v>222495</v>
      </c>
      <c r="C224" t="s">
        <v>19</v>
      </c>
      <c r="D224" t="s">
        <v>210</v>
      </c>
      <c r="E224" t="s">
        <v>72</v>
      </c>
      <c r="F224">
        <v>2</v>
      </c>
      <c r="G224">
        <v>44249</v>
      </c>
      <c r="H224">
        <v>44257</v>
      </c>
      <c r="K224" s="5" t="s">
        <v>165</v>
      </c>
      <c r="L224" t="s">
        <v>57</v>
      </c>
      <c r="M224" t="s">
        <v>24</v>
      </c>
      <c r="O224" t="s">
        <v>25</v>
      </c>
      <c r="Q224" t="s">
        <v>28</v>
      </c>
    </row>
    <row r="225" spans="1:17" ht="15" customHeight="1">
      <c r="A225" t="s">
        <v>36</v>
      </c>
      <c r="B225">
        <v>222168</v>
      </c>
      <c r="C225" t="s">
        <v>19</v>
      </c>
      <c r="D225" t="s">
        <v>138</v>
      </c>
      <c r="E225" t="s">
        <v>72</v>
      </c>
      <c r="F225">
        <v>1</v>
      </c>
      <c r="G225">
        <v>44246</v>
      </c>
      <c r="H225">
        <v>44253</v>
      </c>
      <c r="K225" s="5" t="s">
        <v>165</v>
      </c>
      <c r="L225" t="s">
        <v>41</v>
      </c>
      <c r="M225" t="s">
        <v>79</v>
      </c>
      <c r="O225" t="s">
        <v>26</v>
      </c>
      <c r="Q225" t="s">
        <v>28</v>
      </c>
    </row>
    <row r="226" spans="1:17" ht="15" customHeight="1">
      <c r="A226" t="s">
        <v>36</v>
      </c>
      <c r="B226">
        <v>221022</v>
      </c>
      <c r="C226" t="s">
        <v>30</v>
      </c>
      <c r="D226" t="s">
        <v>211</v>
      </c>
      <c r="E226" t="s">
        <v>72</v>
      </c>
      <c r="F226">
        <v>1</v>
      </c>
      <c r="G226">
        <v>44238</v>
      </c>
      <c r="H226">
        <v>44252</v>
      </c>
      <c r="I226" s="5">
        <v>44252</v>
      </c>
      <c r="K226" s="5" t="s">
        <v>162</v>
      </c>
      <c r="L226" t="s">
        <v>23</v>
      </c>
      <c r="M226" t="s">
        <v>24</v>
      </c>
      <c r="O226" t="s">
        <v>25</v>
      </c>
      <c r="P226" t="s">
        <v>25</v>
      </c>
      <c r="Q226" t="s">
        <v>53</v>
      </c>
    </row>
    <row r="227" spans="1:17" ht="15" customHeight="1">
      <c r="A227" t="s">
        <v>18</v>
      </c>
      <c r="B227">
        <v>223415</v>
      </c>
      <c r="C227" t="s">
        <v>30</v>
      </c>
      <c r="D227" t="s">
        <v>212</v>
      </c>
      <c r="E227" t="s">
        <v>79</v>
      </c>
      <c r="F227">
        <v>1</v>
      </c>
      <c r="G227">
        <v>44252</v>
      </c>
      <c r="H227">
        <v>44256</v>
      </c>
      <c r="J227" s="5" t="s">
        <v>213</v>
      </c>
      <c r="K227" s="5" t="s">
        <v>165</v>
      </c>
      <c r="L227" t="s">
        <v>41</v>
      </c>
      <c r="M227" t="s">
        <v>24</v>
      </c>
      <c r="O227" t="s">
        <v>26</v>
      </c>
    </row>
    <row r="228" spans="1:17" ht="15" customHeight="1">
      <c r="A228" t="s">
        <v>94</v>
      </c>
      <c r="B228">
        <v>223995</v>
      </c>
      <c r="C228" t="s">
        <v>19</v>
      </c>
      <c r="D228" t="s">
        <v>214</v>
      </c>
      <c r="E228" t="s">
        <v>34</v>
      </c>
      <c r="F228">
        <v>1</v>
      </c>
      <c r="G228">
        <v>44253</v>
      </c>
      <c r="H228">
        <v>44258</v>
      </c>
      <c r="K228" s="5" t="s">
        <v>165</v>
      </c>
      <c r="L228" t="s">
        <v>41</v>
      </c>
      <c r="M228" t="s">
        <v>24</v>
      </c>
      <c r="O228" t="s">
        <v>26</v>
      </c>
      <c r="Q228" t="s">
        <v>28</v>
      </c>
    </row>
    <row r="229" spans="1:17" ht="15" customHeight="1">
      <c r="A229" t="s">
        <v>36</v>
      </c>
      <c r="B229">
        <v>224201</v>
      </c>
      <c r="C229" t="s">
        <v>19</v>
      </c>
      <c r="D229" t="s">
        <v>215</v>
      </c>
      <c r="E229" t="s">
        <v>34</v>
      </c>
      <c r="F229">
        <v>1</v>
      </c>
      <c r="G229">
        <v>44256</v>
      </c>
      <c r="H229">
        <v>44258</v>
      </c>
      <c r="K229" s="5" t="s">
        <v>165</v>
      </c>
      <c r="L229" t="s">
        <v>33</v>
      </c>
      <c r="M229" t="s">
        <v>24</v>
      </c>
      <c r="O229" t="s">
        <v>25</v>
      </c>
    </row>
    <row r="230" spans="1:17" ht="15" customHeight="1">
      <c r="A230" t="s">
        <v>130</v>
      </c>
      <c r="B230">
        <v>224161</v>
      </c>
      <c r="C230" t="s">
        <v>19</v>
      </c>
      <c r="D230" t="s">
        <v>216</v>
      </c>
      <c r="E230" t="s">
        <v>217</v>
      </c>
      <c r="F230">
        <v>2</v>
      </c>
      <c r="G230">
        <v>44256</v>
      </c>
      <c r="H230">
        <v>44257</v>
      </c>
      <c r="K230" s="5" t="s">
        <v>165</v>
      </c>
      <c r="L230" t="s">
        <v>33</v>
      </c>
      <c r="M230" t="s">
        <v>24</v>
      </c>
      <c r="O230" t="s">
        <v>25</v>
      </c>
      <c r="Q230" t="s">
        <v>28</v>
      </c>
    </row>
    <row r="231" spans="1:17" ht="15" customHeight="1">
      <c r="A231" t="s">
        <v>67</v>
      </c>
      <c r="B231">
        <v>223817</v>
      </c>
      <c r="C231" t="s">
        <v>19</v>
      </c>
      <c r="D231" t="s">
        <v>218</v>
      </c>
      <c r="E231" t="s">
        <v>153</v>
      </c>
      <c r="F231">
        <v>1</v>
      </c>
      <c r="G231">
        <v>44253</v>
      </c>
      <c r="H231">
        <v>44257</v>
      </c>
      <c r="K231" s="5" t="s">
        <v>165</v>
      </c>
      <c r="L231" t="s">
        <v>33</v>
      </c>
      <c r="M231" t="s">
        <v>24</v>
      </c>
      <c r="O231" t="s">
        <v>25</v>
      </c>
      <c r="Q231" t="s">
        <v>27</v>
      </c>
    </row>
  </sheetData>
  <autoFilter ref="A1:R1" xr:uid="{244B356D-486F-4C71-9A50-DA1E6D657082}"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J84"/>
  <sheetViews>
    <sheetView workbookViewId="0">
      <selection activeCell="J12" sqref="J12"/>
    </sheetView>
  </sheetViews>
  <sheetFormatPr defaultRowHeight="15"/>
  <cols>
    <col min="1" max="1" width="24.140625" customWidth="1"/>
    <col min="2" max="2" width="16.5703125" customWidth="1"/>
    <col min="3" max="3" width="32.5703125" bestFit="1" customWidth="1"/>
    <col min="4" max="4" width="19.7109375" customWidth="1"/>
    <col min="5" max="5" width="12.42578125" bestFit="1" customWidth="1"/>
    <col min="6" max="6" width="27" bestFit="1" customWidth="1"/>
    <col min="7" max="7" width="32.85546875" customWidth="1"/>
    <col min="8" max="8" width="23.140625" customWidth="1"/>
    <col min="9" max="9" width="14.85546875" bestFit="1" customWidth="1"/>
    <col min="10" max="10" width="21.85546875" bestFit="1" customWidth="1"/>
  </cols>
  <sheetData>
    <row r="1" spans="1:10" ht="15" customHeight="1">
      <c r="A1" s="6" t="s">
        <v>0</v>
      </c>
      <c r="B1" s="7" t="s">
        <v>2</v>
      </c>
      <c r="C1" s="7" t="s">
        <v>4</v>
      </c>
      <c r="D1" s="7" t="s">
        <v>9</v>
      </c>
      <c r="E1" s="7" t="s">
        <v>10</v>
      </c>
      <c r="F1" s="7" t="s">
        <v>11</v>
      </c>
      <c r="G1" s="7" t="s">
        <v>12</v>
      </c>
      <c r="H1" s="7" t="s">
        <v>219</v>
      </c>
      <c r="I1" s="7" t="s">
        <v>16</v>
      </c>
      <c r="J1" s="8" t="s">
        <v>220</v>
      </c>
    </row>
    <row r="2" spans="1:10">
      <c r="A2" s="1" t="s">
        <v>221</v>
      </c>
      <c r="B2" t="s">
        <v>30</v>
      </c>
      <c r="C2" t="s">
        <v>222</v>
      </c>
      <c r="E2" s="3" t="s">
        <v>22</v>
      </c>
      <c r="F2" s="1" t="s">
        <v>23</v>
      </c>
      <c r="G2" s="1" t="s">
        <v>24</v>
      </c>
      <c r="H2" s="1" t="s">
        <v>25</v>
      </c>
      <c r="I2" t="s">
        <v>223</v>
      </c>
      <c r="J2" t="s">
        <v>223</v>
      </c>
    </row>
    <row r="3" spans="1:10" ht="15" customHeight="1">
      <c r="A3" s="1" t="s">
        <v>39</v>
      </c>
      <c r="B3" t="s">
        <v>19</v>
      </c>
      <c r="C3" t="s">
        <v>21</v>
      </c>
      <c r="E3" s="2" t="s">
        <v>162</v>
      </c>
      <c r="F3" s="1" t="s">
        <v>41</v>
      </c>
      <c r="G3" s="1" t="s">
        <v>79</v>
      </c>
      <c r="H3" s="1" t="s">
        <v>26</v>
      </c>
      <c r="I3" t="s">
        <v>73</v>
      </c>
      <c r="J3" t="s">
        <v>73</v>
      </c>
    </row>
    <row r="4" spans="1:10" ht="15" customHeight="1">
      <c r="A4" s="1" t="s">
        <v>94</v>
      </c>
      <c r="B4" t="s">
        <v>224</v>
      </c>
      <c r="C4" t="s">
        <v>66</v>
      </c>
      <c r="E4" s="1" t="s">
        <v>165</v>
      </c>
      <c r="F4" t="s">
        <v>33</v>
      </c>
      <c r="G4" s="1" t="s">
        <v>225</v>
      </c>
      <c r="I4" t="s">
        <v>27</v>
      </c>
      <c r="J4" t="s">
        <v>27</v>
      </c>
    </row>
    <row r="5" spans="1:10" ht="15" customHeight="1">
      <c r="A5" s="1" t="s">
        <v>226</v>
      </c>
      <c r="B5" s="1" t="s">
        <v>227</v>
      </c>
      <c r="C5" t="s">
        <v>228</v>
      </c>
      <c r="E5" s="4" t="s">
        <v>229</v>
      </c>
      <c r="F5" s="1" t="s">
        <v>230</v>
      </c>
      <c r="G5" s="1" t="s">
        <v>231</v>
      </c>
      <c r="H5" s="1"/>
      <c r="I5" t="s">
        <v>28</v>
      </c>
      <c r="J5" t="s">
        <v>28</v>
      </c>
    </row>
    <row r="6" spans="1:10" ht="15" customHeight="1">
      <c r="A6" s="1" t="s">
        <v>76</v>
      </c>
      <c r="B6" t="s">
        <v>232</v>
      </c>
      <c r="C6" t="s">
        <v>233</v>
      </c>
      <c r="E6" s="9" t="s">
        <v>197</v>
      </c>
      <c r="F6" s="1" t="s">
        <v>57</v>
      </c>
      <c r="G6" s="1" t="s">
        <v>234</v>
      </c>
      <c r="H6" s="1"/>
      <c r="I6" t="s">
        <v>53</v>
      </c>
      <c r="J6" t="s">
        <v>53</v>
      </c>
    </row>
    <row r="7" spans="1:10" ht="15" customHeight="1">
      <c r="A7" s="1" t="s">
        <v>163</v>
      </c>
      <c r="B7" t="s">
        <v>63</v>
      </c>
      <c r="C7" t="s">
        <v>235</v>
      </c>
      <c r="G7" s="1" t="s">
        <v>236</v>
      </c>
      <c r="H7" s="1"/>
    </row>
    <row r="8" spans="1:10" ht="15" customHeight="1">
      <c r="A8" s="1" t="s">
        <v>134</v>
      </c>
      <c r="B8" t="s">
        <v>237</v>
      </c>
      <c r="C8" t="s">
        <v>38</v>
      </c>
      <c r="D8" s="1"/>
      <c r="G8" s="1"/>
      <c r="H8" s="1"/>
    </row>
    <row r="9" spans="1:10" ht="15" customHeight="1">
      <c r="A9" s="1" t="s">
        <v>70</v>
      </c>
      <c r="B9" t="s">
        <v>238</v>
      </c>
      <c r="C9" t="s">
        <v>42</v>
      </c>
      <c r="D9" s="1"/>
      <c r="H9" s="1"/>
    </row>
    <row r="10" spans="1:10" ht="15" customHeight="1">
      <c r="A10" s="1" t="s">
        <v>46</v>
      </c>
      <c r="B10" s="1" t="s">
        <v>239</v>
      </c>
      <c r="C10" t="s">
        <v>240</v>
      </c>
      <c r="D10" s="1"/>
      <c r="H10" s="1"/>
    </row>
    <row r="11" spans="1:10" ht="15" customHeight="1">
      <c r="A11" s="1" t="s">
        <v>241</v>
      </c>
      <c r="B11" t="s">
        <v>242</v>
      </c>
      <c r="C11" t="s">
        <v>243</v>
      </c>
      <c r="D11" s="1"/>
      <c r="G11" s="1"/>
      <c r="H11" s="1"/>
    </row>
    <row r="12" spans="1:10" ht="15" customHeight="1">
      <c r="A12" s="1" t="s">
        <v>54</v>
      </c>
      <c r="B12" t="s">
        <v>244</v>
      </c>
      <c r="C12" t="s">
        <v>245</v>
      </c>
      <c r="D12" s="1"/>
      <c r="G12" s="1"/>
      <c r="H12" s="1"/>
    </row>
    <row r="13" spans="1:10" ht="15" customHeight="1">
      <c r="A13" s="1" t="s">
        <v>130</v>
      </c>
      <c r="B13" t="s">
        <v>246</v>
      </c>
      <c r="C13" t="s">
        <v>209</v>
      </c>
      <c r="D13" s="1"/>
      <c r="G13" s="1"/>
      <c r="H13" s="1"/>
    </row>
    <row r="14" spans="1:10" ht="15" customHeight="1">
      <c r="A14" s="1" t="s">
        <v>247</v>
      </c>
      <c r="B14" t="s">
        <v>172</v>
      </c>
      <c r="C14" t="s">
        <v>72</v>
      </c>
      <c r="D14" s="1"/>
      <c r="G14" s="1"/>
      <c r="H14" s="1"/>
    </row>
    <row r="15" spans="1:10" ht="15" customHeight="1">
      <c r="A15" s="1" t="s">
        <v>146</v>
      </c>
      <c r="B15" t="s">
        <v>55</v>
      </c>
      <c r="C15" t="s">
        <v>248</v>
      </c>
      <c r="D15" s="1"/>
      <c r="H15" s="1"/>
    </row>
    <row r="16" spans="1:10" ht="15" customHeight="1">
      <c r="A16" s="1" t="s">
        <v>18</v>
      </c>
      <c r="C16" t="s">
        <v>249</v>
      </c>
      <c r="D16" s="1"/>
      <c r="H16" s="1"/>
    </row>
    <row r="17" spans="1:8" ht="15" customHeight="1">
      <c r="A17" s="1" t="s">
        <v>193</v>
      </c>
      <c r="B17" s="1"/>
      <c r="C17" t="s">
        <v>148</v>
      </c>
      <c r="D17" s="1"/>
      <c r="H17" s="1"/>
    </row>
    <row r="18" spans="1:8" ht="15" customHeight="1">
      <c r="A18" s="1" t="s">
        <v>58</v>
      </c>
      <c r="B18" s="1"/>
      <c r="C18" t="s">
        <v>250</v>
      </c>
      <c r="D18" s="1"/>
      <c r="H18" s="1"/>
    </row>
    <row r="19" spans="1:8" ht="15" customHeight="1">
      <c r="A19" s="1" t="s">
        <v>67</v>
      </c>
      <c r="B19" s="1"/>
      <c r="C19" t="s">
        <v>43</v>
      </c>
      <c r="D19" s="1"/>
      <c r="H19" s="1"/>
    </row>
    <row r="20" spans="1:8" ht="15" customHeight="1">
      <c r="A20" s="1" t="s">
        <v>29</v>
      </c>
      <c r="B20" s="1"/>
      <c r="C20" t="s">
        <v>60</v>
      </c>
      <c r="D20" s="1"/>
    </row>
    <row r="21" spans="1:8" ht="15" customHeight="1">
      <c r="A21" s="1" t="s">
        <v>251</v>
      </c>
      <c r="B21" s="1"/>
      <c r="C21" t="s">
        <v>252</v>
      </c>
      <c r="D21" s="1"/>
    </row>
    <row r="22" spans="1:8" ht="15" customHeight="1">
      <c r="A22" s="1" t="s">
        <v>114</v>
      </c>
      <c r="B22" s="1"/>
      <c r="C22" t="s">
        <v>253</v>
      </c>
      <c r="D22" s="1"/>
    </row>
    <row r="23" spans="1:8" ht="15" customHeight="1">
      <c r="A23" s="1" t="s">
        <v>183</v>
      </c>
      <c r="B23" s="1"/>
      <c r="C23" t="s">
        <v>254</v>
      </c>
      <c r="D23" s="1"/>
    </row>
    <row r="24" spans="1:8" ht="15" customHeight="1">
      <c r="A24" s="1" t="s">
        <v>36</v>
      </c>
      <c r="B24" s="1"/>
      <c r="C24" t="s">
        <v>255</v>
      </c>
    </row>
    <row r="25" spans="1:8" ht="15" customHeight="1">
      <c r="A25" s="1" t="s">
        <v>256</v>
      </c>
      <c r="B25" s="1"/>
      <c r="C25" t="s">
        <v>257</v>
      </c>
    </row>
    <row r="26" spans="1:8" ht="15" customHeight="1">
      <c r="A26" s="1"/>
      <c r="B26" s="1"/>
      <c r="C26" t="s">
        <v>258</v>
      </c>
    </row>
    <row r="27" spans="1:8" ht="15" customHeight="1">
      <c r="A27" s="1"/>
      <c r="B27" s="1"/>
      <c r="C27" t="s">
        <v>34</v>
      </c>
    </row>
    <row r="28" spans="1:8" ht="15" customHeight="1">
      <c r="A28" s="1"/>
      <c r="B28" s="1"/>
      <c r="C28" t="s">
        <v>259</v>
      </c>
    </row>
    <row r="29" spans="1:8" ht="15" customHeight="1">
      <c r="A29" s="1"/>
      <c r="B29" s="1"/>
      <c r="C29" t="s">
        <v>260</v>
      </c>
    </row>
    <row r="30" spans="1:8" ht="15" customHeight="1">
      <c r="A30" s="1"/>
      <c r="B30" s="1"/>
      <c r="C30" t="s">
        <v>261</v>
      </c>
    </row>
    <row r="31" spans="1:8" ht="15" customHeight="1">
      <c r="A31" s="1"/>
      <c r="B31" s="1"/>
      <c r="C31" t="s">
        <v>44</v>
      </c>
    </row>
    <row r="32" spans="1:8" ht="15" customHeight="1">
      <c r="A32" s="1"/>
      <c r="B32" s="1"/>
      <c r="C32" t="s">
        <v>61</v>
      </c>
    </row>
    <row r="33" spans="1:4" ht="15" customHeight="1">
      <c r="A33" s="1"/>
      <c r="B33" s="1"/>
      <c r="C33" t="s">
        <v>262</v>
      </c>
    </row>
    <row r="34" spans="1:4" ht="15" customHeight="1">
      <c r="A34" s="1"/>
      <c r="B34" s="1"/>
      <c r="C34" t="s">
        <v>80</v>
      </c>
    </row>
    <row r="35" spans="1:4" ht="15" customHeight="1">
      <c r="A35" s="1"/>
      <c r="B35" s="1"/>
      <c r="C35" t="s">
        <v>118</v>
      </c>
    </row>
    <row r="36" spans="1:4" ht="15" customHeight="1">
      <c r="A36" s="1"/>
      <c r="B36" s="1"/>
      <c r="C36" t="s">
        <v>82</v>
      </c>
    </row>
    <row r="37" spans="1:4" ht="15" customHeight="1">
      <c r="A37" s="1"/>
      <c r="B37" s="1"/>
      <c r="C37" t="s">
        <v>263</v>
      </c>
      <c r="D37" s="1"/>
    </row>
    <row r="38" spans="1:4" ht="15" customHeight="1">
      <c r="A38" s="1"/>
      <c r="B38" s="1"/>
      <c r="C38" t="s">
        <v>92</v>
      </c>
      <c r="D38" s="1"/>
    </row>
    <row r="39" spans="1:4" ht="15" customHeight="1">
      <c r="A39" s="1"/>
      <c r="B39" s="1"/>
      <c r="C39" t="s">
        <v>132</v>
      </c>
      <c r="D39" s="1"/>
    </row>
    <row r="40" spans="1:4" ht="15" customHeight="1">
      <c r="A40" s="1"/>
      <c r="B40" s="1"/>
      <c r="C40" t="s">
        <v>217</v>
      </c>
      <c r="D40" s="1"/>
    </row>
    <row r="41" spans="1:4" ht="15" customHeight="1">
      <c r="A41" s="1"/>
      <c r="B41" s="1"/>
      <c r="C41" t="s">
        <v>264</v>
      </c>
      <c r="D41" s="1"/>
    </row>
    <row r="42" spans="1:4" ht="15" customHeight="1">
      <c r="A42" s="1"/>
      <c r="B42" s="1"/>
      <c r="C42" t="s">
        <v>265</v>
      </c>
      <c r="D42" s="1"/>
    </row>
    <row r="43" spans="1:4" ht="15" customHeight="1">
      <c r="A43" s="1"/>
      <c r="B43" s="1"/>
      <c r="C43" t="s">
        <v>266</v>
      </c>
      <c r="D43" s="1"/>
    </row>
    <row r="44" spans="1:4" ht="15" customHeight="1">
      <c r="A44" s="1"/>
      <c r="B44" s="1"/>
      <c r="C44" t="s">
        <v>267</v>
      </c>
      <c r="D44" s="1"/>
    </row>
    <row r="45" spans="1:4" ht="15" customHeight="1">
      <c r="A45" s="1"/>
      <c r="B45" s="1"/>
      <c r="C45" t="s">
        <v>62</v>
      </c>
      <c r="D45" s="1"/>
    </row>
    <row r="46" spans="1:4">
      <c r="A46" s="1"/>
      <c r="B46" s="1"/>
      <c r="C46" t="s">
        <v>268</v>
      </c>
      <c r="D46" s="1"/>
    </row>
    <row r="47" spans="1:4">
      <c r="C47" t="s">
        <v>269</v>
      </c>
    </row>
    <row r="48" spans="1:4">
      <c r="C48" t="s">
        <v>141</v>
      </c>
    </row>
    <row r="49" spans="3:3">
      <c r="C49" t="s">
        <v>270</v>
      </c>
    </row>
    <row r="50" spans="3:3">
      <c r="C50" t="s">
        <v>271</v>
      </c>
    </row>
    <row r="51" spans="3:3">
      <c r="C51" t="s">
        <v>272</v>
      </c>
    </row>
    <row r="52" spans="3:3">
      <c r="C52" t="s">
        <v>273</v>
      </c>
    </row>
    <row r="53" spans="3:3">
      <c r="C53" t="s">
        <v>274</v>
      </c>
    </row>
    <row r="54" spans="3:3">
      <c r="C54" t="s">
        <v>81</v>
      </c>
    </row>
    <row r="55" spans="3:3">
      <c r="C55" t="s">
        <v>64</v>
      </c>
    </row>
    <row r="56" spans="3:3">
      <c r="C56" t="s">
        <v>107</v>
      </c>
    </row>
    <row r="57" spans="3:3">
      <c r="C57" t="s">
        <v>143</v>
      </c>
    </row>
    <row r="58" spans="3:3">
      <c r="C58" t="s">
        <v>275</v>
      </c>
    </row>
    <row r="59" spans="3:3">
      <c r="C59" t="s">
        <v>276</v>
      </c>
    </row>
    <row r="60" spans="3:3">
      <c r="C60" t="s">
        <v>89</v>
      </c>
    </row>
    <row r="61" spans="3:3">
      <c r="C61" t="s">
        <v>48</v>
      </c>
    </row>
    <row r="62" spans="3:3">
      <c r="C62" t="s">
        <v>75</v>
      </c>
    </row>
    <row r="63" spans="3:3">
      <c r="C63" t="s">
        <v>32</v>
      </c>
    </row>
    <row r="64" spans="3:3">
      <c r="C64" t="s">
        <v>277</v>
      </c>
    </row>
    <row r="65" spans="3:3">
      <c r="C65" t="s">
        <v>153</v>
      </c>
    </row>
    <row r="66" spans="3:3">
      <c r="C66" t="s">
        <v>231</v>
      </c>
    </row>
    <row r="67" spans="3:3">
      <c r="C67" t="s">
        <v>278</v>
      </c>
    </row>
    <row r="68" spans="3:3">
      <c r="C68" t="s">
        <v>279</v>
      </c>
    </row>
    <row r="69" spans="3:3">
      <c r="C69" t="s">
        <v>280</v>
      </c>
    </row>
    <row r="70" spans="3:3">
      <c r="C70" t="s">
        <v>281</v>
      </c>
    </row>
    <row r="71" spans="3:3">
      <c r="C71" t="s">
        <v>88</v>
      </c>
    </row>
    <row r="72" spans="3:3">
      <c r="C72" t="s">
        <v>45</v>
      </c>
    </row>
    <row r="73" spans="3:3">
      <c r="C73" t="s">
        <v>157</v>
      </c>
    </row>
    <row r="74" spans="3:3">
      <c r="C74" t="s">
        <v>35</v>
      </c>
    </row>
    <row r="75" spans="3:3">
      <c r="C75" t="s">
        <v>282</v>
      </c>
    </row>
    <row r="76" spans="3:3">
      <c r="C76" t="s">
        <v>283</v>
      </c>
    </row>
    <row r="77" spans="3:3">
      <c r="C77" t="s">
        <v>284</v>
      </c>
    </row>
    <row r="78" spans="3:3">
      <c r="C78" t="s">
        <v>285</v>
      </c>
    </row>
    <row r="79" spans="3:3">
      <c r="C79" t="s">
        <v>93</v>
      </c>
    </row>
    <row r="80" spans="3:3">
      <c r="C80" t="s">
        <v>79</v>
      </c>
    </row>
    <row r="81" spans="3:3">
      <c r="C81" t="s">
        <v>286</v>
      </c>
    </row>
    <row r="82" spans="3:3">
      <c r="C82" t="s">
        <v>287</v>
      </c>
    </row>
    <row r="83" spans="3:3">
      <c r="C83" t="s">
        <v>110</v>
      </c>
    </row>
    <row r="84" spans="3:3">
      <c r="C84" t="s">
        <v>288</v>
      </c>
    </row>
  </sheetData>
  <sortState xmlns:xlrd2="http://schemas.microsoft.com/office/spreadsheetml/2017/richdata2" ref="C2:C84">
    <sortCondition ref="C84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2918C-0969-4AF6-867B-6D565710BAF8}">
  <dimension ref="A1:Z5"/>
  <sheetViews>
    <sheetView workbookViewId="0">
      <selection activeCell="H9" sqref="H9"/>
    </sheetView>
  </sheetViews>
  <sheetFormatPr defaultRowHeight="15"/>
  <cols>
    <col min="1" max="1" width="12.28515625" bestFit="1" customWidth="1"/>
  </cols>
  <sheetData>
    <row r="1" spans="1:26" ht="23.25">
      <c r="B1" s="68" t="s">
        <v>289</v>
      </c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44"/>
      <c r="O1" s="69" t="s">
        <v>290</v>
      </c>
      <c r="P1" s="69"/>
      <c r="Q1" s="69"/>
      <c r="R1" s="69"/>
      <c r="S1" s="69"/>
      <c r="T1" s="69"/>
      <c r="U1" s="69"/>
      <c r="V1" s="69"/>
      <c r="W1" s="69"/>
      <c r="X1" s="69"/>
      <c r="Y1" s="69"/>
      <c r="Z1" s="69"/>
    </row>
    <row r="2" spans="1:26" ht="18.75">
      <c r="A2" s="38"/>
      <c r="B2" s="39" t="s">
        <v>291</v>
      </c>
      <c r="C2" s="39" t="s">
        <v>292</v>
      </c>
      <c r="D2" s="39" t="s">
        <v>293</v>
      </c>
      <c r="E2" s="39" t="s">
        <v>294</v>
      </c>
      <c r="F2" s="39" t="s">
        <v>295</v>
      </c>
      <c r="G2" s="39" t="s">
        <v>296</v>
      </c>
      <c r="H2" s="39" t="s">
        <v>297</v>
      </c>
      <c r="I2" s="39" t="s">
        <v>298</v>
      </c>
      <c r="J2" s="39" t="s">
        <v>299</v>
      </c>
      <c r="K2" s="39" t="s">
        <v>300</v>
      </c>
      <c r="L2" s="39" t="s">
        <v>301</v>
      </c>
      <c r="M2" s="39" t="s">
        <v>302</v>
      </c>
      <c r="O2" s="40" t="s">
        <v>303</v>
      </c>
      <c r="P2" s="40" t="s">
        <v>304</v>
      </c>
      <c r="Q2" s="40" t="s">
        <v>305</v>
      </c>
      <c r="R2" s="40" t="s">
        <v>306</v>
      </c>
      <c r="S2" s="40" t="s">
        <v>307</v>
      </c>
      <c r="T2" s="40" t="s">
        <v>308</v>
      </c>
      <c r="U2" s="40" t="s">
        <v>309</v>
      </c>
      <c r="V2" s="40" t="s">
        <v>310</v>
      </c>
      <c r="W2" s="40" t="s">
        <v>311</v>
      </c>
      <c r="X2" s="40" t="s">
        <v>312</v>
      </c>
      <c r="Y2" s="40" t="s">
        <v>313</v>
      </c>
      <c r="Z2" s="40" t="s">
        <v>314</v>
      </c>
    </row>
    <row r="3" spans="1:26">
      <c r="A3" s="41" t="s">
        <v>315</v>
      </c>
      <c r="B3" s="41" t="e">
        <f>COUNTIFS('[1]DADOS 2021'!$O:$O,[1]ANÁLISE!$A3,'[1]DADOS 2021'!$I:$I,[1]ANÁLISE!O$3,'[1]DADOS 2021'!$I:$I,[1]ANÁLISE!O$4,'[1]DADOS 2021'!$K:$K,"&lt;&gt;NOVO")</f>
        <v>#VALUE!</v>
      </c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O3" s="42" t="s">
        <v>316</v>
      </c>
      <c r="P3" s="42" t="s">
        <v>317</v>
      </c>
      <c r="Q3" s="42" t="s">
        <v>318</v>
      </c>
      <c r="R3" s="42" t="s">
        <v>319</v>
      </c>
      <c r="S3" s="42" t="s">
        <v>320</v>
      </c>
      <c r="T3" s="42" t="s">
        <v>321</v>
      </c>
      <c r="U3" s="42" t="s">
        <v>322</v>
      </c>
      <c r="V3" s="42" t="s">
        <v>323</v>
      </c>
      <c r="W3" s="42" t="s">
        <v>324</v>
      </c>
      <c r="X3" s="42" t="s">
        <v>325</v>
      </c>
      <c r="Y3" s="42" t="s">
        <v>326</v>
      </c>
      <c r="Z3" s="42" t="s">
        <v>327</v>
      </c>
    </row>
    <row r="4" spans="1:26">
      <c r="A4" s="41" t="s">
        <v>328</v>
      </c>
      <c r="B4" s="41" t="e">
        <f>COUNTIFS('[1]DADOS 2021'!$O:$O,[1]ANÁLISE!$A4,'[1]DADOS 2021'!$I:$I,[1]ANÁLISE!O$3,'[1]DADOS 2021'!$I:$I,[1]ANÁLISE!O$4,'[1]DADOS 2021'!$K:$K,"&lt;&gt;NOVO")</f>
        <v>#VALUE!</v>
      </c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O4" s="42" t="s">
        <v>329</v>
      </c>
      <c r="P4" s="42" t="s">
        <v>330</v>
      </c>
      <c r="Q4" s="42" t="s">
        <v>331</v>
      </c>
      <c r="R4" s="42" t="s">
        <v>332</v>
      </c>
      <c r="S4" s="42" t="s">
        <v>333</v>
      </c>
      <c r="T4" s="42" t="s">
        <v>334</v>
      </c>
      <c r="U4" s="42" t="s">
        <v>335</v>
      </c>
      <c r="V4" s="42" t="s">
        <v>336</v>
      </c>
      <c r="W4" s="42" t="s">
        <v>337</v>
      </c>
      <c r="X4" s="42" t="s">
        <v>338</v>
      </c>
      <c r="Y4" s="42" t="s">
        <v>339</v>
      </c>
      <c r="Z4" s="42" t="s">
        <v>340</v>
      </c>
    </row>
    <row r="5" spans="1:26">
      <c r="A5" s="41" t="s">
        <v>341</v>
      </c>
      <c r="B5" s="43" t="e">
        <f>B3/SUM(B3:B4)</f>
        <v>#VALUE!</v>
      </c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</row>
  </sheetData>
  <mergeCells count="2">
    <mergeCell ref="B1:M1"/>
    <mergeCell ref="O1:Z1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099EC-57AB-49C4-8B81-8B8A7AEB8385}">
  <dimension ref="A1:Q32"/>
  <sheetViews>
    <sheetView topLeftCell="A15" workbookViewId="0">
      <selection activeCell="L27" sqref="L27"/>
    </sheetView>
  </sheetViews>
  <sheetFormatPr defaultRowHeight="15"/>
  <cols>
    <col min="1" max="1" width="9.5703125" customWidth="1"/>
    <col min="2" max="2" width="42.42578125" customWidth="1"/>
    <col min="3" max="3" width="11.5703125" bestFit="1" customWidth="1"/>
    <col min="4" max="4" width="11" bestFit="1" customWidth="1"/>
    <col min="5" max="5" width="13.140625" customWidth="1"/>
    <col min="6" max="6" width="21" customWidth="1"/>
    <col min="7" max="7" width="19.140625" bestFit="1" customWidth="1"/>
    <col min="8" max="10" width="9.5703125" customWidth="1"/>
    <col min="11" max="11" width="41.5703125" bestFit="1" customWidth="1"/>
    <col min="12" max="12" width="11.5703125" bestFit="1" customWidth="1"/>
    <col min="13" max="13" width="11" bestFit="1" customWidth="1"/>
    <col min="14" max="14" width="11.5703125" customWidth="1"/>
    <col min="15" max="15" width="13.42578125" bestFit="1" customWidth="1"/>
    <col min="16" max="16" width="19.140625" bestFit="1" customWidth="1"/>
    <col min="17" max="17" width="9.5703125" customWidth="1"/>
  </cols>
  <sheetData>
    <row r="1" spans="1:17" ht="31.5">
      <c r="A1" s="72" t="s">
        <v>342</v>
      </c>
      <c r="B1" s="72"/>
      <c r="C1" s="72"/>
      <c r="D1" s="72"/>
      <c r="E1" s="72"/>
      <c r="F1" s="72"/>
      <c r="G1" s="72"/>
      <c r="H1" s="72"/>
      <c r="I1" s="45"/>
      <c r="J1" s="72" t="s">
        <v>343</v>
      </c>
      <c r="K1" s="72"/>
      <c r="L1" s="72"/>
      <c r="M1" s="72"/>
      <c r="N1" s="72"/>
      <c r="O1" s="72"/>
      <c r="P1" s="72"/>
      <c r="Q1" s="72"/>
    </row>
    <row r="2" spans="1:17">
      <c r="A2" s="46"/>
      <c r="B2" s="46"/>
      <c r="C2" s="46"/>
      <c r="D2" s="46"/>
      <c r="E2" s="46"/>
      <c r="F2" s="46"/>
      <c r="G2" s="46"/>
      <c r="H2" s="46"/>
      <c r="I2" s="45"/>
      <c r="J2" s="46"/>
      <c r="K2" s="46"/>
      <c r="L2" s="46"/>
      <c r="M2" s="46"/>
      <c r="N2" s="46"/>
      <c r="O2" s="46"/>
      <c r="P2" s="47"/>
      <c r="Q2" s="48"/>
    </row>
    <row r="3" spans="1:17" ht="21">
      <c r="A3" s="46"/>
      <c r="B3" s="70" t="s">
        <v>344</v>
      </c>
      <c r="C3" s="70"/>
      <c r="D3" s="70"/>
      <c r="E3" s="70"/>
      <c r="F3" s="70"/>
      <c r="G3" s="70"/>
      <c r="H3" s="46"/>
      <c r="I3" s="45"/>
      <c r="J3" s="46"/>
      <c r="K3" s="70" t="s">
        <v>345</v>
      </c>
      <c r="L3" s="70"/>
      <c r="M3" s="70"/>
      <c r="N3" s="70"/>
      <c r="O3" s="70"/>
      <c r="P3" s="70"/>
      <c r="Q3" s="49"/>
    </row>
    <row r="4" spans="1:17" ht="15.75">
      <c r="A4" s="46"/>
      <c r="B4" s="50" t="s">
        <v>346</v>
      </c>
      <c r="C4" s="51" t="s">
        <v>347</v>
      </c>
      <c r="D4" s="51" t="s">
        <v>348</v>
      </c>
      <c r="E4" s="51" t="s">
        <v>349</v>
      </c>
      <c r="F4" s="51" t="s">
        <v>350</v>
      </c>
      <c r="G4" s="51" t="s">
        <v>351</v>
      </c>
      <c r="H4" s="46"/>
      <c r="I4" s="45"/>
      <c r="J4" s="46"/>
      <c r="K4" s="50" t="s">
        <v>346</v>
      </c>
      <c r="L4" s="51" t="s">
        <v>347</v>
      </c>
      <c r="M4" s="51" t="s">
        <v>348</v>
      </c>
      <c r="N4" s="51" t="s">
        <v>349</v>
      </c>
      <c r="O4" s="51" t="s">
        <v>350</v>
      </c>
      <c r="P4" s="51" t="s">
        <v>351</v>
      </c>
      <c r="Q4" s="47"/>
    </row>
    <row r="5" spans="1:17">
      <c r="A5" s="46"/>
      <c r="B5" s="52" t="s">
        <v>352</v>
      </c>
      <c r="C5" s="53">
        <v>0.05</v>
      </c>
      <c r="D5" s="54">
        <v>0.78</v>
      </c>
      <c r="E5" s="55">
        <v>0.99346881326007308</v>
      </c>
      <c r="F5" s="53">
        <f>IF(((E5*C5)/D5)-C5&gt;5%,((E5*C5)/D5)-(((E5*C5)/D5)-C5)+0.05,((E5*C5)/D5))</f>
        <v>6.3683898285902124E-2</v>
      </c>
      <c r="G5" s="56">
        <f t="shared" ref="G5:G14" si="0">F5</f>
        <v>6.3683898285902124E-2</v>
      </c>
      <c r="H5" s="46"/>
      <c r="I5" s="45"/>
      <c r="J5" s="46"/>
      <c r="K5" s="52" t="s">
        <v>352</v>
      </c>
      <c r="L5" s="53">
        <v>0.05</v>
      </c>
      <c r="M5" s="54">
        <v>0.78</v>
      </c>
      <c r="N5" s="55">
        <v>0.99346881326007308</v>
      </c>
      <c r="O5" s="53">
        <f>IF(((N5*L5)/M5)-L5&gt;5%,((N5*L5)/M5)-(((N5*L5)/M5)-L5)+0.05,((N5*L5)/M5))</f>
        <v>6.3683898285902124E-2</v>
      </c>
      <c r="P5" s="56">
        <f>O5</f>
        <v>6.3683898285902124E-2</v>
      </c>
      <c r="Q5" s="46"/>
    </row>
    <row r="6" spans="1:17">
      <c r="A6" s="46"/>
      <c r="B6" s="52" t="s">
        <v>15</v>
      </c>
      <c r="C6" s="53">
        <v>0.05</v>
      </c>
      <c r="D6" s="54">
        <v>1</v>
      </c>
      <c r="E6" s="55">
        <v>1</v>
      </c>
      <c r="F6" s="53">
        <f>IF(((E6*C6)/D6)-C6&gt;5%,((E6*C6)/D6)-(((E6*C6)/D6)-C6)+0.05,((E6*C6)/D6))</f>
        <v>0.05</v>
      </c>
      <c r="G6" s="56">
        <f t="shared" si="0"/>
        <v>0.05</v>
      </c>
      <c r="H6" s="46"/>
      <c r="I6" s="45"/>
      <c r="J6" s="46"/>
      <c r="K6" s="52" t="s">
        <v>15</v>
      </c>
      <c r="L6" s="53">
        <v>0.05</v>
      </c>
      <c r="M6" s="54">
        <v>1</v>
      </c>
      <c r="N6" s="55">
        <v>1</v>
      </c>
      <c r="O6" s="53">
        <f>IF(((N6*L6)/M6)-L6&gt;5%,((N6*L6)/M6)-(((N6*L6)/M6)-L6)+0.05,((N6*L6)/M6))</f>
        <v>0.05</v>
      </c>
      <c r="P6" s="56">
        <f>O6</f>
        <v>0.05</v>
      </c>
      <c r="Q6" s="46"/>
    </row>
    <row r="7" spans="1:17">
      <c r="A7" s="46"/>
      <c r="B7" s="52" t="s">
        <v>353</v>
      </c>
      <c r="C7" s="53">
        <v>0.1</v>
      </c>
      <c r="D7" s="54">
        <v>0.8</v>
      </c>
      <c r="E7" s="55">
        <v>1.0258823529411765</v>
      </c>
      <c r="F7" s="53">
        <f>IF(((E7*C7)/D7)-C7&gt;5%,((E7*C7)/D7)-(((E7*C7)/D7)-C7)+0.05,((E7*C7)/D7))</f>
        <v>0.12823529411764706</v>
      </c>
      <c r="G7" s="56">
        <f t="shared" si="0"/>
        <v>0.12823529411764706</v>
      </c>
      <c r="H7" s="46"/>
      <c r="I7" s="45"/>
      <c r="J7" s="46"/>
      <c r="K7" s="52" t="s">
        <v>353</v>
      </c>
      <c r="L7" s="53">
        <v>0.1</v>
      </c>
      <c r="M7" s="54">
        <v>0.8</v>
      </c>
      <c r="N7" s="55">
        <f>((N8/M8)*L8)+((N9/M9)*L9)</f>
        <v>1.0258823529411765</v>
      </c>
      <c r="O7" s="53">
        <f>IF(((N7*L7)/M7)-L7&gt;5%,((N7*L7)/M7)-(((N7*L7)/M7)-L7)+0.05,((N7*L7)/M7))</f>
        <v>0.12823529411764706</v>
      </c>
      <c r="P7" s="56"/>
      <c r="Q7" s="46"/>
    </row>
    <row r="8" spans="1:17">
      <c r="A8" s="46"/>
      <c r="B8" s="57" t="s">
        <v>354</v>
      </c>
      <c r="C8" s="58">
        <v>0.8</v>
      </c>
      <c r="D8" s="59">
        <v>1</v>
      </c>
      <c r="E8" s="60">
        <v>1</v>
      </c>
      <c r="F8" s="61">
        <f>(E8*C8)/D8</f>
        <v>0.8</v>
      </c>
      <c r="G8" s="58">
        <f t="shared" si="0"/>
        <v>0.8</v>
      </c>
      <c r="H8" s="46"/>
      <c r="I8" s="45"/>
      <c r="J8" s="46"/>
      <c r="K8" s="57" t="s">
        <v>354</v>
      </c>
      <c r="L8" s="58">
        <v>0.8</v>
      </c>
      <c r="M8" s="59">
        <v>1</v>
      </c>
      <c r="N8" s="60">
        <v>1</v>
      </c>
      <c r="O8" s="61">
        <f>(N8*L8)/M8</f>
        <v>0.8</v>
      </c>
      <c r="P8" s="58">
        <f>O8</f>
        <v>0.8</v>
      </c>
      <c r="Q8" s="46"/>
    </row>
    <row r="9" spans="1:17" ht="30">
      <c r="A9" s="46"/>
      <c r="B9" s="62" t="s">
        <v>355</v>
      </c>
      <c r="C9" s="63">
        <v>0.2</v>
      </c>
      <c r="D9" s="64">
        <v>0.85</v>
      </c>
      <c r="E9" s="60">
        <v>0.96</v>
      </c>
      <c r="F9" s="64">
        <f>(E9*C9)/D9</f>
        <v>0.22588235294117648</v>
      </c>
      <c r="G9" s="58">
        <f t="shared" si="0"/>
        <v>0.22588235294117648</v>
      </c>
      <c r="H9" s="46"/>
      <c r="I9" s="45"/>
      <c r="J9" s="46"/>
      <c r="K9" s="62" t="s">
        <v>355</v>
      </c>
      <c r="L9" s="63">
        <v>0.2</v>
      </c>
      <c r="M9" s="64">
        <v>0.85</v>
      </c>
      <c r="N9" s="60">
        <v>0.96</v>
      </c>
      <c r="O9" s="64">
        <f>(N9*L9)/M9</f>
        <v>0.22588235294117648</v>
      </c>
      <c r="P9" s="58">
        <f>O9</f>
        <v>0.22588235294117648</v>
      </c>
      <c r="Q9" s="46"/>
    </row>
    <row r="10" spans="1:17">
      <c r="A10" s="46"/>
      <c r="B10" s="52" t="s">
        <v>14</v>
      </c>
      <c r="C10" s="53">
        <v>0.1</v>
      </c>
      <c r="D10" s="54">
        <v>0.47</v>
      </c>
      <c r="E10" s="55">
        <v>0.7</v>
      </c>
      <c r="F10" s="53">
        <f>IF(((E10*C10)/D10)-C10&gt;5%,((E10*C10)/D10)-(((E10*C10)/D10)-C10)+0.05,((E10*C10)/D10))</f>
        <v>0.14893617021276595</v>
      </c>
      <c r="G10" s="56">
        <f t="shared" si="0"/>
        <v>0.14893617021276595</v>
      </c>
      <c r="H10" s="46"/>
      <c r="I10" s="45"/>
      <c r="J10" s="46"/>
      <c r="K10" s="52" t="s">
        <v>14</v>
      </c>
      <c r="L10" s="53">
        <v>0.1</v>
      </c>
      <c r="M10" s="54">
        <v>0.47</v>
      </c>
      <c r="N10" s="55">
        <v>0.7</v>
      </c>
      <c r="O10" s="53">
        <f>IF(((N10*L10)/M10)-L10&gt;5%,((N10*L10)/M10)-(((N10*L10)/M10)-L10)+0.05,((N10*L10)/M10))</f>
        <v>0.14893617021276595</v>
      </c>
      <c r="P10" s="56">
        <f>O10</f>
        <v>0.14893617021276595</v>
      </c>
      <c r="Q10" s="46"/>
    </row>
    <row r="11" spans="1:17">
      <c r="A11" s="46"/>
      <c r="B11" s="52" t="s">
        <v>356</v>
      </c>
      <c r="C11" s="53">
        <v>0.3</v>
      </c>
      <c r="D11" s="54">
        <v>1</v>
      </c>
      <c r="E11" s="55">
        <v>0</v>
      </c>
      <c r="F11" s="53">
        <f t="shared" ref="F11:F12" si="1">IF(((E11*C11)/D11)-C11&gt;5%,((E11*C11)/D11)-(((E11*C11)/D11)-C11)+0.05,((E11*C11)/D11))</f>
        <v>0</v>
      </c>
      <c r="G11" s="56">
        <f t="shared" si="0"/>
        <v>0</v>
      </c>
      <c r="H11" s="46"/>
      <c r="I11" s="45"/>
      <c r="J11" s="46"/>
      <c r="K11" s="52" t="s">
        <v>356</v>
      </c>
      <c r="L11" s="53">
        <v>0.3</v>
      </c>
      <c r="M11" s="54">
        <v>1</v>
      </c>
      <c r="N11" s="55">
        <v>0</v>
      </c>
      <c r="O11" s="53">
        <f t="shared" ref="O11:O12" si="2">IF(((N11*L11)/M11)-L11&gt;5%,((N11*L11)/M11)-(((N11*L11)/M11)-L11)+0.05,((N11*L11)/M11))</f>
        <v>0</v>
      </c>
      <c r="P11" s="56">
        <f t="shared" ref="P11:P14" si="3">O11</f>
        <v>0</v>
      </c>
      <c r="Q11" s="46"/>
    </row>
    <row r="12" spans="1:17">
      <c r="A12" s="46"/>
      <c r="B12" s="52" t="s">
        <v>357</v>
      </c>
      <c r="C12" s="53">
        <v>0.25</v>
      </c>
      <c r="D12" s="54">
        <v>0.8</v>
      </c>
      <c r="E12" s="55">
        <v>1.0444444444444443</v>
      </c>
      <c r="F12" s="53">
        <f t="shared" si="1"/>
        <v>0.3</v>
      </c>
      <c r="G12" s="56">
        <f t="shared" si="0"/>
        <v>0.3</v>
      </c>
      <c r="H12" s="46"/>
      <c r="I12" s="45"/>
      <c r="J12" s="46"/>
      <c r="K12" s="52" t="s">
        <v>357</v>
      </c>
      <c r="L12" s="53">
        <v>0.25</v>
      </c>
      <c r="M12" s="54">
        <v>0.8</v>
      </c>
      <c r="N12" s="55">
        <f>((N13/M13)*L13)+((N14/M14)*L14)</f>
        <v>1.0444444444444443</v>
      </c>
      <c r="O12" s="53">
        <f t="shared" si="2"/>
        <v>0.3</v>
      </c>
      <c r="P12" s="56">
        <f t="shared" si="3"/>
        <v>0.3</v>
      </c>
      <c r="Q12" s="46"/>
    </row>
    <row r="13" spans="1:17">
      <c r="A13" s="46"/>
      <c r="B13" s="57" t="s">
        <v>358</v>
      </c>
      <c r="C13" s="58">
        <v>0.5</v>
      </c>
      <c r="D13" s="59">
        <v>0.9</v>
      </c>
      <c r="E13" s="65">
        <v>0.98</v>
      </c>
      <c r="F13" s="64">
        <f>(E13*C13)/D13</f>
        <v>0.5444444444444444</v>
      </c>
      <c r="G13" s="58">
        <f t="shared" si="0"/>
        <v>0.5444444444444444</v>
      </c>
      <c r="H13" s="46"/>
      <c r="I13" s="45"/>
      <c r="J13" s="46"/>
      <c r="K13" s="57" t="s">
        <v>358</v>
      </c>
      <c r="L13" s="58">
        <v>0.5</v>
      </c>
      <c r="M13" s="59">
        <v>0.9</v>
      </c>
      <c r="N13" s="65">
        <v>0.98</v>
      </c>
      <c r="O13" s="64">
        <f>(N13*L13)/M13</f>
        <v>0.5444444444444444</v>
      </c>
      <c r="P13" s="58">
        <f t="shared" si="3"/>
        <v>0.5444444444444444</v>
      </c>
      <c r="Q13" s="46"/>
    </row>
    <row r="14" spans="1:17">
      <c r="A14" s="46"/>
      <c r="B14" s="57" t="s">
        <v>359</v>
      </c>
      <c r="C14" s="58">
        <v>0.5</v>
      </c>
      <c r="D14" s="59">
        <v>1</v>
      </c>
      <c r="E14" s="65">
        <v>1</v>
      </c>
      <c r="F14" s="64">
        <f>(E14*C14)/D14</f>
        <v>0.5</v>
      </c>
      <c r="G14" s="58">
        <f t="shared" si="0"/>
        <v>0.5</v>
      </c>
      <c r="H14" s="46"/>
      <c r="I14" s="45"/>
      <c r="J14" s="46"/>
      <c r="K14" s="57" t="s">
        <v>359</v>
      </c>
      <c r="L14" s="58">
        <v>0.5</v>
      </c>
      <c r="M14" s="59">
        <v>1</v>
      </c>
      <c r="N14" s="65">
        <v>1</v>
      </c>
      <c r="O14" s="64">
        <f>(N14*L14)/M14</f>
        <v>0.5</v>
      </c>
      <c r="P14" s="58">
        <f t="shared" si="3"/>
        <v>0.5</v>
      </c>
      <c r="Q14" s="46"/>
    </row>
    <row r="15" spans="1:17">
      <c r="A15" s="46"/>
      <c r="B15" s="52" t="s">
        <v>360</v>
      </c>
      <c r="C15" s="53">
        <v>0.15</v>
      </c>
      <c r="D15" s="54">
        <v>1</v>
      </c>
      <c r="E15" s="55">
        <v>1</v>
      </c>
      <c r="F15" s="53">
        <f>IF(((E15*C15)/D15)-C15&gt;5%,((E15*C15)/D15)-(((E15*C15)/D15)-C15)+0.05,((E15*C15)/D15))</f>
        <v>0.15</v>
      </c>
      <c r="G15" s="56">
        <f>F15</f>
        <v>0.15</v>
      </c>
      <c r="H15" s="46"/>
      <c r="I15" s="45"/>
      <c r="J15" s="46"/>
      <c r="K15" s="52" t="s">
        <v>360</v>
      </c>
      <c r="L15" s="53">
        <v>0.15</v>
      </c>
      <c r="M15" s="54">
        <v>1</v>
      </c>
      <c r="N15" s="55">
        <v>1</v>
      </c>
      <c r="O15" s="53">
        <f>IF(((N15*L15)/M15)-L15&gt;5%,((N15*L15)/M15)-(((N15*L15)/M15)-L15)+0.05,((N15*L15)/M15))</f>
        <v>0.15</v>
      </c>
      <c r="P15" s="56">
        <f>O15</f>
        <v>0.15</v>
      </c>
      <c r="Q15" s="46"/>
    </row>
    <row r="16" spans="1:17" ht="21">
      <c r="A16" s="46"/>
      <c r="B16" s="71" t="s">
        <v>361</v>
      </c>
      <c r="C16" s="71"/>
      <c r="D16" s="71"/>
      <c r="E16" s="71"/>
      <c r="F16" s="66">
        <f>SUM(F5,F6,F7,F10,F11,F12,F15)</f>
        <v>0.84085536261631522</v>
      </c>
      <c r="G16" s="66">
        <f>SUM(G5,G6,G7,G10,G11,G12,G15)</f>
        <v>0.84085536261631522</v>
      </c>
      <c r="H16" s="46"/>
      <c r="I16" s="45"/>
      <c r="J16" s="46"/>
      <c r="K16" s="71" t="s">
        <v>361</v>
      </c>
      <c r="L16" s="71"/>
      <c r="M16" s="71"/>
      <c r="N16" s="71"/>
      <c r="O16" s="66">
        <f>SUM(O5,O6,O7,O10,O11,O12,O15)</f>
        <v>0.84085536261631522</v>
      </c>
      <c r="P16" s="66">
        <f>SUM(P5,P6,P7,P10,P11,P12,P15)</f>
        <v>0.7126200684986681</v>
      </c>
      <c r="Q16" s="46"/>
    </row>
    <row r="17" spans="1:17">
      <c r="A17" s="46"/>
      <c r="B17" s="46"/>
      <c r="C17" s="46"/>
      <c r="D17" s="46"/>
      <c r="E17" s="46"/>
      <c r="F17" s="46"/>
      <c r="G17" s="46"/>
      <c r="H17" s="46"/>
      <c r="I17" s="45"/>
      <c r="J17" s="46"/>
      <c r="K17" s="46"/>
      <c r="L17" s="46"/>
      <c r="M17" s="46"/>
      <c r="N17" s="46"/>
      <c r="O17" s="46"/>
      <c r="P17" s="46"/>
      <c r="Q17" s="46"/>
    </row>
    <row r="18" spans="1:17" ht="21">
      <c r="A18" s="46"/>
      <c r="B18" s="70" t="s">
        <v>362</v>
      </c>
      <c r="C18" s="70"/>
      <c r="D18" s="70"/>
      <c r="E18" s="70"/>
      <c r="F18" s="70"/>
      <c r="G18" s="70"/>
      <c r="H18" s="46"/>
      <c r="I18" s="45"/>
      <c r="J18" s="46"/>
      <c r="K18" s="46"/>
      <c r="L18" s="46"/>
      <c r="M18" s="46"/>
      <c r="N18" s="46"/>
      <c r="O18" s="46"/>
      <c r="P18" s="46"/>
      <c r="Q18" s="46"/>
    </row>
    <row r="19" spans="1:17" ht="15.75">
      <c r="A19" s="46"/>
      <c r="B19" s="50" t="s">
        <v>346</v>
      </c>
      <c r="C19" s="51" t="s">
        <v>347</v>
      </c>
      <c r="D19" s="51" t="s">
        <v>348</v>
      </c>
      <c r="E19" s="51" t="s">
        <v>349</v>
      </c>
      <c r="F19" s="51" t="s">
        <v>350</v>
      </c>
      <c r="G19" s="51" t="s">
        <v>351</v>
      </c>
      <c r="H19" s="46"/>
      <c r="I19" s="45"/>
      <c r="J19" s="46"/>
      <c r="K19" s="46"/>
      <c r="L19" s="46"/>
      <c r="M19" s="46"/>
      <c r="N19" s="46"/>
      <c r="O19" s="46"/>
      <c r="P19" s="46"/>
      <c r="Q19" s="46"/>
    </row>
    <row r="20" spans="1:17">
      <c r="A20" s="46"/>
      <c r="B20" s="52" t="s">
        <v>352</v>
      </c>
      <c r="C20" s="53">
        <v>0.05</v>
      </c>
      <c r="D20" s="54">
        <v>0.78</v>
      </c>
      <c r="E20" s="55">
        <v>0.79776407228676105</v>
      </c>
      <c r="F20" s="53">
        <f>IF(((E20*C20)/D20)-C20&gt;5%,((E20*C20)/D20)-(((E20*C20)/D20)-C20)+0.05,((E20*C20)/D20))</f>
        <v>5.1138722582484683E-2</v>
      </c>
      <c r="G20" s="56">
        <f t="shared" ref="G20:G30" si="4">AVERAGE(F5,F20)</f>
        <v>5.7411310434193404E-2</v>
      </c>
      <c r="H20" s="46"/>
      <c r="I20" s="45"/>
      <c r="J20" s="46"/>
      <c r="K20" s="46"/>
      <c r="L20" s="46"/>
      <c r="M20" s="46"/>
      <c r="N20" s="46"/>
      <c r="O20" s="46"/>
      <c r="P20" s="46"/>
      <c r="Q20" s="46"/>
    </row>
    <row r="21" spans="1:17">
      <c r="A21" s="46"/>
      <c r="B21" s="52" t="s">
        <v>15</v>
      </c>
      <c r="C21" s="53">
        <v>0.05</v>
      </c>
      <c r="D21" s="54">
        <v>1</v>
      </c>
      <c r="E21" s="55">
        <v>1</v>
      </c>
      <c r="F21" s="53">
        <f>IF(((E21*C21)/D21)-C21&gt;5%,((E21*C21)/D21)-(((E21*C21)/D21)-C21)+0.05,((E21*C21)/D21))</f>
        <v>0.05</v>
      </c>
      <c r="G21" s="56">
        <f t="shared" si="4"/>
        <v>0.05</v>
      </c>
      <c r="H21" s="46"/>
      <c r="I21" s="45"/>
      <c r="J21" s="46"/>
      <c r="K21" s="46"/>
      <c r="L21" s="46"/>
      <c r="M21" s="46"/>
      <c r="N21" s="46"/>
      <c r="O21" s="46"/>
      <c r="P21" s="46"/>
      <c r="Q21" s="46"/>
    </row>
    <row r="22" spans="1:17">
      <c r="A22" s="46"/>
      <c r="B22" s="52" t="s">
        <v>353</v>
      </c>
      <c r="C22" s="53">
        <v>0.1</v>
      </c>
      <c r="D22" s="54">
        <v>0.8</v>
      </c>
      <c r="E22" s="55">
        <v>1.0188235294117649</v>
      </c>
      <c r="F22" s="53">
        <f>IF(((E22*C22)/D22)-C22&gt;5%,((E22*C22)/D22)-(((E22*C22)/D22)-C22)+0.05,((E22*C22)/D22))</f>
        <v>0.12735294117647061</v>
      </c>
      <c r="G22" s="56">
        <f t="shared" si="4"/>
        <v>0.12779411764705884</v>
      </c>
      <c r="H22" s="46"/>
      <c r="I22" s="45"/>
    </row>
    <row r="23" spans="1:17">
      <c r="A23" s="46"/>
      <c r="B23" s="57" t="s">
        <v>354</v>
      </c>
      <c r="C23" s="58">
        <v>0.8</v>
      </c>
      <c r="D23" s="59">
        <v>1</v>
      </c>
      <c r="E23" s="60">
        <v>1</v>
      </c>
      <c r="F23" s="61">
        <f>(E23*C23)/D23</f>
        <v>0.8</v>
      </c>
      <c r="G23" s="58">
        <f t="shared" si="4"/>
        <v>0.8</v>
      </c>
      <c r="H23" s="46"/>
      <c r="I23" s="45"/>
    </row>
    <row r="24" spans="1:17" ht="30">
      <c r="A24" s="46"/>
      <c r="B24" s="62" t="s">
        <v>355</v>
      </c>
      <c r="C24" s="63">
        <v>0.2</v>
      </c>
      <c r="D24" s="64">
        <v>0.85</v>
      </c>
      <c r="E24" s="60">
        <v>0.93</v>
      </c>
      <c r="F24" s="64">
        <f>(E24*C24)/D24</f>
        <v>0.21882352941176475</v>
      </c>
      <c r="G24" s="58">
        <f t="shared" si="4"/>
        <v>0.22235294117647061</v>
      </c>
      <c r="H24" s="46"/>
      <c r="I24" s="45"/>
    </row>
    <row r="25" spans="1:17">
      <c r="A25" s="46"/>
      <c r="B25" s="52" t="s">
        <v>14</v>
      </c>
      <c r="C25" s="53">
        <v>0.1</v>
      </c>
      <c r="D25" s="54">
        <v>0.47</v>
      </c>
      <c r="E25" s="55">
        <v>0.7</v>
      </c>
      <c r="F25" s="53">
        <f>IF(((E25*C25)/D25)-C25&gt;5%,((E25*C25)/D25)-(((E25*C25)/D25)-C25)+0.05,((E25*C25)/D25))</f>
        <v>0.14893617021276595</v>
      </c>
      <c r="G25" s="56">
        <f t="shared" si="4"/>
        <v>0.14893617021276595</v>
      </c>
      <c r="H25" s="46"/>
      <c r="I25" s="45"/>
    </row>
    <row r="26" spans="1:17">
      <c r="A26" s="46"/>
      <c r="B26" s="52" t="s">
        <v>356</v>
      </c>
      <c r="C26" s="53">
        <v>0.3</v>
      </c>
      <c r="D26" s="54">
        <v>1</v>
      </c>
      <c r="E26" s="55">
        <v>1</v>
      </c>
      <c r="F26" s="53">
        <f t="shared" ref="F26:F27" si="5">IF(((E26*C26)/D26)-C26&gt;5%,((E26*C26)/D26)-(((E26*C26)/D26)-C26)+0.05,((E26*C26)/D26))</f>
        <v>0.3</v>
      </c>
      <c r="G26" s="56">
        <f t="shared" si="4"/>
        <v>0.15</v>
      </c>
      <c r="H26" s="46"/>
      <c r="I26" s="45"/>
    </row>
    <row r="27" spans="1:17">
      <c r="A27" s="46"/>
      <c r="B27" s="52" t="s">
        <v>357</v>
      </c>
      <c r="C27" s="53">
        <v>0.25</v>
      </c>
      <c r="D27" s="54">
        <v>0.8</v>
      </c>
      <c r="E27" s="55">
        <v>1.0444444444444443</v>
      </c>
      <c r="F27" s="53">
        <f t="shared" si="5"/>
        <v>0.3</v>
      </c>
      <c r="G27" s="56">
        <f t="shared" si="4"/>
        <v>0.3</v>
      </c>
      <c r="H27" s="46"/>
      <c r="I27" s="45"/>
    </row>
    <row r="28" spans="1:17">
      <c r="A28" s="46"/>
      <c r="B28" s="57" t="s">
        <v>358</v>
      </c>
      <c r="C28" s="58">
        <v>0.5</v>
      </c>
      <c r="D28" s="59">
        <v>0.9</v>
      </c>
      <c r="E28" s="65">
        <v>0.98</v>
      </c>
      <c r="F28" s="64">
        <f>(E28*C28)/D28</f>
        <v>0.5444444444444444</v>
      </c>
      <c r="G28" s="58">
        <f t="shared" si="4"/>
        <v>0.5444444444444444</v>
      </c>
      <c r="H28" s="46"/>
      <c r="I28" s="45"/>
    </row>
    <row r="29" spans="1:17">
      <c r="A29" s="46"/>
      <c r="B29" s="57" t="s">
        <v>359</v>
      </c>
      <c r="C29" s="58">
        <v>0.5</v>
      </c>
      <c r="D29" s="59">
        <v>1</v>
      </c>
      <c r="E29" s="65">
        <v>1</v>
      </c>
      <c r="F29" s="64">
        <f>(E29*C29)/D29</f>
        <v>0.5</v>
      </c>
      <c r="G29" s="58">
        <f t="shared" si="4"/>
        <v>0.5</v>
      </c>
      <c r="H29" s="46"/>
      <c r="I29" s="45"/>
    </row>
    <row r="30" spans="1:17">
      <c r="A30" s="46"/>
      <c r="B30" s="52" t="s">
        <v>360</v>
      </c>
      <c r="C30" s="53">
        <v>0.15</v>
      </c>
      <c r="D30" s="54">
        <v>1</v>
      </c>
      <c r="E30" s="55">
        <v>1</v>
      </c>
      <c r="F30" s="53">
        <f>IF(((E30*C30)/D30)-C30&gt;5%,((E30*C30)/D30)-(((E30*C30)/D30)-C30)+0.05,((E30*C30)/D30))</f>
        <v>0.15</v>
      </c>
      <c r="G30" s="56">
        <f t="shared" si="4"/>
        <v>0.15</v>
      </c>
      <c r="H30" s="46"/>
      <c r="I30" s="45"/>
    </row>
    <row r="31" spans="1:17" ht="21">
      <c r="A31" s="46"/>
      <c r="B31" s="71" t="s">
        <v>361</v>
      </c>
      <c r="C31" s="71"/>
      <c r="D31" s="71"/>
      <c r="E31" s="71"/>
      <c r="F31" s="66">
        <f>SUM(F20,F21,F22,F25,F26,F27,F30)</f>
        <v>1.1274278339717212</v>
      </c>
      <c r="G31" s="66">
        <f>SUM(G20,G21,G22,G25,G26,G27,G30)</f>
        <v>0.98414159829401815</v>
      </c>
      <c r="H31" s="46"/>
      <c r="I31" s="45"/>
    </row>
    <row r="32" spans="1:17">
      <c r="A32" s="46"/>
      <c r="B32" s="46"/>
      <c r="C32" s="46"/>
      <c r="D32" s="46"/>
      <c r="E32" s="46"/>
      <c r="F32" s="46"/>
      <c r="G32" s="46"/>
      <c r="H32" s="46"/>
      <c r="I32" s="45"/>
    </row>
  </sheetData>
  <mergeCells count="8">
    <mergeCell ref="B18:G18"/>
    <mergeCell ref="B31:E31"/>
    <mergeCell ref="A1:H1"/>
    <mergeCell ref="J1:Q1"/>
    <mergeCell ref="B3:G3"/>
    <mergeCell ref="K3:P3"/>
    <mergeCell ref="B16:E16"/>
    <mergeCell ref="K16:N16"/>
  </mergeCells>
  <conditionalFormatting sqref="P2">
    <cfRule type="cellIs" dxfId="304" priority="66" operator="equal">
      <formula>2020</formula>
    </cfRule>
    <cfRule type="cellIs" dxfId="303" priority="67" operator="equal">
      <formula>2019</formula>
    </cfRule>
    <cfRule type="cellIs" dxfId="302" priority="68" operator="equal">
      <formula>2018</formula>
    </cfRule>
  </conditionalFormatting>
  <conditionalFormatting sqref="Q2">
    <cfRule type="cellIs" dxfId="301" priority="63" operator="equal">
      <formula>2020</formula>
    </cfRule>
    <cfRule type="cellIs" dxfId="300" priority="64" operator="equal">
      <formula>2019</formula>
    </cfRule>
    <cfRule type="cellIs" dxfId="299" priority="65" operator="equal">
      <formula>2018</formula>
    </cfRule>
  </conditionalFormatting>
  <conditionalFormatting sqref="N8:N9">
    <cfRule type="iconSet" priority="55">
      <iconSet iconSet="3Symbols2">
        <cfvo type="percent" val="0"/>
        <cfvo type="formula" val="#REF!*0.9"/>
        <cfvo type="formula" val="#REF!"/>
      </iconSet>
    </cfRule>
    <cfRule type="cellIs" dxfId="298" priority="61" operator="lessThan">
      <formula>#REF!</formula>
    </cfRule>
  </conditionalFormatting>
  <conditionalFormatting sqref="N13:N14">
    <cfRule type="cellIs" dxfId="297" priority="60" operator="lessThan">
      <formula>#REF!</formula>
    </cfRule>
  </conditionalFormatting>
  <conditionalFormatting sqref="M5">
    <cfRule type="cellIs" dxfId="296" priority="59" operator="lessThan">
      <formula>0</formula>
    </cfRule>
  </conditionalFormatting>
  <conditionalFormatting sqref="N5">
    <cfRule type="iconSet" priority="56">
      <iconSet iconSet="3Symbols">
        <cfvo type="percent" val="0"/>
        <cfvo type="formula" val="$M$5*0.9"/>
        <cfvo type="formula" val="$M$5"/>
      </iconSet>
    </cfRule>
    <cfRule type="cellIs" dxfId="295" priority="58" operator="lessThan">
      <formula>$M$5</formula>
    </cfRule>
  </conditionalFormatting>
  <conditionalFormatting sqref="M6:M7">
    <cfRule type="cellIs" dxfId="294" priority="57" operator="lessThan">
      <formula>#REF!</formula>
    </cfRule>
  </conditionalFormatting>
  <conditionalFormatting sqref="N13">
    <cfRule type="iconSet" priority="54">
      <iconSet iconSet="3Symbols2">
        <cfvo type="percent" val="0"/>
        <cfvo type="formula" val="#REF!*0.9"/>
        <cfvo type="formula" val="#REF!"/>
      </iconSet>
    </cfRule>
  </conditionalFormatting>
  <conditionalFormatting sqref="N14">
    <cfRule type="iconSet" priority="53">
      <iconSet iconSet="3Symbols2">
        <cfvo type="percent" val="0"/>
        <cfvo type="formula" val="#REF!*0.9"/>
        <cfvo type="formula" val="#REF!"/>
      </iconSet>
    </cfRule>
  </conditionalFormatting>
  <conditionalFormatting sqref="N18">
    <cfRule type="iconSet" priority="51">
      <iconSet iconSet="3Symbols2">
        <cfvo type="percent" val="0"/>
        <cfvo type="formula" val="#REF!*0.9"/>
        <cfvo type="formula" val="#REF!"/>
      </iconSet>
    </cfRule>
    <cfRule type="cellIs" dxfId="293" priority="52" operator="lessThan">
      <formula>$M$18</formula>
    </cfRule>
  </conditionalFormatting>
  <conditionalFormatting sqref="N19">
    <cfRule type="iconSet" priority="49">
      <iconSet iconSet="3Symbols2">
        <cfvo type="percent" val="0"/>
        <cfvo type="formula" val="#REF!*0.9"/>
        <cfvo type="formula" val="#REF!"/>
      </iconSet>
    </cfRule>
    <cfRule type="cellIs" dxfId="292" priority="50" operator="lessThan">
      <formula>$M$19</formula>
    </cfRule>
  </conditionalFormatting>
  <conditionalFormatting sqref="N15">
    <cfRule type="iconSet" priority="47">
      <iconSet iconSet="3Symbols">
        <cfvo type="percent" val="0"/>
        <cfvo type="formula" val="$M$15*0.9"/>
        <cfvo type="formula" val="$M$15"/>
      </iconSet>
    </cfRule>
    <cfRule type="cellIs" dxfId="291" priority="48" operator="lessThan">
      <formula>$M$15</formula>
    </cfRule>
  </conditionalFormatting>
  <conditionalFormatting sqref="N6">
    <cfRule type="iconSet" priority="45">
      <iconSet iconSet="3Symbols">
        <cfvo type="percent" val="0"/>
        <cfvo type="formula" val="$M$6*0.9"/>
        <cfvo type="formula" val="$M$6"/>
      </iconSet>
    </cfRule>
    <cfRule type="cellIs" dxfId="290" priority="46" operator="lessThan">
      <formula>$M$6</formula>
    </cfRule>
  </conditionalFormatting>
  <conditionalFormatting sqref="N10:N12">
    <cfRule type="iconSet" priority="43">
      <iconSet iconSet="3Symbols">
        <cfvo type="percent" val="0"/>
        <cfvo type="formula" val="#REF!*0.9"/>
        <cfvo type="formula" val="#REF!"/>
      </iconSet>
    </cfRule>
    <cfRule type="cellIs" dxfId="289" priority="44" operator="lessThan">
      <formula>#REF!</formula>
    </cfRule>
  </conditionalFormatting>
  <conditionalFormatting sqref="N7">
    <cfRule type="iconSet" priority="41">
      <iconSet iconSet="3Symbols">
        <cfvo type="percent" val="0"/>
        <cfvo type="formula" val="#REF!*0.9"/>
        <cfvo type="formula" val="#REF!"/>
      </iconSet>
    </cfRule>
    <cfRule type="cellIs" dxfId="288" priority="42" operator="lessThan">
      <formula>#REF!</formula>
    </cfRule>
  </conditionalFormatting>
  <conditionalFormatting sqref="D5">
    <cfRule type="cellIs" dxfId="287" priority="40" operator="lessThan">
      <formula>0</formula>
    </cfRule>
  </conditionalFormatting>
  <conditionalFormatting sqref="E5">
    <cfRule type="iconSet" priority="37">
      <iconSet iconSet="3Symbols">
        <cfvo type="percent" val="0"/>
        <cfvo type="formula" val="$M$5*0.9"/>
        <cfvo type="formula" val="$M$5"/>
      </iconSet>
    </cfRule>
    <cfRule type="cellIs" dxfId="286" priority="39" operator="lessThan">
      <formula>$M$5</formula>
    </cfRule>
  </conditionalFormatting>
  <conditionalFormatting sqref="D6:D7">
    <cfRule type="cellIs" dxfId="285" priority="38" operator="lessThan">
      <formula>#REF!</formula>
    </cfRule>
  </conditionalFormatting>
  <conditionalFormatting sqref="E15">
    <cfRule type="iconSet" priority="35">
      <iconSet iconSet="3Symbols">
        <cfvo type="percent" val="0"/>
        <cfvo type="formula" val="$M$15*0.9"/>
        <cfvo type="formula" val="$M$15"/>
      </iconSet>
    </cfRule>
    <cfRule type="cellIs" dxfId="284" priority="36" operator="lessThan">
      <formula>$M$15</formula>
    </cfRule>
  </conditionalFormatting>
  <conditionalFormatting sqref="E6">
    <cfRule type="iconSet" priority="33">
      <iconSet iconSet="3Symbols">
        <cfvo type="percent" val="0"/>
        <cfvo type="formula" val="$M$6*0.9"/>
        <cfvo type="formula" val="$M$6"/>
      </iconSet>
    </cfRule>
    <cfRule type="cellIs" dxfId="283" priority="34" operator="lessThan">
      <formula>$M$6</formula>
    </cfRule>
  </conditionalFormatting>
  <conditionalFormatting sqref="E10:E12">
    <cfRule type="iconSet" priority="32">
      <iconSet iconSet="3Symbols">
        <cfvo type="percent" val="0"/>
        <cfvo type="formula" val="$D$10*0.9"/>
        <cfvo type="formula" val="$D$10"/>
      </iconSet>
    </cfRule>
  </conditionalFormatting>
  <conditionalFormatting sqref="E7">
    <cfRule type="iconSet" priority="30">
      <iconSet iconSet="3Symbols">
        <cfvo type="percent" val="0"/>
        <cfvo type="formula" val="$D$7*0.9"/>
        <cfvo type="formula" val="$D$7"/>
      </iconSet>
    </cfRule>
    <cfRule type="expression" dxfId="282" priority="31">
      <formula>$E$7&lt;$D$7</formula>
    </cfRule>
  </conditionalFormatting>
  <conditionalFormatting sqref="E9">
    <cfRule type="iconSet" priority="29">
      <iconSet iconSet="3Symbols2">
        <cfvo type="percent" val="0"/>
        <cfvo type="percent" val="33"/>
        <cfvo type="percent" val="67"/>
      </iconSet>
    </cfRule>
  </conditionalFormatting>
  <conditionalFormatting sqref="E8">
    <cfRule type="iconSet" priority="28">
      <iconSet iconSet="3Symbols2">
        <cfvo type="percent" val="0"/>
        <cfvo type="percent" val="33"/>
        <cfvo type="percent" val="67"/>
      </iconSet>
    </cfRule>
  </conditionalFormatting>
  <conditionalFormatting sqref="E13">
    <cfRule type="iconSet" priority="27">
      <iconSet iconSet="3Symbols2">
        <cfvo type="percent" val="0"/>
        <cfvo type="percent" val="33"/>
        <cfvo type="percent" val="67"/>
      </iconSet>
    </cfRule>
  </conditionalFormatting>
  <conditionalFormatting sqref="E14">
    <cfRule type="iconSet" priority="26">
      <iconSet iconSet="3Symbols2">
        <cfvo type="percent" val="0"/>
        <cfvo type="percent" val="33"/>
        <cfvo type="percent" val="67"/>
      </iconSet>
    </cfRule>
  </conditionalFormatting>
  <conditionalFormatting sqref="E10">
    <cfRule type="expression" priority="25">
      <formula>$E$10&lt;$D$10</formula>
    </cfRule>
  </conditionalFormatting>
  <conditionalFormatting sqref="E11">
    <cfRule type="expression" dxfId="281" priority="24">
      <formula>$E$11&lt;$D$11</formula>
    </cfRule>
  </conditionalFormatting>
  <conditionalFormatting sqref="D20">
    <cfRule type="cellIs" dxfId="280" priority="21" operator="lessThan">
      <formula>0</formula>
    </cfRule>
  </conditionalFormatting>
  <conditionalFormatting sqref="E20">
    <cfRule type="iconSet" priority="18">
      <iconSet iconSet="3Symbols">
        <cfvo type="percent" val="0"/>
        <cfvo type="formula" val="$M$5*0.9"/>
        <cfvo type="formula" val="$M$5"/>
      </iconSet>
    </cfRule>
    <cfRule type="cellIs" dxfId="279" priority="20" operator="lessThan">
      <formula>$M$5</formula>
    </cfRule>
  </conditionalFormatting>
  <conditionalFormatting sqref="D21:D22">
    <cfRule type="cellIs" dxfId="278" priority="19" operator="lessThan">
      <formula>#REF!</formula>
    </cfRule>
  </conditionalFormatting>
  <conditionalFormatting sqref="E30">
    <cfRule type="iconSet" priority="13">
      <iconSet iconSet="3Symbols">
        <cfvo type="percent" val="0"/>
        <cfvo type="formula" val="$M$15*0.9"/>
        <cfvo type="formula" val="$M$15"/>
      </iconSet>
    </cfRule>
    <cfRule type="cellIs" dxfId="277" priority="14" operator="lessThan">
      <formula>$M$15</formula>
    </cfRule>
  </conditionalFormatting>
  <conditionalFormatting sqref="E21">
    <cfRule type="iconSet" priority="11">
      <iconSet iconSet="3Symbols">
        <cfvo type="percent" val="0"/>
        <cfvo type="formula" val="$M$6*0.9"/>
        <cfvo type="formula" val="$M$6"/>
      </iconSet>
    </cfRule>
    <cfRule type="cellIs" dxfId="276" priority="12" operator="lessThan">
      <formula>$M$6</formula>
    </cfRule>
  </conditionalFormatting>
  <conditionalFormatting sqref="E25:E27">
    <cfRule type="iconSet" priority="9">
      <iconSet iconSet="3Symbols">
        <cfvo type="percent" val="0"/>
        <cfvo type="formula" val="$D$25"/>
        <cfvo type="formula" val="$D$25*0.99"/>
      </iconSet>
    </cfRule>
    <cfRule type="cellIs" dxfId="275" priority="10" operator="lessThan">
      <formula>#REF!</formula>
    </cfRule>
  </conditionalFormatting>
  <conditionalFormatting sqref="E22">
    <cfRule type="iconSet" priority="7">
      <iconSet iconSet="3Symbols">
        <cfvo type="percent" val="0"/>
        <cfvo type="formula" val="$D$22"/>
        <cfvo type="formula" val="$D$22*0.99"/>
      </iconSet>
    </cfRule>
    <cfRule type="cellIs" dxfId="274" priority="8" operator="lessThan">
      <formula>#REF!</formula>
    </cfRule>
  </conditionalFormatting>
  <conditionalFormatting sqref="E23">
    <cfRule type="iconSet" priority="6">
      <iconSet iconSet="3Symbols2">
        <cfvo type="percent" val="0"/>
        <cfvo type="percent" val="33"/>
        <cfvo type="percent" val="67"/>
      </iconSet>
    </cfRule>
  </conditionalFormatting>
  <conditionalFormatting sqref="E24">
    <cfRule type="iconSet" priority="5">
      <iconSet iconSet="3Symbols2">
        <cfvo type="percent" val="0"/>
        <cfvo type="percent" val="33"/>
        <cfvo type="percent" val="67"/>
      </iconSet>
    </cfRule>
  </conditionalFormatting>
  <conditionalFormatting sqref="E28">
    <cfRule type="iconSet" priority="3">
      <iconSet iconSet="3Symbols2">
        <cfvo type="percent" val="0"/>
        <cfvo type="percent" val="33"/>
        <cfvo type="percent" val="67"/>
      </iconSet>
    </cfRule>
  </conditionalFormatting>
  <conditionalFormatting sqref="E29">
    <cfRule type="iconSet" priority="1">
      <iconSet iconSet="3Symbols2">
        <cfvo type="percent" val="0"/>
        <cfvo type="percent" val="33"/>
        <cfvo type="percent" val="67"/>
      </iconSet>
    </cfRule>
  </conditionalFormatting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C3B37-FE00-4C55-B989-4BD28ACE53AE}">
  <dimension ref="A1:R73"/>
  <sheetViews>
    <sheetView workbookViewId="0">
      <selection activeCell="D17" sqref="D17"/>
    </sheetView>
  </sheetViews>
  <sheetFormatPr defaultRowHeight="15"/>
  <cols>
    <col min="1" max="1" width="33.85546875" customWidth="1"/>
    <col min="2" max="2" width="15.85546875" customWidth="1"/>
    <col min="3" max="3" width="13.7109375" customWidth="1"/>
    <col min="4" max="4" width="41.7109375" customWidth="1"/>
    <col min="5" max="5" width="30.85546875" customWidth="1"/>
    <col min="6" max="6" width="13.7109375" customWidth="1"/>
    <col min="7" max="7" width="19.7109375" customWidth="1"/>
    <col min="8" max="8" width="13.7109375" customWidth="1"/>
    <col min="9" max="9" width="14.140625" customWidth="1"/>
    <col min="10" max="10" width="14.42578125" customWidth="1"/>
    <col min="11" max="11" width="23.42578125" customWidth="1"/>
    <col min="12" max="12" width="25.28515625" customWidth="1"/>
    <col min="13" max="13" width="19.5703125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>
      <c r="A1" s="14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6" t="s">
        <v>6</v>
      </c>
      <c r="H1" s="16" t="s">
        <v>7</v>
      </c>
      <c r="I1" s="16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7" t="s">
        <v>17</v>
      </c>
    </row>
    <row r="2" spans="1:18" ht="30" customHeight="1">
      <c r="A2" s="18" t="s">
        <v>18</v>
      </c>
      <c r="B2" s="19">
        <v>198501</v>
      </c>
      <c r="C2" s="20" t="s">
        <v>19</v>
      </c>
      <c r="D2" s="21" t="s">
        <v>20</v>
      </c>
      <c r="E2" s="19" t="s">
        <v>21</v>
      </c>
      <c r="F2" s="19">
        <v>4</v>
      </c>
      <c r="G2" s="22">
        <v>44132</v>
      </c>
      <c r="H2" s="22">
        <v>44216</v>
      </c>
      <c r="I2" s="22">
        <v>44218</v>
      </c>
      <c r="J2" s="23"/>
      <c r="K2" s="20" t="s">
        <v>22</v>
      </c>
      <c r="L2" s="24" t="s">
        <v>23</v>
      </c>
      <c r="M2" s="20" t="s">
        <v>24</v>
      </c>
      <c r="N2" s="20">
        <v>3</v>
      </c>
      <c r="O2" s="20" t="s">
        <v>25</v>
      </c>
      <c r="P2" s="23" t="s">
        <v>26</v>
      </c>
      <c r="Q2" s="20" t="s">
        <v>27</v>
      </c>
      <c r="R2" s="25" t="s">
        <v>28</v>
      </c>
    </row>
    <row r="3" spans="1:18" ht="30" customHeight="1">
      <c r="A3" s="18" t="s">
        <v>29</v>
      </c>
      <c r="B3" s="26">
        <v>215118</v>
      </c>
      <c r="C3" s="20" t="s">
        <v>30</v>
      </c>
      <c r="D3" s="21" t="s">
        <v>31</v>
      </c>
      <c r="E3" s="19" t="s">
        <v>32</v>
      </c>
      <c r="F3" s="19">
        <v>1</v>
      </c>
      <c r="G3" s="22">
        <v>44214</v>
      </c>
      <c r="H3" s="22">
        <v>44218</v>
      </c>
      <c r="I3" s="22">
        <v>44218</v>
      </c>
      <c r="J3" s="23"/>
      <c r="K3" s="20" t="s">
        <v>22</v>
      </c>
      <c r="L3" s="24" t="s">
        <v>33</v>
      </c>
      <c r="M3" s="20" t="s">
        <v>24</v>
      </c>
      <c r="N3" s="20">
        <v>0</v>
      </c>
      <c r="O3" s="20" t="s">
        <v>26</v>
      </c>
      <c r="P3" s="23" t="s">
        <v>26</v>
      </c>
      <c r="Q3" s="20" t="s">
        <v>27</v>
      </c>
      <c r="R3" s="25" t="s">
        <v>28</v>
      </c>
    </row>
    <row r="4" spans="1:18" ht="30" customHeight="1">
      <c r="A4" s="18" t="s">
        <v>29</v>
      </c>
      <c r="B4" s="26">
        <v>215118</v>
      </c>
      <c r="C4" s="20" t="s">
        <v>30</v>
      </c>
      <c r="D4" s="21" t="s">
        <v>31</v>
      </c>
      <c r="E4" s="19" t="s">
        <v>34</v>
      </c>
      <c r="F4" s="19">
        <v>1</v>
      </c>
      <c r="G4" s="22">
        <v>44214</v>
      </c>
      <c r="H4" s="22">
        <v>44218</v>
      </c>
      <c r="I4" s="22">
        <v>44218</v>
      </c>
      <c r="J4" s="23"/>
      <c r="K4" s="20" t="s">
        <v>22</v>
      </c>
      <c r="L4" s="24" t="s">
        <v>33</v>
      </c>
      <c r="M4" s="20" t="s">
        <v>24</v>
      </c>
      <c r="N4" s="20">
        <v>0</v>
      </c>
      <c r="O4" s="20" t="s">
        <v>26</v>
      </c>
      <c r="P4" s="23" t="s">
        <v>26</v>
      </c>
      <c r="Q4" s="20" t="s">
        <v>27</v>
      </c>
      <c r="R4" s="25" t="s">
        <v>28</v>
      </c>
    </row>
    <row r="5" spans="1:18" ht="30" customHeight="1">
      <c r="A5" s="18" t="s">
        <v>29</v>
      </c>
      <c r="B5" s="26">
        <v>215118</v>
      </c>
      <c r="C5" s="20" t="s">
        <v>30</v>
      </c>
      <c r="D5" s="21" t="s">
        <v>31</v>
      </c>
      <c r="E5" s="19" t="s">
        <v>35</v>
      </c>
      <c r="F5" s="19">
        <v>7</v>
      </c>
      <c r="G5" s="22">
        <v>44214</v>
      </c>
      <c r="H5" s="22">
        <v>44218</v>
      </c>
      <c r="I5" s="22">
        <v>44218</v>
      </c>
      <c r="J5" s="23"/>
      <c r="K5" s="20" t="s">
        <v>22</v>
      </c>
      <c r="L5" s="24" t="s">
        <v>33</v>
      </c>
      <c r="M5" s="20" t="s">
        <v>24</v>
      </c>
      <c r="N5" s="20">
        <v>1</v>
      </c>
      <c r="O5" s="20" t="s">
        <v>26</v>
      </c>
      <c r="P5" s="23" t="s">
        <v>26</v>
      </c>
      <c r="Q5" s="20" t="s">
        <v>27</v>
      </c>
      <c r="R5" s="25" t="s">
        <v>28</v>
      </c>
    </row>
    <row r="6" spans="1:18" ht="30" customHeight="1">
      <c r="A6" s="18" t="s">
        <v>36</v>
      </c>
      <c r="B6" s="26">
        <v>214003</v>
      </c>
      <c r="C6" s="20" t="s">
        <v>19</v>
      </c>
      <c r="D6" s="21" t="s">
        <v>37</v>
      </c>
      <c r="E6" s="19" t="s">
        <v>38</v>
      </c>
      <c r="F6" s="19">
        <v>1</v>
      </c>
      <c r="G6" s="22">
        <v>44210</v>
      </c>
      <c r="H6" s="22">
        <v>44215</v>
      </c>
      <c r="I6" s="22">
        <v>44215</v>
      </c>
      <c r="J6" s="23"/>
      <c r="K6" s="20" t="s">
        <v>22</v>
      </c>
      <c r="L6" s="24" t="s">
        <v>23</v>
      </c>
      <c r="M6" s="20" t="s">
        <v>24</v>
      </c>
      <c r="N6" s="20"/>
      <c r="O6" s="20" t="s">
        <v>25</v>
      </c>
      <c r="P6" s="23" t="s">
        <v>25</v>
      </c>
      <c r="Q6" s="20" t="s">
        <v>28</v>
      </c>
      <c r="R6" s="25" t="s">
        <v>28</v>
      </c>
    </row>
    <row r="7" spans="1:18" ht="30" customHeight="1">
      <c r="A7" s="18" t="s">
        <v>39</v>
      </c>
      <c r="B7" s="26">
        <v>214035</v>
      </c>
      <c r="C7" s="20" t="s">
        <v>30</v>
      </c>
      <c r="D7" s="21" t="s">
        <v>40</v>
      </c>
      <c r="E7" s="19" t="s">
        <v>32</v>
      </c>
      <c r="F7" s="19">
        <v>1</v>
      </c>
      <c r="G7" s="22">
        <v>44208</v>
      </c>
      <c r="H7" s="22">
        <v>44216</v>
      </c>
      <c r="I7" s="22">
        <v>44216</v>
      </c>
      <c r="J7" s="23"/>
      <c r="K7" s="20" t="s">
        <v>22</v>
      </c>
      <c r="L7" s="24" t="s">
        <v>41</v>
      </c>
      <c r="M7" s="20" t="s">
        <v>24</v>
      </c>
      <c r="N7" s="20">
        <v>1</v>
      </c>
      <c r="O7" s="20" t="s">
        <v>26</v>
      </c>
      <c r="P7" s="23" t="s">
        <v>26</v>
      </c>
      <c r="Q7" s="20" t="s">
        <v>27</v>
      </c>
      <c r="R7" s="25" t="s">
        <v>28</v>
      </c>
    </row>
    <row r="8" spans="1:18" ht="30" customHeight="1">
      <c r="A8" s="18" t="s">
        <v>39</v>
      </c>
      <c r="B8" s="26">
        <v>214035</v>
      </c>
      <c r="C8" s="20" t="s">
        <v>30</v>
      </c>
      <c r="D8" s="21" t="s">
        <v>40</v>
      </c>
      <c r="E8" s="19" t="s">
        <v>34</v>
      </c>
      <c r="F8" s="19">
        <v>1</v>
      </c>
      <c r="G8" s="22">
        <v>44208</v>
      </c>
      <c r="H8" s="22">
        <v>44216</v>
      </c>
      <c r="I8" s="22">
        <v>44216</v>
      </c>
      <c r="J8" s="23"/>
      <c r="K8" s="20" t="s">
        <v>22</v>
      </c>
      <c r="L8" s="24" t="s">
        <v>41</v>
      </c>
      <c r="M8" s="20" t="s">
        <v>24</v>
      </c>
      <c r="N8" s="20">
        <v>1</v>
      </c>
      <c r="O8" s="20" t="s">
        <v>26</v>
      </c>
      <c r="P8" s="23" t="s">
        <v>26</v>
      </c>
      <c r="Q8" s="20" t="s">
        <v>27</v>
      </c>
      <c r="R8" s="25" t="s">
        <v>28</v>
      </c>
    </row>
    <row r="9" spans="1:18" ht="30" customHeight="1">
      <c r="A9" s="18" t="s">
        <v>36</v>
      </c>
      <c r="B9" s="26">
        <v>214003</v>
      </c>
      <c r="C9" s="20" t="s">
        <v>19</v>
      </c>
      <c r="D9" s="21" t="s">
        <v>37</v>
      </c>
      <c r="E9" s="19" t="s">
        <v>42</v>
      </c>
      <c r="F9" s="19">
        <v>1</v>
      </c>
      <c r="G9" s="22">
        <v>44210</v>
      </c>
      <c r="H9" s="22">
        <v>44215</v>
      </c>
      <c r="I9" s="22">
        <v>44215</v>
      </c>
      <c r="J9" s="23"/>
      <c r="K9" s="20" t="s">
        <v>22</v>
      </c>
      <c r="L9" s="24" t="s">
        <v>23</v>
      </c>
      <c r="M9" s="20" t="s">
        <v>24</v>
      </c>
      <c r="N9" s="20"/>
      <c r="O9" s="20" t="s">
        <v>25</v>
      </c>
      <c r="P9" s="23" t="s">
        <v>25</v>
      </c>
      <c r="Q9" s="20" t="s">
        <v>28</v>
      </c>
      <c r="R9" s="25" t="s">
        <v>28</v>
      </c>
    </row>
    <row r="10" spans="1:18" ht="30" customHeight="1">
      <c r="A10" s="18" t="s">
        <v>36</v>
      </c>
      <c r="B10" s="26">
        <v>214003</v>
      </c>
      <c r="C10" s="20" t="s">
        <v>19</v>
      </c>
      <c r="D10" s="21" t="s">
        <v>37</v>
      </c>
      <c r="E10" s="19" t="s">
        <v>43</v>
      </c>
      <c r="F10" s="19">
        <v>1</v>
      </c>
      <c r="G10" s="22">
        <v>44210</v>
      </c>
      <c r="H10" s="22">
        <v>44215</v>
      </c>
      <c r="I10" s="22">
        <v>44215</v>
      </c>
      <c r="J10" s="23"/>
      <c r="K10" s="20" t="s">
        <v>22</v>
      </c>
      <c r="L10" s="24" t="s">
        <v>23</v>
      </c>
      <c r="M10" s="20" t="s">
        <v>24</v>
      </c>
      <c r="N10" s="20"/>
      <c r="O10" s="20" t="s">
        <v>25</v>
      </c>
      <c r="P10" s="23" t="s">
        <v>25</v>
      </c>
      <c r="Q10" s="20" t="s">
        <v>28</v>
      </c>
      <c r="R10" s="25" t="s">
        <v>28</v>
      </c>
    </row>
    <row r="11" spans="1:18" ht="30" customHeight="1">
      <c r="A11" s="18" t="s">
        <v>36</v>
      </c>
      <c r="B11" s="26">
        <v>214003</v>
      </c>
      <c r="C11" s="20" t="s">
        <v>19</v>
      </c>
      <c r="D11" s="21" t="s">
        <v>37</v>
      </c>
      <c r="E11" s="19" t="s">
        <v>34</v>
      </c>
      <c r="F11" s="19">
        <v>1</v>
      </c>
      <c r="G11" s="22">
        <v>44210</v>
      </c>
      <c r="H11" s="22">
        <v>44215</v>
      </c>
      <c r="I11" s="22">
        <v>44215</v>
      </c>
      <c r="J11" s="23"/>
      <c r="K11" s="20" t="s">
        <v>22</v>
      </c>
      <c r="L11" s="24" t="s">
        <v>23</v>
      </c>
      <c r="M11" s="20" t="s">
        <v>24</v>
      </c>
      <c r="N11" s="20"/>
      <c r="O11" s="20" t="s">
        <v>25</v>
      </c>
      <c r="P11" s="23" t="s">
        <v>25</v>
      </c>
      <c r="Q11" s="20" t="s">
        <v>28</v>
      </c>
      <c r="R11" s="25" t="s">
        <v>28</v>
      </c>
    </row>
    <row r="12" spans="1:18" ht="30" customHeight="1">
      <c r="A12" s="18" t="s">
        <v>36</v>
      </c>
      <c r="B12" s="26">
        <v>214003</v>
      </c>
      <c r="C12" s="20" t="s">
        <v>19</v>
      </c>
      <c r="D12" s="21" t="s">
        <v>37</v>
      </c>
      <c r="E12" s="19" t="s">
        <v>44</v>
      </c>
      <c r="F12" s="19">
        <v>1</v>
      </c>
      <c r="G12" s="22">
        <v>44210</v>
      </c>
      <c r="H12" s="22">
        <v>44215</v>
      </c>
      <c r="I12" s="22">
        <v>44215</v>
      </c>
      <c r="J12" s="23"/>
      <c r="K12" s="20" t="s">
        <v>22</v>
      </c>
      <c r="L12" s="24" t="s">
        <v>23</v>
      </c>
      <c r="M12" s="20" t="s">
        <v>24</v>
      </c>
      <c r="N12" s="20"/>
      <c r="O12" s="20" t="s">
        <v>25</v>
      </c>
      <c r="P12" s="23" t="s">
        <v>25</v>
      </c>
      <c r="Q12" s="20" t="s">
        <v>28</v>
      </c>
      <c r="R12" s="25" t="s">
        <v>28</v>
      </c>
    </row>
    <row r="13" spans="1:18" ht="30" customHeight="1">
      <c r="A13" s="18" t="s">
        <v>36</v>
      </c>
      <c r="B13" s="26">
        <v>214003</v>
      </c>
      <c r="C13" s="20" t="s">
        <v>19</v>
      </c>
      <c r="D13" s="21" t="s">
        <v>37</v>
      </c>
      <c r="E13" s="19" t="s">
        <v>32</v>
      </c>
      <c r="F13" s="19">
        <v>1</v>
      </c>
      <c r="G13" s="22">
        <v>44210</v>
      </c>
      <c r="H13" s="22">
        <v>44215</v>
      </c>
      <c r="I13" s="22">
        <v>44215</v>
      </c>
      <c r="J13" s="23"/>
      <c r="K13" s="20" t="s">
        <v>22</v>
      </c>
      <c r="L13" s="24" t="s">
        <v>23</v>
      </c>
      <c r="M13" s="20" t="s">
        <v>24</v>
      </c>
      <c r="N13" s="20"/>
      <c r="O13" s="20" t="s">
        <v>25</v>
      </c>
      <c r="P13" s="23" t="s">
        <v>25</v>
      </c>
      <c r="Q13" s="20" t="s">
        <v>28</v>
      </c>
      <c r="R13" s="25" t="s">
        <v>28</v>
      </c>
    </row>
    <row r="14" spans="1:18" ht="30" customHeight="1">
      <c r="A14" s="18" t="s">
        <v>36</v>
      </c>
      <c r="B14" s="26">
        <v>214003</v>
      </c>
      <c r="C14" s="20" t="s">
        <v>19</v>
      </c>
      <c r="D14" s="21" t="s">
        <v>37</v>
      </c>
      <c r="E14" s="19" t="s">
        <v>45</v>
      </c>
      <c r="F14" s="19">
        <v>1</v>
      </c>
      <c r="G14" s="22">
        <v>44210</v>
      </c>
      <c r="H14" s="22">
        <v>44215</v>
      </c>
      <c r="I14" s="22">
        <v>44215</v>
      </c>
      <c r="J14" s="23"/>
      <c r="K14" s="20" t="s">
        <v>22</v>
      </c>
      <c r="L14" s="24" t="s">
        <v>23</v>
      </c>
      <c r="M14" s="20" t="s">
        <v>24</v>
      </c>
      <c r="N14" s="20"/>
      <c r="O14" s="20" t="s">
        <v>25</v>
      </c>
      <c r="P14" s="23" t="s">
        <v>25</v>
      </c>
      <c r="Q14" s="20" t="s">
        <v>28</v>
      </c>
      <c r="R14" s="25" t="s">
        <v>28</v>
      </c>
    </row>
    <row r="15" spans="1:18" ht="30" customHeight="1">
      <c r="A15" s="18" t="s">
        <v>46</v>
      </c>
      <c r="B15" s="26">
        <v>213500</v>
      </c>
      <c r="C15" s="20" t="s">
        <v>19</v>
      </c>
      <c r="D15" s="21" t="s">
        <v>47</v>
      </c>
      <c r="E15" s="19" t="s">
        <v>48</v>
      </c>
      <c r="F15" s="19">
        <v>1</v>
      </c>
      <c r="G15" s="22">
        <v>44207</v>
      </c>
      <c r="H15" s="22">
        <v>44211</v>
      </c>
      <c r="I15" s="22">
        <v>44222</v>
      </c>
      <c r="J15" s="23"/>
      <c r="K15" s="20" t="s">
        <v>22</v>
      </c>
      <c r="L15" s="24" t="s">
        <v>23</v>
      </c>
      <c r="M15" s="20" t="s">
        <v>24</v>
      </c>
      <c r="N15" s="20">
        <v>3</v>
      </c>
      <c r="O15" s="20" t="s">
        <v>25</v>
      </c>
      <c r="P15" s="23" t="s">
        <v>25</v>
      </c>
      <c r="Q15" s="20" t="s">
        <v>27</v>
      </c>
      <c r="R15" s="25" t="s">
        <v>27</v>
      </c>
    </row>
    <row r="16" spans="1:18" ht="30" customHeight="1">
      <c r="A16" s="18" t="s">
        <v>46</v>
      </c>
      <c r="B16" s="26">
        <v>213500</v>
      </c>
      <c r="C16" s="20" t="s">
        <v>19</v>
      </c>
      <c r="D16" s="21" t="s">
        <v>47</v>
      </c>
      <c r="E16" s="19" t="s">
        <v>32</v>
      </c>
      <c r="F16" s="19">
        <v>1</v>
      </c>
      <c r="G16" s="22">
        <v>44207</v>
      </c>
      <c r="H16" s="22">
        <v>44211</v>
      </c>
      <c r="I16" s="22">
        <v>44222</v>
      </c>
      <c r="J16" s="23"/>
      <c r="K16" s="20" t="s">
        <v>22</v>
      </c>
      <c r="L16" s="24" t="s">
        <v>23</v>
      </c>
      <c r="M16" s="20" t="s">
        <v>24</v>
      </c>
      <c r="N16" s="20">
        <v>3</v>
      </c>
      <c r="O16" s="20" t="s">
        <v>25</v>
      </c>
      <c r="P16" s="23" t="s">
        <v>25</v>
      </c>
      <c r="Q16" s="20" t="s">
        <v>49</v>
      </c>
      <c r="R16" s="25" t="s">
        <v>49</v>
      </c>
    </row>
    <row r="17" spans="1:18" ht="30" customHeight="1">
      <c r="A17" s="18" t="s">
        <v>46</v>
      </c>
      <c r="B17" s="26">
        <v>213500</v>
      </c>
      <c r="C17" s="20" t="s">
        <v>19</v>
      </c>
      <c r="D17" s="21" t="s">
        <v>47</v>
      </c>
      <c r="E17" s="19" t="s">
        <v>45</v>
      </c>
      <c r="F17" s="19">
        <v>1</v>
      </c>
      <c r="G17" s="22">
        <v>44207</v>
      </c>
      <c r="H17" s="22">
        <v>44211</v>
      </c>
      <c r="I17" s="22">
        <v>44222</v>
      </c>
      <c r="J17" s="23"/>
      <c r="K17" s="20" t="s">
        <v>22</v>
      </c>
      <c r="L17" s="24" t="s">
        <v>23</v>
      </c>
      <c r="M17" s="20" t="s">
        <v>24</v>
      </c>
      <c r="N17" s="20">
        <v>3</v>
      </c>
      <c r="O17" s="20" t="s">
        <v>25</v>
      </c>
      <c r="P17" s="23" t="s">
        <v>25</v>
      </c>
      <c r="Q17" s="20" t="s">
        <v>50</v>
      </c>
      <c r="R17" s="25" t="s">
        <v>50</v>
      </c>
    </row>
    <row r="18" spans="1:18" ht="30" customHeight="1">
      <c r="A18" s="18" t="s">
        <v>46</v>
      </c>
      <c r="B18" s="26">
        <v>213500</v>
      </c>
      <c r="C18" s="20" t="s">
        <v>19</v>
      </c>
      <c r="D18" s="21" t="s">
        <v>47</v>
      </c>
      <c r="E18" s="19" t="s">
        <v>35</v>
      </c>
      <c r="F18" s="19">
        <v>1</v>
      </c>
      <c r="G18" s="22">
        <v>44207</v>
      </c>
      <c r="H18" s="22">
        <v>44211</v>
      </c>
      <c r="I18" s="22">
        <v>44222</v>
      </c>
      <c r="J18" s="23"/>
      <c r="K18" s="20" t="s">
        <v>22</v>
      </c>
      <c r="L18" s="24" t="s">
        <v>23</v>
      </c>
      <c r="M18" s="20" t="s">
        <v>24</v>
      </c>
      <c r="N18" s="20">
        <v>3</v>
      </c>
      <c r="O18" s="20" t="s">
        <v>25</v>
      </c>
      <c r="P18" s="23" t="s">
        <v>25</v>
      </c>
      <c r="Q18" s="20" t="s">
        <v>51</v>
      </c>
      <c r="R18" s="25" t="s">
        <v>51</v>
      </c>
    </row>
    <row r="19" spans="1:18" ht="30" customHeight="1">
      <c r="A19" s="18" t="s">
        <v>39</v>
      </c>
      <c r="B19" s="26">
        <v>212637</v>
      </c>
      <c r="C19" s="20" t="s">
        <v>19</v>
      </c>
      <c r="D19" s="21" t="s">
        <v>52</v>
      </c>
      <c r="E19" s="19" t="s">
        <v>34</v>
      </c>
      <c r="F19" s="19">
        <v>2</v>
      </c>
      <c r="G19" s="22">
        <v>44202</v>
      </c>
      <c r="H19" s="22">
        <v>44203</v>
      </c>
      <c r="I19" s="22">
        <v>44203</v>
      </c>
      <c r="J19" s="23"/>
      <c r="K19" s="20" t="s">
        <v>22</v>
      </c>
      <c r="L19" s="24" t="s">
        <v>33</v>
      </c>
      <c r="M19" s="20" t="s">
        <v>24</v>
      </c>
      <c r="N19" s="20">
        <v>1</v>
      </c>
      <c r="O19" s="20" t="s">
        <v>25</v>
      </c>
      <c r="P19" s="23" t="s">
        <v>26</v>
      </c>
      <c r="Q19" s="20" t="s">
        <v>28</v>
      </c>
      <c r="R19" s="25" t="s">
        <v>53</v>
      </c>
    </row>
    <row r="20" spans="1:18" ht="30" customHeight="1">
      <c r="A20" s="18" t="s">
        <v>54</v>
      </c>
      <c r="B20" s="26">
        <v>179193</v>
      </c>
      <c r="C20" s="20" t="s">
        <v>55</v>
      </c>
      <c r="D20" s="21" t="s">
        <v>56</v>
      </c>
      <c r="E20" s="19" t="s">
        <v>34</v>
      </c>
      <c r="F20" s="19">
        <v>2</v>
      </c>
      <c r="G20" s="22">
        <v>44039</v>
      </c>
      <c r="H20" s="22"/>
      <c r="I20" s="22">
        <v>44046</v>
      </c>
      <c r="J20" s="23"/>
      <c r="K20" s="20" t="s">
        <v>22</v>
      </c>
      <c r="L20" s="24" t="s">
        <v>57</v>
      </c>
      <c r="M20" s="20"/>
      <c r="N20" s="20"/>
      <c r="O20" s="20" t="s">
        <v>25</v>
      </c>
      <c r="P20" s="23" t="s">
        <v>26</v>
      </c>
      <c r="Q20" s="20" t="s">
        <v>28</v>
      </c>
      <c r="R20" s="25" t="s">
        <v>27</v>
      </c>
    </row>
    <row r="21" spans="1:18" ht="30" customHeight="1">
      <c r="A21" s="18" t="s">
        <v>58</v>
      </c>
      <c r="B21" s="26">
        <v>190879</v>
      </c>
      <c r="C21" s="20" t="s">
        <v>55</v>
      </c>
      <c r="D21" s="21" t="s">
        <v>59</v>
      </c>
      <c r="E21" s="19" t="s">
        <v>60</v>
      </c>
      <c r="F21" s="19">
        <v>1</v>
      </c>
      <c r="G21" s="22">
        <v>44096</v>
      </c>
      <c r="H21" s="22"/>
      <c r="I21" s="22">
        <v>44112</v>
      </c>
      <c r="J21" s="23"/>
      <c r="K21" s="20" t="s">
        <v>22</v>
      </c>
      <c r="L21" s="24" t="s">
        <v>41</v>
      </c>
      <c r="M21" s="20" t="s">
        <v>24</v>
      </c>
      <c r="N21" s="20"/>
      <c r="O21" s="20" t="s">
        <v>26</v>
      </c>
      <c r="P21" s="23" t="s">
        <v>26</v>
      </c>
      <c r="Q21" s="20" t="s">
        <v>28</v>
      </c>
      <c r="R21" s="25" t="s">
        <v>28</v>
      </c>
    </row>
    <row r="22" spans="1:18" ht="30" customHeight="1">
      <c r="A22" s="18" t="s">
        <v>58</v>
      </c>
      <c r="B22" s="26">
        <v>190879</v>
      </c>
      <c r="C22" s="20" t="s">
        <v>55</v>
      </c>
      <c r="D22" s="21" t="s">
        <v>59</v>
      </c>
      <c r="E22" s="19" t="s">
        <v>61</v>
      </c>
      <c r="F22" s="19">
        <v>1</v>
      </c>
      <c r="G22" s="22">
        <v>44096</v>
      </c>
      <c r="H22" s="22"/>
      <c r="I22" s="22">
        <v>44112</v>
      </c>
      <c r="J22" s="23"/>
      <c r="K22" s="20" t="s">
        <v>22</v>
      </c>
      <c r="L22" s="24" t="s">
        <v>33</v>
      </c>
      <c r="M22" s="20" t="s">
        <v>24</v>
      </c>
      <c r="N22" s="20"/>
      <c r="O22" s="20" t="s">
        <v>26</v>
      </c>
      <c r="P22" s="23" t="s">
        <v>26</v>
      </c>
      <c r="Q22" s="20" t="s">
        <v>28</v>
      </c>
      <c r="R22" s="25" t="s">
        <v>28</v>
      </c>
    </row>
    <row r="23" spans="1:18" ht="30" customHeight="1">
      <c r="A23" s="18" t="s">
        <v>58</v>
      </c>
      <c r="B23" s="26">
        <v>190879</v>
      </c>
      <c r="C23" s="20" t="s">
        <v>55</v>
      </c>
      <c r="D23" s="21" t="s">
        <v>59</v>
      </c>
      <c r="E23" s="19" t="s">
        <v>62</v>
      </c>
      <c r="F23" s="19">
        <v>3</v>
      </c>
      <c r="G23" s="22">
        <v>44096</v>
      </c>
      <c r="H23" s="22"/>
      <c r="I23" s="22">
        <v>44112</v>
      </c>
      <c r="J23" s="23"/>
      <c r="K23" s="20" t="s">
        <v>22</v>
      </c>
      <c r="L23" s="24" t="s">
        <v>41</v>
      </c>
      <c r="M23" s="20" t="s">
        <v>24</v>
      </c>
      <c r="N23" s="20"/>
      <c r="O23" s="20" t="s">
        <v>26</v>
      </c>
      <c r="P23" s="23" t="s">
        <v>26</v>
      </c>
      <c r="Q23" s="20" t="s">
        <v>28</v>
      </c>
      <c r="R23" s="25" t="s">
        <v>28</v>
      </c>
    </row>
    <row r="24" spans="1:18" ht="30" customHeight="1">
      <c r="A24" s="18" t="s">
        <v>58</v>
      </c>
      <c r="B24" s="26">
        <v>190879</v>
      </c>
      <c r="C24" s="20" t="s">
        <v>63</v>
      </c>
      <c r="D24" s="21" t="s">
        <v>59</v>
      </c>
      <c r="E24" s="19" t="s">
        <v>64</v>
      </c>
      <c r="F24" s="19">
        <v>1</v>
      </c>
      <c r="G24" s="22">
        <v>44096</v>
      </c>
      <c r="H24" s="22"/>
      <c r="I24" s="22">
        <v>44221</v>
      </c>
      <c r="J24" s="23"/>
      <c r="K24" s="20" t="s">
        <v>22</v>
      </c>
      <c r="L24" s="24" t="s">
        <v>57</v>
      </c>
      <c r="M24" s="20" t="s">
        <v>24</v>
      </c>
      <c r="N24" s="20"/>
      <c r="O24" s="20" t="s">
        <v>26</v>
      </c>
      <c r="P24" s="23" t="s">
        <v>26</v>
      </c>
      <c r="Q24" s="20" t="s">
        <v>28</v>
      </c>
      <c r="R24" s="25" t="s">
        <v>28</v>
      </c>
    </row>
    <row r="25" spans="1:18" ht="30" customHeight="1">
      <c r="A25" s="18" t="s">
        <v>58</v>
      </c>
      <c r="B25" s="26">
        <v>214128</v>
      </c>
      <c r="C25" s="20" t="s">
        <v>63</v>
      </c>
      <c r="D25" s="21" t="s">
        <v>65</v>
      </c>
      <c r="E25" s="19" t="s">
        <v>66</v>
      </c>
      <c r="F25" s="19">
        <v>1</v>
      </c>
      <c r="G25" s="22">
        <v>44209</v>
      </c>
      <c r="H25" s="22"/>
      <c r="I25" s="22">
        <v>44216</v>
      </c>
      <c r="J25" s="23"/>
      <c r="K25" s="20" t="s">
        <v>22</v>
      </c>
      <c r="L25" s="24" t="s">
        <v>57</v>
      </c>
      <c r="M25" s="20" t="s">
        <v>24</v>
      </c>
      <c r="N25" s="20"/>
      <c r="O25" s="20" t="s">
        <v>25</v>
      </c>
      <c r="P25" s="23" t="s">
        <v>25</v>
      </c>
      <c r="Q25" s="20" t="s">
        <v>53</v>
      </c>
      <c r="R25" s="25" t="s">
        <v>53</v>
      </c>
    </row>
    <row r="26" spans="1:18" ht="30" customHeight="1">
      <c r="A26" s="18" t="s">
        <v>58</v>
      </c>
      <c r="B26" s="26">
        <v>214128</v>
      </c>
      <c r="C26" s="20" t="s">
        <v>63</v>
      </c>
      <c r="D26" s="21" t="s">
        <v>65</v>
      </c>
      <c r="E26" s="19" t="s">
        <v>61</v>
      </c>
      <c r="F26" s="19">
        <v>1</v>
      </c>
      <c r="G26" s="22">
        <v>44209</v>
      </c>
      <c r="H26" s="22"/>
      <c r="I26" s="22">
        <v>44216</v>
      </c>
      <c r="J26" s="23"/>
      <c r="K26" s="20" t="s">
        <v>22</v>
      </c>
      <c r="L26" s="24" t="s">
        <v>57</v>
      </c>
      <c r="M26" s="20" t="s">
        <v>24</v>
      </c>
      <c r="N26" s="20"/>
      <c r="O26" s="20" t="s">
        <v>25</v>
      </c>
      <c r="P26" s="23" t="s">
        <v>25</v>
      </c>
      <c r="Q26" s="20" t="s">
        <v>53</v>
      </c>
      <c r="R26" s="25" t="s">
        <v>53</v>
      </c>
    </row>
    <row r="27" spans="1:18" ht="30" customHeight="1">
      <c r="A27" s="18" t="s">
        <v>67</v>
      </c>
      <c r="B27" s="26">
        <v>216194</v>
      </c>
      <c r="C27" s="20" t="s">
        <v>63</v>
      </c>
      <c r="D27" s="21" t="s">
        <v>68</v>
      </c>
      <c r="E27" s="19" t="s">
        <v>48</v>
      </c>
      <c r="F27" s="19">
        <v>2</v>
      </c>
      <c r="G27" s="22">
        <v>44218</v>
      </c>
      <c r="H27" s="22">
        <v>44218</v>
      </c>
      <c r="I27" s="22">
        <v>44218</v>
      </c>
      <c r="J27" s="23"/>
      <c r="K27" s="20" t="s">
        <v>22</v>
      </c>
      <c r="L27" s="24" t="s">
        <v>57</v>
      </c>
      <c r="M27" s="20" t="s">
        <v>24</v>
      </c>
      <c r="N27" s="20"/>
      <c r="O27" s="20" t="s">
        <v>25</v>
      </c>
      <c r="P27" s="23" t="s">
        <v>26</v>
      </c>
      <c r="Q27" s="20" t="s">
        <v>27</v>
      </c>
      <c r="R27" s="25" t="s">
        <v>28</v>
      </c>
    </row>
    <row r="28" spans="1:18" ht="30" customHeight="1">
      <c r="A28" s="18" t="s">
        <v>67</v>
      </c>
      <c r="B28" s="26">
        <v>216194</v>
      </c>
      <c r="C28" s="20" t="s">
        <v>63</v>
      </c>
      <c r="D28" s="21" t="s">
        <v>68</v>
      </c>
      <c r="E28" s="19" t="s">
        <v>34</v>
      </c>
      <c r="F28" s="19">
        <v>2</v>
      </c>
      <c r="G28" s="22">
        <v>44218</v>
      </c>
      <c r="H28" s="22">
        <v>44218</v>
      </c>
      <c r="I28" s="22">
        <v>44218</v>
      </c>
      <c r="J28" s="23"/>
      <c r="K28" s="20" t="s">
        <v>22</v>
      </c>
      <c r="L28" s="24" t="s">
        <v>57</v>
      </c>
      <c r="M28" s="20" t="s">
        <v>24</v>
      </c>
      <c r="N28" s="20"/>
      <c r="O28" s="20" t="s">
        <v>25</v>
      </c>
      <c r="P28" s="23" t="s">
        <v>26</v>
      </c>
      <c r="Q28" s="20" t="s">
        <v>27</v>
      </c>
      <c r="R28" s="25" t="s">
        <v>28</v>
      </c>
    </row>
    <row r="29" spans="1:18" ht="30" customHeight="1">
      <c r="A29" s="18" t="s">
        <v>67</v>
      </c>
      <c r="B29" s="26">
        <v>216194</v>
      </c>
      <c r="C29" s="20" t="s">
        <v>63</v>
      </c>
      <c r="D29" s="21" t="s">
        <v>68</v>
      </c>
      <c r="E29" s="19" t="s">
        <v>35</v>
      </c>
      <c r="F29" s="19">
        <v>2</v>
      </c>
      <c r="G29" s="22">
        <v>44218</v>
      </c>
      <c r="H29" s="22">
        <v>44218</v>
      </c>
      <c r="I29" s="22">
        <v>44218</v>
      </c>
      <c r="J29" s="23"/>
      <c r="K29" s="20" t="s">
        <v>22</v>
      </c>
      <c r="L29" s="24" t="s">
        <v>57</v>
      </c>
      <c r="M29" s="20" t="s">
        <v>24</v>
      </c>
      <c r="N29" s="20"/>
      <c r="O29" s="20" t="s">
        <v>25</v>
      </c>
      <c r="P29" s="23" t="s">
        <v>26</v>
      </c>
      <c r="Q29" s="20" t="s">
        <v>27</v>
      </c>
      <c r="R29" s="25" t="s">
        <v>28</v>
      </c>
    </row>
    <row r="30" spans="1:18" ht="30" customHeight="1">
      <c r="A30" s="18" t="s">
        <v>29</v>
      </c>
      <c r="B30" s="19">
        <v>212059</v>
      </c>
      <c r="C30" s="20" t="s">
        <v>19</v>
      </c>
      <c r="D30" s="21" t="s">
        <v>69</v>
      </c>
      <c r="E30" s="19" t="s">
        <v>43</v>
      </c>
      <c r="F30" s="19">
        <v>1</v>
      </c>
      <c r="G30" s="22">
        <v>44210</v>
      </c>
      <c r="H30" s="22">
        <v>44214</v>
      </c>
      <c r="I30" s="22">
        <v>44211</v>
      </c>
      <c r="J30" s="23"/>
      <c r="K30" s="20" t="s">
        <v>22</v>
      </c>
      <c r="L30" s="24" t="s">
        <v>33</v>
      </c>
      <c r="M30" s="20" t="s">
        <v>24</v>
      </c>
      <c r="N30" s="20"/>
      <c r="O30" s="20" t="s">
        <v>25</v>
      </c>
      <c r="P30" s="23" t="s">
        <v>25</v>
      </c>
      <c r="Q30" s="20" t="s">
        <v>53</v>
      </c>
      <c r="R30" s="25" t="s">
        <v>53</v>
      </c>
    </row>
    <row r="31" spans="1:18" ht="30" customHeight="1">
      <c r="A31" s="18" t="s">
        <v>70</v>
      </c>
      <c r="B31" s="26">
        <v>215322</v>
      </c>
      <c r="C31" s="20" t="s">
        <v>30</v>
      </c>
      <c r="D31" s="21" t="s">
        <v>71</v>
      </c>
      <c r="E31" s="19" t="s">
        <v>72</v>
      </c>
      <c r="F31" s="19">
        <v>1</v>
      </c>
      <c r="G31" s="22">
        <v>44215</v>
      </c>
      <c r="H31" s="22">
        <v>44221</v>
      </c>
      <c r="I31" s="22">
        <v>44221</v>
      </c>
      <c r="J31" s="23"/>
      <c r="K31" s="20" t="s">
        <v>22</v>
      </c>
      <c r="L31" s="24" t="s">
        <v>57</v>
      </c>
      <c r="M31" s="20" t="s">
        <v>24</v>
      </c>
      <c r="N31" s="20">
        <v>0</v>
      </c>
      <c r="O31" s="20" t="s">
        <v>25</v>
      </c>
      <c r="P31" s="23" t="s">
        <v>26</v>
      </c>
      <c r="Q31" s="20" t="s">
        <v>53</v>
      </c>
      <c r="R31" s="25" t="s">
        <v>73</v>
      </c>
    </row>
    <row r="32" spans="1:18" ht="30" customHeight="1">
      <c r="A32" s="18" t="s">
        <v>46</v>
      </c>
      <c r="B32" s="26">
        <v>215073</v>
      </c>
      <c r="C32" s="20" t="s">
        <v>63</v>
      </c>
      <c r="D32" s="21" t="s">
        <v>74</v>
      </c>
      <c r="E32" s="19" t="s">
        <v>66</v>
      </c>
      <c r="F32" s="19">
        <v>1</v>
      </c>
      <c r="G32" s="22">
        <v>44214</v>
      </c>
      <c r="H32" s="22">
        <v>44218</v>
      </c>
      <c r="I32" s="22"/>
      <c r="J32" s="23"/>
      <c r="K32" s="20" t="s">
        <v>22</v>
      </c>
      <c r="L32" s="24" t="s">
        <v>57</v>
      </c>
      <c r="M32" s="20" t="s">
        <v>24</v>
      </c>
      <c r="N32" s="20"/>
      <c r="O32" s="20" t="s">
        <v>25</v>
      </c>
      <c r="P32" s="23" t="s">
        <v>26</v>
      </c>
      <c r="Q32" s="20" t="s">
        <v>28</v>
      </c>
      <c r="R32" s="25" t="s">
        <v>53</v>
      </c>
    </row>
    <row r="33" spans="1:18" ht="30" customHeight="1">
      <c r="A33" s="18" t="s">
        <v>29</v>
      </c>
      <c r="B33" s="19">
        <v>212059</v>
      </c>
      <c r="C33" s="20" t="s">
        <v>19</v>
      </c>
      <c r="D33" s="21" t="s">
        <v>69</v>
      </c>
      <c r="E33" s="19" t="s">
        <v>34</v>
      </c>
      <c r="F33" s="19">
        <v>1</v>
      </c>
      <c r="G33" s="22">
        <v>44210</v>
      </c>
      <c r="H33" s="22">
        <v>44214</v>
      </c>
      <c r="I33" s="22">
        <v>44211</v>
      </c>
      <c r="J33" s="23"/>
      <c r="K33" s="20" t="s">
        <v>22</v>
      </c>
      <c r="L33" s="24" t="s">
        <v>33</v>
      </c>
      <c r="M33" s="20" t="s">
        <v>24</v>
      </c>
      <c r="N33" s="20"/>
      <c r="O33" s="20" t="s">
        <v>25</v>
      </c>
      <c r="P33" s="23" t="s">
        <v>25</v>
      </c>
      <c r="Q33" s="20" t="s">
        <v>53</v>
      </c>
      <c r="R33" s="25" t="s">
        <v>53</v>
      </c>
    </row>
    <row r="34" spans="1:18" ht="30" customHeight="1">
      <c r="A34" s="18" t="s">
        <v>29</v>
      </c>
      <c r="B34" s="19">
        <v>212059</v>
      </c>
      <c r="C34" s="20" t="s">
        <v>19</v>
      </c>
      <c r="D34" s="21" t="s">
        <v>69</v>
      </c>
      <c r="E34" s="19" t="s">
        <v>32</v>
      </c>
      <c r="F34" s="19">
        <v>1</v>
      </c>
      <c r="G34" s="22">
        <v>44210</v>
      </c>
      <c r="H34" s="22">
        <v>44214</v>
      </c>
      <c r="I34" s="22">
        <v>44211</v>
      </c>
      <c r="J34" s="23"/>
      <c r="K34" s="20" t="s">
        <v>22</v>
      </c>
      <c r="L34" s="24" t="s">
        <v>33</v>
      </c>
      <c r="M34" s="20" t="s">
        <v>24</v>
      </c>
      <c r="N34" s="20"/>
      <c r="O34" s="20" t="s">
        <v>25</v>
      </c>
      <c r="P34" s="23" t="s">
        <v>25</v>
      </c>
      <c r="Q34" s="20" t="s">
        <v>53</v>
      </c>
      <c r="R34" s="25" t="s">
        <v>53</v>
      </c>
    </row>
    <row r="35" spans="1:18" ht="30" customHeight="1">
      <c r="A35" s="18" t="s">
        <v>29</v>
      </c>
      <c r="B35" s="19">
        <v>212059</v>
      </c>
      <c r="C35" s="20" t="s">
        <v>19</v>
      </c>
      <c r="D35" s="21" t="s">
        <v>69</v>
      </c>
      <c r="E35" s="19" t="s">
        <v>75</v>
      </c>
      <c r="F35" s="19">
        <v>1</v>
      </c>
      <c r="G35" s="22">
        <v>44210</v>
      </c>
      <c r="H35" s="22">
        <v>44214</v>
      </c>
      <c r="I35" s="22">
        <v>44211</v>
      </c>
      <c r="J35" s="23"/>
      <c r="K35" s="20" t="s">
        <v>22</v>
      </c>
      <c r="L35" s="24" t="s">
        <v>33</v>
      </c>
      <c r="M35" s="20" t="s">
        <v>24</v>
      </c>
      <c r="N35" s="20"/>
      <c r="O35" s="20" t="s">
        <v>25</v>
      </c>
      <c r="P35" s="23" t="s">
        <v>25</v>
      </c>
      <c r="Q35" s="20" t="s">
        <v>53</v>
      </c>
      <c r="R35" s="25" t="s">
        <v>53</v>
      </c>
    </row>
    <row r="36" spans="1:18" ht="30" customHeight="1">
      <c r="A36" s="18" t="s">
        <v>29</v>
      </c>
      <c r="B36" s="19">
        <v>212059</v>
      </c>
      <c r="C36" s="20" t="s">
        <v>19</v>
      </c>
      <c r="D36" s="21" t="s">
        <v>69</v>
      </c>
      <c r="E36" s="19" t="s">
        <v>48</v>
      </c>
      <c r="F36" s="19">
        <v>1</v>
      </c>
      <c r="G36" s="22">
        <v>44210</v>
      </c>
      <c r="H36" s="22">
        <v>44214</v>
      </c>
      <c r="I36" s="22">
        <v>44211</v>
      </c>
      <c r="J36" s="23"/>
      <c r="K36" s="20" t="s">
        <v>22</v>
      </c>
      <c r="L36" s="24" t="s">
        <v>33</v>
      </c>
      <c r="M36" s="20" t="s">
        <v>24</v>
      </c>
      <c r="N36" s="20"/>
      <c r="O36" s="20" t="s">
        <v>25</v>
      </c>
      <c r="P36" s="23" t="s">
        <v>25</v>
      </c>
      <c r="Q36" s="20" t="s">
        <v>53</v>
      </c>
      <c r="R36" s="25" t="s">
        <v>53</v>
      </c>
    </row>
    <row r="37" spans="1:18" ht="30" customHeight="1">
      <c r="A37" s="18" t="s">
        <v>29</v>
      </c>
      <c r="B37" s="19">
        <v>212059</v>
      </c>
      <c r="C37" s="20" t="s">
        <v>19</v>
      </c>
      <c r="D37" s="21" t="s">
        <v>69</v>
      </c>
      <c r="E37" s="19" t="s">
        <v>35</v>
      </c>
      <c r="F37" s="19">
        <v>5</v>
      </c>
      <c r="G37" s="22">
        <v>44210</v>
      </c>
      <c r="H37" s="22">
        <v>44214</v>
      </c>
      <c r="I37" s="22">
        <v>44211</v>
      </c>
      <c r="J37" s="23"/>
      <c r="K37" s="20" t="s">
        <v>22</v>
      </c>
      <c r="L37" s="24" t="s">
        <v>33</v>
      </c>
      <c r="M37" s="20" t="s">
        <v>24</v>
      </c>
      <c r="N37" s="20"/>
      <c r="O37" s="20" t="s">
        <v>25</v>
      </c>
      <c r="P37" s="23" t="s">
        <v>25</v>
      </c>
      <c r="Q37" s="20" t="s">
        <v>53</v>
      </c>
      <c r="R37" s="25" t="s">
        <v>53</v>
      </c>
    </row>
    <row r="38" spans="1:18" ht="30" customHeight="1">
      <c r="A38" s="18" t="s">
        <v>76</v>
      </c>
      <c r="B38" s="26">
        <v>215220</v>
      </c>
      <c r="C38" s="20" t="s">
        <v>19</v>
      </c>
      <c r="D38" s="21" t="s">
        <v>77</v>
      </c>
      <c r="E38" s="19" t="s">
        <v>35</v>
      </c>
      <c r="F38" s="19">
        <v>1</v>
      </c>
      <c r="G38" s="22">
        <v>44214</v>
      </c>
      <c r="H38" s="22">
        <v>44221</v>
      </c>
      <c r="I38" s="22">
        <v>44224</v>
      </c>
      <c r="J38" s="23"/>
      <c r="K38" s="20" t="s">
        <v>22</v>
      </c>
      <c r="L38" s="24" t="s">
        <v>23</v>
      </c>
      <c r="M38" s="20" t="s">
        <v>24</v>
      </c>
      <c r="N38" s="20">
        <v>1</v>
      </c>
      <c r="O38" s="20" t="s">
        <v>25</v>
      </c>
      <c r="P38" s="23" t="s">
        <v>25</v>
      </c>
      <c r="Q38" s="20" t="s">
        <v>28</v>
      </c>
      <c r="R38" s="25" t="s">
        <v>53</v>
      </c>
    </row>
    <row r="39" spans="1:18" ht="30" customHeight="1">
      <c r="A39" s="18" t="s">
        <v>39</v>
      </c>
      <c r="B39" s="26">
        <v>189842</v>
      </c>
      <c r="C39" s="20" t="s">
        <v>30</v>
      </c>
      <c r="D39" s="21" t="s">
        <v>78</v>
      </c>
      <c r="E39" s="19" t="s">
        <v>34</v>
      </c>
      <c r="F39" s="19">
        <v>7</v>
      </c>
      <c r="G39" s="22">
        <v>44221</v>
      </c>
      <c r="H39" s="22">
        <v>44221</v>
      </c>
      <c r="I39" s="22">
        <v>44221</v>
      </c>
      <c r="J39" s="23"/>
      <c r="K39" s="20" t="s">
        <v>22</v>
      </c>
      <c r="L39" s="24" t="s">
        <v>33</v>
      </c>
      <c r="M39" s="20" t="s">
        <v>24</v>
      </c>
      <c r="N39" s="20">
        <v>2</v>
      </c>
      <c r="O39" s="20" t="s">
        <v>25</v>
      </c>
      <c r="P39" s="23" t="s">
        <v>26</v>
      </c>
      <c r="Q39" s="20" t="s">
        <v>28</v>
      </c>
      <c r="R39" s="25" t="s">
        <v>53</v>
      </c>
    </row>
    <row r="40" spans="1:18" ht="30" customHeight="1">
      <c r="A40" s="18" t="s">
        <v>39</v>
      </c>
      <c r="B40" s="26">
        <v>189842</v>
      </c>
      <c r="C40" s="20" t="s">
        <v>30</v>
      </c>
      <c r="D40" s="21" t="s">
        <v>78</v>
      </c>
      <c r="E40" s="19" t="s">
        <v>32</v>
      </c>
      <c r="F40" s="19">
        <v>1</v>
      </c>
      <c r="G40" s="22">
        <v>44221</v>
      </c>
      <c r="H40" s="22">
        <v>44221</v>
      </c>
      <c r="I40" s="22">
        <v>44221</v>
      </c>
      <c r="J40" s="23"/>
      <c r="K40" s="20" t="s">
        <v>22</v>
      </c>
      <c r="L40" s="24" t="s">
        <v>33</v>
      </c>
      <c r="M40" s="20" t="s">
        <v>24</v>
      </c>
      <c r="N40" s="20">
        <v>2</v>
      </c>
      <c r="O40" s="20" t="s">
        <v>25</v>
      </c>
      <c r="P40" s="23" t="s">
        <v>26</v>
      </c>
      <c r="Q40" s="20" t="s">
        <v>28</v>
      </c>
      <c r="R40" s="25" t="s">
        <v>53</v>
      </c>
    </row>
    <row r="41" spans="1:18" ht="30" customHeight="1">
      <c r="A41" s="18" t="s">
        <v>39</v>
      </c>
      <c r="B41" s="26">
        <v>189842</v>
      </c>
      <c r="C41" s="20" t="s">
        <v>30</v>
      </c>
      <c r="D41" s="21" t="s">
        <v>78</v>
      </c>
      <c r="E41" s="19" t="s">
        <v>66</v>
      </c>
      <c r="F41" s="19">
        <v>5</v>
      </c>
      <c r="G41" s="22">
        <v>44221</v>
      </c>
      <c r="H41" s="22">
        <v>44221</v>
      </c>
      <c r="I41" s="22">
        <v>44221</v>
      </c>
      <c r="J41" s="23"/>
      <c r="K41" s="20" t="s">
        <v>22</v>
      </c>
      <c r="L41" s="24" t="s">
        <v>33</v>
      </c>
      <c r="M41" s="20" t="s">
        <v>24</v>
      </c>
      <c r="N41" s="20">
        <v>2</v>
      </c>
      <c r="O41" s="20" t="s">
        <v>25</v>
      </c>
      <c r="P41" s="23" t="s">
        <v>26</v>
      </c>
      <c r="Q41" s="20" t="s">
        <v>28</v>
      </c>
      <c r="R41" s="25" t="s">
        <v>53</v>
      </c>
    </row>
    <row r="42" spans="1:18" ht="30" customHeight="1">
      <c r="A42" s="18" t="s">
        <v>39</v>
      </c>
      <c r="B42" s="26">
        <v>189842</v>
      </c>
      <c r="C42" s="20" t="s">
        <v>55</v>
      </c>
      <c r="D42" s="21" t="s">
        <v>78</v>
      </c>
      <c r="E42" s="19" t="s">
        <v>34</v>
      </c>
      <c r="F42" s="19">
        <v>24</v>
      </c>
      <c r="G42" s="22">
        <v>44090</v>
      </c>
      <c r="H42" s="22">
        <v>44211</v>
      </c>
      <c r="I42" s="22">
        <v>44211</v>
      </c>
      <c r="J42" s="23"/>
      <c r="K42" s="20" t="s">
        <v>22</v>
      </c>
      <c r="L42" s="24" t="s">
        <v>33</v>
      </c>
      <c r="M42" s="20" t="s">
        <v>24</v>
      </c>
      <c r="N42" s="20"/>
      <c r="O42" s="20"/>
      <c r="P42" s="23"/>
      <c r="Q42" s="20"/>
      <c r="R42" s="25"/>
    </row>
    <row r="43" spans="1:18" ht="30" customHeight="1">
      <c r="A43" s="18" t="s">
        <v>39</v>
      </c>
      <c r="B43" s="26">
        <v>189842</v>
      </c>
      <c r="C43" s="20" t="s">
        <v>55</v>
      </c>
      <c r="D43" s="21" t="s">
        <v>78</v>
      </c>
      <c r="E43" s="19" t="s">
        <v>79</v>
      </c>
      <c r="F43" s="19">
        <v>11</v>
      </c>
      <c r="G43" s="22">
        <v>44090</v>
      </c>
      <c r="H43" s="22">
        <v>44211</v>
      </c>
      <c r="I43" s="22">
        <v>44211</v>
      </c>
      <c r="J43" s="23"/>
      <c r="K43" s="20" t="s">
        <v>22</v>
      </c>
      <c r="L43" s="24" t="s">
        <v>33</v>
      </c>
      <c r="M43" s="20" t="s">
        <v>79</v>
      </c>
      <c r="N43" s="20"/>
      <c r="O43" s="20"/>
      <c r="P43" s="23"/>
      <c r="Q43" s="20"/>
      <c r="R43" s="25"/>
    </row>
    <row r="44" spans="1:18" ht="30" customHeight="1">
      <c r="A44" s="18" t="s">
        <v>39</v>
      </c>
      <c r="B44" s="26">
        <v>189842</v>
      </c>
      <c r="C44" s="20" t="s">
        <v>55</v>
      </c>
      <c r="D44" s="21" t="s">
        <v>78</v>
      </c>
      <c r="E44" s="19" t="s">
        <v>80</v>
      </c>
      <c r="F44" s="19">
        <v>31</v>
      </c>
      <c r="G44" s="22">
        <v>44090</v>
      </c>
      <c r="H44" s="22">
        <v>44211</v>
      </c>
      <c r="I44" s="22">
        <v>44211</v>
      </c>
      <c r="J44" s="23"/>
      <c r="K44" s="20" t="s">
        <v>22</v>
      </c>
      <c r="L44" s="24" t="s">
        <v>33</v>
      </c>
      <c r="M44" s="20" t="s">
        <v>79</v>
      </c>
      <c r="N44" s="20"/>
      <c r="O44" s="20"/>
      <c r="P44" s="23"/>
      <c r="Q44" s="20"/>
      <c r="R44" s="25"/>
    </row>
    <row r="45" spans="1:18" ht="30" customHeight="1">
      <c r="A45" s="18" t="s">
        <v>39</v>
      </c>
      <c r="B45" s="26">
        <v>189842</v>
      </c>
      <c r="C45" s="20" t="s">
        <v>55</v>
      </c>
      <c r="D45" s="21" t="s">
        <v>78</v>
      </c>
      <c r="E45" s="19" t="s">
        <v>81</v>
      </c>
      <c r="F45" s="19">
        <v>20</v>
      </c>
      <c r="G45" s="22">
        <v>44090</v>
      </c>
      <c r="H45" s="22">
        <v>44211</v>
      </c>
      <c r="I45" s="22">
        <v>44211</v>
      </c>
      <c r="J45" s="23"/>
      <c r="K45" s="20" t="s">
        <v>22</v>
      </c>
      <c r="L45" s="24" t="s">
        <v>33</v>
      </c>
      <c r="M45" s="20" t="s">
        <v>24</v>
      </c>
      <c r="N45" s="20"/>
      <c r="O45" s="20"/>
      <c r="P45" s="23"/>
      <c r="Q45" s="20"/>
      <c r="R45" s="25"/>
    </row>
    <row r="46" spans="1:18" ht="30" customHeight="1">
      <c r="A46" s="18" t="s">
        <v>39</v>
      </c>
      <c r="B46" s="26">
        <v>189842</v>
      </c>
      <c r="C46" s="20" t="s">
        <v>55</v>
      </c>
      <c r="D46" s="21" t="s">
        <v>78</v>
      </c>
      <c r="E46" s="19" t="s">
        <v>82</v>
      </c>
      <c r="F46" s="19">
        <v>1</v>
      </c>
      <c r="G46" s="22">
        <v>44090</v>
      </c>
      <c r="H46" s="22">
        <v>44211</v>
      </c>
      <c r="I46" s="22">
        <v>44211</v>
      </c>
      <c r="J46" s="23"/>
      <c r="K46" s="20" t="s">
        <v>22</v>
      </c>
      <c r="L46" s="24" t="s">
        <v>41</v>
      </c>
      <c r="M46" s="20" t="s">
        <v>24</v>
      </c>
      <c r="N46" s="20"/>
      <c r="O46" s="20"/>
      <c r="P46" s="23"/>
      <c r="Q46" s="20"/>
      <c r="R46" s="25"/>
    </row>
    <row r="47" spans="1:18" ht="30" customHeight="1">
      <c r="A47" s="18" t="s">
        <v>39</v>
      </c>
      <c r="B47" s="26">
        <v>189842</v>
      </c>
      <c r="C47" s="20" t="s">
        <v>55</v>
      </c>
      <c r="D47" s="21" t="s">
        <v>78</v>
      </c>
      <c r="E47" s="19" t="s">
        <v>66</v>
      </c>
      <c r="F47" s="19">
        <v>1</v>
      </c>
      <c r="G47" s="22">
        <v>44090</v>
      </c>
      <c r="H47" s="22">
        <v>44211</v>
      </c>
      <c r="I47" s="22">
        <v>44211</v>
      </c>
      <c r="J47" s="23"/>
      <c r="K47" s="20" t="s">
        <v>22</v>
      </c>
      <c r="L47" s="24" t="s">
        <v>41</v>
      </c>
      <c r="M47" s="20" t="s">
        <v>24</v>
      </c>
      <c r="N47" s="20"/>
      <c r="O47" s="20"/>
      <c r="P47" s="23"/>
      <c r="Q47" s="20"/>
      <c r="R47" s="25"/>
    </row>
    <row r="48" spans="1:18" ht="30" customHeight="1">
      <c r="A48" s="18" t="s">
        <v>76</v>
      </c>
      <c r="B48" s="26">
        <v>215220</v>
      </c>
      <c r="C48" s="20" t="s">
        <v>19</v>
      </c>
      <c r="D48" s="21" t="s">
        <v>77</v>
      </c>
      <c r="E48" s="19" t="s">
        <v>48</v>
      </c>
      <c r="F48" s="19">
        <v>1</v>
      </c>
      <c r="G48" s="22">
        <v>44214</v>
      </c>
      <c r="H48" s="22">
        <v>44221</v>
      </c>
      <c r="I48" s="22">
        <v>44224</v>
      </c>
      <c r="J48" s="23"/>
      <c r="K48" s="20" t="s">
        <v>22</v>
      </c>
      <c r="L48" s="24" t="s">
        <v>23</v>
      </c>
      <c r="M48" s="20" t="s">
        <v>24</v>
      </c>
      <c r="N48" s="20">
        <v>1</v>
      </c>
      <c r="O48" s="20" t="s">
        <v>25</v>
      </c>
      <c r="P48" s="23" t="s">
        <v>25</v>
      </c>
      <c r="Q48" s="20" t="s">
        <v>28</v>
      </c>
      <c r="R48" s="25" t="s">
        <v>53</v>
      </c>
    </row>
    <row r="49" spans="1:18" ht="30" customHeight="1">
      <c r="A49" s="18" t="s">
        <v>76</v>
      </c>
      <c r="B49" s="26">
        <v>215220</v>
      </c>
      <c r="C49" s="20" t="s">
        <v>19</v>
      </c>
      <c r="D49" s="21" t="s">
        <v>77</v>
      </c>
      <c r="E49" s="19" t="s">
        <v>32</v>
      </c>
      <c r="F49" s="19">
        <v>1</v>
      </c>
      <c r="G49" s="22">
        <v>44214</v>
      </c>
      <c r="H49" s="22">
        <v>44221</v>
      </c>
      <c r="I49" s="22">
        <v>44224</v>
      </c>
      <c r="J49" s="23"/>
      <c r="K49" s="20" t="s">
        <v>22</v>
      </c>
      <c r="L49" s="24" t="s">
        <v>23</v>
      </c>
      <c r="M49" s="20" t="s">
        <v>24</v>
      </c>
      <c r="N49" s="20">
        <v>1</v>
      </c>
      <c r="O49" s="20" t="s">
        <v>25</v>
      </c>
      <c r="P49" s="23" t="s">
        <v>25</v>
      </c>
      <c r="Q49" s="20" t="s">
        <v>28</v>
      </c>
      <c r="R49" s="25" t="s">
        <v>53</v>
      </c>
    </row>
    <row r="50" spans="1:18" ht="30" customHeight="1">
      <c r="A50" s="18" t="s">
        <v>76</v>
      </c>
      <c r="B50" s="26">
        <v>215220</v>
      </c>
      <c r="C50" s="20" t="s">
        <v>19</v>
      </c>
      <c r="D50" s="21" t="s">
        <v>77</v>
      </c>
      <c r="E50" s="19" t="s">
        <v>45</v>
      </c>
      <c r="F50" s="19">
        <v>1</v>
      </c>
      <c r="G50" s="22">
        <v>44214</v>
      </c>
      <c r="H50" s="22">
        <v>44221</v>
      </c>
      <c r="I50" s="22">
        <v>44224</v>
      </c>
      <c r="J50" s="23"/>
      <c r="K50" s="20" t="s">
        <v>22</v>
      </c>
      <c r="L50" s="24" t="s">
        <v>23</v>
      </c>
      <c r="M50" s="20" t="s">
        <v>24</v>
      </c>
      <c r="N50" s="20">
        <v>1</v>
      </c>
      <c r="O50" s="20" t="s">
        <v>25</v>
      </c>
      <c r="P50" s="23" t="s">
        <v>25</v>
      </c>
      <c r="Q50" s="20" t="s">
        <v>28</v>
      </c>
      <c r="R50" s="25" t="s">
        <v>53</v>
      </c>
    </row>
    <row r="51" spans="1:18" ht="30" customHeight="1">
      <c r="A51" s="18" t="s">
        <v>67</v>
      </c>
      <c r="B51" s="26">
        <v>217161</v>
      </c>
      <c r="C51" s="20" t="s">
        <v>30</v>
      </c>
      <c r="D51" s="21" t="s">
        <v>83</v>
      </c>
      <c r="E51" s="19" t="s">
        <v>43</v>
      </c>
      <c r="F51" s="19">
        <v>2</v>
      </c>
      <c r="G51" s="22">
        <v>44223</v>
      </c>
      <c r="H51" s="22">
        <v>44224</v>
      </c>
      <c r="I51" s="22">
        <v>44224</v>
      </c>
      <c r="J51" s="23"/>
      <c r="K51" s="20" t="s">
        <v>22</v>
      </c>
      <c r="L51" s="24" t="s">
        <v>33</v>
      </c>
      <c r="M51" s="20" t="s">
        <v>24</v>
      </c>
      <c r="N51" s="20"/>
      <c r="O51" s="20" t="s">
        <v>25</v>
      </c>
      <c r="P51" s="23" t="s">
        <v>26</v>
      </c>
      <c r="Q51" s="20" t="s">
        <v>28</v>
      </c>
      <c r="R51" s="25" t="s">
        <v>27</v>
      </c>
    </row>
    <row r="52" spans="1:18" ht="30" customHeight="1">
      <c r="A52" s="18" t="s">
        <v>54</v>
      </c>
      <c r="B52" s="26">
        <v>179192</v>
      </c>
      <c r="C52" s="20" t="s">
        <v>55</v>
      </c>
      <c r="D52" s="21" t="s">
        <v>84</v>
      </c>
      <c r="E52" s="19" t="s">
        <v>66</v>
      </c>
      <c r="F52" s="19">
        <v>3</v>
      </c>
      <c r="G52" s="22">
        <v>44039</v>
      </c>
      <c r="H52" s="22"/>
      <c r="I52" s="22">
        <v>44211</v>
      </c>
      <c r="J52" s="23"/>
      <c r="K52" s="20" t="s">
        <v>22</v>
      </c>
      <c r="L52" s="24" t="s">
        <v>41</v>
      </c>
      <c r="M52" s="20" t="s">
        <v>24</v>
      </c>
      <c r="N52" s="20"/>
      <c r="O52" s="20" t="s">
        <v>26</v>
      </c>
      <c r="P52" s="23" t="s">
        <v>25</v>
      </c>
      <c r="Q52" s="20" t="s">
        <v>28</v>
      </c>
      <c r="R52" s="25" t="s">
        <v>53</v>
      </c>
    </row>
    <row r="53" spans="1:18" ht="30" customHeight="1">
      <c r="A53" s="18" t="s">
        <v>54</v>
      </c>
      <c r="B53" s="26">
        <v>179192</v>
      </c>
      <c r="C53" s="20" t="s">
        <v>55</v>
      </c>
      <c r="D53" s="21" t="s">
        <v>84</v>
      </c>
      <c r="E53" s="19" t="s">
        <v>34</v>
      </c>
      <c r="F53" s="19">
        <v>4</v>
      </c>
      <c r="G53" s="22">
        <v>44039</v>
      </c>
      <c r="H53" s="22"/>
      <c r="I53" s="22">
        <v>44211</v>
      </c>
      <c r="J53" s="23" t="s">
        <v>85</v>
      </c>
      <c r="K53" s="20" t="s">
        <v>22</v>
      </c>
      <c r="L53" s="24" t="s">
        <v>33</v>
      </c>
      <c r="M53" s="20" t="s">
        <v>24</v>
      </c>
      <c r="N53" s="20"/>
      <c r="O53" s="20" t="s">
        <v>25</v>
      </c>
      <c r="P53" s="23" t="s">
        <v>25</v>
      </c>
      <c r="Q53" s="20" t="s">
        <v>28</v>
      </c>
      <c r="R53" s="25" t="s">
        <v>53</v>
      </c>
    </row>
    <row r="54" spans="1:18" ht="30" customHeight="1">
      <c r="A54" s="18" t="s">
        <v>54</v>
      </c>
      <c r="B54" s="26">
        <v>179192</v>
      </c>
      <c r="C54" s="20" t="s">
        <v>55</v>
      </c>
      <c r="D54" s="21" t="s">
        <v>84</v>
      </c>
      <c r="E54" s="19" t="s">
        <v>34</v>
      </c>
      <c r="F54" s="19">
        <v>5</v>
      </c>
      <c r="G54" s="22">
        <v>44039</v>
      </c>
      <c r="H54" s="22"/>
      <c r="I54" s="22">
        <v>44211</v>
      </c>
      <c r="J54" s="23" t="s">
        <v>86</v>
      </c>
      <c r="K54" s="20" t="s">
        <v>22</v>
      </c>
      <c r="L54" s="24" t="s">
        <v>41</v>
      </c>
      <c r="M54" s="20" t="s">
        <v>24</v>
      </c>
      <c r="N54" s="20"/>
      <c r="O54" s="20" t="s">
        <v>26</v>
      </c>
      <c r="P54" s="23" t="s">
        <v>25</v>
      </c>
      <c r="Q54" s="20" t="s">
        <v>28</v>
      </c>
      <c r="R54" s="25" t="s">
        <v>53</v>
      </c>
    </row>
    <row r="55" spans="1:18" ht="30" customHeight="1">
      <c r="A55" s="18" t="s">
        <v>54</v>
      </c>
      <c r="B55" s="26">
        <v>179192</v>
      </c>
      <c r="C55" s="20" t="s">
        <v>55</v>
      </c>
      <c r="D55" s="21" t="s">
        <v>84</v>
      </c>
      <c r="E55" s="19" t="s">
        <v>80</v>
      </c>
      <c r="F55" s="19">
        <v>5</v>
      </c>
      <c r="G55" s="22">
        <v>44039</v>
      </c>
      <c r="H55" s="22"/>
      <c r="I55" s="22">
        <v>44211</v>
      </c>
      <c r="J55" s="23" t="s">
        <v>87</v>
      </c>
      <c r="K55" s="20" t="s">
        <v>22</v>
      </c>
      <c r="L55" s="24" t="s">
        <v>41</v>
      </c>
      <c r="M55" s="20" t="s">
        <v>24</v>
      </c>
      <c r="N55" s="20"/>
      <c r="O55" s="20" t="s">
        <v>26</v>
      </c>
      <c r="P55" s="23" t="s">
        <v>25</v>
      </c>
      <c r="Q55" s="20" t="s">
        <v>28</v>
      </c>
      <c r="R55" s="25" t="s">
        <v>53</v>
      </c>
    </row>
    <row r="56" spans="1:18" ht="30" customHeight="1">
      <c r="A56" s="18" t="s">
        <v>54</v>
      </c>
      <c r="B56" s="26">
        <v>179192</v>
      </c>
      <c r="C56" s="20" t="s">
        <v>55</v>
      </c>
      <c r="D56" s="21" t="s">
        <v>84</v>
      </c>
      <c r="E56" s="19" t="s">
        <v>61</v>
      </c>
      <c r="F56" s="19">
        <v>2</v>
      </c>
      <c r="G56" s="22">
        <v>44039</v>
      </c>
      <c r="H56" s="22"/>
      <c r="I56" s="22">
        <v>44211</v>
      </c>
      <c r="J56" s="23"/>
      <c r="K56" s="20" t="s">
        <v>22</v>
      </c>
      <c r="L56" s="24" t="s">
        <v>33</v>
      </c>
      <c r="M56" s="20" t="s">
        <v>24</v>
      </c>
      <c r="N56" s="20"/>
      <c r="O56" s="20" t="s">
        <v>25</v>
      </c>
      <c r="P56" s="23" t="s">
        <v>25</v>
      </c>
      <c r="Q56" s="20" t="s">
        <v>28</v>
      </c>
      <c r="R56" s="25" t="s">
        <v>53</v>
      </c>
    </row>
    <row r="57" spans="1:18" ht="30" customHeight="1">
      <c r="A57" s="18" t="s">
        <v>54</v>
      </c>
      <c r="B57" s="26">
        <v>179192</v>
      </c>
      <c r="C57" s="20" t="s">
        <v>55</v>
      </c>
      <c r="D57" s="21" t="s">
        <v>84</v>
      </c>
      <c r="E57" s="19" t="s">
        <v>88</v>
      </c>
      <c r="F57" s="19">
        <v>1</v>
      </c>
      <c r="G57" s="22">
        <v>44039</v>
      </c>
      <c r="H57" s="22"/>
      <c r="I57" s="22">
        <v>44211</v>
      </c>
      <c r="J57" s="23"/>
      <c r="K57" s="20" t="s">
        <v>22</v>
      </c>
      <c r="L57" s="24" t="s">
        <v>41</v>
      </c>
      <c r="M57" s="20" t="s">
        <v>24</v>
      </c>
      <c r="N57" s="20"/>
      <c r="O57" s="20" t="s">
        <v>26</v>
      </c>
      <c r="P57" s="23" t="s">
        <v>25</v>
      </c>
      <c r="Q57" s="20" t="s">
        <v>28</v>
      </c>
      <c r="R57" s="25" t="s">
        <v>53</v>
      </c>
    </row>
    <row r="58" spans="1:18" ht="30" customHeight="1">
      <c r="A58" s="18" t="s">
        <v>54</v>
      </c>
      <c r="B58" s="26">
        <v>179192</v>
      </c>
      <c r="C58" s="20" t="s">
        <v>55</v>
      </c>
      <c r="D58" s="21" t="s">
        <v>84</v>
      </c>
      <c r="E58" s="19" t="s">
        <v>62</v>
      </c>
      <c r="F58" s="19">
        <v>2</v>
      </c>
      <c r="G58" s="22">
        <v>44039</v>
      </c>
      <c r="H58" s="22"/>
      <c r="I58" s="22">
        <v>44211</v>
      </c>
      <c r="J58" s="23"/>
      <c r="K58" s="20" t="s">
        <v>22</v>
      </c>
      <c r="L58" s="24" t="s">
        <v>41</v>
      </c>
      <c r="M58" s="20" t="s">
        <v>24</v>
      </c>
      <c r="N58" s="20"/>
      <c r="O58" s="20" t="s">
        <v>26</v>
      </c>
      <c r="P58" s="23" t="s">
        <v>25</v>
      </c>
      <c r="Q58" s="20" t="s">
        <v>28</v>
      </c>
      <c r="R58" s="25" t="s">
        <v>53</v>
      </c>
    </row>
    <row r="59" spans="1:18" ht="30" customHeight="1">
      <c r="A59" s="18" t="s">
        <v>54</v>
      </c>
      <c r="B59" s="26">
        <v>179192</v>
      </c>
      <c r="C59" s="20" t="s">
        <v>55</v>
      </c>
      <c r="D59" s="21" t="s">
        <v>84</v>
      </c>
      <c r="E59" s="19" t="s">
        <v>80</v>
      </c>
      <c r="F59" s="19">
        <v>3</v>
      </c>
      <c r="G59" s="22">
        <v>44039</v>
      </c>
      <c r="H59" s="22"/>
      <c r="I59" s="22">
        <v>44211</v>
      </c>
      <c r="J59" s="23"/>
      <c r="K59" s="20" t="s">
        <v>22</v>
      </c>
      <c r="L59" s="24" t="s">
        <v>41</v>
      </c>
      <c r="M59" s="20" t="s">
        <v>24</v>
      </c>
      <c r="N59" s="20"/>
      <c r="O59" s="20" t="s">
        <v>26</v>
      </c>
      <c r="P59" s="23" t="s">
        <v>25</v>
      </c>
      <c r="Q59" s="20" t="s">
        <v>28</v>
      </c>
      <c r="R59" s="25" t="s">
        <v>53</v>
      </c>
    </row>
    <row r="60" spans="1:18" ht="30" customHeight="1">
      <c r="A60" s="18" t="s">
        <v>54</v>
      </c>
      <c r="B60" s="26">
        <v>179192</v>
      </c>
      <c r="C60" s="20" t="s">
        <v>55</v>
      </c>
      <c r="D60" s="21" t="s">
        <v>84</v>
      </c>
      <c r="E60" s="19" t="s">
        <v>79</v>
      </c>
      <c r="F60" s="19">
        <v>1</v>
      </c>
      <c r="G60" s="22">
        <v>44039</v>
      </c>
      <c r="H60" s="22"/>
      <c r="I60" s="22">
        <v>44211</v>
      </c>
      <c r="J60" s="23"/>
      <c r="K60" s="20" t="s">
        <v>22</v>
      </c>
      <c r="L60" s="24" t="s">
        <v>41</v>
      </c>
      <c r="M60" s="20" t="s">
        <v>24</v>
      </c>
      <c r="N60" s="20"/>
      <c r="O60" s="20" t="s">
        <v>26</v>
      </c>
      <c r="P60" s="23" t="s">
        <v>25</v>
      </c>
      <c r="Q60" s="20" t="s">
        <v>28</v>
      </c>
      <c r="R60" s="25" t="s">
        <v>53</v>
      </c>
    </row>
    <row r="61" spans="1:18" ht="30" customHeight="1">
      <c r="A61" s="18" t="s">
        <v>54</v>
      </c>
      <c r="B61" s="26">
        <v>179192</v>
      </c>
      <c r="C61" s="20" t="s">
        <v>55</v>
      </c>
      <c r="D61" s="21" t="s">
        <v>84</v>
      </c>
      <c r="E61" s="19" t="s">
        <v>48</v>
      </c>
      <c r="F61" s="19">
        <v>6</v>
      </c>
      <c r="G61" s="22">
        <v>44039</v>
      </c>
      <c r="H61" s="22"/>
      <c r="I61" s="22">
        <v>44211</v>
      </c>
      <c r="J61" s="23"/>
      <c r="K61" s="20" t="s">
        <v>22</v>
      </c>
      <c r="L61" s="24" t="s">
        <v>33</v>
      </c>
      <c r="M61" s="20" t="s">
        <v>24</v>
      </c>
      <c r="N61" s="20"/>
      <c r="O61" s="20" t="s">
        <v>25</v>
      </c>
      <c r="P61" s="23" t="s">
        <v>25</v>
      </c>
      <c r="Q61" s="20" t="s">
        <v>28</v>
      </c>
      <c r="R61" s="25" t="s">
        <v>53</v>
      </c>
    </row>
    <row r="62" spans="1:18" ht="30" customHeight="1">
      <c r="A62" s="18" t="s">
        <v>54</v>
      </c>
      <c r="B62" s="26">
        <v>179192</v>
      </c>
      <c r="C62" s="20" t="s">
        <v>55</v>
      </c>
      <c r="D62" s="21" t="s">
        <v>84</v>
      </c>
      <c r="E62" s="19" t="s">
        <v>89</v>
      </c>
      <c r="F62" s="19">
        <v>4</v>
      </c>
      <c r="G62" s="22">
        <v>44039</v>
      </c>
      <c r="H62" s="22"/>
      <c r="I62" s="22">
        <v>44211</v>
      </c>
      <c r="J62" s="23"/>
      <c r="K62" s="20" t="s">
        <v>22</v>
      </c>
      <c r="L62" s="24" t="s">
        <v>33</v>
      </c>
      <c r="M62" s="20" t="s">
        <v>24</v>
      </c>
      <c r="N62" s="20"/>
      <c r="O62" s="20" t="s">
        <v>25</v>
      </c>
      <c r="P62" s="23" t="s">
        <v>25</v>
      </c>
      <c r="Q62" s="20" t="s">
        <v>28</v>
      </c>
      <c r="R62" s="25" t="s">
        <v>53</v>
      </c>
    </row>
    <row r="63" spans="1:18" ht="30" customHeight="1">
      <c r="A63" s="18" t="s">
        <v>54</v>
      </c>
      <c r="B63" s="26">
        <v>179192</v>
      </c>
      <c r="C63" s="20" t="s">
        <v>55</v>
      </c>
      <c r="D63" s="21" t="s">
        <v>84</v>
      </c>
      <c r="E63" s="19" t="s">
        <v>32</v>
      </c>
      <c r="F63" s="19">
        <v>3</v>
      </c>
      <c r="G63" s="22">
        <v>44039</v>
      </c>
      <c r="H63" s="22"/>
      <c r="I63" s="22">
        <v>44211</v>
      </c>
      <c r="J63" s="23"/>
      <c r="K63" s="20" t="s">
        <v>22</v>
      </c>
      <c r="L63" s="24" t="s">
        <v>33</v>
      </c>
      <c r="M63" s="20" t="s">
        <v>24</v>
      </c>
      <c r="N63" s="20"/>
      <c r="O63" s="20" t="s">
        <v>25</v>
      </c>
      <c r="P63" s="23" t="s">
        <v>25</v>
      </c>
      <c r="Q63" s="20" t="s">
        <v>28</v>
      </c>
      <c r="R63" s="25" t="s">
        <v>53</v>
      </c>
    </row>
    <row r="64" spans="1:18" ht="30" customHeight="1">
      <c r="A64" s="18" t="s">
        <v>54</v>
      </c>
      <c r="B64" s="26">
        <v>179192</v>
      </c>
      <c r="C64" s="20" t="s">
        <v>55</v>
      </c>
      <c r="D64" s="21" t="s">
        <v>84</v>
      </c>
      <c r="E64" s="19" t="s">
        <v>35</v>
      </c>
      <c r="F64" s="19">
        <v>14</v>
      </c>
      <c r="G64" s="22">
        <v>44039</v>
      </c>
      <c r="H64" s="22"/>
      <c r="I64" s="22">
        <v>44211</v>
      </c>
      <c r="J64" s="23" t="s">
        <v>90</v>
      </c>
      <c r="K64" s="20" t="s">
        <v>22</v>
      </c>
      <c r="L64" s="24" t="s">
        <v>41</v>
      </c>
      <c r="M64" s="20" t="s">
        <v>24</v>
      </c>
      <c r="N64" s="20"/>
      <c r="O64" s="20" t="s">
        <v>26</v>
      </c>
      <c r="P64" s="23" t="s">
        <v>25</v>
      </c>
      <c r="Q64" s="20" t="s">
        <v>28</v>
      </c>
      <c r="R64" s="25" t="s">
        <v>53</v>
      </c>
    </row>
    <row r="65" spans="1:18" ht="30" customHeight="1">
      <c r="A65" s="18" t="s">
        <v>54</v>
      </c>
      <c r="B65" s="26">
        <v>179192</v>
      </c>
      <c r="C65" s="20" t="s">
        <v>55</v>
      </c>
      <c r="D65" s="21" t="s">
        <v>84</v>
      </c>
      <c r="E65" s="19" t="s">
        <v>35</v>
      </c>
      <c r="F65" s="19">
        <v>2</v>
      </c>
      <c r="G65" s="22">
        <v>44039</v>
      </c>
      <c r="H65" s="22"/>
      <c r="I65" s="22">
        <v>44211</v>
      </c>
      <c r="J65" s="23" t="s">
        <v>91</v>
      </c>
      <c r="K65" s="20" t="s">
        <v>22</v>
      </c>
      <c r="L65" s="24" t="s">
        <v>41</v>
      </c>
      <c r="M65" s="20" t="s">
        <v>24</v>
      </c>
      <c r="N65" s="20"/>
      <c r="O65" s="20" t="s">
        <v>26</v>
      </c>
      <c r="P65" s="23" t="s">
        <v>25</v>
      </c>
      <c r="Q65" s="20" t="s">
        <v>28</v>
      </c>
      <c r="R65" s="25" t="s">
        <v>53</v>
      </c>
    </row>
    <row r="66" spans="1:18" ht="30" customHeight="1">
      <c r="A66" s="18" t="s">
        <v>54</v>
      </c>
      <c r="B66" s="26">
        <v>179192</v>
      </c>
      <c r="C66" s="20" t="s">
        <v>55</v>
      </c>
      <c r="D66" s="21" t="s">
        <v>84</v>
      </c>
      <c r="E66" s="19" t="s">
        <v>92</v>
      </c>
      <c r="F66" s="19">
        <v>5</v>
      </c>
      <c r="G66" s="22">
        <v>44039</v>
      </c>
      <c r="H66" s="22"/>
      <c r="I66" s="22">
        <v>44211</v>
      </c>
      <c r="J66" s="23"/>
      <c r="K66" s="20" t="s">
        <v>22</v>
      </c>
      <c r="L66" s="24" t="s">
        <v>33</v>
      </c>
      <c r="M66" s="20" t="s">
        <v>24</v>
      </c>
      <c r="N66" s="20"/>
      <c r="O66" s="20" t="s">
        <v>25</v>
      </c>
      <c r="P66" s="23" t="s">
        <v>25</v>
      </c>
      <c r="Q66" s="20" t="s">
        <v>28</v>
      </c>
      <c r="R66" s="25" t="s">
        <v>53</v>
      </c>
    </row>
    <row r="67" spans="1:18" ht="30" customHeight="1">
      <c r="A67" s="18" t="s">
        <v>54</v>
      </c>
      <c r="B67" s="26">
        <v>179192</v>
      </c>
      <c r="C67" s="20" t="s">
        <v>55</v>
      </c>
      <c r="D67" s="21" t="s">
        <v>84</v>
      </c>
      <c r="E67" s="19" t="s">
        <v>42</v>
      </c>
      <c r="F67" s="19">
        <v>2</v>
      </c>
      <c r="G67" s="22">
        <v>44039</v>
      </c>
      <c r="H67" s="22"/>
      <c r="I67" s="22">
        <v>44211</v>
      </c>
      <c r="J67" s="23"/>
      <c r="K67" s="20" t="s">
        <v>22</v>
      </c>
      <c r="L67" s="24" t="s">
        <v>33</v>
      </c>
      <c r="M67" s="20" t="s">
        <v>24</v>
      </c>
      <c r="N67" s="20"/>
      <c r="O67" s="20" t="s">
        <v>25</v>
      </c>
      <c r="P67" s="23" t="s">
        <v>25</v>
      </c>
      <c r="Q67" s="20" t="s">
        <v>28</v>
      </c>
      <c r="R67" s="25" t="s">
        <v>53</v>
      </c>
    </row>
    <row r="68" spans="1:18" ht="30" customHeight="1">
      <c r="A68" s="18" t="s">
        <v>54</v>
      </c>
      <c r="B68" s="26"/>
      <c r="C68" s="20" t="s">
        <v>55</v>
      </c>
      <c r="D68" s="21" t="s">
        <v>84</v>
      </c>
      <c r="E68" s="19" t="s">
        <v>93</v>
      </c>
      <c r="F68" s="19">
        <v>1</v>
      </c>
      <c r="G68" s="22">
        <v>44039</v>
      </c>
      <c r="H68" s="22"/>
      <c r="I68" s="22">
        <v>44211</v>
      </c>
      <c r="J68" s="23"/>
      <c r="K68" s="20" t="s">
        <v>22</v>
      </c>
      <c r="L68" s="24" t="s">
        <v>33</v>
      </c>
      <c r="M68" s="20" t="s">
        <v>24</v>
      </c>
      <c r="N68" s="20"/>
      <c r="O68" s="20" t="s">
        <v>25</v>
      </c>
      <c r="P68" s="23" t="s">
        <v>25</v>
      </c>
      <c r="Q68" s="20" t="s">
        <v>28</v>
      </c>
      <c r="R68" s="25" t="s">
        <v>53</v>
      </c>
    </row>
    <row r="69" spans="1:18" ht="30" customHeight="1">
      <c r="A69" s="18" t="s">
        <v>54</v>
      </c>
      <c r="B69" s="26">
        <v>179192</v>
      </c>
      <c r="C69" s="20" t="s">
        <v>55</v>
      </c>
      <c r="D69" s="21" t="s">
        <v>84</v>
      </c>
      <c r="E69" s="19" t="s">
        <v>82</v>
      </c>
      <c r="F69" s="19">
        <v>6</v>
      </c>
      <c r="G69" s="22">
        <v>44039</v>
      </c>
      <c r="H69" s="22"/>
      <c r="I69" s="22">
        <v>44211</v>
      </c>
      <c r="J69" s="23"/>
      <c r="K69" s="20" t="s">
        <v>22</v>
      </c>
      <c r="L69" s="24" t="s">
        <v>41</v>
      </c>
      <c r="M69" s="20" t="s">
        <v>24</v>
      </c>
      <c r="N69" s="20"/>
      <c r="O69" s="20" t="s">
        <v>26</v>
      </c>
      <c r="P69" s="23" t="s">
        <v>25</v>
      </c>
      <c r="Q69" s="20" t="s">
        <v>28</v>
      </c>
      <c r="R69" s="25" t="s">
        <v>53</v>
      </c>
    </row>
    <row r="70" spans="1:18" ht="30" customHeight="1">
      <c r="A70" s="18" t="s">
        <v>94</v>
      </c>
      <c r="B70" s="26" t="s">
        <v>95</v>
      </c>
      <c r="C70" s="20" t="s">
        <v>30</v>
      </c>
      <c r="D70" s="21" t="s">
        <v>96</v>
      </c>
      <c r="E70" s="19" t="s">
        <v>34</v>
      </c>
      <c r="F70" s="19">
        <v>1</v>
      </c>
      <c r="G70" s="22">
        <v>44224</v>
      </c>
      <c r="H70" s="22">
        <v>44224</v>
      </c>
      <c r="I70" s="22">
        <v>44224</v>
      </c>
      <c r="J70" s="23"/>
      <c r="K70" s="20" t="s">
        <v>22</v>
      </c>
      <c r="L70" s="24" t="s">
        <v>41</v>
      </c>
      <c r="M70" s="20" t="s">
        <v>24</v>
      </c>
      <c r="N70" s="20">
        <v>3</v>
      </c>
      <c r="O70" s="20" t="s">
        <v>26</v>
      </c>
      <c r="P70" s="23" t="s">
        <v>26</v>
      </c>
      <c r="Q70" s="20" t="s">
        <v>28</v>
      </c>
      <c r="R70" s="25" t="s">
        <v>28</v>
      </c>
    </row>
    <row r="71" spans="1:18" ht="30" customHeight="1">
      <c r="A71" s="18" t="s">
        <v>39</v>
      </c>
      <c r="B71" s="26" t="s">
        <v>95</v>
      </c>
      <c r="C71" s="20" t="s">
        <v>30</v>
      </c>
      <c r="D71" s="21" t="s">
        <v>97</v>
      </c>
      <c r="E71" s="19" t="s">
        <v>66</v>
      </c>
      <c r="F71" s="19">
        <v>4</v>
      </c>
      <c r="G71" s="22">
        <v>44222</v>
      </c>
      <c r="H71" s="22">
        <v>44222</v>
      </c>
      <c r="I71" s="22">
        <v>44222</v>
      </c>
      <c r="J71" s="23"/>
      <c r="K71" s="20" t="s">
        <v>22</v>
      </c>
      <c r="L71" s="24" t="s">
        <v>23</v>
      </c>
      <c r="M71" s="20" t="s">
        <v>24</v>
      </c>
      <c r="N71" s="20">
        <v>2</v>
      </c>
      <c r="O71" s="20" t="s">
        <v>25</v>
      </c>
      <c r="P71" s="23" t="s">
        <v>26</v>
      </c>
      <c r="Q71" s="20" t="s">
        <v>28</v>
      </c>
      <c r="R71" s="25" t="s">
        <v>28</v>
      </c>
    </row>
    <row r="72" spans="1:18" ht="30" customHeight="1"/>
    <row r="73" spans="1:18" ht="30" customHeight="1"/>
  </sheetData>
  <conditionalFormatting sqref="A2:R2 O16:R18 K16:K18 A41:R47 A8:R8 A15:R15 L9:L14 A38:R38 A31:R32 A19:R29 A5:R6 A51:R71">
    <cfRule type="expression" dxfId="273" priority="161">
      <formula>$K2="CANCELADO"</formula>
    </cfRule>
    <cfRule type="expression" dxfId="272" priority="162">
      <formula>$K2="STAND-BY"</formula>
    </cfRule>
    <cfRule type="expression" dxfId="271" priority="163">
      <formula>$K2="AGUARDANDO APROVAÇÃO"</formula>
    </cfRule>
    <cfRule type="expression" dxfId="270" priority="164">
      <formula>$K2="OK"</formula>
    </cfRule>
    <cfRule type="expression" dxfId="269" priority="165">
      <formula>AND((TODAY()-$H2)&gt;0,$H2&lt;&gt;"",$I2="")=TRUE</formula>
    </cfRule>
  </conditionalFormatting>
  <conditionalFormatting sqref="A30:R30">
    <cfRule type="expression" dxfId="268" priority="156">
      <formula>$K30="CANCELADO"</formula>
    </cfRule>
    <cfRule type="expression" dxfId="267" priority="157">
      <formula>$K30="STAND-BY"</formula>
    </cfRule>
    <cfRule type="expression" dxfId="266" priority="158">
      <formula>$K30="AGUARDANDO APROVAÇÃO"</formula>
    </cfRule>
    <cfRule type="expression" dxfId="265" priority="159">
      <formula>$K30="OK"</formula>
    </cfRule>
    <cfRule type="expression" dxfId="264" priority="160">
      <formula>AND((TODAY()-$H30)&gt;0,$H30&lt;&gt;"",$I30="")=TRUE</formula>
    </cfRule>
  </conditionalFormatting>
  <conditionalFormatting sqref="A16:H18 L16:N18 J16:J18">
    <cfRule type="expression" dxfId="263" priority="151">
      <formula>$K16="CANCELADO"</formula>
    </cfRule>
    <cfRule type="expression" dxfId="262" priority="152">
      <formula>$K16="STAND-BY"</formula>
    </cfRule>
    <cfRule type="expression" dxfId="261" priority="153">
      <formula>$K16="AGUARDANDO APROVAÇÃO"</formula>
    </cfRule>
    <cfRule type="expression" dxfId="260" priority="154">
      <formula>$K16="OK"</formula>
    </cfRule>
    <cfRule type="expression" dxfId="259" priority="155">
      <formula>AND((TODAY()-$H16)&gt;0,$H16&lt;&gt;"",$I16="")=TRUE</formula>
    </cfRule>
  </conditionalFormatting>
  <conditionalFormatting sqref="I16:I18">
    <cfRule type="expression" dxfId="258" priority="146">
      <formula>$K16="CANCELADO"</formula>
    </cfRule>
    <cfRule type="expression" dxfId="257" priority="147">
      <formula>$K16="STAND-BY"</formula>
    </cfRule>
    <cfRule type="expression" dxfId="256" priority="148">
      <formula>$K16="AGUARDANDO APROVAÇÃO"</formula>
    </cfRule>
    <cfRule type="expression" dxfId="255" priority="149">
      <formula>$K16="OK"</formula>
    </cfRule>
    <cfRule type="expression" dxfId="254" priority="150">
      <formula>AND((TODAY()-$H16)&gt;0,$H16&lt;&gt;"",$I16="")=TRUE</formula>
    </cfRule>
  </conditionalFormatting>
  <conditionalFormatting sqref="A4:R4">
    <cfRule type="expression" dxfId="253" priority="136">
      <formula>$K4="CANCELADO"</formula>
    </cfRule>
    <cfRule type="expression" dxfId="252" priority="137">
      <formula>$K4="STAND-BY"</formula>
    </cfRule>
    <cfRule type="expression" dxfId="251" priority="138">
      <formula>$K4="AGUARDANDO APROVAÇÃO"</formula>
    </cfRule>
    <cfRule type="expression" dxfId="250" priority="139">
      <formula>$K4="OK"</formula>
    </cfRule>
    <cfRule type="expression" dxfId="249" priority="140">
      <formula>AND((TODAY()-$H4)&gt;0,$H4&lt;&gt;"",$I4="")=TRUE</formula>
    </cfRule>
  </conditionalFormatting>
  <conditionalFormatting sqref="A3:R3">
    <cfRule type="expression" dxfId="248" priority="131">
      <formula>$K3="CANCELADO"</formula>
    </cfRule>
    <cfRule type="expression" dxfId="247" priority="132">
      <formula>$K3="STAND-BY"</formula>
    </cfRule>
    <cfRule type="expression" dxfId="246" priority="133">
      <formula>$K3="AGUARDANDO APROVAÇÃO"</formula>
    </cfRule>
    <cfRule type="expression" dxfId="245" priority="134">
      <formula>$K3="OK"</formula>
    </cfRule>
    <cfRule type="expression" dxfId="244" priority="135">
      <formula>AND((TODAY()-$H3)&gt;0,$H3&lt;&gt;"",$I3="")=TRUE</formula>
    </cfRule>
  </conditionalFormatting>
  <conditionalFormatting sqref="A7:R7">
    <cfRule type="expression" dxfId="243" priority="121">
      <formula>$K7="CANCELADO"</formula>
    </cfRule>
    <cfRule type="expression" dxfId="242" priority="122">
      <formula>$K7="STAND-BY"</formula>
    </cfRule>
    <cfRule type="expression" dxfId="241" priority="123">
      <formula>$K7="AGUARDANDO APROVAÇÃO"</formula>
    </cfRule>
    <cfRule type="expression" dxfId="240" priority="124">
      <formula>$K7="OK"</formula>
    </cfRule>
    <cfRule type="expression" dxfId="239" priority="125">
      <formula>AND((TODAY()-$H7)&gt;0,$H7&lt;&gt;"",$I7="")=TRUE</formula>
    </cfRule>
  </conditionalFormatting>
  <conditionalFormatting sqref="A40:R40">
    <cfRule type="expression" dxfId="238" priority="116">
      <formula>$K40="CANCELADO"</formula>
    </cfRule>
    <cfRule type="expression" dxfId="237" priority="117">
      <formula>$K40="STAND-BY"</formula>
    </cfRule>
    <cfRule type="expression" dxfId="236" priority="118">
      <formula>$K40="AGUARDANDO APROVAÇÃO"</formula>
    </cfRule>
    <cfRule type="expression" dxfId="235" priority="119">
      <formula>$K40="OK"</formula>
    </cfRule>
    <cfRule type="expression" dxfId="234" priority="120">
      <formula>AND((TODAY()-$H40)&gt;0,$H40&lt;&gt;"",$I40="")=TRUE</formula>
    </cfRule>
  </conditionalFormatting>
  <conditionalFormatting sqref="A39:R39">
    <cfRule type="expression" dxfId="233" priority="111">
      <formula>$K39="CANCELADO"</formula>
    </cfRule>
    <cfRule type="expression" dxfId="232" priority="112">
      <formula>$K39="STAND-BY"</formula>
    </cfRule>
    <cfRule type="expression" dxfId="231" priority="113">
      <formula>$K39="AGUARDANDO APROVAÇÃO"</formula>
    </cfRule>
    <cfRule type="expression" dxfId="230" priority="114">
      <formula>$K39="OK"</formula>
    </cfRule>
    <cfRule type="expression" dxfId="229" priority="115">
      <formula>AND((TODAY()-$H39)&gt;0,$H39&lt;&gt;"",$I39="")=TRUE</formula>
    </cfRule>
  </conditionalFormatting>
  <conditionalFormatting sqref="A9:K14 M9:R14">
    <cfRule type="expression" dxfId="228" priority="56">
      <formula>$K9="CANCELADO"</formula>
    </cfRule>
    <cfRule type="expression" dxfId="227" priority="57">
      <formula>$K9="STAND-BY"</formula>
    </cfRule>
    <cfRule type="expression" dxfId="226" priority="58">
      <formula>$K9="AGUARDANDO APROVAÇÃO"</formula>
    </cfRule>
    <cfRule type="expression" dxfId="225" priority="59">
      <formula>$K9="OK"</formula>
    </cfRule>
    <cfRule type="expression" dxfId="224" priority="60">
      <formula>AND((TODAY()-$H9)&gt;0,$H9&lt;&gt;"",$I9="")=TRUE</formula>
    </cfRule>
  </conditionalFormatting>
  <conditionalFormatting sqref="A33:R33">
    <cfRule type="expression" dxfId="223" priority="46">
      <formula>$K33="CANCELADO"</formula>
    </cfRule>
    <cfRule type="expression" dxfId="222" priority="47">
      <formula>$K33="STAND-BY"</formula>
    </cfRule>
    <cfRule type="expression" dxfId="221" priority="48">
      <formula>$K33="AGUARDANDO APROVAÇÃO"</formula>
    </cfRule>
    <cfRule type="expression" dxfId="220" priority="49">
      <formula>$K33="OK"</formula>
    </cfRule>
    <cfRule type="expression" dxfId="219" priority="50">
      <formula>AND((TODAY()-$H33)&gt;0,$H33&lt;&gt;"",$I33="")=TRUE</formula>
    </cfRule>
  </conditionalFormatting>
  <conditionalFormatting sqref="A34:R34">
    <cfRule type="expression" dxfId="218" priority="41">
      <formula>$K34="CANCELADO"</formula>
    </cfRule>
    <cfRule type="expression" dxfId="217" priority="42">
      <formula>$K34="STAND-BY"</formula>
    </cfRule>
    <cfRule type="expression" dxfId="216" priority="43">
      <formula>$K34="AGUARDANDO APROVAÇÃO"</formula>
    </cfRule>
    <cfRule type="expression" dxfId="215" priority="44">
      <formula>$K34="OK"</formula>
    </cfRule>
    <cfRule type="expression" dxfId="214" priority="45">
      <formula>AND((TODAY()-$H34)&gt;0,$H34&lt;&gt;"",$I34="")=TRUE</formula>
    </cfRule>
  </conditionalFormatting>
  <conditionalFormatting sqref="A35:R35">
    <cfRule type="expression" dxfId="213" priority="36">
      <formula>$K35="CANCELADO"</formula>
    </cfRule>
    <cfRule type="expression" dxfId="212" priority="37">
      <formula>$K35="STAND-BY"</formula>
    </cfRule>
    <cfRule type="expression" dxfId="211" priority="38">
      <formula>$K35="AGUARDANDO APROVAÇÃO"</formula>
    </cfRule>
    <cfRule type="expression" dxfId="210" priority="39">
      <formula>$K35="OK"</formula>
    </cfRule>
    <cfRule type="expression" dxfId="209" priority="40">
      <formula>AND((TODAY()-$H35)&gt;0,$H35&lt;&gt;"",$I35="")=TRUE</formula>
    </cfRule>
  </conditionalFormatting>
  <conditionalFormatting sqref="A36:R36">
    <cfRule type="expression" dxfId="208" priority="31">
      <formula>$K36="CANCELADO"</formula>
    </cfRule>
    <cfRule type="expression" dxfId="207" priority="32">
      <formula>$K36="STAND-BY"</formula>
    </cfRule>
    <cfRule type="expression" dxfId="206" priority="33">
      <formula>$K36="AGUARDANDO APROVAÇÃO"</formula>
    </cfRule>
    <cfRule type="expression" dxfId="205" priority="34">
      <formula>$K36="OK"</formula>
    </cfRule>
    <cfRule type="expression" dxfId="204" priority="35">
      <formula>AND((TODAY()-$H36)&gt;0,$H36&lt;&gt;"",$I36="")=TRUE</formula>
    </cfRule>
  </conditionalFormatting>
  <conditionalFormatting sqref="A37:R37">
    <cfRule type="expression" dxfId="203" priority="26">
      <formula>$K37="CANCELADO"</formula>
    </cfRule>
    <cfRule type="expression" dxfId="202" priority="27">
      <formula>$K37="STAND-BY"</formula>
    </cfRule>
    <cfRule type="expression" dxfId="201" priority="28">
      <formula>$K37="AGUARDANDO APROVAÇÃO"</formula>
    </cfRule>
    <cfRule type="expression" dxfId="200" priority="29">
      <formula>$K37="OK"</formula>
    </cfRule>
    <cfRule type="expression" dxfId="199" priority="30">
      <formula>AND((TODAY()-$H37)&gt;0,$H37&lt;&gt;"",$I37="")=TRUE</formula>
    </cfRule>
  </conditionalFormatting>
  <conditionalFormatting sqref="A48:R48">
    <cfRule type="expression" dxfId="198" priority="21">
      <formula>$K48="CANCELADO"</formula>
    </cfRule>
    <cfRule type="expression" dxfId="197" priority="22">
      <formula>$K48="STAND-BY"</formula>
    </cfRule>
    <cfRule type="expression" dxfId="196" priority="23">
      <formula>$K48="AGUARDANDO APROVAÇÃO"</formula>
    </cfRule>
    <cfRule type="expression" dxfId="195" priority="24">
      <formula>$K48="OK"</formula>
    </cfRule>
    <cfRule type="expression" dxfId="194" priority="25">
      <formula>AND((TODAY()-$H48)&gt;0,$H48&lt;&gt;"",$I48="")=TRUE</formula>
    </cfRule>
  </conditionalFormatting>
  <conditionalFormatting sqref="A49:R49">
    <cfRule type="expression" dxfId="193" priority="16">
      <formula>$K49="CANCELADO"</formula>
    </cfRule>
    <cfRule type="expression" dxfId="192" priority="17">
      <formula>$K49="STAND-BY"</formula>
    </cfRule>
    <cfRule type="expression" dxfId="191" priority="18">
      <formula>$K49="AGUARDANDO APROVAÇÃO"</formula>
    </cfRule>
    <cfRule type="expression" dxfId="190" priority="19">
      <formula>$K49="OK"</formula>
    </cfRule>
    <cfRule type="expression" dxfId="189" priority="20">
      <formula>AND((TODAY()-$H49)&gt;0,$H49&lt;&gt;"",$I49="")=TRUE</formula>
    </cfRule>
  </conditionalFormatting>
  <conditionalFormatting sqref="A50:R50">
    <cfRule type="expression" dxfId="188" priority="11">
      <formula>$K50="CANCELADO"</formula>
    </cfRule>
    <cfRule type="expression" dxfId="187" priority="12">
      <formula>$K50="STAND-BY"</formula>
    </cfRule>
    <cfRule type="expression" dxfId="186" priority="13">
      <formula>$K50="AGUARDANDO APROVAÇÃO"</formula>
    </cfRule>
    <cfRule type="expression" dxfId="185" priority="14">
      <formula>$K50="OK"</formula>
    </cfRule>
    <cfRule type="expression" dxfId="184" priority="15">
      <formula>AND((TODAY()-$H50)&gt;0,$H50&lt;&gt;"",$I50="")=TRUE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4D4C991D-5827-4E88-84C4-4BA303B5E9C2}">
          <x14:formula1>
            <xm:f>'NÃO MEXER'!$A$2:$A$25</xm:f>
          </x14:formula1>
          <xm:sqref>A2:A71</xm:sqref>
        </x14:dataValidation>
        <x14:dataValidation type="list" allowBlank="1" showInputMessage="1" showErrorMessage="1" xr:uid="{DDF14F13-503C-4121-A825-BA104BA6FEBB}">
          <x14:formula1>
            <xm:f>'NÃO MEXER'!$C$2:$C$83</xm:f>
          </x14:formula1>
          <xm:sqref>E2:E71</xm:sqref>
        </x14:dataValidation>
        <x14:dataValidation type="list" allowBlank="1" showInputMessage="1" showErrorMessage="1" xr:uid="{526C0A5A-95F8-424F-ADA7-2E6BC29984AE}">
          <x14:formula1>
            <xm:f>'NÃO MEXER'!$E$2:$E$6</xm:f>
          </x14:formula1>
          <xm:sqref>K2:K71</xm:sqref>
        </x14:dataValidation>
        <x14:dataValidation type="list" allowBlank="1" showInputMessage="1" showErrorMessage="1" xr:uid="{19B3C35C-23AC-476B-A931-63F416B4F371}">
          <x14:formula1>
            <xm:f>'NÃO MEXER'!$F$2:$F$6</xm:f>
          </x14:formula1>
          <xm:sqref>L2:L71</xm:sqref>
        </x14:dataValidation>
        <x14:dataValidation type="list" allowBlank="1" showInputMessage="1" showErrorMessage="1" xr:uid="{403D58DE-D447-4D4B-83EE-2CC9BAEF2839}">
          <x14:formula1>
            <xm:f>'NÃO MEXER'!$G$2:$G$7</xm:f>
          </x14:formula1>
          <xm:sqref>M2:M71</xm:sqref>
        </x14:dataValidation>
        <x14:dataValidation type="list" allowBlank="1" showInputMessage="1" showErrorMessage="1" xr:uid="{76B06284-E4E7-4A65-8261-3CDADCE0CC6D}">
          <x14:formula1>
            <xm:f>'NÃO MEXER'!$H$2:$H$3</xm:f>
          </x14:formula1>
          <xm:sqref>O2:P71</xm:sqref>
        </x14:dataValidation>
        <x14:dataValidation type="list" allowBlank="1" showInputMessage="1" showErrorMessage="1" xr:uid="{873A74D2-BA15-4D14-A129-CFC6C0567E90}">
          <x14:formula1>
            <xm:f>'NÃO MEXER'!$I$2:$I$6</xm:f>
          </x14:formula1>
          <xm:sqref>Q2:Q71</xm:sqref>
        </x14:dataValidation>
        <x14:dataValidation type="list" allowBlank="1" showInputMessage="1" showErrorMessage="1" xr:uid="{A366E5C1-0491-49BD-9EF0-D0A0F23721C5}">
          <x14:formula1>
            <xm:f>'NÃO MEXER'!$J$2:$J$6</xm:f>
          </x14:formula1>
          <xm:sqref>R2:R71</xm:sqref>
        </x14:dataValidation>
        <x14:dataValidation type="list" allowBlank="1" showInputMessage="1" showErrorMessage="1" xr:uid="{78DFE66C-8CEB-49D1-B292-DDBA78546F0A}">
          <x14:formula1>
            <xm:f>'NÃO MEXER'!$B$2:$B$15</xm:f>
          </x14:formula1>
          <xm:sqref>C2:C71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1372E-3A90-4716-B2B2-1DF34E265F2C}">
  <dimension ref="A1:R97"/>
  <sheetViews>
    <sheetView topLeftCell="F18" workbookViewId="0">
      <selection activeCell="B80" sqref="B80"/>
    </sheetView>
  </sheetViews>
  <sheetFormatPr defaultRowHeight="15"/>
  <cols>
    <col min="1" max="1" width="33.85546875" customWidth="1"/>
    <col min="2" max="2" width="15.85546875" customWidth="1"/>
    <col min="3" max="3" width="13.7109375" customWidth="1"/>
    <col min="4" max="4" width="41.7109375" customWidth="1"/>
    <col min="5" max="5" width="30.85546875" customWidth="1"/>
    <col min="6" max="6" width="13.7109375" customWidth="1"/>
    <col min="7" max="7" width="19.7109375" customWidth="1"/>
    <col min="8" max="8" width="13.7109375" customWidth="1"/>
    <col min="9" max="9" width="14.140625" customWidth="1"/>
    <col min="10" max="10" width="14.42578125" customWidth="1"/>
    <col min="11" max="11" width="23.42578125" customWidth="1"/>
    <col min="12" max="12" width="25.28515625" customWidth="1"/>
    <col min="13" max="13" width="19.5703125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>
      <c r="A1" s="14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6" t="s">
        <v>6</v>
      </c>
      <c r="H1" s="16" t="s">
        <v>7</v>
      </c>
      <c r="I1" s="16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7" t="s">
        <v>17</v>
      </c>
    </row>
    <row r="2" spans="1:18" ht="30" customHeight="1">
      <c r="A2" s="18" t="s">
        <v>54</v>
      </c>
      <c r="B2" s="26"/>
      <c r="C2" s="20" t="s">
        <v>55</v>
      </c>
      <c r="D2" s="21" t="s">
        <v>98</v>
      </c>
      <c r="E2" s="19" t="s">
        <v>34</v>
      </c>
      <c r="F2" s="19">
        <v>34</v>
      </c>
      <c r="G2" s="22">
        <v>44188</v>
      </c>
      <c r="H2" s="22">
        <v>44194</v>
      </c>
      <c r="I2" s="22">
        <v>44194</v>
      </c>
      <c r="J2" s="23"/>
      <c r="K2" s="20" t="s">
        <v>22</v>
      </c>
      <c r="L2" s="24" t="s">
        <v>41</v>
      </c>
      <c r="M2" s="20" t="s">
        <v>24</v>
      </c>
      <c r="N2" s="20"/>
      <c r="O2" s="20" t="s">
        <v>26</v>
      </c>
      <c r="P2" s="23"/>
      <c r="Q2" s="20" t="s">
        <v>53</v>
      </c>
      <c r="R2" s="25" t="s">
        <v>28</v>
      </c>
    </row>
    <row r="3" spans="1:18" ht="30" customHeight="1">
      <c r="A3" s="18" t="s">
        <v>18</v>
      </c>
      <c r="B3" s="26">
        <v>208701</v>
      </c>
      <c r="C3" s="20" t="s">
        <v>55</v>
      </c>
      <c r="D3" s="21" t="s">
        <v>99</v>
      </c>
      <c r="E3" s="19" t="s">
        <v>32</v>
      </c>
      <c r="F3" s="19">
        <v>10</v>
      </c>
      <c r="G3" s="22">
        <v>44180</v>
      </c>
      <c r="H3" s="22">
        <v>44194</v>
      </c>
      <c r="I3" s="22">
        <v>44183</v>
      </c>
      <c r="J3" s="23"/>
      <c r="K3" s="20" t="s">
        <v>22</v>
      </c>
      <c r="L3" s="24" t="s">
        <v>23</v>
      </c>
      <c r="M3" s="20" t="s">
        <v>24</v>
      </c>
      <c r="N3" s="20">
        <v>3</v>
      </c>
      <c r="O3" s="20" t="s">
        <v>25</v>
      </c>
      <c r="P3" s="23"/>
      <c r="Q3" s="20" t="s">
        <v>28</v>
      </c>
      <c r="R3" s="25" t="s">
        <v>73</v>
      </c>
    </row>
    <row r="4" spans="1:18" ht="30" customHeight="1">
      <c r="A4" s="18" t="s">
        <v>54</v>
      </c>
      <c r="B4" s="26">
        <v>179192</v>
      </c>
      <c r="C4" s="20" t="s">
        <v>55</v>
      </c>
      <c r="D4" s="21" t="s">
        <v>98</v>
      </c>
      <c r="E4" s="19" t="s">
        <v>34</v>
      </c>
      <c r="F4" s="19">
        <v>3</v>
      </c>
      <c r="G4" s="22">
        <v>44180.510289351849</v>
      </c>
      <c r="H4" s="22">
        <v>44174</v>
      </c>
      <c r="I4" s="22">
        <v>44174</v>
      </c>
      <c r="J4" s="23"/>
      <c r="K4" s="20" t="s">
        <v>22</v>
      </c>
      <c r="L4" s="24" t="s">
        <v>41</v>
      </c>
      <c r="M4" s="20" t="s">
        <v>24</v>
      </c>
      <c r="N4" s="20"/>
      <c r="O4" s="20" t="s">
        <v>26</v>
      </c>
      <c r="P4" s="23"/>
      <c r="Q4" s="20" t="s">
        <v>53</v>
      </c>
      <c r="R4" s="25" t="s">
        <v>28</v>
      </c>
    </row>
    <row r="5" spans="1:18" ht="30" customHeight="1">
      <c r="A5" s="18" t="s">
        <v>54</v>
      </c>
      <c r="B5" s="26">
        <v>179192</v>
      </c>
      <c r="C5" s="20" t="s">
        <v>55</v>
      </c>
      <c r="D5" s="21" t="s">
        <v>98</v>
      </c>
      <c r="E5" s="19" t="s">
        <v>32</v>
      </c>
      <c r="F5" s="19">
        <v>12</v>
      </c>
      <c r="G5" s="22">
        <v>44173</v>
      </c>
      <c r="H5" s="22">
        <v>44174</v>
      </c>
      <c r="I5" s="22">
        <v>44174</v>
      </c>
      <c r="J5" s="23"/>
      <c r="K5" s="20" t="s">
        <v>22</v>
      </c>
      <c r="L5" s="24" t="s">
        <v>41</v>
      </c>
      <c r="M5" s="20" t="s">
        <v>24</v>
      </c>
      <c r="N5" s="20">
        <v>4</v>
      </c>
      <c r="O5" s="20" t="s">
        <v>26</v>
      </c>
      <c r="P5" s="23"/>
      <c r="Q5" s="20" t="s">
        <v>28</v>
      </c>
      <c r="R5" s="25" t="s">
        <v>28</v>
      </c>
    </row>
    <row r="6" spans="1:18" ht="30" customHeight="1">
      <c r="A6" s="18" t="s">
        <v>54</v>
      </c>
      <c r="B6" s="26">
        <v>179192</v>
      </c>
      <c r="C6" s="20" t="s">
        <v>55</v>
      </c>
      <c r="D6" s="21" t="s">
        <v>98</v>
      </c>
      <c r="E6" s="19" t="s">
        <v>62</v>
      </c>
      <c r="F6" s="19">
        <v>3</v>
      </c>
      <c r="G6" s="22">
        <v>44134</v>
      </c>
      <c r="H6" s="22">
        <v>44134</v>
      </c>
      <c r="I6" s="22">
        <v>44134</v>
      </c>
      <c r="J6" s="23"/>
      <c r="K6" s="20" t="s">
        <v>22</v>
      </c>
      <c r="L6" s="24" t="s">
        <v>41</v>
      </c>
      <c r="M6" s="20" t="s">
        <v>24</v>
      </c>
      <c r="N6" s="20">
        <v>2</v>
      </c>
      <c r="O6" s="20" t="s">
        <v>26</v>
      </c>
      <c r="P6" s="23"/>
      <c r="Q6" s="20" t="s">
        <v>28</v>
      </c>
      <c r="R6" s="25" t="s">
        <v>28</v>
      </c>
    </row>
    <row r="7" spans="1:18" ht="30" customHeight="1">
      <c r="A7" s="18" t="s">
        <v>39</v>
      </c>
      <c r="B7" s="26">
        <v>198253</v>
      </c>
      <c r="C7" s="20" t="s">
        <v>19</v>
      </c>
      <c r="D7" s="21" t="s">
        <v>100</v>
      </c>
      <c r="E7" s="19" t="s">
        <v>21</v>
      </c>
      <c r="F7" s="19">
        <v>2</v>
      </c>
      <c r="G7" s="22">
        <v>44140.671620370369</v>
      </c>
      <c r="H7" s="22">
        <v>44140</v>
      </c>
      <c r="I7" s="22">
        <v>44159</v>
      </c>
      <c r="J7" s="23"/>
      <c r="K7" s="20" t="s">
        <v>22</v>
      </c>
      <c r="L7" s="24" t="s">
        <v>23</v>
      </c>
      <c r="M7" s="20" t="s">
        <v>24</v>
      </c>
      <c r="N7" s="20">
        <v>1</v>
      </c>
      <c r="O7" s="20" t="s">
        <v>25</v>
      </c>
      <c r="P7" s="23" t="s">
        <v>25</v>
      </c>
      <c r="Q7" s="20" t="s">
        <v>28</v>
      </c>
      <c r="R7" s="25" t="s">
        <v>28</v>
      </c>
    </row>
    <row r="8" spans="1:18" ht="30" customHeight="1">
      <c r="A8" s="18" t="s">
        <v>67</v>
      </c>
      <c r="B8" s="26">
        <v>216194</v>
      </c>
      <c r="C8" s="20" t="s">
        <v>19</v>
      </c>
      <c r="D8" s="21" t="s">
        <v>68</v>
      </c>
      <c r="E8" s="19" t="s">
        <v>32</v>
      </c>
      <c r="F8" s="19">
        <v>1</v>
      </c>
      <c r="G8" s="22">
        <v>44218</v>
      </c>
      <c r="H8" s="22">
        <v>44221</v>
      </c>
      <c r="I8" s="22">
        <v>44221</v>
      </c>
      <c r="J8" s="23"/>
      <c r="K8" s="20" t="s">
        <v>22</v>
      </c>
      <c r="L8" s="24" t="s">
        <v>57</v>
      </c>
      <c r="M8" s="20" t="s">
        <v>24</v>
      </c>
      <c r="N8" s="20">
        <v>2</v>
      </c>
      <c r="O8" s="20" t="s">
        <v>25</v>
      </c>
      <c r="P8" s="23" t="s">
        <v>26</v>
      </c>
      <c r="Q8" s="20" t="s">
        <v>27</v>
      </c>
      <c r="R8" s="25" t="s">
        <v>28</v>
      </c>
    </row>
    <row r="9" spans="1:18" ht="30" customHeight="1">
      <c r="A9" s="18" t="s">
        <v>101</v>
      </c>
      <c r="B9" s="26">
        <v>216194</v>
      </c>
      <c r="C9" s="20" t="s">
        <v>19</v>
      </c>
      <c r="D9" s="21" t="s">
        <v>68</v>
      </c>
      <c r="E9" s="19" t="s">
        <v>32</v>
      </c>
      <c r="F9" s="19">
        <v>1</v>
      </c>
      <c r="G9" s="22">
        <v>44218</v>
      </c>
      <c r="H9" s="22">
        <v>44221</v>
      </c>
      <c r="I9" s="22">
        <v>44221</v>
      </c>
      <c r="J9" s="23"/>
      <c r="K9" s="20" t="s">
        <v>22</v>
      </c>
      <c r="L9" s="24"/>
      <c r="M9" s="20"/>
      <c r="N9" s="20">
        <v>2</v>
      </c>
      <c r="O9" s="20" t="s">
        <v>25</v>
      </c>
      <c r="P9" s="23" t="s">
        <v>26</v>
      </c>
      <c r="Q9" s="20" t="s">
        <v>27</v>
      </c>
      <c r="R9" s="25" t="s">
        <v>28</v>
      </c>
    </row>
    <row r="10" spans="1:18" ht="30" customHeight="1">
      <c r="A10" s="18" t="s">
        <v>102</v>
      </c>
      <c r="B10" s="26">
        <v>216194</v>
      </c>
      <c r="C10" s="20" t="s">
        <v>19</v>
      </c>
      <c r="D10" s="21" t="s">
        <v>68</v>
      </c>
      <c r="E10" s="19" t="s">
        <v>92</v>
      </c>
      <c r="F10" s="19">
        <v>1</v>
      </c>
      <c r="G10" s="22">
        <v>44218</v>
      </c>
      <c r="H10" s="22">
        <v>44221</v>
      </c>
      <c r="I10" s="22">
        <v>44221</v>
      </c>
      <c r="J10" s="23"/>
      <c r="K10" s="20" t="s">
        <v>22</v>
      </c>
      <c r="L10" s="24"/>
      <c r="M10" s="20"/>
      <c r="N10" s="20"/>
      <c r="O10" s="20"/>
      <c r="P10" s="23"/>
      <c r="Q10" s="20"/>
      <c r="R10" s="25"/>
    </row>
    <row r="11" spans="1:18" ht="30" customHeight="1">
      <c r="A11" s="18" t="s">
        <v>36</v>
      </c>
      <c r="B11" s="26">
        <v>214006</v>
      </c>
      <c r="C11" s="20" t="s">
        <v>30</v>
      </c>
      <c r="D11" s="21" t="s">
        <v>103</v>
      </c>
      <c r="E11" s="19" t="s">
        <v>34</v>
      </c>
      <c r="F11" s="19">
        <v>1</v>
      </c>
      <c r="G11" s="22">
        <v>44208</v>
      </c>
      <c r="H11" s="22">
        <v>44232</v>
      </c>
      <c r="I11" s="22">
        <v>44236</v>
      </c>
      <c r="J11" s="23"/>
      <c r="K11" s="20" t="s">
        <v>22</v>
      </c>
      <c r="L11" s="24" t="s">
        <v>41</v>
      </c>
      <c r="M11" s="20" t="s">
        <v>24</v>
      </c>
      <c r="N11" s="20"/>
      <c r="O11" s="20" t="s">
        <v>26</v>
      </c>
      <c r="P11" s="23" t="s">
        <v>26</v>
      </c>
      <c r="Q11" s="20" t="s">
        <v>28</v>
      </c>
      <c r="R11" s="25"/>
    </row>
    <row r="12" spans="1:18" ht="30" customHeight="1">
      <c r="A12" s="18" t="s">
        <v>36</v>
      </c>
      <c r="B12" s="26">
        <v>214006</v>
      </c>
      <c r="C12" s="20" t="s">
        <v>30</v>
      </c>
      <c r="D12" s="21" t="s">
        <v>103</v>
      </c>
      <c r="E12" s="19" t="s">
        <v>48</v>
      </c>
      <c r="F12" s="19">
        <v>1</v>
      </c>
      <c r="G12" s="22">
        <v>44208</v>
      </c>
      <c r="H12" s="22">
        <v>44232</v>
      </c>
      <c r="I12" s="22">
        <v>44236</v>
      </c>
      <c r="J12" s="23"/>
      <c r="K12" s="20" t="s">
        <v>22</v>
      </c>
      <c r="L12" s="24" t="s">
        <v>41</v>
      </c>
      <c r="M12" s="20" t="s">
        <v>24</v>
      </c>
      <c r="N12" s="20"/>
      <c r="O12" s="20" t="s">
        <v>26</v>
      </c>
      <c r="P12" s="23" t="s">
        <v>26</v>
      </c>
      <c r="Q12" s="20" t="s">
        <v>28</v>
      </c>
      <c r="R12" s="25"/>
    </row>
    <row r="13" spans="1:18" ht="30" customHeight="1">
      <c r="A13" s="18" t="s">
        <v>36</v>
      </c>
      <c r="B13" s="26">
        <v>214006</v>
      </c>
      <c r="C13" s="20" t="s">
        <v>30</v>
      </c>
      <c r="D13" s="21" t="s">
        <v>103</v>
      </c>
      <c r="E13" s="19" t="s">
        <v>32</v>
      </c>
      <c r="F13" s="19">
        <v>1</v>
      </c>
      <c r="G13" s="22">
        <v>44208</v>
      </c>
      <c r="H13" s="22">
        <v>44232</v>
      </c>
      <c r="I13" s="22">
        <v>44236</v>
      </c>
      <c r="J13" s="23"/>
      <c r="K13" s="20" t="s">
        <v>22</v>
      </c>
      <c r="L13" s="24" t="s">
        <v>41</v>
      </c>
      <c r="M13" s="20" t="s">
        <v>24</v>
      </c>
      <c r="N13" s="20"/>
      <c r="O13" s="20" t="s">
        <v>26</v>
      </c>
      <c r="P13" s="23" t="s">
        <v>26</v>
      </c>
      <c r="Q13" s="20" t="s">
        <v>28</v>
      </c>
      <c r="R13" s="25"/>
    </row>
    <row r="14" spans="1:18" ht="30" customHeight="1">
      <c r="A14" s="18" t="s">
        <v>36</v>
      </c>
      <c r="B14" s="26">
        <v>214001</v>
      </c>
      <c r="C14" s="20" t="s">
        <v>30</v>
      </c>
      <c r="D14" s="21" t="s">
        <v>104</v>
      </c>
      <c r="E14" s="19" t="s">
        <v>34</v>
      </c>
      <c r="F14" s="19">
        <v>1</v>
      </c>
      <c r="G14" s="22">
        <v>44208</v>
      </c>
      <c r="H14" s="22">
        <v>44228</v>
      </c>
      <c r="I14" s="22">
        <v>44229</v>
      </c>
      <c r="J14" s="23"/>
      <c r="K14" s="20" t="s">
        <v>22</v>
      </c>
      <c r="L14" s="24" t="s">
        <v>41</v>
      </c>
      <c r="M14" s="20" t="s">
        <v>24</v>
      </c>
      <c r="N14" s="20"/>
      <c r="O14" s="20" t="s">
        <v>26</v>
      </c>
      <c r="P14" s="23" t="s">
        <v>26</v>
      </c>
      <c r="Q14" s="20" t="s">
        <v>28</v>
      </c>
      <c r="R14" s="25"/>
    </row>
    <row r="15" spans="1:18" ht="30" customHeight="1">
      <c r="A15" s="18" t="s">
        <v>36</v>
      </c>
      <c r="B15" s="26">
        <v>214001</v>
      </c>
      <c r="C15" s="20" t="s">
        <v>30</v>
      </c>
      <c r="D15" s="21" t="s">
        <v>104</v>
      </c>
      <c r="E15" s="19" t="s">
        <v>48</v>
      </c>
      <c r="F15" s="19">
        <v>1</v>
      </c>
      <c r="G15" s="22">
        <v>44208</v>
      </c>
      <c r="H15" s="22">
        <v>44228</v>
      </c>
      <c r="I15" s="22">
        <v>44229</v>
      </c>
      <c r="J15" s="23"/>
      <c r="K15" s="20" t="s">
        <v>22</v>
      </c>
      <c r="L15" s="24" t="s">
        <v>41</v>
      </c>
      <c r="M15" s="20" t="s">
        <v>24</v>
      </c>
      <c r="N15" s="20"/>
      <c r="O15" s="20" t="s">
        <v>26</v>
      </c>
      <c r="P15" s="23" t="s">
        <v>26</v>
      </c>
      <c r="Q15" s="20" t="s">
        <v>28</v>
      </c>
      <c r="R15" s="25"/>
    </row>
    <row r="16" spans="1:18" ht="30" customHeight="1">
      <c r="A16" s="18" t="s">
        <v>36</v>
      </c>
      <c r="B16" s="26">
        <v>214001</v>
      </c>
      <c r="C16" s="20" t="s">
        <v>30</v>
      </c>
      <c r="D16" s="21" t="s">
        <v>104</v>
      </c>
      <c r="E16" s="19" t="s">
        <v>32</v>
      </c>
      <c r="F16" s="19">
        <v>1</v>
      </c>
      <c r="G16" s="22">
        <v>44208</v>
      </c>
      <c r="H16" s="22">
        <v>44228</v>
      </c>
      <c r="I16" s="22">
        <v>44229</v>
      </c>
      <c r="J16" s="23"/>
      <c r="K16" s="20" t="s">
        <v>22</v>
      </c>
      <c r="L16" s="24" t="s">
        <v>41</v>
      </c>
      <c r="M16" s="20" t="s">
        <v>24</v>
      </c>
      <c r="N16" s="20"/>
      <c r="O16" s="20" t="s">
        <v>26</v>
      </c>
      <c r="P16" s="23" t="s">
        <v>26</v>
      </c>
      <c r="Q16" s="20" t="s">
        <v>28</v>
      </c>
      <c r="R16" s="25"/>
    </row>
    <row r="17" spans="1:18" ht="30" customHeight="1">
      <c r="A17" s="18" t="s">
        <v>36</v>
      </c>
      <c r="B17" s="26">
        <v>214001</v>
      </c>
      <c r="C17" s="20" t="s">
        <v>30</v>
      </c>
      <c r="D17" s="21" t="s">
        <v>104</v>
      </c>
      <c r="E17" s="19" t="s">
        <v>43</v>
      </c>
      <c r="F17" s="19">
        <v>1</v>
      </c>
      <c r="G17" s="22">
        <v>44208</v>
      </c>
      <c r="H17" s="22">
        <v>44228</v>
      </c>
      <c r="I17" s="22">
        <v>44229</v>
      </c>
      <c r="J17" s="23"/>
      <c r="K17" s="20" t="s">
        <v>22</v>
      </c>
      <c r="L17" s="24" t="s">
        <v>41</v>
      </c>
      <c r="M17" s="20" t="s">
        <v>24</v>
      </c>
      <c r="N17" s="20"/>
      <c r="O17" s="20" t="s">
        <v>26</v>
      </c>
      <c r="P17" s="23" t="s">
        <v>26</v>
      </c>
      <c r="Q17" s="20" t="s">
        <v>28</v>
      </c>
      <c r="R17" s="25"/>
    </row>
    <row r="18" spans="1:18" ht="30" customHeight="1">
      <c r="A18" s="18" t="s">
        <v>36</v>
      </c>
      <c r="B18" s="26">
        <v>214001</v>
      </c>
      <c r="C18" s="20" t="s">
        <v>30</v>
      </c>
      <c r="D18" s="21" t="s">
        <v>104</v>
      </c>
      <c r="E18" s="19" t="s">
        <v>35</v>
      </c>
      <c r="F18" s="19">
        <v>3</v>
      </c>
      <c r="G18" s="22">
        <v>44208</v>
      </c>
      <c r="H18" s="22">
        <v>44228</v>
      </c>
      <c r="I18" s="22">
        <v>44229</v>
      </c>
      <c r="J18" s="23"/>
      <c r="K18" s="20" t="s">
        <v>22</v>
      </c>
      <c r="L18" s="24" t="s">
        <v>41</v>
      </c>
      <c r="M18" s="20" t="s">
        <v>24</v>
      </c>
      <c r="N18" s="20"/>
      <c r="O18" s="20" t="s">
        <v>26</v>
      </c>
      <c r="P18" s="23" t="s">
        <v>26</v>
      </c>
      <c r="Q18" s="20" t="s">
        <v>28</v>
      </c>
      <c r="R18" s="25"/>
    </row>
    <row r="19" spans="1:18" ht="30" customHeight="1">
      <c r="A19" s="18" t="s">
        <v>36</v>
      </c>
      <c r="B19" s="26">
        <v>214001</v>
      </c>
      <c r="C19" s="20" t="s">
        <v>30</v>
      </c>
      <c r="D19" s="21" t="s">
        <v>104</v>
      </c>
      <c r="E19" s="19" t="s">
        <v>66</v>
      </c>
      <c r="F19" s="19">
        <v>1</v>
      </c>
      <c r="G19" s="22">
        <v>44208</v>
      </c>
      <c r="H19" s="22">
        <v>44228</v>
      </c>
      <c r="I19" s="22">
        <v>44229</v>
      </c>
      <c r="J19" s="23"/>
      <c r="K19" s="20" t="s">
        <v>22</v>
      </c>
      <c r="L19" s="24" t="s">
        <v>41</v>
      </c>
      <c r="M19" s="20" t="s">
        <v>24</v>
      </c>
      <c r="N19" s="20"/>
      <c r="O19" s="20" t="s">
        <v>26</v>
      </c>
      <c r="P19" s="23" t="s">
        <v>26</v>
      </c>
      <c r="Q19" s="20" t="s">
        <v>28</v>
      </c>
      <c r="R19" s="25"/>
    </row>
    <row r="20" spans="1:18" ht="30" customHeight="1">
      <c r="A20" s="18" t="s">
        <v>67</v>
      </c>
      <c r="B20" s="26">
        <v>216500</v>
      </c>
      <c r="C20" s="20" t="s">
        <v>19</v>
      </c>
      <c r="D20" s="21" t="s">
        <v>105</v>
      </c>
      <c r="E20" s="19" t="s">
        <v>21</v>
      </c>
      <c r="F20" s="19">
        <v>1</v>
      </c>
      <c r="G20" s="22">
        <v>44223</v>
      </c>
      <c r="H20" s="22">
        <v>44224</v>
      </c>
      <c r="I20" s="22">
        <v>44229</v>
      </c>
      <c r="J20" s="23"/>
      <c r="K20" s="20" t="s">
        <v>22</v>
      </c>
      <c r="L20" s="24" t="s">
        <v>33</v>
      </c>
      <c r="M20" s="20" t="s">
        <v>24</v>
      </c>
      <c r="N20" s="20"/>
      <c r="O20" s="20" t="s">
        <v>25</v>
      </c>
      <c r="P20" s="23" t="s">
        <v>26</v>
      </c>
      <c r="Q20" s="20" t="s">
        <v>28</v>
      </c>
      <c r="R20" s="25" t="s">
        <v>53</v>
      </c>
    </row>
    <row r="21" spans="1:18" ht="30" customHeight="1">
      <c r="A21" s="18" t="s">
        <v>67</v>
      </c>
      <c r="B21" s="26">
        <v>216500</v>
      </c>
      <c r="C21" s="20" t="s">
        <v>19</v>
      </c>
      <c r="D21" s="21" t="s">
        <v>105</v>
      </c>
      <c r="E21" s="19" t="s">
        <v>62</v>
      </c>
      <c r="F21" s="19">
        <v>1</v>
      </c>
      <c r="G21" s="22">
        <v>44223</v>
      </c>
      <c r="H21" s="22">
        <v>44224</v>
      </c>
      <c r="I21" s="22">
        <v>44229</v>
      </c>
      <c r="J21" s="23"/>
      <c r="K21" s="20" t="s">
        <v>22</v>
      </c>
      <c r="L21" s="24" t="s">
        <v>33</v>
      </c>
      <c r="M21" s="20" t="s">
        <v>24</v>
      </c>
      <c r="N21" s="20"/>
      <c r="O21" s="20" t="s">
        <v>25</v>
      </c>
      <c r="P21" s="23" t="s">
        <v>26</v>
      </c>
      <c r="Q21" s="20" t="s">
        <v>28</v>
      </c>
      <c r="R21" s="25" t="s">
        <v>53</v>
      </c>
    </row>
    <row r="22" spans="1:18" ht="30" customHeight="1">
      <c r="A22" s="18" t="s">
        <v>39</v>
      </c>
      <c r="B22" s="26" t="s">
        <v>95</v>
      </c>
      <c r="C22" s="20" t="s">
        <v>30</v>
      </c>
      <c r="D22" s="21" t="s">
        <v>106</v>
      </c>
      <c r="E22" s="19" t="s">
        <v>107</v>
      </c>
      <c r="F22" s="19">
        <v>1</v>
      </c>
      <c r="G22" s="22">
        <v>44218</v>
      </c>
      <c r="H22" s="22">
        <v>44225</v>
      </c>
      <c r="I22" s="22">
        <v>44225</v>
      </c>
      <c r="J22" s="23"/>
      <c r="K22" s="20" t="s">
        <v>22</v>
      </c>
      <c r="L22" s="24" t="s">
        <v>23</v>
      </c>
      <c r="M22" s="20" t="s">
        <v>108</v>
      </c>
      <c r="N22" s="20"/>
      <c r="O22" s="20" t="s">
        <v>25</v>
      </c>
      <c r="P22" s="23" t="s">
        <v>26</v>
      </c>
      <c r="Q22" s="20" t="s">
        <v>53</v>
      </c>
      <c r="R22" s="25" t="s">
        <v>53</v>
      </c>
    </row>
    <row r="23" spans="1:18" ht="30" customHeight="1">
      <c r="A23" s="18" t="s">
        <v>39</v>
      </c>
      <c r="B23" s="26" t="s">
        <v>95</v>
      </c>
      <c r="C23" s="20" t="s">
        <v>30</v>
      </c>
      <c r="D23" s="21" t="s">
        <v>106</v>
      </c>
      <c r="E23" s="19" t="s">
        <v>34</v>
      </c>
      <c r="F23" s="19">
        <v>2</v>
      </c>
      <c r="G23" s="22">
        <v>44218</v>
      </c>
      <c r="H23" s="22">
        <v>44225</v>
      </c>
      <c r="I23" s="22">
        <v>44225</v>
      </c>
      <c r="J23" s="23" t="s">
        <v>109</v>
      </c>
      <c r="K23" s="20" t="s">
        <v>22</v>
      </c>
      <c r="L23" s="24" t="s">
        <v>23</v>
      </c>
      <c r="M23" s="20" t="s">
        <v>24</v>
      </c>
      <c r="N23" s="20"/>
      <c r="O23" s="20" t="s">
        <v>26</v>
      </c>
      <c r="P23" s="23" t="s">
        <v>26</v>
      </c>
      <c r="Q23" s="20" t="s">
        <v>53</v>
      </c>
      <c r="R23" s="25" t="s">
        <v>53</v>
      </c>
    </row>
    <row r="24" spans="1:18" ht="30" customHeight="1">
      <c r="A24" s="18" t="s">
        <v>39</v>
      </c>
      <c r="B24" s="26" t="s">
        <v>95</v>
      </c>
      <c r="C24" s="20" t="s">
        <v>30</v>
      </c>
      <c r="D24" s="21" t="s">
        <v>106</v>
      </c>
      <c r="E24" s="19" t="s">
        <v>110</v>
      </c>
      <c r="F24" s="19">
        <v>1</v>
      </c>
      <c r="G24" s="22">
        <v>44218</v>
      </c>
      <c r="H24" s="22">
        <v>44225</v>
      </c>
      <c r="I24" s="22">
        <v>44225</v>
      </c>
      <c r="J24" s="23" t="s">
        <v>111</v>
      </c>
      <c r="K24" s="20" t="s">
        <v>22</v>
      </c>
      <c r="L24" s="24" t="s">
        <v>23</v>
      </c>
      <c r="M24" s="20" t="s">
        <v>24</v>
      </c>
      <c r="N24" s="20"/>
      <c r="O24" s="20" t="s">
        <v>26</v>
      </c>
      <c r="P24" s="23" t="s">
        <v>26</v>
      </c>
      <c r="Q24" s="20" t="s">
        <v>53</v>
      </c>
      <c r="R24" s="25" t="s">
        <v>53</v>
      </c>
    </row>
    <row r="25" spans="1:18" ht="30" customHeight="1">
      <c r="A25" s="18" t="s">
        <v>39</v>
      </c>
      <c r="B25" s="26" t="s">
        <v>95</v>
      </c>
      <c r="C25" s="20" t="s">
        <v>30</v>
      </c>
      <c r="D25" s="21" t="s">
        <v>106</v>
      </c>
      <c r="E25" s="19" t="s">
        <v>32</v>
      </c>
      <c r="F25" s="19">
        <v>1</v>
      </c>
      <c r="G25" s="22">
        <v>44218</v>
      </c>
      <c r="H25" s="22">
        <v>44225</v>
      </c>
      <c r="I25" s="22">
        <v>44225</v>
      </c>
      <c r="J25" s="23" t="s">
        <v>111</v>
      </c>
      <c r="K25" s="20" t="s">
        <v>22</v>
      </c>
      <c r="L25" s="24" t="s">
        <v>23</v>
      </c>
      <c r="M25" s="20" t="s">
        <v>24</v>
      </c>
      <c r="N25" s="20"/>
      <c r="O25" s="20" t="s">
        <v>26</v>
      </c>
      <c r="P25" s="23" t="s">
        <v>26</v>
      </c>
      <c r="Q25" s="20" t="s">
        <v>53</v>
      </c>
      <c r="R25" s="25" t="s">
        <v>53</v>
      </c>
    </row>
    <row r="26" spans="1:18" ht="30" customHeight="1">
      <c r="A26" s="18" t="s">
        <v>39</v>
      </c>
      <c r="B26" s="26" t="s">
        <v>95</v>
      </c>
      <c r="C26" s="20" t="s">
        <v>30</v>
      </c>
      <c r="D26" s="21" t="s">
        <v>106</v>
      </c>
      <c r="E26" s="19" t="s">
        <v>48</v>
      </c>
      <c r="F26" s="19">
        <v>1</v>
      </c>
      <c r="G26" s="22">
        <v>44218</v>
      </c>
      <c r="H26" s="22">
        <v>44225</v>
      </c>
      <c r="I26" s="22">
        <v>44225</v>
      </c>
      <c r="J26" s="23" t="s">
        <v>112</v>
      </c>
      <c r="K26" s="20" t="s">
        <v>22</v>
      </c>
      <c r="L26" s="24" t="s">
        <v>23</v>
      </c>
      <c r="M26" s="20" t="s">
        <v>24</v>
      </c>
      <c r="N26" s="20"/>
      <c r="O26" s="20" t="s">
        <v>26</v>
      </c>
      <c r="P26" s="23" t="s">
        <v>26</v>
      </c>
      <c r="Q26" s="20" t="s">
        <v>53</v>
      </c>
      <c r="R26" s="25" t="s">
        <v>53</v>
      </c>
    </row>
    <row r="27" spans="1:18" ht="30" customHeight="1">
      <c r="A27" s="18" t="s">
        <v>70</v>
      </c>
      <c r="B27" s="26">
        <v>216974</v>
      </c>
      <c r="C27" s="20" t="s">
        <v>19</v>
      </c>
      <c r="D27" s="21" t="s">
        <v>113</v>
      </c>
      <c r="E27" s="19" t="s">
        <v>44</v>
      </c>
      <c r="F27" s="19">
        <v>1</v>
      </c>
      <c r="G27" s="22">
        <v>44222</v>
      </c>
      <c r="H27" s="22">
        <v>44229</v>
      </c>
      <c r="I27" s="22">
        <v>44229</v>
      </c>
      <c r="J27" s="23"/>
      <c r="K27" s="20" t="s">
        <v>22</v>
      </c>
      <c r="L27" s="24" t="s">
        <v>57</v>
      </c>
      <c r="M27" s="20" t="s">
        <v>24</v>
      </c>
      <c r="N27" s="20"/>
      <c r="O27" s="20" t="s">
        <v>25</v>
      </c>
      <c r="P27" s="23" t="s">
        <v>26</v>
      </c>
      <c r="Q27" s="20" t="s">
        <v>28</v>
      </c>
      <c r="R27" s="25" t="s">
        <v>27</v>
      </c>
    </row>
    <row r="28" spans="1:18" ht="30" customHeight="1">
      <c r="A28" s="18" t="s">
        <v>114</v>
      </c>
      <c r="B28" s="26">
        <v>217140</v>
      </c>
      <c r="C28" s="20" t="s">
        <v>19</v>
      </c>
      <c r="D28" s="21" t="s">
        <v>115</v>
      </c>
      <c r="E28" s="19" t="s">
        <v>43</v>
      </c>
      <c r="F28" s="19">
        <v>1</v>
      </c>
      <c r="G28" s="22">
        <v>44223</v>
      </c>
      <c r="H28" s="22">
        <v>44229</v>
      </c>
      <c r="I28" s="22">
        <v>44229</v>
      </c>
      <c r="J28" s="23"/>
      <c r="K28" s="20" t="s">
        <v>22</v>
      </c>
      <c r="L28" s="24" t="s">
        <v>57</v>
      </c>
      <c r="M28" s="20" t="s">
        <v>24</v>
      </c>
      <c r="N28" s="20"/>
      <c r="O28" s="20" t="s">
        <v>25</v>
      </c>
      <c r="P28" s="23" t="s">
        <v>26</v>
      </c>
      <c r="Q28" s="20" t="s">
        <v>27</v>
      </c>
      <c r="R28" s="25"/>
    </row>
    <row r="29" spans="1:18" ht="30" customHeight="1">
      <c r="A29" s="18" t="s">
        <v>114</v>
      </c>
      <c r="B29" s="26">
        <v>217140</v>
      </c>
      <c r="C29" s="20" t="s">
        <v>19</v>
      </c>
      <c r="D29" s="21" t="s">
        <v>115</v>
      </c>
      <c r="E29" s="19" t="s">
        <v>34</v>
      </c>
      <c r="F29" s="19">
        <v>1</v>
      </c>
      <c r="G29" s="22">
        <v>44223</v>
      </c>
      <c r="H29" s="22">
        <v>44229</v>
      </c>
      <c r="I29" s="22">
        <v>44229</v>
      </c>
      <c r="J29" s="23"/>
      <c r="K29" s="20" t="s">
        <v>22</v>
      </c>
      <c r="L29" s="24" t="s">
        <v>57</v>
      </c>
      <c r="M29" s="20" t="s">
        <v>24</v>
      </c>
      <c r="N29" s="20"/>
      <c r="O29" s="20" t="s">
        <v>25</v>
      </c>
      <c r="P29" s="23" t="s">
        <v>26</v>
      </c>
      <c r="Q29" s="20" t="s">
        <v>27</v>
      </c>
      <c r="R29" s="25"/>
    </row>
    <row r="30" spans="1:18" ht="30" customHeight="1">
      <c r="A30" s="18" t="s">
        <v>114</v>
      </c>
      <c r="B30" s="26">
        <v>217140</v>
      </c>
      <c r="C30" s="20" t="s">
        <v>19</v>
      </c>
      <c r="D30" s="21" t="s">
        <v>115</v>
      </c>
      <c r="E30" s="19" t="s">
        <v>44</v>
      </c>
      <c r="F30" s="19">
        <v>1</v>
      </c>
      <c r="G30" s="22">
        <v>44223</v>
      </c>
      <c r="H30" s="22">
        <v>44229</v>
      </c>
      <c r="I30" s="22">
        <v>44229</v>
      </c>
      <c r="J30" s="23"/>
      <c r="K30" s="20" t="s">
        <v>22</v>
      </c>
      <c r="L30" s="24" t="s">
        <v>57</v>
      </c>
      <c r="M30" s="20" t="s">
        <v>24</v>
      </c>
      <c r="N30" s="20"/>
      <c r="O30" s="20" t="s">
        <v>25</v>
      </c>
      <c r="P30" s="23" t="s">
        <v>26</v>
      </c>
      <c r="Q30" s="20" t="s">
        <v>27</v>
      </c>
      <c r="R30" s="25"/>
    </row>
    <row r="31" spans="1:18" ht="30" customHeight="1">
      <c r="A31" s="18" t="s">
        <v>114</v>
      </c>
      <c r="B31" s="26">
        <v>217140</v>
      </c>
      <c r="C31" s="20" t="s">
        <v>19</v>
      </c>
      <c r="D31" s="21" t="s">
        <v>115</v>
      </c>
      <c r="E31" s="19" t="s">
        <v>32</v>
      </c>
      <c r="F31" s="19">
        <v>1</v>
      </c>
      <c r="G31" s="22">
        <v>44223</v>
      </c>
      <c r="H31" s="22">
        <v>44229</v>
      </c>
      <c r="I31" s="22">
        <v>44229</v>
      </c>
      <c r="J31" s="23"/>
      <c r="K31" s="20" t="s">
        <v>22</v>
      </c>
      <c r="L31" s="24" t="s">
        <v>57</v>
      </c>
      <c r="M31" s="20" t="s">
        <v>24</v>
      </c>
      <c r="N31" s="20"/>
      <c r="O31" s="20" t="s">
        <v>25</v>
      </c>
      <c r="P31" s="23" t="s">
        <v>26</v>
      </c>
      <c r="Q31" s="20" t="s">
        <v>27</v>
      </c>
      <c r="R31" s="25"/>
    </row>
    <row r="32" spans="1:18" ht="30" customHeight="1">
      <c r="A32" s="18" t="s">
        <v>114</v>
      </c>
      <c r="B32" s="26">
        <v>217140</v>
      </c>
      <c r="C32" s="20" t="s">
        <v>19</v>
      </c>
      <c r="D32" s="21" t="s">
        <v>115</v>
      </c>
      <c r="E32" s="19" t="s">
        <v>93</v>
      </c>
      <c r="F32" s="19">
        <v>1</v>
      </c>
      <c r="G32" s="22">
        <v>44223</v>
      </c>
      <c r="H32" s="22">
        <v>44229</v>
      </c>
      <c r="I32" s="22">
        <v>44229</v>
      </c>
      <c r="J32" s="23"/>
      <c r="K32" s="20" t="s">
        <v>22</v>
      </c>
      <c r="L32" s="24" t="s">
        <v>57</v>
      </c>
      <c r="M32" s="20" t="s">
        <v>24</v>
      </c>
      <c r="N32" s="20"/>
      <c r="O32" s="20" t="s">
        <v>25</v>
      </c>
      <c r="P32" s="23" t="s">
        <v>26</v>
      </c>
      <c r="Q32" s="20" t="s">
        <v>27</v>
      </c>
      <c r="R32" s="25"/>
    </row>
    <row r="33" spans="1:18" ht="30" customHeight="1">
      <c r="A33" s="18" t="s">
        <v>114</v>
      </c>
      <c r="B33" s="26">
        <v>217140</v>
      </c>
      <c r="C33" s="20" t="s">
        <v>19</v>
      </c>
      <c r="D33" s="21" t="s">
        <v>115</v>
      </c>
      <c r="E33" s="19" t="s">
        <v>110</v>
      </c>
      <c r="F33" s="19">
        <v>1</v>
      </c>
      <c r="G33" s="22">
        <v>44223</v>
      </c>
      <c r="H33" s="22">
        <v>44229</v>
      </c>
      <c r="I33" s="22">
        <v>44229</v>
      </c>
      <c r="J33" s="23"/>
      <c r="K33" s="20" t="s">
        <v>22</v>
      </c>
      <c r="L33" s="24" t="s">
        <v>57</v>
      </c>
      <c r="M33" s="20" t="s">
        <v>24</v>
      </c>
      <c r="N33" s="20"/>
      <c r="O33" s="20" t="s">
        <v>25</v>
      </c>
      <c r="P33" s="23" t="s">
        <v>26</v>
      </c>
      <c r="Q33" s="20" t="s">
        <v>27</v>
      </c>
      <c r="R33" s="25"/>
    </row>
    <row r="34" spans="1:18" ht="30" customHeight="1">
      <c r="A34" s="18" t="s">
        <v>114</v>
      </c>
      <c r="B34" s="26">
        <v>217140</v>
      </c>
      <c r="C34" s="20" t="s">
        <v>19</v>
      </c>
      <c r="D34" s="21" t="s">
        <v>115</v>
      </c>
      <c r="E34" s="19" t="s">
        <v>92</v>
      </c>
      <c r="F34" s="19">
        <v>1</v>
      </c>
      <c r="G34" s="22">
        <v>44223</v>
      </c>
      <c r="H34" s="22">
        <v>44229</v>
      </c>
      <c r="I34" s="22">
        <v>44229</v>
      </c>
      <c r="J34" s="23"/>
      <c r="K34" s="20" t="s">
        <v>22</v>
      </c>
      <c r="L34" s="24" t="s">
        <v>57</v>
      </c>
      <c r="M34" s="20" t="s">
        <v>24</v>
      </c>
      <c r="N34" s="20"/>
      <c r="O34" s="20" t="s">
        <v>25</v>
      </c>
      <c r="P34" s="23" t="s">
        <v>26</v>
      </c>
      <c r="Q34" s="20" t="s">
        <v>27</v>
      </c>
      <c r="R34" s="25"/>
    </row>
    <row r="35" spans="1:18" ht="30" customHeight="1">
      <c r="A35" s="18" t="s">
        <v>39</v>
      </c>
      <c r="B35" s="26">
        <v>218126</v>
      </c>
      <c r="C35" s="20" t="s">
        <v>30</v>
      </c>
      <c r="D35" s="21" t="s">
        <v>116</v>
      </c>
      <c r="E35" s="19" t="s">
        <v>34</v>
      </c>
      <c r="F35" s="19">
        <v>2</v>
      </c>
      <c r="G35" s="22">
        <v>44228</v>
      </c>
      <c r="H35" s="22">
        <v>44230</v>
      </c>
      <c r="I35" s="22">
        <v>44230</v>
      </c>
      <c r="J35" s="23"/>
      <c r="K35" s="20" t="s">
        <v>22</v>
      </c>
      <c r="L35" s="24" t="s">
        <v>41</v>
      </c>
      <c r="M35" s="20" t="s">
        <v>24</v>
      </c>
      <c r="N35" s="20"/>
      <c r="O35" s="20"/>
      <c r="P35" s="23"/>
      <c r="Q35" s="20"/>
      <c r="R35" s="25"/>
    </row>
    <row r="36" spans="1:18" ht="30" customHeight="1">
      <c r="A36" s="18" t="s">
        <v>18</v>
      </c>
      <c r="B36" s="26">
        <v>217549</v>
      </c>
      <c r="C36" s="20" t="s">
        <v>30</v>
      </c>
      <c r="D36" s="21" t="s">
        <v>117</v>
      </c>
      <c r="E36" s="19" t="s">
        <v>118</v>
      </c>
      <c r="F36" s="19">
        <v>1</v>
      </c>
      <c r="G36" s="22">
        <v>44255</v>
      </c>
      <c r="H36" s="22">
        <v>44231</v>
      </c>
      <c r="I36" s="22">
        <v>44232</v>
      </c>
      <c r="J36" s="23"/>
      <c r="K36" s="20" t="s">
        <v>22</v>
      </c>
      <c r="L36" s="24" t="s">
        <v>23</v>
      </c>
      <c r="M36" s="20" t="s">
        <v>24</v>
      </c>
      <c r="N36" s="20"/>
      <c r="O36" s="20" t="s">
        <v>25</v>
      </c>
      <c r="P36" s="23"/>
      <c r="Q36" s="20"/>
      <c r="R36" s="25"/>
    </row>
    <row r="37" spans="1:18" ht="30" customHeight="1">
      <c r="A37" s="18" t="s">
        <v>54</v>
      </c>
      <c r="B37" s="26">
        <v>218206</v>
      </c>
      <c r="C37" s="20" t="s">
        <v>19</v>
      </c>
      <c r="D37" s="21" t="s">
        <v>119</v>
      </c>
      <c r="E37" s="19" t="s">
        <v>42</v>
      </c>
      <c r="F37" s="19">
        <v>4</v>
      </c>
      <c r="G37" s="22">
        <v>44229</v>
      </c>
      <c r="H37" s="22">
        <v>44230</v>
      </c>
      <c r="I37" s="22">
        <v>44230</v>
      </c>
      <c r="J37" s="23"/>
      <c r="K37" s="20" t="s">
        <v>22</v>
      </c>
      <c r="L37" s="24" t="s">
        <v>33</v>
      </c>
      <c r="M37" s="20" t="s">
        <v>24</v>
      </c>
      <c r="N37" s="20"/>
      <c r="O37" s="20" t="s">
        <v>25</v>
      </c>
      <c r="P37" s="23"/>
      <c r="Q37" s="20" t="s">
        <v>28</v>
      </c>
      <c r="R37" s="25" t="s">
        <v>27</v>
      </c>
    </row>
    <row r="38" spans="1:18" ht="30" customHeight="1">
      <c r="A38" s="18" t="s">
        <v>54</v>
      </c>
      <c r="B38" s="26">
        <v>218206</v>
      </c>
      <c r="C38" s="20" t="s">
        <v>19</v>
      </c>
      <c r="D38" s="21" t="s">
        <v>119</v>
      </c>
      <c r="E38" s="19" t="s">
        <v>44</v>
      </c>
      <c r="F38" s="19">
        <v>2</v>
      </c>
      <c r="G38" s="22">
        <v>44229</v>
      </c>
      <c r="H38" s="22">
        <v>44230</v>
      </c>
      <c r="I38" s="22">
        <v>44230</v>
      </c>
      <c r="J38" s="23"/>
      <c r="K38" s="20" t="s">
        <v>22</v>
      </c>
      <c r="L38" s="24" t="s">
        <v>33</v>
      </c>
      <c r="M38" s="20" t="s">
        <v>24</v>
      </c>
      <c r="N38" s="20"/>
      <c r="O38" s="20" t="s">
        <v>25</v>
      </c>
      <c r="P38" s="23"/>
      <c r="Q38" s="20" t="s">
        <v>120</v>
      </c>
      <c r="R38" s="25" t="s">
        <v>49</v>
      </c>
    </row>
    <row r="39" spans="1:18" ht="30" customHeight="1">
      <c r="A39" s="18" t="s">
        <v>54</v>
      </c>
      <c r="B39" s="26">
        <v>218206</v>
      </c>
      <c r="C39" s="20" t="s">
        <v>19</v>
      </c>
      <c r="D39" s="21" t="s">
        <v>119</v>
      </c>
      <c r="E39" s="19" t="s">
        <v>34</v>
      </c>
      <c r="F39" s="19">
        <v>2</v>
      </c>
      <c r="G39" s="22">
        <v>44229</v>
      </c>
      <c r="H39" s="22">
        <v>44230</v>
      </c>
      <c r="I39" s="22">
        <v>44230</v>
      </c>
      <c r="J39" s="23"/>
      <c r="K39" s="20" t="s">
        <v>22</v>
      </c>
      <c r="L39" s="24" t="s">
        <v>33</v>
      </c>
      <c r="M39" s="20" t="s">
        <v>24</v>
      </c>
      <c r="N39" s="20"/>
      <c r="O39" s="20" t="s">
        <v>25</v>
      </c>
      <c r="P39" s="23"/>
      <c r="Q39" s="20" t="s">
        <v>121</v>
      </c>
      <c r="R39" s="25" t="s">
        <v>50</v>
      </c>
    </row>
    <row r="40" spans="1:18" ht="30" customHeight="1">
      <c r="A40" s="18" t="s">
        <v>54</v>
      </c>
      <c r="B40" s="26">
        <v>218206</v>
      </c>
      <c r="C40" s="20" t="s">
        <v>19</v>
      </c>
      <c r="D40" s="21" t="s">
        <v>119</v>
      </c>
      <c r="E40" s="19" t="s">
        <v>48</v>
      </c>
      <c r="F40" s="19">
        <v>4</v>
      </c>
      <c r="G40" s="22">
        <v>44229</v>
      </c>
      <c r="H40" s="22">
        <v>44230</v>
      </c>
      <c r="I40" s="22">
        <v>44230</v>
      </c>
      <c r="J40" s="23"/>
      <c r="K40" s="20" t="s">
        <v>22</v>
      </c>
      <c r="L40" s="24" t="s">
        <v>33</v>
      </c>
      <c r="M40" s="20" t="s">
        <v>24</v>
      </c>
      <c r="N40" s="20"/>
      <c r="O40" s="20" t="s">
        <v>25</v>
      </c>
      <c r="P40" s="23"/>
      <c r="Q40" s="20" t="s">
        <v>122</v>
      </c>
      <c r="R40" s="25" t="s">
        <v>51</v>
      </c>
    </row>
    <row r="41" spans="1:18" ht="30" customHeight="1">
      <c r="A41" s="18" t="s">
        <v>39</v>
      </c>
      <c r="B41" s="26">
        <v>218502</v>
      </c>
      <c r="C41" s="20" t="s">
        <v>19</v>
      </c>
      <c r="D41" s="21" t="s">
        <v>123</v>
      </c>
      <c r="E41" s="19" t="s">
        <v>34</v>
      </c>
      <c r="F41" s="19">
        <v>1</v>
      </c>
      <c r="G41" s="22">
        <v>44229</v>
      </c>
      <c r="H41" s="22">
        <v>44230</v>
      </c>
      <c r="I41" s="22">
        <v>44230</v>
      </c>
      <c r="J41" s="23"/>
      <c r="K41" s="20" t="s">
        <v>22</v>
      </c>
      <c r="L41" s="24" t="s">
        <v>23</v>
      </c>
      <c r="M41" s="20" t="s">
        <v>24</v>
      </c>
      <c r="N41" s="20"/>
      <c r="O41" s="20" t="s">
        <v>25</v>
      </c>
      <c r="P41" s="23" t="s">
        <v>26</v>
      </c>
      <c r="Q41" s="20" t="s">
        <v>53</v>
      </c>
      <c r="R41" s="25" t="s">
        <v>28</v>
      </c>
    </row>
    <row r="42" spans="1:18" ht="30" customHeight="1">
      <c r="A42" s="18" t="s">
        <v>39</v>
      </c>
      <c r="B42" s="26">
        <v>218502</v>
      </c>
      <c r="C42" s="20" t="s">
        <v>19</v>
      </c>
      <c r="D42" s="21" t="s">
        <v>123</v>
      </c>
      <c r="E42" s="19" t="s">
        <v>32</v>
      </c>
      <c r="F42" s="19">
        <v>1</v>
      </c>
      <c r="G42" s="22">
        <v>44229</v>
      </c>
      <c r="H42" s="22">
        <v>44230</v>
      </c>
      <c r="I42" s="22">
        <v>44230</v>
      </c>
      <c r="J42" s="23"/>
      <c r="K42" s="20" t="s">
        <v>22</v>
      </c>
      <c r="L42" s="24" t="s">
        <v>23</v>
      </c>
      <c r="M42" s="20" t="s">
        <v>24</v>
      </c>
      <c r="N42" s="20"/>
      <c r="O42" s="20" t="s">
        <v>25</v>
      </c>
      <c r="P42" s="23" t="s">
        <v>26</v>
      </c>
      <c r="Q42" s="20" t="s">
        <v>53</v>
      </c>
      <c r="R42" s="25" t="s">
        <v>28</v>
      </c>
    </row>
    <row r="43" spans="1:18" ht="30" customHeight="1">
      <c r="A43" s="18" t="s">
        <v>18</v>
      </c>
      <c r="B43" s="26">
        <v>217553</v>
      </c>
      <c r="C43" s="20" t="s">
        <v>63</v>
      </c>
      <c r="D43" s="21" t="s">
        <v>124</v>
      </c>
      <c r="E43" s="19" t="s">
        <v>66</v>
      </c>
      <c r="F43" s="19">
        <v>1</v>
      </c>
      <c r="G43" s="22">
        <v>44255</v>
      </c>
      <c r="H43" s="22">
        <v>44230</v>
      </c>
      <c r="I43" s="22"/>
      <c r="J43" s="23"/>
      <c r="K43" s="20" t="s">
        <v>22</v>
      </c>
      <c r="L43" s="24" t="s">
        <v>57</v>
      </c>
      <c r="M43" s="20" t="s">
        <v>24</v>
      </c>
      <c r="N43" s="20"/>
      <c r="O43" s="20" t="s">
        <v>25</v>
      </c>
      <c r="P43" s="23"/>
      <c r="Q43" s="20"/>
      <c r="R43" s="25"/>
    </row>
    <row r="44" spans="1:18" ht="30" customHeight="1">
      <c r="A44" s="18" t="s">
        <v>94</v>
      </c>
      <c r="B44" s="26">
        <v>213012</v>
      </c>
      <c r="C44" s="20" t="s">
        <v>19</v>
      </c>
      <c r="D44" s="21" t="s">
        <v>125</v>
      </c>
      <c r="E44" s="19" t="s">
        <v>44</v>
      </c>
      <c r="F44" s="19">
        <v>1</v>
      </c>
      <c r="G44" s="22">
        <v>44203</v>
      </c>
      <c r="H44" s="22">
        <v>44204</v>
      </c>
      <c r="I44" s="22"/>
      <c r="J44" s="23"/>
      <c r="K44" s="20" t="s">
        <v>22</v>
      </c>
      <c r="L44" s="24" t="s">
        <v>57</v>
      </c>
      <c r="M44" s="20" t="s">
        <v>24</v>
      </c>
      <c r="N44" s="20"/>
      <c r="O44" s="20" t="s">
        <v>25</v>
      </c>
      <c r="P44" s="23" t="s">
        <v>26</v>
      </c>
      <c r="Q44" s="20" t="s">
        <v>27</v>
      </c>
      <c r="R44" s="25" t="s">
        <v>27</v>
      </c>
    </row>
    <row r="45" spans="1:18" ht="30" customHeight="1">
      <c r="A45" s="18" t="s">
        <v>94</v>
      </c>
      <c r="B45" s="26">
        <v>213012</v>
      </c>
      <c r="C45" s="20" t="s">
        <v>19</v>
      </c>
      <c r="D45" s="21" t="s">
        <v>125</v>
      </c>
      <c r="E45" s="19" t="s">
        <v>38</v>
      </c>
      <c r="F45" s="19">
        <v>1</v>
      </c>
      <c r="G45" s="22">
        <v>44203</v>
      </c>
      <c r="H45" s="22">
        <v>44204</v>
      </c>
      <c r="I45" s="22"/>
      <c r="J45" s="23"/>
      <c r="K45" s="20" t="s">
        <v>22</v>
      </c>
      <c r="L45" s="24" t="s">
        <v>57</v>
      </c>
      <c r="M45" s="20" t="s">
        <v>24</v>
      </c>
      <c r="N45" s="20"/>
      <c r="O45" s="20" t="s">
        <v>25</v>
      </c>
      <c r="P45" s="23" t="s">
        <v>26</v>
      </c>
      <c r="Q45" s="20" t="s">
        <v>27</v>
      </c>
      <c r="R45" s="25" t="s">
        <v>27</v>
      </c>
    </row>
    <row r="46" spans="1:18" ht="30" customHeight="1">
      <c r="A46" s="18" t="s">
        <v>18</v>
      </c>
      <c r="B46" s="26">
        <v>213356</v>
      </c>
      <c r="C46" s="20" t="s">
        <v>55</v>
      </c>
      <c r="D46" s="21" t="s">
        <v>126</v>
      </c>
      <c r="E46" s="19" t="s">
        <v>72</v>
      </c>
      <c r="F46" s="19">
        <v>1</v>
      </c>
      <c r="G46" s="22">
        <v>44204</v>
      </c>
      <c r="H46" s="22">
        <v>44204</v>
      </c>
      <c r="I46" s="22"/>
      <c r="J46" s="23"/>
      <c r="K46" s="20" t="s">
        <v>22</v>
      </c>
      <c r="L46" s="24" t="s">
        <v>57</v>
      </c>
      <c r="M46" s="20" t="s">
        <v>24</v>
      </c>
      <c r="N46" s="20"/>
      <c r="O46" s="20" t="s">
        <v>25</v>
      </c>
      <c r="P46" s="23" t="s">
        <v>26</v>
      </c>
      <c r="Q46" s="20" t="s">
        <v>28</v>
      </c>
      <c r="R46" s="25" t="s">
        <v>28</v>
      </c>
    </row>
    <row r="47" spans="1:18" ht="30" customHeight="1">
      <c r="A47" s="18" t="s">
        <v>39</v>
      </c>
      <c r="B47" s="26">
        <v>173565</v>
      </c>
      <c r="C47" s="20" t="s">
        <v>55</v>
      </c>
      <c r="D47" s="21" t="s">
        <v>127</v>
      </c>
      <c r="E47" s="19" t="s">
        <v>82</v>
      </c>
      <c r="F47" s="19">
        <v>1</v>
      </c>
      <c r="G47" s="22">
        <v>44008</v>
      </c>
      <c r="H47" s="22">
        <v>44069</v>
      </c>
      <c r="I47" s="22"/>
      <c r="J47" s="23" t="s">
        <v>128</v>
      </c>
      <c r="K47" s="20" t="s">
        <v>22</v>
      </c>
      <c r="L47" s="24" t="s">
        <v>41</v>
      </c>
      <c r="M47" s="20" t="s">
        <v>24</v>
      </c>
      <c r="N47" s="20">
        <v>1</v>
      </c>
      <c r="O47" s="20" t="s">
        <v>26</v>
      </c>
      <c r="P47" s="23" t="s">
        <v>26</v>
      </c>
      <c r="Q47" s="20" t="s">
        <v>28</v>
      </c>
      <c r="R47" s="25" t="s">
        <v>28</v>
      </c>
    </row>
    <row r="48" spans="1:18" ht="30" customHeight="1">
      <c r="A48" s="18" t="s">
        <v>39</v>
      </c>
      <c r="B48" s="26">
        <v>173565</v>
      </c>
      <c r="C48" s="20" t="s">
        <v>55</v>
      </c>
      <c r="D48" s="21" t="s">
        <v>127</v>
      </c>
      <c r="E48" s="19" t="s">
        <v>82</v>
      </c>
      <c r="F48" s="19">
        <v>1</v>
      </c>
      <c r="G48" s="22">
        <v>44008</v>
      </c>
      <c r="H48" s="22">
        <v>44069</v>
      </c>
      <c r="I48" s="22"/>
      <c r="J48" s="23" t="s">
        <v>129</v>
      </c>
      <c r="K48" s="20" t="s">
        <v>22</v>
      </c>
      <c r="L48" s="24" t="s">
        <v>41</v>
      </c>
      <c r="M48" s="20" t="s">
        <v>24</v>
      </c>
      <c r="N48" s="20">
        <v>1</v>
      </c>
      <c r="O48" s="20" t="s">
        <v>26</v>
      </c>
      <c r="P48" s="23" t="s">
        <v>26</v>
      </c>
      <c r="Q48" s="20" t="s">
        <v>28</v>
      </c>
      <c r="R48" s="25" t="s">
        <v>28</v>
      </c>
    </row>
    <row r="49" spans="1:18" ht="30" customHeight="1">
      <c r="A49" s="18" t="s">
        <v>39</v>
      </c>
      <c r="B49" s="26">
        <v>173565</v>
      </c>
      <c r="C49" s="20" t="s">
        <v>55</v>
      </c>
      <c r="D49" s="21" t="s">
        <v>127</v>
      </c>
      <c r="E49" s="19" t="s">
        <v>66</v>
      </c>
      <c r="F49" s="19">
        <v>1</v>
      </c>
      <c r="G49" s="22">
        <v>44008</v>
      </c>
      <c r="H49" s="22">
        <v>44069</v>
      </c>
      <c r="I49" s="22"/>
      <c r="J49" s="23"/>
      <c r="K49" s="20" t="s">
        <v>22</v>
      </c>
      <c r="L49" s="24" t="s">
        <v>41</v>
      </c>
      <c r="M49" s="20" t="s">
        <v>24</v>
      </c>
      <c r="N49" s="20">
        <v>1</v>
      </c>
      <c r="O49" s="20" t="s">
        <v>26</v>
      </c>
      <c r="P49" s="23" t="s">
        <v>26</v>
      </c>
      <c r="Q49" s="20" t="s">
        <v>28</v>
      </c>
      <c r="R49" s="25" t="s">
        <v>28</v>
      </c>
    </row>
    <row r="50" spans="1:18" ht="30" customHeight="1">
      <c r="A50" s="18" t="s">
        <v>130</v>
      </c>
      <c r="B50" s="26">
        <v>218925</v>
      </c>
      <c r="C50" s="20" t="s">
        <v>19</v>
      </c>
      <c r="D50" s="21" t="s">
        <v>131</v>
      </c>
      <c r="E50" s="19" t="s">
        <v>43</v>
      </c>
      <c r="F50" s="19">
        <v>1</v>
      </c>
      <c r="G50" s="22">
        <v>44230</v>
      </c>
      <c r="H50" s="22">
        <v>44236</v>
      </c>
      <c r="I50" s="22">
        <v>44236</v>
      </c>
      <c r="J50" s="23"/>
      <c r="K50" s="20" t="s">
        <v>22</v>
      </c>
      <c r="L50" s="24" t="s">
        <v>33</v>
      </c>
      <c r="M50" s="20" t="s">
        <v>24</v>
      </c>
      <c r="N50" s="20">
        <v>1</v>
      </c>
      <c r="O50" s="20" t="s">
        <v>25</v>
      </c>
      <c r="P50" s="23" t="s">
        <v>26</v>
      </c>
      <c r="Q50" s="20" t="s">
        <v>28</v>
      </c>
      <c r="R50" s="25" t="s">
        <v>53</v>
      </c>
    </row>
    <row r="51" spans="1:18" ht="30" customHeight="1">
      <c r="A51" s="18" t="s">
        <v>70</v>
      </c>
      <c r="B51" s="26">
        <v>218864</v>
      </c>
      <c r="C51" s="20" t="s">
        <v>63</v>
      </c>
      <c r="D51" s="21" t="s">
        <v>132</v>
      </c>
      <c r="E51" s="19" t="s">
        <v>132</v>
      </c>
      <c r="F51" s="19">
        <v>1</v>
      </c>
      <c r="G51" s="22">
        <v>44230</v>
      </c>
      <c r="H51" s="22">
        <v>44232</v>
      </c>
      <c r="I51" s="22"/>
      <c r="J51" s="23"/>
      <c r="K51" s="20" t="s">
        <v>22</v>
      </c>
      <c r="L51" s="24" t="s">
        <v>57</v>
      </c>
      <c r="M51" s="20" t="s">
        <v>24</v>
      </c>
      <c r="N51" s="20"/>
      <c r="O51" s="20" t="s">
        <v>25</v>
      </c>
      <c r="P51" s="23" t="s">
        <v>26</v>
      </c>
      <c r="Q51" s="20" t="s">
        <v>53</v>
      </c>
      <c r="R51" s="25" t="s">
        <v>53</v>
      </c>
    </row>
    <row r="52" spans="1:18" ht="30" customHeight="1">
      <c r="A52" s="18" t="s">
        <v>29</v>
      </c>
      <c r="B52" s="26">
        <v>219822</v>
      </c>
      <c r="C52" s="20" t="s">
        <v>19</v>
      </c>
      <c r="D52" s="21" t="s">
        <v>133</v>
      </c>
      <c r="E52" s="19" t="s">
        <v>61</v>
      </c>
      <c r="F52" s="19">
        <v>1</v>
      </c>
      <c r="G52" s="22">
        <v>44235</v>
      </c>
      <c r="H52" s="22">
        <v>44235</v>
      </c>
      <c r="I52" s="22">
        <v>44235</v>
      </c>
      <c r="J52" s="23"/>
      <c r="K52" s="20" t="s">
        <v>22</v>
      </c>
      <c r="L52" s="24" t="s">
        <v>23</v>
      </c>
      <c r="M52" s="20" t="s">
        <v>24</v>
      </c>
      <c r="N52" s="20"/>
      <c r="O52" s="20" t="s">
        <v>25</v>
      </c>
      <c r="P52" s="23"/>
      <c r="Q52" s="20" t="s">
        <v>53</v>
      </c>
      <c r="R52" s="25" t="s">
        <v>53</v>
      </c>
    </row>
    <row r="53" spans="1:18" ht="30" customHeight="1">
      <c r="A53" s="18" t="s">
        <v>130</v>
      </c>
      <c r="B53" s="26">
        <v>218925</v>
      </c>
      <c r="C53" s="20" t="s">
        <v>19</v>
      </c>
      <c r="D53" s="21" t="s">
        <v>131</v>
      </c>
      <c r="E53" s="19" t="s">
        <v>32</v>
      </c>
      <c r="F53" s="19">
        <v>1</v>
      </c>
      <c r="G53" s="22">
        <v>44230</v>
      </c>
      <c r="H53" s="22">
        <v>44236</v>
      </c>
      <c r="I53" s="22">
        <v>44236</v>
      </c>
      <c r="J53" s="23"/>
      <c r="K53" s="20" t="s">
        <v>22</v>
      </c>
      <c r="L53" s="24" t="s">
        <v>33</v>
      </c>
      <c r="M53" s="20" t="s">
        <v>24</v>
      </c>
      <c r="N53" s="20">
        <v>1</v>
      </c>
      <c r="O53" s="20" t="s">
        <v>25</v>
      </c>
      <c r="P53" s="23" t="s">
        <v>26</v>
      </c>
      <c r="Q53" s="20" t="s">
        <v>28</v>
      </c>
      <c r="R53" s="25" t="s">
        <v>53</v>
      </c>
    </row>
    <row r="54" spans="1:18" ht="30" customHeight="1">
      <c r="A54" s="18" t="s">
        <v>134</v>
      </c>
      <c r="B54" s="26">
        <v>218963</v>
      </c>
      <c r="C54" s="20" t="s">
        <v>19</v>
      </c>
      <c r="D54" s="21" t="s">
        <v>135</v>
      </c>
      <c r="E54" s="19" t="s">
        <v>61</v>
      </c>
      <c r="F54" s="19">
        <v>1</v>
      </c>
      <c r="G54" s="22">
        <v>44230</v>
      </c>
      <c r="H54" s="22">
        <v>44236</v>
      </c>
      <c r="I54" s="22">
        <v>44236</v>
      </c>
      <c r="J54" s="23"/>
      <c r="K54" s="20" t="s">
        <v>22</v>
      </c>
      <c r="L54" s="24" t="s">
        <v>23</v>
      </c>
      <c r="M54" s="20" t="s">
        <v>24</v>
      </c>
      <c r="N54" s="20"/>
      <c r="O54" s="20" t="s">
        <v>25</v>
      </c>
      <c r="P54" s="23"/>
      <c r="Q54" s="20" t="s">
        <v>28</v>
      </c>
      <c r="R54" s="25" t="s">
        <v>27</v>
      </c>
    </row>
    <row r="55" spans="1:18" ht="30" customHeight="1">
      <c r="A55" s="18" t="s">
        <v>70</v>
      </c>
      <c r="B55" s="19">
        <v>219755</v>
      </c>
      <c r="C55" s="20" t="s">
        <v>30</v>
      </c>
      <c r="D55" s="21" t="s">
        <v>136</v>
      </c>
      <c r="E55" s="19" t="s">
        <v>48</v>
      </c>
      <c r="F55" s="19">
        <v>1</v>
      </c>
      <c r="G55" s="22">
        <v>44232</v>
      </c>
      <c r="H55" s="22">
        <v>44237</v>
      </c>
      <c r="I55" s="22">
        <v>44248</v>
      </c>
      <c r="J55" s="23"/>
      <c r="K55" s="20" t="s">
        <v>22</v>
      </c>
      <c r="L55" s="24" t="s">
        <v>41</v>
      </c>
      <c r="M55" s="20" t="s">
        <v>24</v>
      </c>
      <c r="N55" s="20"/>
      <c r="O55" s="20" t="s">
        <v>26</v>
      </c>
      <c r="P55" s="23" t="s">
        <v>26</v>
      </c>
      <c r="Q55" s="20" t="s">
        <v>73</v>
      </c>
      <c r="R55" s="25"/>
    </row>
    <row r="56" spans="1:18" ht="30" customHeight="1">
      <c r="A56" s="18" t="s">
        <v>70</v>
      </c>
      <c r="B56" s="26">
        <v>219755</v>
      </c>
      <c r="C56" s="20" t="s">
        <v>30</v>
      </c>
      <c r="D56" s="21" t="s">
        <v>136</v>
      </c>
      <c r="E56" s="19" t="s">
        <v>34</v>
      </c>
      <c r="F56" s="19">
        <v>1</v>
      </c>
      <c r="G56" s="22">
        <v>44232</v>
      </c>
      <c r="H56" s="22">
        <v>44237</v>
      </c>
      <c r="I56" s="22">
        <v>44248</v>
      </c>
      <c r="J56" s="23"/>
      <c r="K56" s="20" t="s">
        <v>22</v>
      </c>
      <c r="L56" s="24" t="s">
        <v>41</v>
      </c>
      <c r="M56" s="20" t="s">
        <v>24</v>
      </c>
      <c r="N56" s="20"/>
      <c r="O56" s="20" t="s">
        <v>26</v>
      </c>
      <c r="P56" s="23" t="s">
        <v>26</v>
      </c>
      <c r="Q56" s="20" t="s">
        <v>73</v>
      </c>
      <c r="R56" s="25"/>
    </row>
    <row r="57" spans="1:18" ht="30" customHeight="1">
      <c r="A57" s="18" t="s">
        <v>36</v>
      </c>
      <c r="B57" s="26">
        <v>219991</v>
      </c>
      <c r="C57" s="20" t="s">
        <v>19</v>
      </c>
      <c r="D57" s="21" t="s">
        <v>137</v>
      </c>
      <c r="E57" s="19" t="s">
        <v>43</v>
      </c>
      <c r="F57" s="19">
        <v>13</v>
      </c>
      <c r="G57" s="22">
        <v>44235</v>
      </c>
      <c r="H57" s="22">
        <v>44244</v>
      </c>
      <c r="I57" s="22">
        <v>44238</v>
      </c>
      <c r="J57" s="23"/>
      <c r="K57" s="20" t="s">
        <v>22</v>
      </c>
      <c r="L57" s="24" t="s">
        <v>23</v>
      </c>
      <c r="M57" s="20" t="s">
        <v>24</v>
      </c>
      <c r="N57" s="20"/>
      <c r="O57" s="20" t="s">
        <v>25</v>
      </c>
      <c r="P57" s="23" t="s">
        <v>26</v>
      </c>
      <c r="Q57" s="20" t="s">
        <v>53</v>
      </c>
      <c r="R57" s="25" t="s">
        <v>53</v>
      </c>
    </row>
    <row r="58" spans="1:18" ht="30" customHeight="1">
      <c r="A58" s="18" t="s">
        <v>36</v>
      </c>
      <c r="B58" s="26">
        <v>219991</v>
      </c>
      <c r="C58" s="20" t="s">
        <v>19</v>
      </c>
      <c r="D58" s="21" t="s">
        <v>137</v>
      </c>
      <c r="E58" s="19" t="s">
        <v>38</v>
      </c>
      <c r="F58" s="19">
        <v>13</v>
      </c>
      <c r="G58" s="22">
        <v>44235</v>
      </c>
      <c r="H58" s="22">
        <v>44244</v>
      </c>
      <c r="I58" s="22">
        <v>44238</v>
      </c>
      <c r="J58" s="23"/>
      <c r="K58" s="20" t="s">
        <v>22</v>
      </c>
      <c r="L58" s="24" t="s">
        <v>23</v>
      </c>
      <c r="M58" s="20" t="s">
        <v>24</v>
      </c>
      <c r="N58" s="20"/>
      <c r="O58" s="20" t="s">
        <v>25</v>
      </c>
      <c r="P58" s="23" t="s">
        <v>26</v>
      </c>
      <c r="Q58" s="20" t="s">
        <v>53</v>
      </c>
      <c r="R58" s="25" t="s">
        <v>53</v>
      </c>
    </row>
    <row r="59" spans="1:18" ht="30" customHeight="1">
      <c r="A59" s="18" t="s">
        <v>36</v>
      </c>
      <c r="B59" s="26">
        <v>219991</v>
      </c>
      <c r="C59" s="20" t="s">
        <v>19</v>
      </c>
      <c r="D59" s="21" t="s">
        <v>137</v>
      </c>
      <c r="E59" s="19" t="s">
        <v>32</v>
      </c>
      <c r="F59" s="19">
        <v>13</v>
      </c>
      <c r="G59" s="22">
        <v>44235</v>
      </c>
      <c r="H59" s="22">
        <v>44244</v>
      </c>
      <c r="I59" s="22">
        <v>44238</v>
      </c>
      <c r="J59" s="23"/>
      <c r="K59" s="20" t="s">
        <v>22</v>
      </c>
      <c r="L59" s="24" t="s">
        <v>23</v>
      </c>
      <c r="M59" s="20" t="s">
        <v>24</v>
      </c>
      <c r="N59" s="20"/>
      <c r="O59" s="20" t="s">
        <v>25</v>
      </c>
      <c r="P59" s="23" t="s">
        <v>26</v>
      </c>
      <c r="Q59" s="20" t="s">
        <v>53</v>
      </c>
      <c r="R59" s="25" t="s">
        <v>53</v>
      </c>
    </row>
    <row r="60" spans="1:18" ht="30" customHeight="1">
      <c r="A60" s="18" t="s">
        <v>36</v>
      </c>
      <c r="B60" s="26">
        <v>219991</v>
      </c>
      <c r="C60" s="20" t="s">
        <v>19</v>
      </c>
      <c r="D60" s="21" t="s">
        <v>137</v>
      </c>
      <c r="E60" s="19" t="s">
        <v>48</v>
      </c>
      <c r="F60" s="19">
        <v>1</v>
      </c>
      <c r="G60" s="22">
        <v>44235</v>
      </c>
      <c r="H60" s="22">
        <v>44244</v>
      </c>
      <c r="I60" s="22">
        <v>44238</v>
      </c>
      <c r="J60" s="23"/>
      <c r="K60" s="20" t="s">
        <v>22</v>
      </c>
      <c r="L60" s="24" t="s">
        <v>23</v>
      </c>
      <c r="M60" s="20" t="s">
        <v>24</v>
      </c>
      <c r="N60" s="20"/>
      <c r="O60" s="20" t="s">
        <v>25</v>
      </c>
      <c r="P60" s="23" t="s">
        <v>26</v>
      </c>
      <c r="Q60" s="20" t="s">
        <v>53</v>
      </c>
      <c r="R60" s="25" t="s">
        <v>53</v>
      </c>
    </row>
    <row r="61" spans="1:18" ht="30" customHeight="1">
      <c r="A61" s="18" t="s">
        <v>36</v>
      </c>
      <c r="B61" s="26">
        <v>219991</v>
      </c>
      <c r="C61" s="20" t="s">
        <v>19</v>
      </c>
      <c r="D61" s="21" t="s">
        <v>137</v>
      </c>
      <c r="E61" s="19" t="s">
        <v>92</v>
      </c>
      <c r="F61" s="19">
        <v>1</v>
      </c>
      <c r="G61" s="22">
        <v>44235</v>
      </c>
      <c r="H61" s="22">
        <v>44244</v>
      </c>
      <c r="I61" s="22">
        <v>44238</v>
      </c>
      <c r="J61" s="23"/>
      <c r="K61" s="20" t="s">
        <v>22</v>
      </c>
      <c r="L61" s="24" t="s">
        <v>23</v>
      </c>
      <c r="M61" s="20" t="s">
        <v>24</v>
      </c>
      <c r="N61" s="20"/>
      <c r="O61" s="20" t="s">
        <v>25</v>
      </c>
      <c r="P61" s="23" t="s">
        <v>26</v>
      </c>
      <c r="Q61" s="20" t="s">
        <v>53</v>
      </c>
      <c r="R61" s="25" t="s">
        <v>53</v>
      </c>
    </row>
    <row r="62" spans="1:18" ht="30" customHeight="1">
      <c r="A62" s="18" t="s">
        <v>36</v>
      </c>
      <c r="B62" s="26">
        <v>213148</v>
      </c>
      <c r="C62" s="20" t="s">
        <v>19</v>
      </c>
      <c r="D62" s="21" t="s">
        <v>138</v>
      </c>
      <c r="E62" s="19" t="s">
        <v>34</v>
      </c>
      <c r="F62" s="19">
        <v>2</v>
      </c>
      <c r="G62" s="22">
        <v>44203</v>
      </c>
      <c r="H62" s="22">
        <v>44221</v>
      </c>
      <c r="I62" s="22">
        <v>44236</v>
      </c>
      <c r="J62" s="23"/>
      <c r="K62" s="20" t="s">
        <v>22</v>
      </c>
      <c r="L62" s="24" t="s">
        <v>41</v>
      </c>
      <c r="M62" s="20" t="s">
        <v>24</v>
      </c>
      <c r="N62" s="20"/>
      <c r="O62" s="20" t="s">
        <v>26</v>
      </c>
      <c r="P62" s="23" t="s">
        <v>26</v>
      </c>
      <c r="Q62" s="20" t="s">
        <v>28</v>
      </c>
      <c r="R62" s="25" t="s">
        <v>53</v>
      </c>
    </row>
    <row r="63" spans="1:18" ht="30" customHeight="1">
      <c r="A63" s="18" t="s">
        <v>36</v>
      </c>
      <c r="B63" s="26">
        <v>213148</v>
      </c>
      <c r="C63" s="20" t="s">
        <v>19</v>
      </c>
      <c r="D63" s="21" t="s">
        <v>138</v>
      </c>
      <c r="E63" s="19" t="s">
        <v>43</v>
      </c>
      <c r="F63" s="19">
        <v>2</v>
      </c>
      <c r="G63" s="22">
        <v>44203</v>
      </c>
      <c r="H63" s="22">
        <v>44221</v>
      </c>
      <c r="I63" s="22">
        <v>44236</v>
      </c>
      <c r="J63" s="23"/>
      <c r="K63" s="20" t="s">
        <v>22</v>
      </c>
      <c r="L63" s="24" t="s">
        <v>41</v>
      </c>
      <c r="M63" s="20" t="s">
        <v>24</v>
      </c>
      <c r="N63" s="20"/>
      <c r="O63" s="20" t="s">
        <v>26</v>
      </c>
      <c r="P63" s="23" t="s">
        <v>26</v>
      </c>
      <c r="Q63" s="20" t="s">
        <v>28</v>
      </c>
      <c r="R63" s="25" t="s">
        <v>53</v>
      </c>
    </row>
    <row r="64" spans="1:18" ht="30" customHeight="1">
      <c r="A64" s="18" t="s">
        <v>36</v>
      </c>
      <c r="B64" s="26">
        <v>213148</v>
      </c>
      <c r="C64" s="20" t="s">
        <v>19</v>
      </c>
      <c r="D64" s="21" t="s">
        <v>138</v>
      </c>
      <c r="E64" s="19" t="s">
        <v>48</v>
      </c>
      <c r="F64" s="19">
        <v>2</v>
      </c>
      <c r="G64" s="22">
        <v>44203</v>
      </c>
      <c r="H64" s="22">
        <v>44221</v>
      </c>
      <c r="I64" s="22">
        <v>44236</v>
      </c>
      <c r="J64" s="23"/>
      <c r="K64" s="20" t="s">
        <v>22</v>
      </c>
      <c r="L64" s="24" t="s">
        <v>41</v>
      </c>
      <c r="M64" s="20" t="s">
        <v>24</v>
      </c>
      <c r="N64" s="20"/>
      <c r="O64" s="20" t="s">
        <v>26</v>
      </c>
      <c r="P64" s="23" t="s">
        <v>26</v>
      </c>
      <c r="Q64" s="20" t="s">
        <v>28</v>
      </c>
      <c r="R64" s="25" t="s">
        <v>53</v>
      </c>
    </row>
    <row r="65" spans="1:18" ht="30" customHeight="1">
      <c r="A65" s="18" t="s">
        <v>36</v>
      </c>
      <c r="B65" s="26">
        <v>213148</v>
      </c>
      <c r="C65" s="20" t="s">
        <v>19</v>
      </c>
      <c r="D65" s="21" t="s">
        <v>138</v>
      </c>
      <c r="E65" s="19" t="s">
        <v>48</v>
      </c>
      <c r="F65" s="19">
        <v>8</v>
      </c>
      <c r="G65" s="22">
        <v>44203</v>
      </c>
      <c r="H65" s="22">
        <v>44221</v>
      </c>
      <c r="I65" s="22">
        <v>44236</v>
      </c>
      <c r="J65" s="23"/>
      <c r="K65" s="20" t="s">
        <v>22</v>
      </c>
      <c r="L65" s="24" t="s">
        <v>41</v>
      </c>
      <c r="M65" s="20" t="s">
        <v>24</v>
      </c>
      <c r="N65" s="20"/>
      <c r="O65" s="20" t="s">
        <v>26</v>
      </c>
      <c r="P65" s="23" t="s">
        <v>26</v>
      </c>
      <c r="Q65" s="20" t="s">
        <v>28</v>
      </c>
      <c r="R65" s="25" t="s">
        <v>53</v>
      </c>
    </row>
    <row r="66" spans="1:18" ht="30" customHeight="1">
      <c r="A66" s="18" t="s">
        <v>39</v>
      </c>
      <c r="B66" s="26">
        <v>220827</v>
      </c>
      <c r="C66" s="20" t="s">
        <v>30</v>
      </c>
      <c r="D66" s="21" t="s">
        <v>139</v>
      </c>
      <c r="E66" s="19" t="s">
        <v>34</v>
      </c>
      <c r="F66" s="19">
        <v>1</v>
      </c>
      <c r="G66" s="22">
        <v>44238</v>
      </c>
      <c r="H66" s="22">
        <v>44238</v>
      </c>
      <c r="I66" s="22">
        <v>44238</v>
      </c>
      <c r="J66" s="23"/>
      <c r="K66" s="20" t="s">
        <v>22</v>
      </c>
      <c r="L66" s="24" t="s">
        <v>23</v>
      </c>
      <c r="M66" s="20" t="s">
        <v>24</v>
      </c>
      <c r="N66" s="20"/>
      <c r="O66" s="20" t="s">
        <v>25</v>
      </c>
      <c r="P66" s="23" t="s">
        <v>26</v>
      </c>
      <c r="Q66" s="20" t="s">
        <v>28</v>
      </c>
      <c r="R66" s="25"/>
    </row>
    <row r="67" spans="1:18" ht="30" customHeight="1">
      <c r="A67" s="18" t="s">
        <v>29</v>
      </c>
      <c r="B67" s="26">
        <v>220694</v>
      </c>
      <c r="C67" s="20" t="s">
        <v>19</v>
      </c>
      <c r="D67" s="21" t="s">
        <v>140</v>
      </c>
      <c r="E67" s="19" t="s">
        <v>141</v>
      </c>
      <c r="F67" s="19">
        <v>2</v>
      </c>
      <c r="G67" s="22">
        <v>44237</v>
      </c>
      <c r="H67" s="22">
        <v>44238</v>
      </c>
      <c r="I67" s="22">
        <v>44239</v>
      </c>
      <c r="J67" s="23"/>
      <c r="K67" s="20" t="s">
        <v>22</v>
      </c>
      <c r="L67" s="24" t="s">
        <v>33</v>
      </c>
      <c r="M67" s="20" t="s">
        <v>24</v>
      </c>
      <c r="N67" s="20"/>
      <c r="O67" s="20" t="s">
        <v>25</v>
      </c>
      <c r="P67" s="23" t="s">
        <v>25</v>
      </c>
      <c r="Q67" s="20" t="s">
        <v>28</v>
      </c>
      <c r="R67" s="25" t="s">
        <v>53</v>
      </c>
    </row>
    <row r="68" spans="1:18" ht="30" customHeight="1">
      <c r="A68" s="18" t="s">
        <v>29</v>
      </c>
      <c r="B68" s="26">
        <v>220694</v>
      </c>
      <c r="C68" s="20" t="s">
        <v>19</v>
      </c>
      <c r="D68" s="21" t="s">
        <v>140</v>
      </c>
      <c r="E68" s="19" t="s">
        <v>89</v>
      </c>
      <c r="F68" s="19">
        <v>6</v>
      </c>
      <c r="G68" s="22">
        <v>44237</v>
      </c>
      <c r="H68" s="22">
        <v>44238</v>
      </c>
      <c r="I68" s="22">
        <v>44239</v>
      </c>
      <c r="J68" s="23"/>
      <c r="K68" s="20" t="s">
        <v>22</v>
      </c>
      <c r="L68" s="24" t="s">
        <v>33</v>
      </c>
      <c r="M68" s="20" t="s">
        <v>24</v>
      </c>
      <c r="N68" s="20"/>
      <c r="O68" s="20" t="s">
        <v>25</v>
      </c>
      <c r="P68" s="23" t="s">
        <v>25</v>
      </c>
      <c r="Q68" s="20" t="s">
        <v>28</v>
      </c>
      <c r="R68" s="25" t="s">
        <v>53</v>
      </c>
    </row>
    <row r="69" spans="1:18" ht="30" customHeight="1">
      <c r="A69" s="18" t="s">
        <v>29</v>
      </c>
      <c r="B69" s="26">
        <v>220594</v>
      </c>
      <c r="C69" s="20" t="s">
        <v>19</v>
      </c>
      <c r="D69" s="21" t="s">
        <v>142</v>
      </c>
      <c r="E69" s="19" t="s">
        <v>143</v>
      </c>
      <c r="F69" s="19">
        <v>1</v>
      </c>
      <c r="G69" s="22">
        <v>44237</v>
      </c>
      <c r="H69" s="22">
        <v>44238</v>
      </c>
      <c r="I69" s="22">
        <v>44238</v>
      </c>
      <c r="J69" s="23"/>
      <c r="K69" s="20" t="s">
        <v>22</v>
      </c>
      <c r="L69" s="24" t="s">
        <v>57</v>
      </c>
      <c r="M69" s="20" t="s">
        <v>24</v>
      </c>
      <c r="N69" s="20"/>
      <c r="O69" s="20" t="s">
        <v>25</v>
      </c>
      <c r="P69" s="23"/>
      <c r="Q69" s="20" t="s">
        <v>28</v>
      </c>
      <c r="R69" s="25"/>
    </row>
    <row r="70" spans="1:18" ht="30" customHeight="1">
      <c r="A70" s="18" t="s">
        <v>29</v>
      </c>
      <c r="B70" s="26">
        <v>221313</v>
      </c>
      <c r="C70" s="20" t="s">
        <v>19</v>
      </c>
      <c r="D70" s="21" t="s">
        <v>144</v>
      </c>
      <c r="E70" s="19" t="s">
        <v>61</v>
      </c>
      <c r="F70" s="19">
        <v>1</v>
      </c>
      <c r="G70" s="22">
        <v>44239</v>
      </c>
      <c r="H70" s="22">
        <v>44245</v>
      </c>
      <c r="I70" s="22">
        <v>44249</v>
      </c>
      <c r="J70" s="23"/>
      <c r="K70" s="20" t="s">
        <v>22</v>
      </c>
      <c r="L70" s="24" t="s">
        <v>33</v>
      </c>
      <c r="M70" s="20" t="s">
        <v>24</v>
      </c>
      <c r="N70" s="20">
        <v>1</v>
      </c>
      <c r="O70" s="20" t="s">
        <v>25</v>
      </c>
      <c r="P70" s="23" t="s">
        <v>25</v>
      </c>
      <c r="Q70" s="20" t="s">
        <v>28</v>
      </c>
      <c r="R70" s="25" t="s">
        <v>53</v>
      </c>
    </row>
    <row r="71" spans="1:18" ht="30" customHeight="1">
      <c r="A71" s="18" t="s">
        <v>67</v>
      </c>
      <c r="B71" s="26">
        <v>218839</v>
      </c>
      <c r="C71" s="20" t="s">
        <v>63</v>
      </c>
      <c r="D71" s="21" t="s">
        <v>145</v>
      </c>
      <c r="E71" s="19" t="s">
        <v>72</v>
      </c>
      <c r="F71" s="19">
        <v>1</v>
      </c>
      <c r="G71" s="22">
        <v>44230</v>
      </c>
      <c r="H71" s="22">
        <v>44235</v>
      </c>
      <c r="I71" s="22"/>
      <c r="J71" s="23"/>
      <c r="K71" s="20" t="s">
        <v>22</v>
      </c>
      <c r="L71" s="24" t="s">
        <v>57</v>
      </c>
      <c r="M71" s="20" t="s">
        <v>24</v>
      </c>
      <c r="N71" s="20"/>
      <c r="O71" s="20" t="s">
        <v>25</v>
      </c>
      <c r="P71" s="23"/>
      <c r="Q71" s="20" t="s">
        <v>28</v>
      </c>
      <c r="R71" s="25" t="s">
        <v>53</v>
      </c>
    </row>
    <row r="72" spans="1:18" ht="30" customHeight="1">
      <c r="A72" s="18" t="s">
        <v>39</v>
      </c>
      <c r="B72" s="26">
        <v>221808</v>
      </c>
      <c r="C72" s="20" t="s">
        <v>30</v>
      </c>
      <c r="D72" s="21" t="s">
        <v>139</v>
      </c>
      <c r="E72" s="19" t="s">
        <v>34</v>
      </c>
      <c r="F72" s="19">
        <v>1</v>
      </c>
      <c r="G72" s="22">
        <v>44245</v>
      </c>
      <c r="H72" s="22">
        <v>44245</v>
      </c>
      <c r="I72" s="22">
        <v>44245</v>
      </c>
      <c r="J72" s="23"/>
      <c r="K72" s="20" t="s">
        <v>22</v>
      </c>
      <c r="L72" s="24" t="s">
        <v>23</v>
      </c>
      <c r="M72" s="20" t="s">
        <v>24</v>
      </c>
      <c r="N72" s="20"/>
      <c r="O72" s="20" t="s">
        <v>25</v>
      </c>
      <c r="P72" s="23"/>
      <c r="Q72" s="20" t="s">
        <v>28</v>
      </c>
      <c r="R72" s="25"/>
    </row>
    <row r="73" spans="1:18" ht="30" customHeight="1">
      <c r="A73" s="18" t="s">
        <v>146</v>
      </c>
      <c r="B73" s="26" t="s">
        <v>95</v>
      </c>
      <c r="C73" s="20" t="s">
        <v>30</v>
      </c>
      <c r="D73" s="21" t="s">
        <v>147</v>
      </c>
      <c r="E73" s="19" t="s">
        <v>148</v>
      </c>
      <c r="F73" s="19">
        <v>2</v>
      </c>
      <c r="G73" s="22">
        <v>44236</v>
      </c>
      <c r="H73" s="22">
        <v>44236</v>
      </c>
      <c r="I73" s="22">
        <v>44236</v>
      </c>
      <c r="J73" s="23"/>
      <c r="K73" s="20" t="s">
        <v>22</v>
      </c>
      <c r="L73" s="24" t="s">
        <v>41</v>
      </c>
      <c r="M73" s="20" t="s">
        <v>24</v>
      </c>
      <c r="N73" s="20">
        <v>2</v>
      </c>
      <c r="O73" s="20" t="s">
        <v>26</v>
      </c>
      <c r="P73" s="23" t="s">
        <v>26</v>
      </c>
      <c r="Q73" s="20" t="s">
        <v>27</v>
      </c>
      <c r="R73" s="25" t="s">
        <v>27</v>
      </c>
    </row>
    <row r="74" spans="1:18" ht="30" customHeight="1">
      <c r="A74" s="18" t="s">
        <v>39</v>
      </c>
      <c r="B74" s="26" t="s">
        <v>95</v>
      </c>
      <c r="C74" s="20" t="s">
        <v>30</v>
      </c>
      <c r="D74" s="21" t="s">
        <v>149</v>
      </c>
      <c r="E74" s="19" t="s">
        <v>66</v>
      </c>
      <c r="F74" s="19">
        <v>1</v>
      </c>
      <c r="G74" s="22">
        <v>44229</v>
      </c>
      <c r="H74" s="22">
        <v>44229</v>
      </c>
      <c r="I74" s="22">
        <v>44229</v>
      </c>
      <c r="J74" s="23"/>
      <c r="K74" s="20" t="s">
        <v>22</v>
      </c>
      <c r="L74" s="24" t="s">
        <v>23</v>
      </c>
      <c r="M74" s="20" t="s">
        <v>24</v>
      </c>
      <c r="N74" s="20"/>
      <c r="O74" s="20" t="s">
        <v>25</v>
      </c>
      <c r="P74" s="23" t="s">
        <v>26</v>
      </c>
      <c r="Q74" s="20" t="s">
        <v>53</v>
      </c>
      <c r="R74" s="25" t="s">
        <v>53</v>
      </c>
    </row>
    <row r="75" spans="1:18" ht="30" customHeight="1">
      <c r="A75" s="18" t="s">
        <v>39</v>
      </c>
      <c r="B75" s="26">
        <v>209685</v>
      </c>
      <c r="C75" s="20" t="s">
        <v>19</v>
      </c>
      <c r="D75" s="21" t="s">
        <v>150</v>
      </c>
      <c r="E75" s="19" t="s">
        <v>34</v>
      </c>
      <c r="F75" s="19">
        <v>1</v>
      </c>
      <c r="G75" s="22">
        <v>44551</v>
      </c>
      <c r="H75" s="22">
        <v>44553</v>
      </c>
      <c r="I75" s="22">
        <v>44198</v>
      </c>
      <c r="J75" s="23"/>
      <c r="K75" s="20" t="s">
        <v>22</v>
      </c>
      <c r="L75" s="24" t="s">
        <v>41</v>
      </c>
      <c r="M75" s="20" t="s">
        <v>24</v>
      </c>
      <c r="N75" s="20"/>
      <c r="O75" s="20" t="s">
        <v>26</v>
      </c>
      <c r="P75" s="23"/>
      <c r="Q75" s="20"/>
      <c r="R75" s="25"/>
    </row>
    <row r="76" spans="1:18" ht="30" customHeight="1">
      <c r="A76" s="18" t="s">
        <v>67</v>
      </c>
      <c r="B76" s="26">
        <v>222213</v>
      </c>
      <c r="C76" s="20" t="s">
        <v>19</v>
      </c>
      <c r="D76" s="21" t="s">
        <v>151</v>
      </c>
      <c r="E76" s="19" t="s">
        <v>34</v>
      </c>
      <c r="F76" s="19">
        <v>2</v>
      </c>
      <c r="G76" s="22">
        <v>44246</v>
      </c>
      <c r="H76" s="22">
        <v>44250</v>
      </c>
      <c r="I76" s="22">
        <v>44250</v>
      </c>
      <c r="J76" s="23"/>
      <c r="K76" s="20" t="s">
        <v>22</v>
      </c>
      <c r="L76" s="24" t="s">
        <v>33</v>
      </c>
      <c r="M76" s="20" t="s">
        <v>24</v>
      </c>
      <c r="N76" s="20"/>
      <c r="O76" s="20" t="s">
        <v>25</v>
      </c>
      <c r="P76" s="23" t="s">
        <v>26</v>
      </c>
      <c r="Q76" s="20" t="s">
        <v>28</v>
      </c>
      <c r="R76" s="25" t="s">
        <v>28</v>
      </c>
    </row>
    <row r="77" spans="1:18" ht="30" customHeight="1">
      <c r="A77" s="18" t="s">
        <v>67</v>
      </c>
      <c r="B77" s="26">
        <v>222213</v>
      </c>
      <c r="C77" s="20" t="s">
        <v>19</v>
      </c>
      <c r="D77" s="21" t="s">
        <v>151</v>
      </c>
      <c r="E77" s="19" t="s">
        <v>32</v>
      </c>
      <c r="F77" s="19">
        <v>2</v>
      </c>
      <c r="G77" s="22">
        <v>44246</v>
      </c>
      <c r="H77" s="22">
        <v>44250</v>
      </c>
      <c r="I77" s="22">
        <v>44250</v>
      </c>
      <c r="J77" s="23"/>
      <c r="K77" s="20" t="s">
        <v>22</v>
      </c>
      <c r="L77" s="24" t="s">
        <v>33</v>
      </c>
      <c r="M77" s="20" t="s">
        <v>24</v>
      </c>
      <c r="N77" s="20"/>
      <c r="O77" s="20" t="s">
        <v>25</v>
      </c>
      <c r="P77" s="23" t="s">
        <v>26</v>
      </c>
      <c r="Q77" s="20" t="s">
        <v>28</v>
      </c>
      <c r="R77" s="25" t="s">
        <v>28</v>
      </c>
    </row>
    <row r="78" spans="1:18" ht="30" customHeight="1">
      <c r="A78" s="18" t="s">
        <v>54</v>
      </c>
      <c r="B78" s="26">
        <v>222473</v>
      </c>
      <c r="C78" s="20" t="s">
        <v>63</v>
      </c>
      <c r="D78" s="21" t="s">
        <v>152</v>
      </c>
      <c r="E78" s="19" t="s">
        <v>153</v>
      </c>
      <c r="F78" s="19">
        <v>7</v>
      </c>
      <c r="G78" s="22">
        <v>44249</v>
      </c>
      <c r="H78" s="22">
        <v>44249</v>
      </c>
      <c r="I78" s="22"/>
      <c r="J78" s="23"/>
      <c r="K78" s="20" t="s">
        <v>22</v>
      </c>
      <c r="L78" s="24" t="s">
        <v>57</v>
      </c>
      <c r="M78" s="20" t="s">
        <v>24</v>
      </c>
      <c r="N78" s="20"/>
      <c r="O78" s="20" t="s">
        <v>26</v>
      </c>
      <c r="P78" s="23"/>
      <c r="Q78" s="20" t="s">
        <v>28</v>
      </c>
      <c r="R78" s="25" t="s">
        <v>28</v>
      </c>
    </row>
    <row r="79" spans="1:18" ht="30" customHeight="1">
      <c r="A79" s="18" t="s">
        <v>39</v>
      </c>
      <c r="B79" s="26">
        <v>223252</v>
      </c>
      <c r="C79" s="20" t="s">
        <v>30</v>
      </c>
      <c r="D79" s="21" t="s">
        <v>154</v>
      </c>
      <c r="E79" s="19" t="s">
        <v>34</v>
      </c>
      <c r="F79" s="19">
        <v>1</v>
      </c>
      <c r="G79" s="22">
        <v>44251</v>
      </c>
      <c r="H79" s="22">
        <v>44251</v>
      </c>
      <c r="I79" s="22">
        <v>44251</v>
      </c>
      <c r="J79" s="23"/>
      <c r="K79" s="20" t="s">
        <v>22</v>
      </c>
      <c r="L79" s="24" t="s">
        <v>23</v>
      </c>
      <c r="M79" s="20" t="s">
        <v>24</v>
      </c>
      <c r="N79" s="20">
        <v>3</v>
      </c>
      <c r="O79" s="20" t="s">
        <v>25</v>
      </c>
      <c r="P79" s="23"/>
      <c r="Q79" s="20" t="s">
        <v>28</v>
      </c>
      <c r="R79" s="25"/>
    </row>
    <row r="80" spans="1:18" ht="30" customHeight="1">
      <c r="A80" s="18" t="s">
        <v>46</v>
      </c>
      <c r="B80" s="26">
        <v>222723</v>
      </c>
      <c r="C80" s="20" t="s">
        <v>30</v>
      </c>
      <c r="D80" s="21" t="s">
        <v>155</v>
      </c>
      <c r="E80" s="19" t="s">
        <v>72</v>
      </c>
      <c r="F80" s="19">
        <v>1</v>
      </c>
      <c r="G80" s="22">
        <v>44250</v>
      </c>
      <c r="H80" s="22">
        <v>44253</v>
      </c>
      <c r="I80" s="22">
        <v>44250</v>
      </c>
      <c r="J80" s="23"/>
      <c r="K80" s="20" t="s">
        <v>22</v>
      </c>
      <c r="L80" s="24" t="s">
        <v>57</v>
      </c>
      <c r="M80" s="20" t="s">
        <v>24</v>
      </c>
      <c r="N80" s="20"/>
      <c r="O80" s="20" t="s">
        <v>25</v>
      </c>
      <c r="P80" s="23"/>
      <c r="Q80" s="20" t="s">
        <v>27</v>
      </c>
      <c r="R80" s="25"/>
    </row>
    <row r="81" spans="1:18" ht="30" customHeight="1">
      <c r="A81" s="18" t="s">
        <v>29</v>
      </c>
      <c r="B81" s="26">
        <v>22281</v>
      </c>
      <c r="C81" s="20" t="s">
        <v>63</v>
      </c>
      <c r="D81" s="21" t="s">
        <v>156</v>
      </c>
      <c r="E81" s="19" t="s">
        <v>157</v>
      </c>
      <c r="F81" s="19">
        <v>1</v>
      </c>
      <c r="G81" s="22">
        <v>44246</v>
      </c>
      <c r="H81" s="22">
        <v>44251</v>
      </c>
      <c r="I81" s="22"/>
      <c r="J81" s="23"/>
      <c r="K81" s="20" t="s">
        <v>22</v>
      </c>
      <c r="L81" s="24" t="s">
        <v>57</v>
      </c>
      <c r="M81" s="20" t="s">
        <v>24</v>
      </c>
      <c r="N81" s="20"/>
      <c r="O81" s="20" t="s">
        <v>25</v>
      </c>
      <c r="P81" s="23"/>
      <c r="Q81" s="20" t="s">
        <v>53</v>
      </c>
      <c r="R81" s="25" t="s">
        <v>53</v>
      </c>
    </row>
    <row r="82" spans="1:18" ht="30" customHeight="1">
      <c r="A82" s="18" t="s">
        <v>130</v>
      </c>
      <c r="B82" s="26">
        <v>222424</v>
      </c>
      <c r="C82" s="20" t="s">
        <v>63</v>
      </c>
      <c r="D82" s="21" t="s">
        <v>158</v>
      </c>
      <c r="E82" s="19" t="s">
        <v>79</v>
      </c>
      <c r="F82" s="19">
        <v>0</v>
      </c>
      <c r="G82" s="22">
        <v>44249</v>
      </c>
      <c r="H82" s="22">
        <v>44253</v>
      </c>
      <c r="I82" s="22"/>
      <c r="J82" s="23"/>
      <c r="K82" s="20" t="s">
        <v>22</v>
      </c>
      <c r="L82" s="24" t="s">
        <v>41</v>
      </c>
      <c r="M82" s="20" t="s">
        <v>79</v>
      </c>
      <c r="N82" s="20"/>
      <c r="O82" s="20" t="s">
        <v>26</v>
      </c>
      <c r="P82" s="23"/>
      <c r="Q82" s="20" t="s">
        <v>27</v>
      </c>
      <c r="R82" s="25"/>
    </row>
    <row r="83" spans="1:18" ht="30" customHeight="1">
      <c r="A83" s="18" t="s">
        <v>39</v>
      </c>
      <c r="B83" s="26">
        <v>223640</v>
      </c>
      <c r="C83" s="20" t="s">
        <v>19</v>
      </c>
      <c r="D83" s="21" t="s">
        <v>159</v>
      </c>
      <c r="E83" s="19" t="s">
        <v>34</v>
      </c>
      <c r="F83" s="19">
        <v>1</v>
      </c>
      <c r="G83" s="22">
        <v>44252</v>
      </c>
      <c r="H83" s="22">
        <v>44253</v>
      </c>
      <c r="I83" s="22">
        <v>44253</v>
      </c>
      <c r="J83" s="23"/>
      <c r="K83" s="20" t="s">
        <v>22</v>
      </c>
      <c r="L83" s="24" t="s">
        <v>23</v>
      </c>
      <c r="M83" s="20" t="s">
        <v>24</v>
      </c>
      <c r="N83" s="20"/>
      <c r="O83" s="20" t="s">
        <v>25</v>
      </c>
      <c r="P83" s="23"/>
      <c r="Q83" s="20" t="s">
        <v>53</v>
      </c>
      <c r="R83" s="25" t="s">
        <v>53</v>
      </c>
    </row>
    <row r="84" spans="1:18" ht="30" customHeight="1">
      <c r="A84" s="18" t="s">
        <v>39</v>
      </c>
      <c r="B84" s="26">
        <v>223640</v>
      </c>
      <c r="C84" s="20" t="s">
        <v>19</v>
      </c>
      <c r="D84" s="21" t="s">
        <v>159</v>
      </c>
      <c r="E84" s="19" t="s">
        <v>32</v>
      </c>
      <c r="F84" s="19">
        <v>1</v>
      </c>
      <c r="G84" s="22">
        <v>44252</v>
      </c>
      <c r="H84" s="22">
        <v>44253</v>
      </c>
      <c r="I84" s="22">
        <v>44253</v>
      </c>
      <c r="J84" s="23"/>
      <c r="K84" s="20" t="s">
        <v>22</v>
      </c>
      <c r="L84" s="24" t="s">
        <v>23</v>
      </c>
      <c r="M84" s="20" t="s">
        <v>24</v>
      </c>
      <c r="N84" s="20"/>
      <c r="O84" s="20" t="s">
        <v>25</v>
      </c>
      <c r="P84" s="23"/>
      <c r="Q84" s="20" t="s">
        <v>53</v>
      </c>
      <c r="R84" s="25" t="s">
        <v>53</v>
      </c>
    </row>
    <row r="85" spans="1:18" ht="30" customHeight="1">
      <c r="A85" s="18" t="s">
        <v>39</v>
      </c>
      <c r="B85" s="26">
        <v>223735</v>
      </c>
      <c r="C85" s="20" t="s">
        <v>30</v>
      </c>
      <c r="D85" s="21" t="s">
        <v>160</v>
      </c>
      <c r="E85" s="19" t="s">
        <v>34</v>
      </c>
      <c r="F85" s="19">
        <v>1</v>
      </c>
      <c r="G85" s="22">
        <v>44252</v>
      </c>
      <c r="H85" s="22">
        <v>44256</v>
      </c>
      <c r="I85" s="22">
        <v>44256</v>
      </c>
      <c r="J85" s="23"/>
      <c r="K85" s="20" t="s">
        <v>22</v>
      </c>
      <c r="L85" s="24" t="s">
        <v>23</v>
      </c>
      <c r="M85" s="20" t="s">
        <v>24</v>
      </c>
      <c r="N85" s="20"/>
      <c r="O85" s="20" t="s">
        <v>25</v>
      </c>
      <c r="P85" s="23"/>
      <c r="Q85" s="20" t="s">
        <v>53</v>
      </c>
      <c r="R85" s="25"/>
    </row>
    <row r="86" spans="1:18">
      <c r="A86" s="18"/>
      <c r="B86" s="26"/>
      <c r="C86" s="20"/>
      <c r="D86" s="21"/>
      <c r="E86" s="19"/>
      <c r="F86" s="19"/>
      <c r="G86" s="22"/>
      <c r="H86" s="22"/>
      <c r="I86" s="22"/>
      <c r="J86" s="23"/>
      <c r="K86" s="20"/>
      <c r="L86" s="24"/>
      <c r="M86" s="20"/>
      <c r="N86" s="20"/>
      <c r="O86" s="20"/>
      <c r="P86" s="23"/>
      <c r="Q86" s="20"/>
      <c r="R86" s="25"/>
    </row>
    <row r="87" spans="1:18">
      <c r="A87" s="18"/>
      <c r="B87" s="26"/>
      <c r="C87" s="20"/>
      <c r="D87" s="21"/>
      <c r="E87" s="19"/>
      <c r="F87" s="19"/>
      <c r="G87" s="22"/>
      <c r="H87" s="22"/>
      <c r="I87" s="22"/>
      <c r="J87" s="23"/>
      <c r="K87" s="20"/>
      <c r="L87" s="24"/>
      <c r="M87" s="20"/>
      <c r="N87" s="20"/>
      <c r="O87" s="20"/>
      <c r="P87" s="23"/>
      <c r="Q87" s="20"/>
      <c r="R87" s="25"/>
    </row>
    <row r="88" spans="1:18">
      <c r="A88" s="18"/>
      <c r="B88" s="26"/>
      <c r="C88" s="20"/>
      <c r="D88" s="21"/>
      <c r="E88" s="19"/>
      <c r="F88" s="19"/>
      <c r="G88" s="22"/>
      <c r="H88" s="22"/>
      <c r="I88" s="22"/>
      <c r="J88" s="23"/>
      <c r="K88" s="20"/>
      <c r="L88" s="24"/>
      <c r="M88" s="20"/>
      <c r="N88" s="20"/>
      <c r="O88" s="20"/>
      <c r="P88" s="23"/>
      <c r="Q88" s="20"/>
      <c r="R88" s="25"/>
    </row>
    <row r="89" spans="1:18">
      <c r="A89" s="18"/>
      <c r="B89" s="26"/>
      <c r="C89" s="20"/>
      <c r="D89" s="21"/>
      <c r="E89" s="19"/>
      <c r="F89" s="19"/>
      <c r="G89" s="22"/>
      <c r="H89" s="22"/>
      <c r="I89" s="22"/>
      <c r="J89" s="23"/>
      <c r="K89" s="20"/>
      <c r="L89" s="24"/>
      <c r="M89" s="20"/>
      <c r="N89" s="20"/>
      <c r="O89" s="20"/>
      <c r="P89" s="23"/>
      <c r="Q89" s="20"/>
      <c r="R89" s="25"/>
    </row>
    <row r="90" spans="1:18">
      <c r="A90" s="18"/>
      <c r="B90" s="26"/>
      <c r="C90" s="20"/>
      <c r="D90" s="21"/>
      <c r="E90" s="19"/>
      <c r="F90" s="19"/>
      <c r="G90" s="22"/>
      <c r="H90" s="22"/>
      <c r="I90" s="22"/>
      <c r="J90" s="23"/>
      <c r="K90" s="20"/>
      <c r="L90" s="24"/>
      <c r="M90" s="20"/>
      <c r="N90" s="20"/>
      <c r="O90" s="20"/>
      <c r="P90" s="23"/>
      <c r="Q90" s="20"/>
      <c r="R90" s="25"/>
    </row>
    <row r="91" spans="1:18">
      <c r="A91" s="18"/>
      <c r="B91" s="26"/>
      <c r="C91" s="20"/>
      <c r="D91" s="21"/>
      <c r="E91" s="19"/>
      <c r="F91" s="19"/>
      <c r="G91" s="22"/>
      <c r="H91" s="22"/>
      <c r="I91" s="22"/>
      <c r="J91" s="23"/>
      <c r="K91" s="20"/>
      <c r="L91" s="24"/>
      <c r="M91" s="20"/>
      <c r="N91" s="20"/>
      <c r="O91" s="20"/>
      <c r="P91" s="23"/>
      <c r="Q91" s="20"/>
      <c r="R91" s="25"/>
    </row>
    <row r="92" spans="1:18">
      <c r="A92" s="18"/>
      <c r="B92" s="26"/>
      <c r="C92" s="20"/>
      <c r="D92" s="21"/>
      <c r="E92" s="19"/>
      <c r="F92" s="19"/>
      <c r="G92" s="22"/>
      <c r="H92" s="22"/>
      <c r="I92" s="22"/>
      <c r="J92" s="23"/>
      <c r="K92" s="20"/>
      <c r="L92" s="24"/>
      <c r="M92" s="20"/>
      <c r="N92" s="20"/>
      <c r="O92" s="20"/>
      <c r="P92" s="23"/>
      <c r="Q92" s="20"/>
      <c r="R92" s="25"/>
    </row>
    <row r="93" spans="1:18">
      <c r="A93" s="18"/>
      <c r="B93" s="26"/>
      <c r="C93" s="20"/>
      <c r="D93" s="21"/>
      <c r="E93" s="19"/>
      <c r="F93" s="19"/>
      <c r="G93" s="22"/>
      <c r="H93" s="22"/>
      <c r="I93" s="22"/>
      <c r="J93" s="23"/>
      <c r="K93" s="20"/>
      <c r="L93" s="24"/>
      <c r="M93" s="20"/>
      <c r="N93" s="20"/>
      <c r="O93" s="20"/>
      <c r="P93" s="23"/>
      <c r="Q93" s="20"/>
      <c r="R93" s="25"/>
    </row>
    <row r="94" spans="1:18">
      <c r="A94" s="18"/>
      <c r="B94" s="26"/>
      <c r="C94" s="20"/>
      <c r="D94" s="21"/>
      <c r="E94" s="19"/>
      <c r="F94" s="19"/>
      <c r="G94" s="22"/>
      <c r="H94" s="22"/>
      <c r="I94" s="22"/>
      <c r="J94" s="23"/>
      <c r="K94" s="20"/>
      <c r="L94" s="24"/>
      <c r="M94" s="20"/>
      <c r="N94" s="20"/>
      <c r="O94" s="20"/>
      <c r="P94" s="23"/>
      <c r="Q94" s="20"/>
      <c r="R94" s="25"/>
    </row>
    <row r="95" spans="1:18">
      <c r="A95" s="18"/>
      <c r="B95" s="26"/>
      <c r="C95" s="20"/>
      <c r="D95" s="21"/>
      <c r="E95" s="19"/>
      <c r="F95" s="19"/>
      <c r="G95" s="22"/>
      <c r="H95" s="22"/>
      <c r="I95" s="22"/>
      <c r="J95" s="23"/>
      <c r="K95" s="20"/>
      <c r="L95" s="24"/>
      <c r="M95" s="20"/>
      <c r="N95" s="20"/>
      <c r="O95" s="20"/>
      <c r="P95" s="23"/>
      <c r="Q95" s="20"/>
      <c r="R95" s="25"/>
    </row>
    <row r="96" spans="1:18">
      <c r="A96" s="18"/>
      <c r="B96" s="26"/>
      <c r="C96" s="20"/>
      <c r="D96" s="21"/>
      <c r="E96" s="19"/>
      <c r="F96" s="19"/>
      <c r="G96" s="22"/>
      <c r="H96" s="22"/>
      <c r="I96" s="22"/>
      <c r="J96" s="23"/>
      <c r="K96" s="20"/>
      <c r="L96" s="24"/>
      <c r="M96" s="20"/>
      <c r="N96" s="20"/>
      <c r="O96" s="20"/>
      <c r="P96" s="23"/>
      <c r="Q96" s="20"/>
      <c r="R96" s="25"/>
    </row>
    <row r="97" spans="1:18">
      <c r="A97" s="27"/>
      <c r="B97" s="28"/>
      <c r="C97" s="29"/>
      <c r="D97" s="30"/>
      <c r="E97" s="31"/>
      <c r="F97" s="31"/>
      <c r="G97" s="32"/>
      <c r="H97" s="32"/>
      <c r="I97" s="32"/>
      <c r="J97" s="33"/>
      <c r="K97" s="29"/>
      <c r="L97" s="34"/>
      <c r="M97" s="29"/>
      <c r="N97" s="29"/>
      <c r="O97" s="29"/>
      <c r="P97" s="33"/>
      <c r="Q97" s="29"/>
      <c r="R97" s="35"/>
    </row>
  </sheetData>
  <conditionalFormatting sqref="A78:R85 A56:R76 A2:R54">
    <cfRule type="expression" dxfId="160" priority="196">
      <formula>$K2="CANCELADO"</formula>
    </cfRule>
    <cfRule type="expression" dxfId="159" priority="197">
      <formula>$K2="STAND-BY"</formula>
    </cfRule>
    <cfRule type="expression" dxfId="158" priority="198">
      <formula>$K2="AGUARDANDO APROVAÇÃO"</formula>
    </cfRule>
    <cfRule type="expression" dxfId="157" priority="199">
      <formula>$K2="OK"</formula>
    </cfRule>
    <cfRule type="expression" dxfId="156" priority="200">
      <formula>AND((TODAY()-$H2)&gt;0,$H2&lt;&gt;"",$I2="")=TRUE</formula>
    </cfRule>
  </conditionalFormatting>
  <conditionalFormatting sqref="A77:H77 J77:R77">
    <cfRule type="expression" dxfId="155" priority="41">
      <formula>$K77="CANCELADO"</formula>
    </cfRule>
    <cfRule type="expression" dxfId="154" priority="42">
      <formula>$K77="STAND-BY"</formula>
    </cfRule>
    <cfRule type="expression" dxfId="153" priority="43">
      <formula>$K77="AGUARDANDO APROVAÇÃO"</formula>
    </cfRule>
    <cfRule type="expression" dxfId="152" priority="44">
      <formula>$K77="OK"</formula>
    </cfRule>
    <cfRule type="expression" dxfId="151" priority="45">
      <formula>AND((TODAY()-$H77)&gt;0,$H77&lt;&gt;"",$I77="")=TRUE</formula>
    </cfRule>
  </conditionalFormatting>
  <conditionalFormatting sqref="I77">
    <cfRule type="expression" dxfId="150" priority="21">
      <formula>$K77="CANCELADO"</formula>
    </cfRule>
    <cfRule type="expression" dxfId="149" priority="22">
      <formula>$K77="STAND-BY"</formula>
    </cfRule>
    <cfRule type="expression" dxfId="148" priority="23">
      <formula>$K77="AGUARDANDO APROVAÇÃO"</formula>
    </cfRule>
    <cfRule type="expression" dxfId="147" priority="24">
      <formula>$K77="OK"</formula>
    </cfRule>
    <cfRule type="expression" dxfId="146" priority="25">
      <formula>AND((TODAY()-$H77)&gt;0,$H77&lt;&gt;"",$I77="")=TRUE</formula>
    </cfRule>
  </conditionalFormatting>
  <conditionalFormatting sqref="A55:R55">
    <cfRule type="expression" dxfId="145" priority="1">
      <formula>$K55="CANCELADO"</formula>
    </cfRule>
    <cfRule type="expression" dxfId="144" priority="2">
      <formula>$K55="STAND-BY"</formula>
    </cfRule>
    <cfRule type="expression" dxfId="143" priority="3">
      <formula>$K55="AGUARDANDO APROVAÇÃO"</formula>
    </cfRule>
    <cfRule type="expression" dxfId="142" priority="4">
      <formula>$K55="OK"</formula>
    </cfRule>
    <cfRule type="expression" dxfId="141" priority="5">
      <formula>AND((TODAY()-$H55)&gt;0,$H55&lt;&gt;"",$I55="")=TRUE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D5ADBD15-C67E-42E6-B7F1-35F454F0D4B8}">
          <x14:formula1>
            <xm:f>'NÃO MEXER'!$B$2:$B$15</xm:f>
          </x14:formula1>
          <xm:sqref>C2:C85</xm:sqref>
        </x14:dataValidation>
        <x14:dataValidation type="list" allowBlank="1" showInputMessage="1" showErrorMessage="1" xr:uid="{47BFC60F-A79F-41CE-AC18-B80E7FB19313}">
          <x14:formula1>
            <xm:f>'NÃO MEXER'!$A$2:$A$25</xm:f>
          </x14:formula1>
          <xm:sqref>A2:A85</xm:sqref>
        </x14:dataValidation>
        <x14:dataValidation type="list" allowBlank="1" showInputMessage="1" showErrorMessage="1" xr:uid="{387D5EBD-F459-4EF3-BDDC-A9DA352EC42F}">
          <x14:formula1>
            <xm:f>'NÃO MEXER'!$C$2:$C$84</xm:f>
          </x14:formula1>
          <xm:sqref>E2:E85</xm:sqref>
        </x14:dataValidation>
        <x14:dataValidation type="list" allowBlank="1" showInputMessage="1" showErrorMessage="1" xr:uid="{48BC3A3D-E0D4-486E-AD1F-1DA593922478}">
          <x14:formula1>
            <xm:f>'NÃO MEXER'!$E$2:$E$6</xm:f>
          </x14:formula1>
          <xm:sqref>K2:K85</xm:sqref>
        </x14:dataValidation>
        <x14:dataValidation type="list" allowBlank="1" showInputMessage="1" showErrorMessage="1" xr:uid="{54CA2EFB-9E57-4336-8910-35034988C21C}">
          <x14:formula1>
            <xm:f>'NÃO MEXER'!$F$2:$F$6</xm:f>
          </x14:formula1>
          <xm:sqref>L2:L85</xm:sqref>
        </x14:dataValidation>
        <x14:dataValidation type="list" allowBlank="1" showInputMessage="1" showErrorMessage="1" xr:uid="{4B2B1BC1-8643-4E60-A389-51796F479490}">
          <x14:formula1>
            <xm:f>'NÃO MEXER'!$G$2:$G$7</xm:f>
          </x14:formula1>
          <xm:sqref>M2:M85</xm:sqref>
        </x14:dataValidation>
        <x14:dataValidation type="list" allowBlank="1" showInputMessage="1" showErrorMessage="1" xr:uid="{8D4FE25F-F876-4A1B-A6F4-D28EFFF25F9F}">
          <x14:formula1>
            <xm:f>'NÃO MEXER'!$H$2:$H$3</xm:f>
          </x14:formula1>
          <xm:sqref>O2:P85</xm:sqref>
        </x14:dataValidation>
        <x14:dataValidation type="list" allowBlank="1" showInputMessage="1" showErrorMessage="1" xr:uid="{F24CDAE0-0016-4BAE-9D1D-79362C4EA6FE}">
          <x14:formula1>
            <xm:f>'NÃO MEXER'!$I$2:$I$6</xm:f>
          </x14:formula1>
          <xm:sqref>Q2:Q85</xm:sqref>
        </x14:dataValidation>
        <x14:dataValidation type="list" allowBlank="1" showInputMessage="1" showErrorMessage="1" xr:uid="{AA82C5A2-585B-400D-887D-F8E5B08893F2}">
          <x14:formula1>
            <xm:f>'NÃO MEXER'!$J$2:$J$6</xm:f>
          </x14:formula1>
          <xm:sqref>R2:R85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E80B7-29CC-4E38-8916-271FF08774F4}">
  <dimension ref="A1:R136"/>
  <sheetViews>
    <sheetView tabSelected="1" topLeftCell="A97" workbookViewId="0">
      <selection activeCell="K104" sqref="K104"/>
    </sheetView>
  </sheetViews>
  <sheetFormatPr defaultRowHeight="15"/>
  <cols>
    <col min="1" max="1" width="33.85546875" customWidth="1"/>
    <col min="2" max="2" width="15.85546875" customWidth="1"/>
    <col min="3" max="3" width="13.7109375" customWidth="1"/>
    <col min="4" max="4" width="41.7109375" customWidth="1"/>
    <col min="5" max="5" width="30.85546875" customWidth="1"/>
    <col min="6" max="6" width="13.7109375" customWidth="1"/>
    <col min="7" max="7" width="19.7109375" customWidth="1"/>
    <col min="8" max="8" width="13.7109375" customWidth="1"/>
    <col min="9" max="9" width="14.140625" customWidth="1"/>
    <col min="10" max="10" width="14.42578125" customWidth="1"/>
    <col min="11" max="11" width="23.42578125" customWidth="1"/>
    <col min="12" max="12" width="25.28515625" customWidth="1"/>
    <col min="13" max="13" width="19.5703125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>
      <c r="A1" s="14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6" t="s">
        <v>6</v>
      </c>
      <c r="H1" s="16" t="s">
        <v>7</v>
      </c>
      <c r="I1" s="16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</row>
    <row r="2" spans="1:18" ht="30" customHeight="1">
      <c r="A2" s="18" t="s">
        <v>46</v>
      </c>
      <c r="B2" s="26">
        <v>214279</v>
      </c>
      <c r="C2" s="20" t="s">
        <v>30</v>
      </c>
      <c r="D2" s="21" t="s">
        <v>161</v>
      </c>
      <c r="E2" s="19" t="s">
        <v>34</v>
      </c>
      <c r="F2" s="19">
        <v>1</v>
      </c>
      <c r="G2" s="22">
        <v>44209</v>
      </c>
      <c r="H2" s="22">
        <v>44216</v>
      </c>
      <c r="I2" s="22">
        <v>44216</v>
      </c>
      <c r="J2" s="23"/>
      <c r="K2" s="20" t="s">
        <v>162</v>
      </c>
      <c r="L2" s="24" t="s">
        <v>23</v>
      </c>
      <c r="M2" s="20" t="s">
        <v>24</v>
      </c>
      <c r="N2" s="20">
        <v>0</v>
      </c>
      <c r="O2" s="20" t="s">
        <v>25</v>
      </c>
      <c r="P2" s="23" t="s">
        <v>26</v>
      </c>
      <c r="Q2" s="20" t="s">
        <v>73</v>
      </c>
      <c r="R2" s="20" t="s">
        <v>73</v>
      </c>
    </row>
    <row r="3" spans="1:18" ht="30" customHeight="1">
      <c r="A3" s="18" t="s">
        <v>46</v>
      </c>
      <c r="B3" s="26">
        <v>214279</v>
      </c>
      <c r="C3" s="20" t="s">
        <v>30</v>
      </c>
      <c r="D3" s="21" t="s">
        <v>161</v>
      </c>
      <c r="E3" s="19" t="s">
        <v>43</v>
      </c>
      <c r="F3" s="19">
        <v>1</v>
      </c>
      <c r="G3" s="22">
        <v>44209</v>
      </c>
      <c r="H3" s="22">
        <v>44216</v>
      </c>
      <c r="I3" s="22">
        <v>44216</v>
      </c>
      <c r="J3" s="23"/>
      <c r="K3" s="20" t="s">
        <v>162</v>
      </c>
      <c r="L3" s="24" t="s">
        <v>23</v>
      </c>
      <c r="M3" s="20" t="s">
        <v>24</v>
      </c>
      <c r="N3" s="20">
        <v>2</v>
      </c>
      <c r="O3" s="20" t="s">
        <v>25</v>
      </c>
      <c r="P3" s="23" t="s">
        <v>26</v>
      </c>
      <c r="Q3" s="20" t="s">
        <v>73</v>
      </c>
      <c r="R3" s="20" t="s">
        <v>73</v>
      </c>
    </row>
    <row r="4" spans="1:18" ht="30" customHeight="1">
      <c r="A4" s="18" t="s">
        <v>163</v>
      </c>
      <c r="B4" s="26">
        <v>213706</v>
      </c>
      <c r="C4" s="20" t="s">
        <v>55</v>
      </c>
      <c r="D4" s="21" t="s">
        <v>164</v>
      </c>
      <c r="E4" s="19"/>
      <c r="F4" s="19"/>
      <c r="G4" s="22">
        <v>44214.760844907411</v>
      </c>
      <c r="H4" s="22">
        <v>44218</v>
      </c>
      <c r="I4" s="22"/>
      <c r="J4" s="23"/>
      <c r="K4" s="20" t="s">
        <v>165</v>
      </c>
      <c r="L4" s="24"/>
      <c r="M4" s="20"/>
      <c r="N4" s="20"/>
      <c r="O4" s="20"/>
      <c r="P4" s="23"/>
      <c r="Q4" s="20"/>
      <c r="R4" s="20"/>
    </row>
    <row r="5" spans="1:18" ht="30" customHeight="1">
      <c r="A5" s="18" t="s">
        <v>36</v>
      </c>
      <c r="B5" s="26">
        <v>214915</v>
      </c>
      <c r="C5" s="20" t="s">
        <v>19</v>
      </c>
      <c r="D5" s="21" t="s">
        <v>166</v>
      </c>
      <c r="E5" s="19" t="s">
        <v>34</v>
      </c>
      <c r="F5" s="19">
        <v>1</v>
      </c>
      <c r="G5" s="22">
        <v>44211</v>
      </c>
      <c r="H5" s="22">
        <v>44215</v>
      </c>
      <c r="I5" s="22">
        <v>44214</v>
      </c>
      <c r="J5" s="23"/>
      <c r="K5" s="20" t="s">
        <v>162</v>
      </c>
      <c r="L5" s="24" t="s">
        <v>33</v>
      </c>
      <c r="M5" s="20" t="s">
        <v>24</v>
      </c>
      <c r="N5" s="20"/>
      <c r="O5" s="20" t="s">
        <v>25</v>
      </c>
      <c r="P5" s="23" t="s">
        <v>25</v>
      </c>
      <c r="Q5" s="20" t="s">
        <v>53</v>
      </c>
      <c r="R5" s="20" t="s">
        <v>27</v>
      </c>
    </row>
    <row r="6" spans="1:18" ht="30" customHeight="1">
      <c r="A6" s="18" t="s">
        <v>36</v>
      </c>
      <c r="B6" s="26">
        <v>215204</v>
      </c>
      <c r="C6" s="20" t="s">
        <v>55</v>
      </c>
      <c r="D6" s="21" t="s">
        <v>167</v>
      </c>
      <c r="E6" s="19"/>
      <c r="F6" s="19"/>
      <c r="G6" s="22">
        <v>44214.683125000003</v>
      </c>
      <c r="H6" s="22">
        <v>44228</v>
      </c>
      <c r="I6" s="22"/>
      <c r="J6" s="23"/>
      <c r="K6" s="20" t="s">
        <v>165</v>
      </c>
      <c r="L6" s="24"/>
      <c r="M6" s="20"/>
      <c r="N6" s="20"/>
      <c r="O6" s="20"/>
      <c r="P6" s="23"/>
      <c r="Q6" s="20"/>
      <c r="R6" s="20"/>
    </row>
    <row r="7" spans="1:18" ht="30" customHeight="1">
      <c r="A7" s="18" t="s">
        <v>39</v>
      </c>
      <c r="B7" s="26">
        <v>214857</v>
      </c>
      <c r="C7" s="20" t="s">
        <v>55</v>
      </c>
      <c r="D7" s="21" t="s">
        <v>168</v>
      </c>
      <c r="E7" s="19"/>
      <c r="F7" s="19"/>
      <c r="G7" s="22">
        <v>44214.353356481479</v>
      </c>
      <c r="H7" s="22"/>
      <c r="I7" s="22"/>
      <c r="J7" s="23"/>
      <c r="K7" s="20" t="s">
        <v>165</v>
      </c>
      <c r="L7" s="24"/>
      <c r="M7" s="20"/>
      <c r="N7" s="20"/>
      <c r="O7" s="20"/>
      <c r="P7" s="23"/>
      <c r="Q7" s="20"/>
      <c r="R7" s="20"/>
    </row>
    <row r="8" spans="1:18" ht="30" customHeight="1">
      <c r="A8" s="18" t="s">
        <v>36</v>
      </c>
      <c r="B8" s="26">
        <v>214915</v>
      </c>
      <c r="C8" s="20" t="s">
        <v>19</v>
      </c>
      <c r="D8" s="21" t="s">
        <v>166</v>
      </c>
      <c r="E8" s="19" t="s">
        <v>32</v>
      </c>
      <c r="F8" s="19">
        <v>1</v>
      </c>
      <c r="G8" s="22">
        <v>44211</v>
      </c>
      <c r="H8" s="22">
        <v>44215</v>
      </c>
      <c r="I8" s="22">
        <v>44214</v>
      </c>
      <c r="J8" s="23"/>
      <c r="K8" s="20" t="s">
        <v>162</v>
      </c>
      <c r="L8" s="24" t="s">
        <v>33</v>
      </c>
      <c r="M8" s="20" t="s">
        <v>24</v>
      </c>
      <c r="N8" s="20"/>
      <c r="O8" s="20" t="s">
        <v>25</v>
      </c>
      <c r="P8" s="23" t="s">
        <v>25</v>
      </c>
      <c r="Q8" s="20" t="s">
        <v>53</v>
      </c>
      <c r="R8" s="20" t="s">
        <v>27</v>
      </c>
    </row>
    <row r="9" spans="1:18" ht="30" customHeight="1">
      <c r="A9" s="18"/>
      <c r="B9" s="26"/>
      <c r="C9" s="20" t="s">
        <v>55</v>
      </c>
      <c r="D9" s="21" t="s">
        <v>169</v>
      </c>
      <c r="E9" s="19"/>
      <c r="F9" s="19"/>
      <c r="G9" s="22">
        <v>44214</v>
      </c>
      <c r="H9" s="22">
        <v>44218</v>
      </c>
      <c r="I9" s="22"/>
      <c r="J9" s="23"/>
      <c r="K9" s="20" t="s">
        <v>165</v>
      </c>
      <c r="L9" s="24"/>
      <c r="M9" s="20"/>
      <c r="N9" s="20"/>
      <c r="O9" s="20"/>
      <c r="P9" s="23"/>
      <c r="Q9" s="20"/>
      <c r="R9" s="20"/>
    </row>
    <row r="10" spans="1:18" ht="30" customHeight="1">
      <c r="A10" s="18" t="s">
        <v>39</v>
      </c>
      <c r="B10" s="26">
        <v>213540</v>
      </c>
      <c r="C10" s="20" t="s">
        <v>55</v>
      </c>
      <c r="D10" s="21" t="s">
        <v>170</v>
      </c>
      <c r="E10" s="19"/>
      <c r="F10" s="19"/>
      <c r="G10" s="22">
        <v>44208.364039351851</v>
      </c>
      <c r="H10" s="22">
        <v>44216</v>
      </c>
      <c r="I10" s="22"/>
      <c r="J10" s="23"/>
      <c r="K10" s="20" t="s">
        <v>165</v>
      </c>
      <c r="L10" s="24"/>
      <c r="M10" s="20"/>
      <c r="N10" s="20"/>
      <c r="O10" s="20"/>
      <c r="P10" s="23"/>
      <c r="Q10" s="20"/>
      <c r="R10" s="20"/>
    </row>
    <row r="11" spans="1:18" ht="30" customHeight="1">
      <c r="A11" s="18" t="s">
        <v>39</v>
      </c>
      <c r="B11" s="26">
        <v>213540</v>
      </c>
      <c r="C11" s="20" t="s">
        <v>55</v>
      </c>
      <c r="D11" s="21" t="s">
        <v>170</v>
      </c>
      <c r="E11" s="19"/>
      <c r="F11" s="19"/>
      <c r="G11" s="22">
        <v>44208.363854166666</v>
      </c>
      <c r="H11" s="22">
        <v>44216</v>
      </c>
      <c r="I11" s="22"/>
      <c r="J11" s="23"/>
      <c r="K11" s="20" t="s">
        <v>165</v>
      </c>
      <c r="L11" s="24"/>
      <c r="M11" s="20"/>
      <c r="N11" s="20"/>
      <c r="O11" s="20"/>
      <c r="P11" s="23"/>
      <c r="Q11" s="20"/>
      <c r="R11" s="20"/>
    </row>
    <row r="12" spans="1:18" ht="30" customHeight="1">
      <c r="A12" s="18"/>
      <c r="B12" s="26"/>
      <c r="C12" s="20" t="s">
        <v>55</v>
      </c>
      <c r="D12" s="21" t="s">
        <v>171</v>
      </c>
      <c r="E12" s="19"/>
      <c r="F12" s="19"/>
      <c r="G12" s="22">
        <v>44203</v>
      </c>
      <c r="H12" s="22">
        <v>44218</v>
      </c>
      <c r="I12" s="22"/>
      <c r="J12" s="23"/>
      <c r="K12" s="20" t="s">
        <v>165</v>
      </c>
      <c r="L12" s="24"/>
      <c r="M12" s="20"/>
      <c r="N12" s="20"/>
      <c r="O12" s="20"/>
      <c r="P12" s="23"/>
      <c r="Q12" s="20"/>
      <c r="R12" s="20"/>
    </row>
    <row r="13" spans="1:18" ht="30" customHeight="1">
      <c r="A13" s="18" t="s">
        <v>29</v>
      </c>
      <c r="B13" s="26">
        <v>212059</v>
      </c>
      <c r="C13" s="20" t="s">
        <v>55</v>
      </c>
      <c r="D13" s="21" t="s">
        <v>69</v>
      </c>
      <c r="E13" s="19"/>
      <c r="F13" s="19"/>
      <c r="G13" s="22">
        <v>44200</v>
      </c>
      <c r="H13" s="22">
        <v>44207</v>
      </c>
      <c r="I13" s="22"/>
      <c r="J13" s="23"/>
      <c r="K13" s="20" t="s">
        <v>165</v>
      </c>
      <c r="L13" s="24"/>
      <c r="M13" s="20"/>
      <c r="N13" s="20"/>
      <c r="O13" s="20"/>
      <c r="P13" s="23"/>
      <c r="Q13" s="20"/>
      <c r="R13" s="20"/>
    </row>
    <row r="14" spans="1:18" ht="30" customHeight="1">
      <c r="A14" s="18" t="s">
        <v>39</v>
      </c>
      <c r="B14" s="26"/>
      <c r="C14" s="20" t="s">
        <v>172</v>
      </c>
      <c r="D14" s="21" t="s">
        <v>173</v>
      </c>
      <c r="E14" s="19"/>
      <c r="F14" s="19">
        <v>1</v>
      </c>
      <c r="G14" s="22">
        <v>44139</v>
      </c>
      <c r="H14" s="22">
        <v>44145</v>
      </c>
      <c r="I14" s="22">
        <v>44144</v>
      </c>
      <c r="J14" s="23"/>
      <c r="K14" s="20" t="s">
        <v>165</v>
      </c>
      <c r="L14" s="24"/>
      <c r="M14" s="20"/>
      <c r="N14" s="20"/>
      <c r="O14" s="20"/>
      <c r="P14" s="23"/>
      <c r="Q14" s="20"/>
      <c r="R14" s="20"/>
    </row>
    <row r="15" spans="1:18" ht="30" customHeight="1">
      <c r="A15" s="18" t="s">
        <v>54</v>
      </c>
      <c r="B15" s="26">
        <v>169096</v>
      </c>
      <c r="C15" s="20" t="s">
        <v>55</v>
      </c>
      <c r="D15" s="21" t="s">
        <v>174</v>
      </c>
      <c r="E15" s="19"/>
      <c r="F15" s="19">
        <v>1</v>
      </c>
      <c r="G15" s="22">
        <v>44123</v>
      </c>
      <c r="H15" s="22"/>
      <c r="I15" s="22">
        <v>44124</v>
      </c>
      <c r="J15" s="23"/>
      <c r="K15" s="20" t="s">
        <v>165</v>
      </c>
      <c r="L15" s="24" t="s">
        <v>41</v>
      </c>
      <c r="M15" s="20"/>
      <c r="N15" s="20"/>
      <c r="O15" s="20"/>
      <c r="P15" s="23"/>
      <c r="Q15" s="20"/>
      <c r="R15" s="20"/>
    </row>
    <row r="16" spans="1:18" ht="30" customHeight="1">
      <c r="A16" s="18"/>
      <c r="B16" s="26"/>
      <c r="C16" s="20" t="s">
        <v>55</v>
      </c>
      <c r="D16" s="21"/>
      <c r="E16" s="19"/>
      <c r="F16" s="19">
        <v>1</v>
      </c>
      <c r="G16" s="22">
        <v>44104</v>
      </c>
      <c r="H16" s="22"/>
      <c r="I16" s="22">
        <v>44104</v>
      </c>
      <c r="J16" s="23"/>
      <c r="K16" s="20" t="s">
        <v>165</v>
      </c>
      <c r="L16" s="24" t="s">
        <v>41</v>
      </c>
      <c r="M16" s="20"/>
      <c r="N16" s="20"/>
      <c r="O16" s="20"/>
      <c r="P16" s="23"/>
      <c r="Q16" s="20"/>
      <c r="R16" s="20"/>
    </row>
    <row r="17" spans="1:18" ht="30" customHeight="1">
      <c r="A17" s="18" t="s">
        <v>54</v>
      </c>
      <c r="B17" s="26">
        <v>169096</v>
      </c>
      <c r="C17" s="20" t="s">
        <v>63</v>
      </c>
      <c r="D17" s="21" t="s">
        <v>174</v>
      </c>
      <c r="E17" s="19"/>
      <c r="F17" s="19">
        <v>1</v>
      </c>
      <c r="G17" s="22">
        <v>43985</v>
      </c>
      <c r="H17" s="22"/>
      <c r="I17" s="22">
        <v>44027</v>
      </c>
      <c r="J17" s="23"/>
      <c r="K17" s="20" t="s">
        <v>162</v>
      </c>
      <c r="L17" s="24" t="s">
        <v>41</v>
      </c>
      <c r="M17" s="20"/>
      <c r="N17" s="20"/>
      <c r="O17" s="20"/>
      <c r="P17" s="23"/>
      <c r="Q17" s="20"/>
      <c r="R17" s="20"/>
    </row>
    <row r="18" spans="1:18" ht="30" customHeight="1">
      <c r="A18" s="18"/>
      <c r="B18" s="26"/>
      <c r="C18" s="20" t="s">
        <v>55</v>
      </c>
      <c r="D18" s="21" t="s">
        <v>175</v>
      </c>
      <c r="E18" s="19"/>
      <c r="F18" s="19">
        <v>1</v>
      </c>
      <c r="G18" s="22">
        <v>44112</v>
      </c>
      <c r="H18" s="22"/>
      <c r="I18" s="22"/>
      <c r="J18" s="23"/>
      <c r="K18" s="20" t="s">
        <v>165</v>
      </c>
      <c r="L18" s="24" t="s">
        <v>33</v>
      </c>
      <c r="M18" s="20"/>
      <c r="N18" s="20"/>
      <c r="O18" s="20"/>
      <c r="P18" s="23"/>
      <c r="Q18" s="20"/>
      <c r="R18" s="20"/>
    </row>
    <row r="19" spans="1:18" ht="30" customHeight="1">
      <c r="A19" s="18"/>
      <c r="B19" s="26">
        <v>195215</v>
      </c>
      <c r="C19" s="20" t="s">
        <v>55</v>
      </c>
      <c r="D19" s="21" t="s">
        <v>176</v>
      </c>
      <c r="E19" s="19"/>
      <c r="F19" s="19">
        <v>1</v>
      </c>
      <c r="G19" s="22">
        <v>44117</v>
      </c>
      <c r="H19" s="22"/>
      <c r="I19" s="22">
        <v>44118</v>
      </c>
      <c r="J19" s="23"/>
      <c r="K19" s="20" t="s">
        <v>165</v>
      </c>
      <c r="L19" s="24" t="s">
        <v>57</v>
      </c>
      <c r="M19" s="20"/>
      <c r="N19" s="20"/>
      <c r="O19" s="20"/>
      <c r="P19" s="23"/>
      <c r="Q19" s="20"/>
      <c r="R19" s="20"/>
    </row>
    <row r="20" spans="1:18" ht="30" customHeight="1">
      <c r="A20" s="18"/>
      <c r="B20" s="26"/>
      <c r="C20" s="20" t="s">
        <v>55</v>
      </c>
      <c r="D20" s="21" t="s">
        <v>177</v>
      </c>
      <c r="E20" s="19"/>
      <c r="F20" s="19">
        <v>1</v>
      </c>
      <c r="G20" s="22">
        <v>44113</v>
      </c>
      <c r="H20" s="22"/>
      <c r="I20" s="22">
        <v>44132</v>
      </c>
      <c r="J20" s="23"/>
      <c r="K20" s="20" t="s">
        <v>165</v>
      </c>
      <c r="L20" s="24" t="s">
        <v>41</v>
      </c>
      <c r="M20" s="20"/>
      <c r="N20" s="20"/>
      <c r="O20" s="20"/>
      <c r="P20" s="23"/>
      <c r="Q20" s="20"/>
      <c r="R20" s="20"/>
    </row>
    <row r="21" spans="1:18" ht="30" customHeight="1">
      <c r="A21" s="18"/>
      <c r="B21" s="26"/>
      <c r="C21" s="20" t="s">
        <v>55</v>
      </c>
      <c r="D21" s="21" t="s">
        <v>178</v>
      </c>
      <c r="E21" s="19"/>
      <c r="F21" s="19">
        <v>1</v>
      </c>
      <c r="G21" s="22">
        <v>44113</v>
      </c>
      <c r="H21" s="22"/>
      <c r="I21" s="22">
        <v>44117</v>
      </c>
      <c r="J21" s="23"/>
      <c r="K21" s="20" t="s">
        <v>165</v>
      </c>
      <c r="L21" s="24" t="s">
        <v>41</v>
      </c>
      <c r="M21" s="20"/>
      <c r="N21" s="20"/>
      <c r="O21" s="20"/>
      <c r="P21" s="23"/>
      <c r="Q21" s="20"/>
      <c r="R21" s="20"/>
    </row>
    <row r="22" spans="1:18" ht="30" customHeight="1">
      <c r="A22" s="18" t="s">
        <v>39</v>
      </c>
      <c r="B22" s="26">
        <v>195121</v>
      </c>
      <c r="C22" s="20" t="s">
        <v>55</v>
      </c>
      <c r="D22" s="21" t="s">
        <v>179</v>
      </c>
      <c r="E22" s="19"/>
      <c r="F22" s="19">
        <v>1</v>
      </c>
      <c r="G22" s="22">
        <v>44117</v>
      </c>
      <c r="H22" s="22"/>
      <c r="I22" s="22">
        <v>44118</v>
      </c>
      <c r="J22" s="23"/>
      <c r="K22" s="20" t="s">
        <v>165</v>
      </c>
      <c r="L22" s="24" t="s">
        <v>23</v>
      </c>
      <c r="M22" s="20"/>
      <c r="N22" s="20"/>
      <c r="O22" s="20"/>
      <c r="P22" s="23"/>
      <c r="Q22" s="20"/>
      <c r="R22" s="20"/>
    </row>
    <row r="23" spans="1:18" ht="30" customHeight="1">
      <c r="A23" s="18" t="s">
        <v>39</v>
      </c>
      <c r="B23" s="26">
        <v>193661</v>
      </c>
      <c r="C23" s="20" t="s">
        <v>55</v>
      </c>
      <c r="D23" s="21" t="s">
        <v>180</v>
      </c>
      <c r="E23" s="19"/>
      <c r="F23" s="19">
        <v>1</v>
      </c>
      <c r="G23" s="22">
        <v>44109</v>
      </c>
      <c r="H23" s="22"/>
      <c r="I23" s="22">
        <v>44119</v>
      </c>
      <c r="J23" s="23"/>
      <c r="K23" s="20" t="s">
        <v>165</v>
      </c>
      <c r="L23" s="24" t="s">
        <v>41</v>
      </c>
      <c r="M23" s="20"/>
      <c r="N23" s="20"/>
      <c r="O23" s="20"/>
      <c r="P23" s="23"/>
      <c r="Q23" s="20"/>
      <c r="R23" s="20"/>
    </row>
    <row r="24" spans="1:18" ht="30" customHeight="1">
      <c r="A24" s="18" t="s">
        <v>54</v>
      </c>
      <c r="B24" s="26">
        <v>193724</v>
      </c>
      <c r="C24" s="20" t="s">
        <v>55</v>
      </c>
      <c r="D24" s="21" t="s">
        <v>181</v>
      </c>
      <c r="E24" s="19"/>
      <c r="F24" s="19">
        <v>1</v>
      </c>
      <c r="G24" s="22">
        <v>44109</v>
      </c>
      <c r="H24" s="22"/>
      <c r="I24" s="22">
        <v>44120</v>
      </c>
      <c r="J24" s="23"/>
      <c r="K24" s="20" t="s">
        <v>165</v>
      </c>
      <c r="L24" s="24" t="s">
        <v>41</v>
      </c>
      <c r="M24" s="20"/>
      <c r="N24" s="20"/>
      <c r="O24" s="20"/>
      <c r="P24" s="23"/>
      <c r="Q24" s="20"/>
      <c r="R24" s="20"/>
    </row>
    <row r="25" spans="1:18" ht="30" customHeight="1">
      <c r="A25" s="18" t="s">
        <v>67</v>
      </c>
      <c r="B25" s="26">
        <v>193091</v>
      </c>
      <c r="C25" s="20" t="s">
        <v>55</v>
      </c>
      <c r="D25" s="21" t="s">
        <v>182</v>
      </c>
      <c r="E25" s="19"/>
      <c r="F25" s="19">
        <v>1</v>
      </c>
      <c r="G25" s="22">
        <v>44105</v>
      </c>
      <c r="H25" s="22"/>
      <c r="I25" s="22">
        <v>44123</v>
      </c>
      <c r="J25" s="23"/>
      <c r="K25" s="20" t="s">
        <v>165</v>
      </c>
      <c r="L25" s="24" t="s">
        <v>41</v>
      </c>
      <c r="M25" s="20"/>
      <c r="N25" s="20"/>
      <c r="O25" s="20"/>
      <c r="P25" s="23"/>
      <c r="Q25" s="20"/>
      <c r="R25" s="20"/>
    </row>
    <row r="26" spans="1:18" ht="30" customHeight="1">
      <c r="A26" s="18" t="s">
        <v>183</v>
      </c>
      <c r="B26" s="26">
        <v>193525</v>
      </c>
      <c r="C26" s="20" t="s">
        <v>55</v>
      </c>
      <c r="D26" s="21" t="s">
        <v>184</v>
      </c>
      <c r="E26" s="19"/>
      <c r="F26" s="19">
        <v>1</v>
      </c>
      <c r="G26" s="22">
        <v>44106</v>
      </c>
      <c r="H26" s="22"/>
      <c r="I26" s="22">
        <v>44118</v>
      </c>
      <c r="J26" s="23"/>
      <c r="K26" s="20" t="s">
        <v>165</v>
      </c>
      <c r="L26" s="24" t="s">
        <v>41</v>
      </c>
      <c r="M26" s="20"/>
      <c r="N26" s="20"/>
      <c r="O26" s="20"/>
      <c r="P26" s="23"/>
      <c r="Q26" s="20" t="s">
        <v>28</v>
      </c>
      <c r="R26" s="20"/>
    </row>
    <row r="27" spans="1:18" ht="30" customHeight="1">
      <c r="A27" s="18" t="s">
        <v>39</v>
      </c>
      <c r="B27" s="26">
        <v>160587</v>
      </c>
      <c r="C27" s="20" t="s">
        <v>55</v>
      </c>
      <c r="D27" s="21" t="s">
        <v>185</v>
      </c>
      <c r="E27" s="19"/>
      <c r="F27" s="19">
        <v>1</v>
      </c>
      <c r="G27" s="22">
        <v>43934</v>
      </c>
      <c r="H27" s="22"/>
      <c r="I27" s="22"/>
      <c r="J27" s="23"/>
      <c r="K27" s="20" t="s">
        <v>165</v>
      </c>
      <c r="L27" s="24" t="s">
        <v>41</v>
      </c>
      <c r="M27" s="20"/>
      <c r="N27" s="20"/>
      <c r="O27" s="20"/>
      <c r="P27" s="23"/>
      <c r="Q27" s="20"/>
      <c r="R27" s="20"/>
    </row>
    <row r="28" spans="1:18" ht="30" customHeight="1">
      <c r="A28" s="18" t="s">
        <v>94</v>
      </c>
      <c r="B28" s="26">
        <v>160624</v>
      </c>
      <c r="C28" s="20" t="s">
        <v>55</v>
      </c>
      <c r="D28" s="21" t="s">
        <v>186</v>
      </c>
      <c r="E28" s="19"/>
      <c r="F28" s="19">
        <v>1</v>
      </c>
      <c r="G28" s="22">
        <v>43934</v>
      </c>
      <c r="H28" s="22"/>
      <c r="I28" s="22">
        <v>43951</v>
      </c>
      <c r="J28" s="23"/>
      <c r="K28" s="20" t="s">
        <v>165</v>
      </c>
      <c r="L28" s="24" t="s">
        <v>41</v>
      </c>
      <c r="M28" s="20"/>
      <c r="N28" s="20"/>
      <c r="O28" s="20"/>
      <c r="P28" s="23"/>
      <c r="Q28" s="20"/>
      <c r="R28" s="20"/>
    </row>
    <row r="29" spans="1:18" ht="30" customHeight="1">
      <c r="A29" s="18" t="s">
        <v>39</v>
      </c>
      <c r="B29" s="26" t="s">
        <v>95</v>
      </c>
      <c r="C29" s="20" t="s">
        <v>55</v>
      </c>
      <c r="D29" s="21" t="s">
        <v>187</v>
      </c>
      <c r="E29" s="19"/>
      <c r="F29" s="19">
        <v>1</v>
      </c>
      <c r="G29" s="22">
        <v>43949</v>
      </c>
      <c r="H29" s="22"/>
      <c r="I29" s="22">
        <v>43983</v>
      </c>
      <c r="J29" s="23"/>
      <c r="K29" s="20" t="s">
        <v>165</v>
      </c>
      <c r="L29" s="24" t="s">
        <v>33</v>
      </c>
      <c r="M29" s="20"/>
      <c r="N29" s="20"/>
      <c r="O29" s="20"/>
      <c r="P29" s="23"/>
      <c r="Q29" s="20"/>
      <c r="R29" s="20"/>
    </row>
    <row r="30" spans="1:18" ht="30" customHeight="1">
      <c r="A30" s="18" t="s">
        <v>39</v>
      </c>
      <c r="B30" s="26">
        <v>153722</v>
      </c>
      <c r="C30" s="20" t="s">
        <v>19</v>
      </c>
      <c r="D30" s="21" t="s">
        <v>188</v>
      </c>
      <c r="E30" s="19"/>
      <c r="F30" s="19"/>
      <c r="G30" s="22">
        <v>43894</v>
      </c>
      <c r="H30" s="22"/>
      <c r="I30" s="22">
        <v>43908</v>
      </c>
      <c r="J30" s="23"/>
      <c r="K30" s="20" t="s">
        <v>165</v>
      </c>
      <c r="L30" s="24"/>
      <c r="M30" s="20"/>
      <c r="N30" s="20"/>
      <c r="O30" s="20"/>
      <c r="P30" s="23"/>
      <c r="Q30" s="20"/>
      <c r="R30" s="20"/>
    </row>
    <row r="31" spans="1:18" ht="30" customHeight="1">
      <c r="A31" s="18" t="s">
        <v>183</v>
      </c>
      <c r="B31" s="26">
        <v>193243</v>
      </c>
      <c r="C31" s="20" t="s">
        <v>55</v>
      </c>
      <c r="D31" s="21" t="s">
        <v>189</v>
      </c>
      <c r="E31" s="19"/>
      <c r="F31" s="19">
        <v>2</v>
      </c>
      <c r="G31" s="22">
        <v>44105</v>
      </c>
      <c r="H31" s="22"/>
      <c r="I31" s="22">
        <v>44119</v>
      </c>
      <c r="J31" s="23"/>
      <c r="K31" s="20" t="s">
        <v>165</v>
      </c>
      <c r="L31" s="24" t="s">
        <v>23</v>
      </c>
      <c r="M31" s="20"/>
      <c r="N31" s="20"/>
      <c r="O31" s="20"/>
      <c r="P31" s="23"/>
      <c r="Q31" s="20"/>
      <c r="R31" s="20"/>
    </row>
    <row r="32" spans="1:18" ht="30" customHeight="1">
      <c r="A32" s="18" t="s">
        <v>183</v>
      </c>
      <c r="B32" s="26">
        <v>193243</v>
      </c>
      <c r="C32" s="20" t="s">
        <v>55</v>
      </c>
      <c r="D32" s="21" t="s">
        <v>189</v>
      </c>
      <c r="E32" s="19"/>
      <c r="F32" s="19">
        <v>1</v>
      </c>
      <c r="G32" s="22">
        <v>44105</v>
      </c>
      <c r="H32" s="22"/>
      <c r="I32" s="22">
        <v>44119</v>
      </c>
      <c r="J32" s="23"/>
      <c r="K32" s="20" t="s">
        <v>165</v>
      </c>
      <c r="L32" s="24" t="s">
        <v>23</v>
      </c>
      <c r="M32" s="20"/>
      <c r="N32" s="20"/>
      <c r="O32" s="20"/>
      <c r="P32" s="23"/>
      <c r="Q32" s="20"/>
      <c r="R32" s="20"/>
    </row>
    <row r="33" spans="1:18" ht="30" customHeight="1">
      <c r="A33" s="18" t="s">
        <v>183</v>
      </c>
      <c r="B33" s="26">
        <v>193243</v>
      </c>
      <c r="C33" s="20" t="s">
        <v>55</v>
      </c>
      <c r="D33" s="21" t="s">
        <v>189</v>
      </c>
      <c r="E33" s="19"/>
      <c r="F33" s="19">
        <v>1</v>
      </c>
      <c r="G33" s="22">
        <v>44105</v>
      </c>
      <c r="H33" s="22"/>
      <c r="I33" s="22">
        <v>44119</v>
      </c>
      <c r="J33" s="23"/>
      <c r="K33" s="20" t="s">
        <v>165</v>
      </c>
      <c r="L33" s="24" t="s">
        <v>23</v>
      </c>
      <c r="M33" s="20"/>
      <c r="N33" s="20"/>
      <c r="O33" s="20"/>
      <c r="P33" s="23"/>
      <c r="Q33" s="20"/>
      <c r="R33" s="20"/>
    </row>
    <row r="34" spans="1:18" ht="30" customHeight="1">
      <c r="A34" s="18" t="s">
        <v>46</v>
      </c>
      <c r="B34" s="26">
        <v>194777</v>
      </c>
      <c r="C34" s="20" t="s">
        <v>55</v>
      </c>
      <c r="D34" s="21" t="s">
        <v>175</v>
      </c>
      <c r="E34" s="19"/>
      <c r="F34" s="19">
        <v>3</v>
      </c>
      <c r="G34" s="22">
        <v>44112</v>
      </c>
      <c r="H34" s="22"/>
      <c r="I34" s="22">
        <v>44117</v>
      </c>
      <c r="J34" s="23"/>
      <c r="K34" s="20" t="s">
        <v>165</v>
      </c>
      <c r="L34" s="24" t="s">
        <v>33</v>
      </c>
      <c r="M34" s="20"/>
      <c r="N34" s="20"/>
      <c r="O34" s="20"/>
      <c r="P34" s="23"/>
      <c r="Q34" s="20"/>
      <c r="R34" s="20"/>
    </row>
    <row r="35" spans="1:18" ht="30" customHeight="1">
      <c r="A35" s="18" t="s">
        <v>46</v>
      </c>
      <c r="B35" s="26">
        <v>194777</v>
      </c>
      <c r="C35" s="20" t="s">
        <v>55</v>
      </c>
      <c r="D35" s="21" t="s">
        <v>175</v>
      </c>
      <c r="E35" s="19"/>
      <c r="F35" s="19">
        <v>1</v>
      </c>
      <c r="G35" s="22">
        <v>44112</v>
      </c>
      <c r="H35" s="22"/>
      <c r="I35" s="22">
        <v>44117</v>
      </c>
      <c r="J35" s="23"/>
      <c r="K35" s="20" t="s">
        <v>165</v>
      </c>
      <c r="L35" s="24" t="s">
        <v>33</v>
      </c>
      <c r="M35" s="20"/>
      <c r="N35" s="20"/>
      <c r="O35" s="20"/>
      <c r="P35" s="23"/>
      <c r="Q35" s="20"/>
      <c r="R35" s="20"/>
    </row>
    <row r="36" spans="1:18" ht="30" customHeight="1">
      <c r="A36" s="18" t="s">
        <v>46</v>
      </c>
      <c r="B36" s="26">
        <v>194777</v>
      </c>
      <c r="C36" s="20" t="s">
        <v>55</v>
      </c>
      <c r="D36" s="21" t="s">
        <v>175</v>
      </c>
      <c r="E36" s="19"/>
      <c r="F36" s="19">
        <v>1</v>
      </c>
      <c r="G36" s="22">
        <v>44112</v>
      </c>
      <c r="H36" s="22"/>
      <c r="I36" s="22">
        <v>44117</v>
      </c>
      <c r="J36" s="23"/>
      <c r="K36" s="20" t="s">
        <v>165</v>
      </c>
      <c r="L36" s="24" t="s">
        <v>33</v>
      </c>
      <c r="M36" s="20"/>
      <c r="N36" s="20"/>
      <c r="O36" s="20"/>
      <c r="P36" s="23"/>
      <c r="Q36" s="20"/>
      <c r="R36" s="20"/>
    </row>
    <row r="37" spans="1:18" ht="30" customHeight="1">
      <c r="A37" s="18"/>
      <c r="B37" s="26"/>
      <c r="C37" s="20" t="s">
        <v>55</v>
      </c>
      <c r="D37" s="21" t="s">
        <v>190</v>
      </c>
      <c r="E37" s="19"/>
      <c r="F37" s="19">
        <v>1</v>
      </c>
      <c r="G37" s="22">
        <v>44099</v>
      </c>
      <c r="H37" s="22"/>
      <c r="I37" s="22">
        <v>44076</v>
      </c>
      <c r="J37" s="23"/>
      <c r="K37" s="20" t="s">
        <v>165</v>
      </c>
      <c r="L37" s="24" t="s">
        <v>41</v>
      </c>
      <c r="M37" s="20"/>
      <c r="N37" s="20"/>
      <c r="O37" s="20"/>
      <c r="P37" s="23"/>
      <c r="Q37" s="20"/>
      <c r="R37" s="20"/>
    </row>
    <row r="38" spans="1:18" ht="30" customHeight="1">
      <c r="A38" s="18"/>
      <c r="B38" s="26"/>
      <c r="C38" s="20" t="s">
        <v>55</v>
      </c>
      <c r="D38" s="21" t="s">
        <v>191</v>
      </c>
      <c r="E38" s="19"/>
      <c r="F38" s="19">
        <v>5</v>
      </c>
      <c r="G38" s="22">
        <v>44104</v>
      </c>
      <c r="H38" s="22"/>
      <c r="I38" s="22">
        <v>44105</v>
      </c>
      <c r="J38" s="23"/>
      <c r="K38" s="20" t="s">
        <v>165</v>
      </c>
      <c r="L38" s="24" t="s">
        <v>41</v>
      </c>
      <c r="M38" s="20"/>
      <c r="N38" s="20"/>
      <c r="O38" s="20"/>
      <c r="P38" s="23"/>
      <c r="Q38" s="20"/>
      <c r="R38" s="20"/>
    </row>
    <row r="39" spans="1:18" ht="30" customHeight="1">
      <c r="A39" s="18"/>
      <c r="B39" s="26"/>
      <c r="C39" s="20" t="s">
        <v>55</v>
      </c>
      <c r="D39" s="21" t="s">
        <v>192</v>
      </c>
      <c r="E39" s="19"/>
      <c r="F39" s="19">
        <v>2</v>
      </c>
      <c r="G39" s="22">
        <v>44071</v>
      </c>
      <c r="H39" s="22"/>
      <c r="I39" s="22">
        <v>44090</v>
      </c>
      <c r="J39" s="23"/>
      <c r="K39" s="20" t="s">
        <v>165</v>
      </c>
      <c r="L39" s="24" t="s">
        <v>41</v>
      </c>
      <c r="M39" s="20"/>
      <c r="N39" s="20">
        <v>2</v>
      </c>
      <c r="O39" s="20"/>
      <c r="P39" s="23"/>
      <c r="Q39" s="20"/>
      <c r="R39" s="20"/>
    </row>
    <row r="40" spans="1:18" ht="30" customHeight="1">
      <c r="A40" s="18"/>
      <c r="B40" s="26"/>
      <c r="C40" s="20" t="s">
        <v>55</v>
      </c>
      <c r="D40" s="21" t="s">
        <v>192</v>
      </c>
      <c r="E40" s="19"/>
      <c r="F40" s="19">
        <v>1</v>
      </c>
      <c r="G40" s="22">
        <v>44071</v>
      </c>
      <c r="H40" s="22"/>
      <c r="I40" s="22">
        <v>44090</v>
      </c>
      <c r="J40" s="23"/>
      <c r="K40" s="20" t="s">
        <v>165</v>
      </c>
      <c r="L40" s="24" t="s">
        <v>41</v>
      </c>
      <c r="M40" s="20"/>
      <c r="N40" s="20">
        <v>2</v>
      </c>
      <c r="O40" s="20"/>
      <c r="P40" s="23"/>
      <c r="Q40" s="20"/>
      <c r="R40" s="20"/>
    </row>
    <row r="41" spans="1:18" ht="30" customHeight="1">
      <c r="A41" s="18"/>
      <c r="B41" s="26"/>
      <c r="C41" s="20" t="s">
        <v>55</v>
      </c>
      <c r="D41" s="21" t="s">
        <v>192</v>
      </c>
      <c r="E41" s="19"/>
      <c r="F41" s="19">
        <v>1</v>
      </c>
      <c r="G41" s="22">
        <v>44071</v>
      </c>
      <c r="H41" s="22"/>
      <c r="I41" s="22">
        <v>44090</v>
      </c>
      <c r="J41" s="23"/>
      <c r="K41" s="20" t="s">
        <v>165</v>
      </c>
      <c r="L41" s="24" t="s">
        <v>41</v>
      </c>
      <c r="M41" s="20"/>
      <c r="N41" s="20"/>
      <c r="O41" s="20"/>
      <c r="P41" s="23"/>
      <c r="Q41" s="20"/>
      <c r="R41" s="20"/>
    </row>
    <row r="42" spans="1:18" ht="30" customHeight="1">
      <c r="A42" s="18"/>
      <c r="B42" s="26"/>
      <c r="C42" s="20" t="s">
        <v>55</v>
      </c>
      <c r="D42" s="21" t="s">
        <v>192</v>
      </c>
      <c r="E42" s="19"/>
      <c r="F42" s="19">
        <v>1</v>
      </c>
      <c r="G42" s="22">
        <v>44071</v>
      </c>
      <c r="H42" s="22"/>
      <c r="I42" s="22">
        <v>44090</v>
      </c>
      <c r="J42" s="23"/>
      <c r="K42" s="20" t="s">
        <v>165</v>
      </c>
      <c r="L42" s="24" t="s">
        <v>41</v>
      </c>
      <c r="M42" s="20"/>
      <c r="N42" s="20">
        <v>2</v>
      </c>
      <c r="O42" s="20"/>
      <c r="P42" s="23"/>
      <c r="Q42" s="20"/>
      <c r="R42" s="20"/>
    </row>
    <row r="43" spans="1:18" ht="30" customHeight="1">
      <c r="A43" s="18"/>
      <c r="B43" s="26"/>
      <c r="C43" s="20" t="s">
        <v>55</v>
      </c>
      <c r="D43" s="21" t="s">
        <v>192</v>
      </c>
      <c r="E43" s="19"/>
      <c r="F43" s="19">
        <v>1</v>
      </c>
      <c r="G43" s="22">
        <v>44071</v>
      </c>
      <c r="H43" s="22"/>
      <c r="I43" s="22">
        <v>44090</v>
      </c>
      <c r="J43" s="23"/>
      <c r="K43" s="20" t="s">
        <v>165</v>
      </c>
      <c r="L43" s="24" t="s">
        <v>41</v>
      </c>
      <c r="M43" s="20"/>
      <c r="N43" s="20">
        <v>1</v>
      </c>
      <c r="O43" s="20"/>
      <c r="P43" s="23"/>
      <c r="Q43" s="20"/>
      <c r="R43" s="20"/>
    </row>
    <row r="44" spans="1:18" ht="30" customHeight="1">
      <c r="A44" s="18" t="s">
        <v>193</v>
      </c>
      <c r="B44" s="26"/>
      <c r="C44" s="20" t="s">
        <v>55</v>
      </c>
      <c r="D44" s="21" t="s">
        <v>194</v>
      </c>
      <c r="E44" s="19"/>
      <c r="F44" s="19">
        <v>2</v>
      </c>
      <c r="G44" s="22">
        <v>44062</v>
      </c>
      <c r="H44" s="22"/>
      <c r="I44" s="22">
        <v>44083</v>
      </c>
      <c r="J44" s="23"/>
      <c r="K44" s="20" t="s">
        <v>165</v>
      </c>
      <c r="L44" s="24" t="s">
        <v>41</v>
      </c>
      <c r="M44" s="20"/>
      <c r="N44" s="20"/>
      <c r="O44" s="20"/>
      <c r="P44" s="23"/>
      <c r="Q44" s="20"/>
      <c r="R44" s="20"/>
    </row>
    <row r="45" spans="1:18" ht="30" customHeight="1">
      <c r="A45" s="18" t="s">
        <v>193</v>
      </c>
      <c r="B45" s="26"/>
      <c r="C45" s="20" t="s">
        <v>55</v>
      </c>
      <c r="D45" s="21" t="s">
        <v>194</v>
      </c>
      <c r="E45" s="19"/>
      <c r="F45" s="19">
        <v>1</v>
      </c>
      <c r="G45" s="22">
        <v>44062</v>
      </c>
      <c r="H45" s="22"/>
      <c r="I45" s="22">
        <v>44083</v>
      </c>
      <c r="J45" s="23"/>
      <c r="K45" s="20" t="s">
        <v>165</v>
      </c>
      <c r="L45" s="24" t="s">
        <v>41</v>
      </c>
      <c r="M45" s="20"/>
      <c r="N45" s="20"/>
      <c r="O45" s="20"/>
      <c r="P45" s="23"/>
      <c r="Q45" s="20"/>
      <c r="R45" s="20"/>
    </row>
    <row r="46" spans="1:18" ht="30" customHeight="1">
      <c r="A46" s="18"/>
      <c r="B46" s="26"/>
      <c r="C46" s="20" t="s">
        <v>55</v>
      </c>
      <c r="D46" s="21" t="s">
        <v>195</v>
      </c>
      <c r="E46" s="19"/>
      <c r="F46" s="19">
        <v>2</v>
      </c>
      <c r="G46" s="22">
        <v>44061</v>
      </c>
      <c r="H46" s="22"/>
      <c r="I46" s="22">
        <v>44069</v>
      </c>
      <c r="J46" s="23"/>
      <c r="K46" s="20" t="s">
        <v>165</v>
      </c>
      <c r="L46" s="24" t="s">
        <v>23</v>
      </c>
      <c r="M46" s="20"/>
      <c r="N46" s="20"/>
      <c r="O46" s="20"/>
      <c r="P46" s="23"/>
      <c r="Q46" s="20"/>
      <c r="R46" s="20"/>
    </row>
    <row r="47" spans="1:18" ht="30" customHeight="1">
      <c r="A47" s="18"/>
      <c r="B47" s="26"/>
      <c r="C47" s="20" t="s">
        <v>55</v>
      </c>
      <c r="D47" s="21" t="s">
        <v>195</v>
      </c>
      <c r="E47" s="19"/>
      <c r="F47" s="19">
        <v>1</v>
      </c>
      <c r="G47" s="22">
        <v>44061</v>
      </c>
      <c r="H47" s="22"/>
      <c r="I47" s="22">
        <v>44069</v>
      </c>
      <c r="J47" s="23"/>
      <c r="K47" s="20" t="s">
        <v>165</v>
      </c>
      <c r="L47" s="24" t="s">
        <v>41</v>
      </c>
      <c r="M47" s="20"/>
      <c r="N47" s="20"/>
      <c r="O47" s="20"/>
      <c r="P47" s="23"/>
      <c r="Q47" s="20"/>
      <c r="R47" s="20"/>
    </row>
    <row r="48" spans="1:18" ht="30" customHeight="1">
      <c r="A48" s="18" t="s">
        <v>39</v>
      </c>
      <c r="B48" s="26">
        <v>215807</v>
      </c>
      <c r="C48" s="20" t="s">
        <v>30</v>
      </c>
      <c r="D48" s="21" t="s">
        <v>196</v>
      </c>
      <c r="E48" s="19" t="s">
        <v>61</v>
      </c>
      <c r="F48" s="19">
        <v>4</v>
      </c>
      <c r="G48" s="22">
        <v>44216</v>
      </c>
      <c r="H48" s="22">
        <v>44222</v>
      </c>
      <c r="I48" s="22"/>
      <c r="J48" s="23"/>
      <c r="K48" s="20" t="s">
        <v>197</v>
      </c>
      <c r="L48" s="24" t="s">
        <v>41</v>
      </c>
      <c r="M48" s="20" t="s">
        <v>24</v>
      </c>
      <c r="N48" s="20"/>
      <c r="O48" s="20" t="s">
        <v>26</v>
      </c>
      <c r="P48" s="23"/>
      <c r="Q48" s="20"/>
      <c r="R48" s="20"/>
    </row>
    <row r="49" spans="1:18" ht="30" customHeight="1">
      <c r="A49" s="18" t="s">
        <v>39</v>
      </c>
      <c r="B49" s="26">
        <v>216830</v>
      </c>
      <c r="C49" s="20" t="s">
        <v>19</v>
      </c>
      <c r="D49" s="21" t="s">
        <v>198</v>
      </c>
      <c r="E49" s="19" t="s">
        <v>34</v>
      </c>
      <c r="F49" s="19">
        <v>1</v>
      </c>
      <c r="G49" s="22">
        <v>44223</v>
      </c>
      <c r="H49" s="22">
        <v>44223</v>
      </c>
      <c r="I49" s="22"/>
      <c r="J49" s="23"/>
      <c r="K49" s="20" t="s">
        <v>162</v>
      </c>
      <c r="L49" s="24" t="s">
        <v>23</v>
      </c>
      <c r="M49" s="20" t="s">
        <v>24</v>
      </c>
      <c r="N49" s="20"/>
      <c r="O49" s="20" t="s">
        <v>25</v>
      </c>
      <c r="P49" s="23" t="s">
        <v>25</v>
      </c>
      <c r="Q49" s="20" t="s">
        <v>28</v>
      </c>
      <c r="R49" s="20"/>
    </row>
    <row r="50" spans="1:18" ht="30" customHeight="1">
      <c r="A50" s="18" t="s">
        <v>39</v>
      </c>
      <c r="B50" s="26">
        <v>216830</v>
      </c>
      <c r="C50" s="20" t="s">
        <v>19</v>
      </c>
      <c r="D50" s="21" t="s">
        <v>198</v>
      </c>
      <c r="E50" s="19" t="s">
        <v>32</v>
      </c>
      <c r="F50" s="19">
        <v>1</v>
      </c>
      <c r="G50" s="22">
        <v>44223</v>
      </c>
      <c r="H50" s="22">
        <v>44223</v>
      </c>
      <c r="I50" s="22"/>
      <c r="J50" s="23"/>
      <c r="K50" s="20" t="s">
        <v>162</v>
      </c>
      <c r="L50" s="24" t="s">
        <v>23</v>
      </c>
      <c r="M50" s="20" t="s">
        <v>24</v>
      </c>
      <c r="N50" s="20"/>
      <c r="O50" s="20" t="s">
        <v>25</v>
      </c>
      <c r="P50" s="23" t="s">
        <v>25</v>
      </c>
      <c r="Q50" s="20" t="s">
        <v>28</v>
      </c>
      <c r="R50" s="20"/>
    </row>
    <row r="51" spans="1:18" ht="30" customHeight="1">
      <c r="A51" s="18" t="s">
        <v>36</v>
      </c>
      <c r="B51" s="26">
        <v>216047</v>
      </c>
      <c r="C51" s="20" t="s">
        <v>30</v>
      </c>
      <c r="D51" s="21" t="s">
        <v>199</v>
      </c>
      <c r="E51" s="19" t="s">
        <v>72</v>
      </c>
      <c r="F51" s="19">
        <v>1</v>
      </c>
      <c r="G51" s="22">
        <v>44217</v>
      </c>
      <c r="H51" s="22">
        <v>44246</v>
      </c>
      <c r="I51" s="22">
        <v>44246</v>
      </c>
      <c r="J51" s="23"/>
      <c r="K51" s="20" t="s">
        <v>162</v>
      </c>
      <c r="L51" s="24" t="s">
        <v>41</v>
      </c>
      <c r="M51" s="20" t="s">
        <v>108</v>
      </c>
      <c r="N51" s="20"/>
      <c r="O51" s="20" t="s">
        <v>26</v>
      </c>
      <c r="P51" s="23" t="s">
        <v>26</v>
      </c>
      <c r="Q51" s="20" t="s">
        <v>28</v>
      </c>
      <c r="R51" s="20"/>
    </row>
    <row r="52" spans="1:18" ht="30" hidden="1" customHeight="1">
      <c r="A52" s="18" t="s">
        <v>29</v>
      </c>
      <c r="B52" s="26">
        <v>217017</v>
      </c>
      <c r="C52" s="20" t="s">
        <v>19</v>
      </c>
      <c r="D52" s="21" t="s">
        <v>200</v>
      </c>
      <c r="E52" s="19" t="s">
        <v>72</v>
      </c>
      <c r="F52" s="19">
        <v>1</v>
      </c>
      <c r="G52" s="22">
        <v>44224</v>
      </c>
      <c r="H52" s="22">
        <v>44229</v>
      </c>
      <c r="I52" s="22">
        <v>44258</v>
      </c>
      <c r="J52" s="23"/>
      <c r="K52" s="20" t="s">
        <v>22</v>
      </c>
      <c r="L52" s="24" t="s">
        <v>57</v>
      </c>
      <c r="M52" s="20" t="s">
        <v>24</v>
      </c>
      <c r="N52" s="20"/>
      <c r="O52" s="20" t="s">
        <v>25</v>
      </c>
      <c r="P52" s="23" t="s">
        <v>26</v>
      </c>
      <c r="Q52" s="20" t="s">
        <v>28</v>
      </c>
      <c r="R52" s="20" t="s">
        <v>28</v>
      </c>
    </row>
    <row r="53" spans="1:18" ht="30" customHeight="1">
      <c r="A53" s="18" t="s">
        <v>94</v>
      </c>
      <c r="B53" s="26">
        <v>217989</v>
      </c>
      <c r="C53" s="20" t="s">
        <v>19</v>
      </c>
      <c r="D53" s="21" t="s">
        <v>201</v>
      </c>
      <c r="E53" s="19" t="s">
        <v>34</v>
      </c>
      <c r="F53" s="19">
        <v>1</v>
      </c>
      <c r="G53" s="22">
        <v>44228</v>
      </c>
      <c r="H53" s="22">
        <v>44230</v>
      </c>
      <c r="I53" s="22"/>
      <c r="J53" s="23"/>
      <c r="K53" s="20" t="s">
        <v>162</v>
      </c>
      <c r="L53" s="24" t="s">
        <v>23</v>
      </c>
      <c r="M53" s="20" t="s">
        <v>24</v>
      </c>
      <c r="N53" s="20"/>
      <c r="O53" s="20" t="s">
        <v>25</v>
      </c>
      <c r="P53" s="23"/>
      <c r="Q53" s="20" t="s">
        <v>28</v>
      </c>
      <c r="R53" s="20"/>
    </row>
    <row r="54" spans="1:18" ht="30" customHeight="1">
      <c r="A54" s="18" t="s">
        <v>94</v>
      </c>
      <c r="B54" s="26">
        <v>217989</v>
      </c>
      <c r="C54" s="20" t="s">
        <v>19</v>
      </c>
      <c r="D54" s="21" t="s">
        <v>201</v>
      </c>
      <c r="E54" s="19" t="s">
        <v>32</v>
      </c>
      <c r="F54" s="19">
        <v>1</v>
      </c>
      <c r="G54" s="22">
        <v>44228</v>
      </c>
      <c r="H54" s="22">
        <v>44230</v>
      </c>
      <c r="I54" s="22"/>
      <c r="J54" s="23"/>
      <c r="K54" s="20" t="s">
        <v>162</v>
      </c>
      <c r="L54" s="24" t="s">
        <v>23</v>
      </c>
      <c r="M54" s="20" t="s">
        <v>24</v>
      </c>
      <c r="N54" s="20"/>
      <c r="O54" s="20" t="s">
        <v>25</v>
      </c>
      <c r="P54" s="23"/>
      <c r="Q54" s="20" t="s">
        <v>28</v>
      </c>
      <c r="R54" s="20"/>
    </row>
    <row r="55" spans="1:18" ht="30" customHeight="1">
      <c r="A55" s="18" t="s">
        <v>146</v>
      </c>
      <c r="B55" s="26">
        <v>218759</v>
      </c>
      <c r="C55" s="20" t="s">
        <v>19</v>
      </c>
      <c r="D55" s="21" t="s">
        <v>202</v>
      </c>
      <c r="E55" s="19" t="s">
        <v>34</v>
      </c>
      <c r="F55" s="19">
        <v>2</v>
      </c>
      <c r="G55" s="22">
        <v>44230</v>
      </c>
      <c r="H55" s="22">
        <v>44230</v>
      </c>
      <c r="I55" s="22"/>
      <c r="J55" s="23"/>
      <c r="K55" s="20" t="s">
        <v>165</v>
      </c>
      <c r="L55" s="24" t="s">
        <v>33</v>
      </c>
      <c r="M55" s="20" t="s">
        <v>24</v>
      </c>
      <c r="N55" s="20"/>
      <c r="O55" s="20" t="s">
        <v>25</v>
      </c>
      <c r="P55" s="23"/>
      <c r="Q55" s="20"/>
      <c r="R55" s="20"/>
    </row>
    <row r="56" spans="1:18" ht="30" customHeight="1">
      <c r="A56" s="18" t="s">
        <v>39</v>
      </c>
      <c r="B56" s="26">
        <v>219689</v>
      </c>
      <c r="C56" s="20" t="s">
        <v>19</v>
      </c>
      <c r="D56" s="21" t="s">
        <v>203</v>
      </c>
      <c r="E56" s="19" t="s">
        <v>82</v>
      </c>
      <c r="F56" s="19">
        <v>1</v>
      </c>
      <c r="G56" s="22">
        <v>44236</v>
      </c>
      <c r="H56" s="22">
        <v>44238</v>
      </c>
      <c r="I56" s="22"/>
      <c r="J56" s="23"/>
      <c r="K56" s="20" t="s">
        <v>165</v>
      </c>
      <c r="L56" s="24" t="s">
        <v>41</v>
      </c>
      <c r="M56" s="20" t="s">
        <v>24</v>
      </c>
      <c r="N56" s="20"/>
      <c r="O56" s="20" t="s">
        <v>26</v>
      </c>
      <c r="P56" s="23" t="s">
        <v>25</v>
      </c>
      <c r="Q56" s="20" t="s">
        <v>28</v>
      </c>
      <c r="R56" s="20"/>
    </row>
    <row r="57" spans="1:18" ht="30" customHeight="1">
      <c r="A57" s="18" t="s">
        <v>39</v>
      </c>
      <c r="B57" s="26">
        <v>219689</v>
      </c>
      <c r="C57" s="20" t="s">
        <v>19</v>
      </c>
      <c r="D57" s="21" t="s">
        <v>203</v>
      </c>
      <c r="E57" s="19" t="s">
        <v>34</v>
      </c>
      <c r="F57" s="19">
        <v>1</v>
      </c>
      <c r="G57" s="22">
        <v>44236</v>
      </c>
      <c r="H57" s="22">
        <v>44238</v>
      </c>
      <c r="I57" s="22"/>
      <c r="J57" s="23"/>
      <c r="K57" s="20" t="s">
        <v>162</v>
      </c>
      <c r="L57" s="24" t="s">
        <v>23</v>
      </c>
      <c r="M57" s="20" t="s">
        <v>24</v>
      </c>
      <c r="N57" s="20"/>
      <c r="O57" s="20" t="s">
        <v>26</v>
      </c>
      <c r="P57" s="23" t="s">
        <v>25</v>
      </c>
      <c r="Q57" s="20" t="s">
        <v>28</v>
      </c>
      <c r="R57" s="20"/>
    </row>
    <row r="58" spans="1:18" ht="30" customHeight="1">
      <c r="A58" s="18" t="s">
        <v>39</v>
      </c>
      <c r="B58" s="26">
        <v>219689</v>
      </c>
      <c r="C58" s="20" t="s">
        <v>19</v>
      </c>
      <c r="D58" s="21" t="s">
        <v>203</v>
      </c>
      <c r="E58" s="19" t="s">
        <v>32</v>
      </c>
      <c r="F58" s="19">
        <v>1</v>
      </c>
      <c r="G58" s="22">
        <v>44236</v>
      </c>
      <c r="H58" s="22">
        <v>44238</v>
      </c>
      <c r="I58" s="22"/>
      <c r="J58" s="23"/>
      <c r="K58" s="20" t="s">
        <v>162</v>
      </c>
      <c r="L58" s="24" t="s">
        <v>23</v>
      </c>
      <c r="M58" s="20" t="s">
        <v>24</v>
      </c>
      <c r="N58" s="20"/>
      <c r="O58" s="20" t="s">
        <v>26</v>
      </c>
      <c r="P58" s="23" t="s">
        <v>25</v>
      </c>
      <c r="Q58" s="20" t="s">
        <v>28</v>
      </c>
      <c r="R58" s="20"/>
    </row>
    <row r="59" spans="1:18" ht="30" customHeight="1">
      <c r="A59" s="18" t="s">
        <v>39</v>
      </c>
      <c r="B59" s="26">
        <v>220202</v>
      </c>
      <c r="C59" s="20" t="s">
        <v>19</v>
      </c>
      <c r="D59" s="21" t="s">
        <v>203</v>
      </c>
      <c r="E59" s="19" t="s">
        <v>34</v>
      </c>
      <c r="F59" s="19">
        <v>1</v>
      </c>
      <c r="G59" s="22">
        <v>44236</v>
      </c>
      <c r="H59" s="22">
        <v>44236</v>
      </c>
      <c r="I59" s="22"/>
      <c r="J59" s="23"/>
      <c r="K59" s="20" t="s">
        <v>162</v>
      </c>
      <c r="L59" s="24" t="s">
        <v>23</v>
      </c>
      <c r="M59" s="20" t="s">
        <v>24</v>
      </c>
      <c r="N59" s="20"/>
      <c r="O59" s="20" t="s">
        <v>25</v>
      </c>
      <c r="P59" s="23" t="s">
        <v>25</v>
      </c>
      <c r="Q59" s="20" t="s">
        <v>28</v>
      </c>
      <c r="R59" s="20"/>
    </row>
    <row r="60" spans="1:18" ht="30" customHeight="1">
      <c r="A60" s="18" t="s">
        <v>39</v>
      </c>
      <c r="B60" s="26">
        <v>220202</v>
      </c>
      <c r="C60" s="20" t="s">
        <v>19</v>
      </c>
      <c r="D60" s="21" t="s">
        <v>203</v>
      </c>
      <c r="E60" s="19" t="s">
        <v>32</v>
      </c>
      <c r="F60" s="19">
        <v>1</v>
      </c>
      <c r="G60" s="22">
        <v>44236</v>
      </c>
      <c r="H60" s="22">
        <v>44236</v>
      </c>
      <c r="I60" s="22"/>
      <c r="J60" s="23"/>
      <c r="K60" s="20" t="s">
        <v>162</v>
      </c>
      <c r="L60" s="24" t="s">
        <v>23</v>
      </c>
      <c r="M60" s="20" t="s">
        <v>24</v>
      </c>
      <c r="N60" s="20"/>
      <c r="O60" s="20" t="s">
        <v>25</v>
      </c>
      <c r="P60" s="23" t="s">
        <v>25</v>
      </c>
      <c r="Q60" s="20" t="s">
        <v>28</v>
      </c>
      <c r="R60" s="20"/>
    </row>
    <row r="61" spans="1:18" ht="30" hidden="1" customHeight="1">
      <c r="A61" s="18" t="s">
        <v>46</v>
      </c>
      <c r="B61" s="26">
        <v>221895</v>
      </c>
      <c r="C61" s="20" t="s">
        <v>19</v>
      </c>
      <c r="D61" s="21" t="s">
        <v>204</v>
      </c>
      <c r="E61" s="19" t="s">
        <v>42</v>
      </c>
      <c r="F61" s="19">
        <v>1</v>
      </c>
      <c r="G61" s="22">
        <v>44245</v>
      </c>
      <c r="H61" s="22">
        <v>44246</v>
      </c>
      <c r="I61" s="22">
        <v>44245</v>
      </c>
      <c r="J61" s="23"/>
      <c r="K61" s="20" t="s">
        <v>22</v>
      </c>
      <c r="L61" s="24" t="s">
        <v>33</v>
      </c>
      <c r="M61" s="20" t="s">
        <v>24</v>
      </c>
      <c r="N61" s="20"/>
      <c r="O61" s="20" t="s">
        <v>25</v>
      </c>
      <c r="P61" s="23" t="s">
        <v>25</v>
      </c>
      <c r="Q61" s="20" t="s">
        <v>28</v>
      </c>
      <c r="R61" s="20" t="s">
        <v>28</v>
      </c>
    </row>
    <row r="62" spans="1:18" ht="30" customHeight="1">
      <c r="A62" s="18" t="s">
        <v>114</v>
      </c>
      <c r="B62" s="26">
        <v>218999</v>
      </c>
      <c r="C62" s="20" t="s">
        <v>19</v>
      </c>
      <c r="D62" s="21" t="s">
        <v>205</v>
      </c>
      <c r="E62" s="19" t="s">
        <v>72</v>
      </c>
      <c r="F62" s="19">
        <v>1</v>
      </c>
      <c r="G62" s="22">
        <v>44230</v>
      </c>
      <c r="H62" s="22">
        <v>44249</v>
      </c>
      <c r="I62" s="22"/>
      <c r="J62" s="23"/>
      <c r="K62" s="20" t="s">
        <v>165</v>
      </c>
      <c r="L62" s="24" t="s">
        <v>23</v>
      </c>
      <c r="M62" s="20" t="s">
        <v>24</v>
      </c>
      <c r="N62" s="20"/>
      <c r="O62" s="20" t="s">
        <v>25</v>
      </c>
      <c r="P62" s="23"/>
      <c r="Q62" s="20" t="s">
        <v>27</v>
      </c>
      <c r="R62" s="20"/>
    </row>
    <row r="63" spans="1:18" ht="30" hidden="1" customHeight="1">
      <c r="A63" s="18" t="s">
        <v>36</v>
      </c>
      <c r="B63" s="26">
        <v>222168</v>
      </c>
      <c r="C63" s="20" t="s">
        <v>19</v>
      </c>
      <c r="D63" s="21" t="s">
        <v>206</v>
      </c>
      <c r="E63" s="19" t="s">
        <v>34</v>
      </c>
      <c r="F63" s="19">
        <v>2</v>
      </c>
      <c r="G63" s="22">
        <v>44246</v>
      </c>
      <c r="H63" s="22">
        <v>44253</v>
      </c>
      <c r="I63" s="22">
        <v>44253</v>
      </c>
      <c r="J63" s="23"/>
      <c r="K63" s="20" t="s">
        <v>22</v>
      </c>
      <c r="L63" s="24" t="s">
        <v>33</v>
      </c>
      <c r="M63" s="20" t="s">
        <v>24</v>
      </c>
      <c r="N63" s="20"/>
      <c r="O63" s="20" t="s">
        <v>26</v>
      </c>
      <c r="P63" s="23" t="s">
        <v>26</v>
      </c>
      <c r="Q63" s="20" t="s">
        <v>28</v>
      </c>
      <c r="R63" s="20" t="s">
        <v>53</v>
      </c>
    </row>
    <row r="64" spans="1:18" ht="30" hidden="1" customHeight="1">
      <c r="A64" s="18" t="s">
        <v>36</v>
      </c>
      <c r="B64" s="26">
        <v>222168</v>
      </c>
      <c r="C64" s="20" t="s">
        <v>19</v>
      </c>
      <c r="D64" s="21" t="s">
        <v>206</v>
      </c>
      <c r="E64" s="19" t="s">
        <v>43</v>
      </c>
      <c r="F64" s="19">
        <v>2</v>
      </c>
      <c r="G64" s="22">
        <v>44246</v>
      </c>
      <c r="H64" s="22">
        <v>44253</v>
      </c>
      <c r="I64" s="22">
        <v>44253</v>
      </c>
      <c r="J64" s="23"/>
      <c r="K64" s="20" t="s">
        <v>22</v>
      </c>
      <c r="L64" s="24" t="s">
        <v>33</v>
      </c>
      <c r="M64" s="20" t="s">
        <v>24</v>
      </c>
      <c r="N64" s="20"/>
      <c r="O64" s="20" t="s">
        <v>26</v>
      </c>
      <c r="P64" s="23" t="s">
        <v>26</v>
      </c>
      <c r="Q64" s="20" t="s">
        <v>28</v>
      </c>
      <c r="R64" s="20" t="s">
        <v>53</v>
      </c>
    </row>
    <row r="65" spans="1:18" ht="30" hidden="1" customHeight="1">
      <c r="A65" s="18" t="s">
        <v>36</v>
      </c>
      <c r="B65" s="26">
        <v>222168</v>
      </c>
      <c r="C65" s="20" t="s">
        <v>19</v>
      </c>
      <c r="D65" s="21" t="s">
        <v>206</v>
      </c>
      <c r="E65" s="19" t="s">
        <v>35</v>
      </c>
      <c r="F65" s="19">
        <v>4</v>
      </c>
      <c r="G65" s="22">
        <v>44246</v>
      </c>
      <c r="H65" s="22">
        <v>44253</v>
      </c>
      <c r="I65" s="22">
        <v>44253</v>
      </c>
      <c r="J65" s="23"/>
      <c r="K65" s="20" t="s">
        <v>22</v>
      </c>
      <c r="L65" s="24" t="s">
        <v>33</v>
      </c>
      <c r="M65" s="20" t="s">
        <v>24</v>
      </c>
      <c r="N65" s="20"/>
      <c r="O65" s="20" t="s">
        <v>26</v>
      </c>
      <c r="P65" s="23" t="s">
        <v>26</v>
      </c>
      <c r="Q65" s="20" t="s">
        <v>28</v>
      </c>
      <c r="R65" s="20" t="s">
        <v>53</v>
      </c>
    </row>
    <row r="66" spans="1:18" ht="30" hidden="1" customHeight="1">
      <c r="A66" s="18" t="s">
        <v>36</v>
      </c>
      <c r="B66" s="26">
        <v>222168</v>
      </c>
      <c r="C66" s="20" t="s">
        <v>19</v>
      </c>
      <c r="D66" s="21" t="s">
        <v>206</v>
      </c>
      <c r="E66" s="19" t="s">
        <v>92</v>
      </c>
      <c r="F66" s="19">
        <v>2</v>
      </c>
      <c r="G66" s="22">
        <v>44246</v>
      </c>
      <c r="H66" s="22">
        <v>44253</v>
      </c>
      <c r="I66" s="22">
        <v>44253</v>
      </c>
      <c r="J66" s="23"/>
      <c r="K66" s="20" t="s">
        <v>22</v>
      </c>
      <c r="L66" s="24" t="s">
        <v>33</v>
      </c>
      <c r="M66" s="20" t="s">
        <v>24</v>
      </c>
      <c r="N66" s="20"/>
      <c r="O66" s="20" t="s">
        <v>26</v>
      </c>
      <c r="P66" s="23" t="s">
        <v>26</v>
      </c>
      <c r="Q66" s="20" t="s">
        <v>28</v>
      </c>
      <c r="R66" s="20" t="s">
        <v>53</v>
      </c>
    </row>
    <row r="67" spans="1:18" ht="30" hidden="1" customHeight="1">
      <c r="A67" s="18" t="s">
        <v>36</v>
      </c>
      <c r="B67" s="26">
        <v>222168</v>
      </c>
      <c r="C67" s="20" t="s">
        <v>19</v>
      </c>
      <c r="D67" s="21" t="s">
        <v>206</v>
      </c>
      <c r="E67" s="19" t="s">
        <v>75</v>
      </c>
      <c r="F67" s="19">
        <v>1</v>
      </c>
      <c r="G67" s="22">
        <v>44246</v>
      </c>
      <c r="H67" s="22">
        <v>44256</v>
      </c>
      <c r="I67" s="22">
        <v>44256</v>
      </c>
      <c r="J67" s="23"/>
      <c r="K67" s="20" t="s">
        <v>22</v>
      </c>
      <c r="L67" s="24" t="s">
        <v>33</v>
      </c>
      <c r="M67" s="20" t="s">
        <v>24</v>
      </c>
      <c r="N67" s="20"/>
      <c r="O67" s="20" t="s">
        <v>26</v>
      </c>
      <c r="P67" s="23" t="s">
        <v>26</v>
      </c>
      <c r="Q67" s="20" t="s">
        <v>28</v>
      </c>
      <c r="R67" s="20" t="s">
        <v>53</v>
      </c>
    </row>
    <row r="68" spans="1:18" ht="30" customHeight="1">
      <c r="A68" s="18" t="s">
        <v>94</v>
      </c>
      <c r="B68" s="26">
        <v>222688</v>
      </c>
      <c r="C68" s="20" t="s">
        <v>63</v>
      </c>
      <c r="D68" s="21" t="s">
        <v>207</v>
      </c>
      <c r="E68" s="19" t="s">
        <v>79</v>
      </c>
      <c r="F68" s="19">
        <v>1</v>
      </c>
      <c r="G68" s="22">
        <v>44249</v>
      </c>
      <c r="H68" s="22">
        <v>44258</v>
      </c>
      <c r="I68" s="22"/>
      <c r="J68" s="23"/>
      <c r="K68" s="20" t="s">
        <v>165</v>
      </c>
      <c r="L68" s="24" t="s">
        <v>41</v>
      </c>
      <c r="M68" s="20" t="s">
        <v>79</v>
      </c>
      <c r="N68" s="20"/>
      <c r="O68" s="20" t="s">
        <v>26</v>
      </c>
      <c r="P68" s="23"/>
      <c r="Q68" s="20" t="s">
        <v>28</v>
      </c>
      <c r="R68" s="20"/>
    </row>
    <row r="69" spans="1:18" ht="30" customHeight="1">
      <c r="A69" s="18" t="s">
        <v>146</v>
      </c>
      <c r="B69" s="26">
        <v>222008</v>
      </c>
      <c r="C69" s="20" t="s">
        <v>19</v>
      </c>
      <c r="D69" s="21" t="s">
        <v>208</v>
      </c>
      <c r="E69" s="19" t="s">
        <v>209</v>
      </c>
      <c r="F69" s="19">
        <v>1</v>
      </c>
      <c r="G69" s="22">
        <v>44245</v>
      </c>
      <c r="H69" s="22">
        <v>44258</v>
      </c>
      <c r="I69" s="22">
        <v>44263</v>
      </c>
      <c r="J69" s="23"/>
      <c r="K69" s="20" t="s">
        <v>197</v>
      </c>
      <c r="L69" s="24" t="s">
        <v>33</v>
      </c>
      <c r="M69" s="20" t="s">
        <v>24</v>
      </c>
      <c r="N69" s="20"/>
      <c r="O69" s="20" t="s">
        <v>25</v>
      </c>
      <c r="P69" s="23"/>
      <c r="Q69" s="20" t="s">
        <v>28</v>
      </c>
      <c r="R69" s="20" t="s">
        <v>28</v>
      </c>
    </row>
    <row r="70" spans="1:18" ht="30" customHeight="1">
      <c r="A70" s="18" t="s">
        <v>146</v>
      </c>
      <c r="B70" s="19">
        <v>222008</v>
      </c>
      <c r="C70" s="20" t="s">
        <v>19</v>
      </c>
      <c r="D70" s="67" t="s">
        <v>208</v>
      </c>
      <c r="E70" s="19" t="s">
        <v>62</v>
      </c>
      <c r="F70" s="19">
        <v>1</v>
      </c>
      <c r="G70" s="22">
        <v>44245</v>
      </c>
      <c r="H70" s="22">
        <v>44258</v>
      </c>
      <c r="I70" s="22">
        <v>44263</v>
      </c>
      <c r="J70" s="23"/>
      <c r="K70" s="20" t="s">
        <v>197</v>
      </c>
      <c r="L70" s="24" t="s">
        <v>33</v>
      </c>
      <c r="M70" s="20" t="s">
        <v>24</v>
      </c>
      <c r="N70" s="20"/>
      <c r="O70" s="20" t="s">
        <v>25</v>
      </c>
      <c r="P70" s="23"/>
      <c r="Q70" s="20" t="s">
        <v>28</v>
      </c>
      <c r="R70" s="20" t="s">
        <v>28</v>
      </c>
    </row>
    <row r="71" spans="1:18" ht="30" hidden="1" customHeight="1">
      <c r="A71" s="18" t="s">
        <v>146</v>
      </c>
      <c r="B71" s="26">
        <v>222495</v>
      </c>
      <c r="C71" s="20" t="s">
        <v>19</v>
      </c>
      <c r="D71" s="21" t="s">
        <v>210</v>
      </c>
      <c r="E71" s="19" t="s">
        <v>72</v>
      </c>
      <c r="F71" s="19">
        <v>2</v>
      </c>
      <c r="G71" s="22">
        <v>44249</v>
      </c>
      <c r="H71" s="22">
        <v>44257</v>
      </c>
      <c r="I71" s="22">
        <v>44250</v>
      </c>
      <c r="J71" s="23"/>
      <c r="K71" s="20" t="s">
        <v>22</v>
      </c>
      <c r="L71" s="24" t="s">
        <v>57</v>
      </c>
      <c r="M71" s="20" t="s">
        <v>24</v>
      </c>
      <c r="N71" s="20"/>
      <c r="O71" s="20" t="s">
        <v>25</v>
      </c>
      <c r="P71" s="23"/>
      <c r="Q71" s="20" t="s">
        <v>28</v>
      </c>
      <c r="R71" s="20" t="s">
        <v>27</v>
      </c>
    </row>
    <row r="72" spans="1:18" ht="30" customHeight="1">
      <c r="A72" s="18" t="s">
        <v>36</v>
      </c>
      <c r="B72" s="26">
        <v>222168</v>
      </c>
      <c r="C72" s="20" t="s">
        <v>19</v>
      </c>
      <c r="D72" s="21" t="s">
        <v>138</v>
      </c>
      <c r="E72" s="19" t="s">
        <v>72</v>
      </c>
      <c r="F72" s="19">
        <v>1</v>
      </c>
      <c r="G72" s="22">
        <v>44246</v>
      </c>
      <c r="H72" s="22">
        <v>44253</v>
      </c>
      <c r="I72" s="22"/>
      <c r="J72" s="23"/>
      <c r="K72" s="20" t="s">
        <v>165</v>
      </c>
      <c r="L72" s="24" t="s">
        <v>41</v>
      </c>
      <c r="M72" s="20" t="s">
        <v>79</v>
      </c>
      <c r="N72" s="20"/>
      <c r="O72" s="20" t="s">
        <v>26</v>
      </c>
      <c r="P72" s="23"/>
      <c r="Q72" s="20" t="s">
        <v>28</v>
      </c>
      <c r="R72" s="20"/>
    </row>
    <row r="73" spans="1:18" ht="30" hidden="1" customHeight="1">
      <c r="A73" s="18" t="s">
        <v>36</v>
      </c>
      <c r="B73" s="26">
        <v>221022</v>
      </c>
      <c r="C73" s="20" t="s">
        <v>30</v>
      </c>
      <c r="D73" s="21" t="s">
        <v>211</v>
      </c>
      <c r="E73" s="19" t="s">
        <v>35</v>
      </c>
      <c r="F73" s="19">
        <v>1</v>
      </c>
      <c r="G73" s="22">
        <v>44258</v>
      </c>
      <c r="H73" s="22">
        <v>44259</v>
      </c>
      <c r="I73" s="22">
        <v>44259</v>
      </c>
      <c r="J73" s="23"/>
      <c r="K73" s="20" t="s">
        <v>22</v>
      </c>
      <c r="L73" s="24" t="s">
        <v>23</v>
      </c>
      <c r="M73" s="20" t="s">
        <v>24</v>
      </c>
      <c r="N73" s="20"/>
      <c r="O73" s="20" t="s">
        <v>25</v>
      </c>
      <c r="P73" s="23" t="s">
        <v>25</v>
      </c>
      <c r="Q73" s="20" t="s">
        <v>53</v>
      </c>
      <c r="R73" s="20"/>
    </row>
    <row r="74" spans="1:18" ht="30" hidden="1" customHeight="1">
      <c r="A74" s="18" t="s">
        <v>36</v>
      </c>
      <c r="B74" s="26">
        <v>221022</v>
      </c>
      <c r="C74" s="20" t="s">
        <v>30</v>
      </c>
      <c r="D74" s="21" t="s">
        <v>211</v>
      </c>
      <c r="E74" s="19" t="s">
        <v>48</v>
      </c>
      <c r="F74" s="19">
        <v>1</v>
      </c>
      <c r="G74" s="22">
        <v>44258</v>
      </c>
      <c r="H74" s="22">
        <v>44259</v>
      </c>
      <c r="I74" s="22">
        <v>44259</v>
      </c>
      <c r="J74" s="23"/>
      <c r="K74" s="20" t="s">
        <v>22</v>
      </c>
      <c r="L74" s="24" t="s">
        <v>23</v>
      </c>
      <c r="M74" s="20" t="s">
        <v>24</v>
      </c>
      <c r="N74" s="20"/>
      <c r="O74" s="20" t="s">
        <v>25</v>
      </c>
      <c r="P74" s="23" t="s">
        <v>25</v>
      </c>
      <c r="Q74" s="20" t="s">
        <v>53</v>
      </c>
      <c r="R74" s="20"/>
    </row>
    <row r="75" spans="1:18" ht="30" hidden="1" customHeight="1">
      <c r="A75" s="18" t="s">
        <v>36</v>
      </c>
      <c r="B75" s="26">
        <v>221022</v>
      </c>
      <c r="C75" s="20" t="s">
        <v>30</v>
      </c>
      <c r="D75" s="21" t="s">
        <v>211</v>
      </c>
      <c r="E75" s="19" t="s">
        <v>32</v>
      </c>
      <c r="F75" s="19">
        <v>1</v>
      </c>
      <c r="G75" s="22">
        <v>44258</v>
      </c>
      <c r="H75" s="22">
        <v>44259</v>
      </c>
      <c r="I75" s="22">
        <v>44259</v>
      </c>
      <c r="J75" s="23"/>
      <c r="K75" s="20" t="s">
        <v>22</v>
      </c>
      <c r="L75" s="24" t="s">
        <v>23</v>
      </c>
      <c r="M75" s="20" t="s">
        <v>24</v>
      </c>
      <c r="N75" s="20"/>
      <c r="O75" s="20" t="s">
        <v>25</v>
      </c>
      <c r="P75" s="23" t="s">
        <v>25</v>
      </c>
      <c r="Q75" s="20" t="s">
        <v>53</v>
      </c>
      <c r="R75" s="20"/>
    </row>
    <row r="76" spans="1:18" ht="30" hidden="1" customHeight="1">
      <c r="A76" s="18" t="s">
        <v>36</v>
      </c>
      <c r="B76" s="26">
        <v>221022</v>
      </c>
      <c r="C76" s="20" t="s">
        <v>30</v>
      </c>
      <c r="D76" s="21" t="s">
        <v>211</v>
      </c>
      <c r="E76" s="19" t="s">
        <v>34</v>
      </c>
      <c r="F76" s="19">
        <v>1</v>
      </c>
      <c r="G76" s="22">
        <v>44258</v>
      </c>
      <c r="H76" s="22">
        <v>44259</v>
      </c>
      <c r="I76" s="22">
        <v>44259</v>
      </c>
      <c r="J76" s="23"/>
      <c r="K76" s="20" t="s">
        <v>22</v>
      </c>
      <c r="L76" s="24" t="s">
        <v>23</v>
      </c>
      <c r="M76" s="20" t="s">
        <v>24</v>
      </c>
      <c r="N76" s="20"/>
      <c r="O76" s="20" t="s">
        <v>25</v>
      </c>
      <c r="P76" s="23" t="s">
        <v>25</v>
      </c>
      <c r="Q76" s="20" t="s">
        <v>53</v>
      </c>
      <c r="R76" s="20"/>
    </row>
    <row r="77" spans="1:18" ht="30" hidden="1" customHeight="1">
      <c r="A77" s="18" t="s">
        <v>36</v>
      </c>
      <c r="B77" s="26">
        <v>221022</v>
      </c>
      <c r="C77" s="20" t="s">
        <v>30</v>
      </c>
      <c r="D77" s="21" t="s">
        <v>211</v>
      </c>
      <c r="E77" s="19" t="s">
        <v>273</v>
      </c>
      <c r="F77" s="19">
        <v>2</v>
      </c>
      <c r="G77" s="22">
        <v>44258</v>
      </c>
      <c r="H77" s="22">
        <v>44259</v>
      </c>
      <c r="I77" s="22">
        <v>44259</v>
      </c>
      <c r="J77" s="23"/>
      <c r="K77" s="20" t="s">
        <v>22</v>
      </c>
      <c r="L77" s="24" t="s">
        <v>23</v>
      </c>
      <c r="M77" s="20" t="s">
        <v>24</v>
      </c>
      <c r="N77" s="20"/>
      <c r="O77" s="20" t="s">
        <v>25</v>
      </c>
      <c r="P77" s="23" t="s">
        <v>25</v>
      </c>
      <c r="Q77" s="20" t="s">
        <v>53</v>
      </c>
      <c r="R77" s="20"/>
    </row>
    <row r="78" spans="1:18" ht="30" hidden="1" customHeight="1">
      <c r="A78" s="18" t="s">
        <v>36</v>
      </c>
      <c r="B78" s="26">
        <v>221022</v>
      </c>
      <c r="C78" s="20" t="s">
        <v>30</v>
      </c>
      <c r="D78" s="21" t="s">
        <v>211</v>
      </c>
      <c r="E78" s="19" t="s">
        <v>42</v>
      </c>
      <c r="F78" s="19">
        <v>1</v>
      </c>
      <c r="G78" s="22">
        <v>44258</v>
      </c>
      <c r="H78" s="22">
        <v>44259</v>
      </c>
      <c r="I78" s="22">
        <v>44259</v>
      </c>
      <c r="J78" s="23"/>
      <c r="K78" s="20" t="s">
        <v>22</v>
      </c>
      <c r="L78" s="24" t="s">
        <v>23</v>
      </c>
      <c r="M78" s="20" t="s">
        <v>24</v>
      </c>
      <c r="N78" s="20"/>
      <c r="O78" s="20" t="s">
        <v>25</v>
      </c>
      <c r="P78" s="23" t="s">
        <v>25</v>
      </c>
      <c r="Q78" s="20" t="s">
        <v>53</v>
      </c>
      <c r="R78" s="20"/>
    </row>
    <row r="79" spans="1:18" ht="30" hidden="1" customHeight="1">
      <c r="A79" s="18" t="s">
        <v>36</v>
      </c>
      <c r="B79" s="26">
        <v>221022</v>
      </c>
      <c r="C79" s="20" t="s">
        <v>30</v>
      </c>
      <c r="D79" s="21" t="s">
        <v>211</v>
      </c>
      <c r="E79" s="19" t="s">
        <v>61</v>
      </c>
      <c r="F79" s="19">
        <v>1</v>
      </c>
      <c r="G79" s="22">
        <v>44238</v>
      </c>
      <c r="H79" s="22">
        <v>44252</v>
      </c>
      <c r="I79" s="22">
        <v>44252</v>
      </c>
      <c r="J79" s="23"/>
      <c r="K79" s="20" t="s">
        <v>22</v>
      </c>
      <c r="L79" s="24" t="s">
        <v>23</v>
      </c>
      <c r="M79" s="20" t="s">
        <v>24</v>
      </c>
      <c r="N79" s="20"/>
      <c r="O79" s="20" t="s">
        <v>25</v>
      </c>
      <c r="P79" s="23" t="s">
        <v>25</v>
      </c>
      <c r="Q79" s="20" t="s">
        <v>53</v>
      </c>
      <c r="R79" s="20"/>
    </row>
    <row r="80" spans="1:18" ht="30" hidden="1" customHeight="1">
      <c r="A80" s="18" t="s">
        <v>18</v>
      </c>
      <c r="B80" s="26">
        <v>223415</v>
      </c>
      <c r="C80" s="20" t="s">
        <v>30</v>
      </c>
      <c r="D80" s="21" t="s">
        <v>212</v>
      </c>
      <c r="E80" s="19" t="s">
        <v>79</v>
      </c>
      <c r="F80" s="19">
        <v>1</v>
      </c>
      <c r="G80" s="22">
        <v>44252</v>
      </c>
      <c r="H80" s="22">
        <v>44256</v>
      </c>
      <c r="I80" s="22">
        <v>44256</v>
      </c>
      <c r="J80" s="23" t="s">
        <v>213</v>
      </c>
      <c r="K80" s="20" t="s">
        <v>22</v>
      </c>
      <c r="L80" s="24" t="s">
        <v>41</v>
      </c>
      <c r="M80" s="20" t="s">
        <v>24</v>
      </c>
      <c r="N80" s="20"/>
      <c r="O80" s="20" t="s">
        <v>26</v>
      </c>
      <c r="P80" s="23"/>
      <c r="Q80" s="20"/>
      <c r="R80" s="20"/>
    </row>
    <row r="81" spans="1:18" ht="30" customHeight="1">
      <c r="A81" s="18" t="s">
        <v>94</v>
      </c>
      <c r="B81" s="26">
        <v>223995</v>
      </c>
      <c r="C81" s="20" t="s">
        <v>19</v>
      </c>
      <c r="D81" s="21" t="s">
        <v>214</v>
      </c>
      <c r="E81" s="19" t="s">
        <v>34</v>
      </c>
      <c r="F81" s="19">
        <v>1</v>
      </c>
      <c r="G81" s="22">
        <v>44253</v>
      </c>
      <c r="H81" s="22">
        <v>44258</v>
      </c>
      <c r="I81" s="22"/>
      <c r="J81" s="23"/>
      <c r="K81" s="20" t="s">
        <v>162</v>
      </c>
      <c r="L81" s="24" t="s">
        <v>41</v>
      </c>
      <c r="M81" s="20" t="s">
        <v>24</v>
      </c>
      <c r="N81" s="20"/>
      <c r="O81" s="20" t="s">
        <v>26</v>
      </c>
      <c r="P81" s="23"/>
      <c r="Q81" s="20" t="s">
        <v>28</v>
      </c>
      <c r="R81" s="20"/>
    </row>
    <row r="82" spans="1:18" ht="30" customHeight="1">
      <c r="A82" s="18" t="s">
        <v>94</v>
      </c>
      <c r="B82" s="26">
        <v>223995</v>
      </c>
      <c r="C82" s="20" t="s">
        <v>19</v>
      </c>
      <c r="D82" s="21" t="s">
        <v>214</v>
      </c>
      <c r="E82" s="19" t="s">
        <v>32</v>
      </c>
      <c r="F82" s="19">
        <v>1</v>
      </c>
      <c r="G82" s="22">
        <v>44253</v>
      </c>
      <c r="H82" s="22">
        <v>44258</v>
      </c>
      <c r="I82" s="22"/>
      <c r="J82" s="23"/>
      <c r="K82" s="20" t="s">
        <v>162</v>
      </c>
      <c r="L82" s="24" t="s">
        <v>41</v>
      </c>
      <c r="M82" s="20" t="s">
        <v>24</v>
      </c>
      <c r="N82" s="20"/>
      <c r="O82" s="20" t="s">
        <v>26</v>
      </c>
      <c r="P82" s="23"/>
      <c r="Q82" s="20" t="s">
        <v>28</v>
      </c>
      <c r="R82" s="20"/>
    </row>
    <row r="83" spans="1:18" ht="30" hidden="1" customHeight="1">
      <c r="A83" s="18" t="s">
        <v>36</v>
      </c>
      <c r="B83" s="26">
        <v>224201</v>
      </c>
      <c r="C83" s="20" t="s">
        <v>19</v>
      </c>
      <c r="D83" s="21" t="s">
        <v>215</v>
      </c>
      <c r="E83" s="19" t="s">
        <v>43</v>
      </c>
      <c r="F83" s="19">
        <v>4</v>
      </c>
      <c r="G83" s="22">
        <v>44256</v>
      </c>
      <c r="H83" s="22">
        <v>44258</v>
      </c>
      <c r="I83" s="22">
        <v>44267</v>
      </c>
      <c r="J83" s="23"/>
      <c r="K83" s="20" t="s">
        <v>22</v>
      </c>
      <c r="L83" s="24" t="s">
        <v>41</v>
      </c>
      <c r="M83" s="20" t="s">
        <v>24</v>
      </c>
      <c r="N83" s="20">
        <v>1</v>
      </c>
      <c r="O83" s="20" t="s">
        <v>26</v>
      </c>
      <c r="P83" s="23" t="s">
        <v>26</v>
      </c>
      <c r="Q83" s="20" t="s">
        <v>27</v>
      </c>
      <c r="R83" s="20" t="s">
        <v>53</v>
      </c>
    </row>
    <row r="84" spans="1:18" ht="30" hidden="1" customHeight="1">
      <c r="A84" s="18" t="s">
        <v>130</v>
      </c>
      <c r="B84" s="26">
        <v>224161</v>
      </c>
      <c r="C84" s="20" t="s">
        <v>19</v>
      </c>
      <c r="D84" s="21" t="s">
        <v>216</v>
      </c>
      <c r="E84" s="19" t="s">
        <v>217</v>
      </c>
      <c r="F84" s="19">
        <v>2</v>
      </c>
      <c r="G84" s="22">
        <v>44256</v>
      </c>
      <c r="H84" s="22">
        <v>44257</v>
      </c>
      <c r="I84" s="22">
        <v>44258</v>
      </c>
      <c r="J84" s="23"/>
      <c r="K84" s="20" t="s">
        <v>22</v>
      </c>
      <c r="L84" s="24" t="s">
        <v>33</v>
      </c>
      <c r="M84" s="20" t="s">
        <v>24</v>
      </c>
      <c r="N84" s="20"/>
      <c r="O84" s="20" t="s">
        <v>25</v>
      </c>
      <c r="P84" s="23"/>
      <c r="Q84" s="20" t="s">
        <v>28</v>
      </c>
      <c r="R84" s="20" t="s">
        <v>53</v>
      </c>
    </row>
    <row r="85" spans="1:18" ht="30" hidden="1" customHeight="1">
      <c r="A85" s="18" t="s">
        <v>36</v>
      </c>
      <c r="B85" s="26">
        <v>224201</v>
      </c>
      <c r="C85" s="20" t="s">
        <v>19</v>
      </c>
      <c r="D85" s="21" t="s">
        <v>215</v>
      </c>
      <c r="E85" s="19" t="s">
        <v>48</v>
      </c>
      <c r="F85" s="19">
        <v>2</v>
      </c>
      <c r="G85" s="22">
        <v>44256</v>
      </c>
      <c r="H85" s="22">
        <v>44258</v>
      </c>
      <c r="I85" s="22">
        <v>44267</v>
      </c>
      <c r="J85" s="23"/>
      <c r="K85" s="20" t="s">
        <v>22</v>
      </c>
      <c r="L85" s="24" t="s">
        <v>41</v>
      </c>
      <c r="M85" s="20" t="s">
        <v>24</v>
      </c>
      <c r="N85" s="20">
        <v>1</v>
      </c>
      <c r="O85" s="20" t="s">
        <v>26</v>
      </c>
      <c r="P85" s="23" t="s">
        <v>26</v>
      </c>
      <c r="Q85" s="20" t="s">
        <v>27</v>
      </c>
      <c r="R85" s="20" t="s">
        <v>53</v>
      </c>
    </row>
    <row r="86" spans="1:18" ht="30" hidden="1" customHeight="1">
      <c r="A86" s="18" t="s">
        <v>36</v>
      </c>
      <c r="B86" s="26">
        <v>224201</v>
      </c>
      <c r="C86" s="20" t="s">
        <v>19</v>
      </c>
      <c r="D86" s="21" t="s">
        <v>215</v>
      </c>
      <c r="E86" s="19" t="s">
        <v>32</v>
      </c>
      <c r="F86" s="19">
        <v>2</v>
      </c>
      <c r="G86" s="22">
        <v>44256</v>
      </c>
      <c r="H86" s="22">
        <v>44258</v>
      </c>
      <c r="I86" s="22">
        <v>44267</v>
      </c>
      <c r="J86" s="23"/>
      <c r="K86" s="20" t="s">
        <v>22</v>
      </c>
      <c r="L86" s="24" t="s">
        <v>41</v>
      </c>
      <c r="M86" s="20" t="s">
        <v>24</v>
      </c>
      <c r="N86" s="20">
        <v>1</v>
      </c>
      <c r="O86" s="20" t="s">
        <v>26</v>
      </c>
      <c r="P86" s="23" t="s">
        <v>26</v>
      </c>
      <c r="Q86" s="20" t="s">
        <v>27</v>
      </c>
      <c r="R86" s="20" t="s">
        <v>53</v>
      </c>
    </row>
    <row r="87" spans="1:18" ht="30" hidden="1" customHeight="1">
      <c r="A87" s="18" t="s">
        <v>36</v>
      </c>
      <c r="B87" s="26">
        <v>224201</v>
      </c>
      <c r="C87" s="20" t="s">
        <v>19</v>
      </c>
      <c r="D87" s="21" t="s">
        <v>215</v>
      </c>
      <c r="E87" s="19" t="s">
        <v>35</v>
      </c>
      <c r="F87" s="19">
        <v>6</v>
      </c>
      <c r="G87" s="22">
        <v>44256</v>
      </c>
      <c r="H87" s="22">
        <v>44258</v>
      </c>
      <c r="I87" s="22">
        <v>44267</v>
      </c>
      <c r="J87" s="23"/>
      <c r="K87" s="20" t="s">
        <v>22</v>
      </c>
      <c r="L87" s="24" t="s">
        <v>41</v>
      </c>
      <c r="M87" s="20" t="s">
        <v>24</v>
      </c>
      <c r="N87" s="20">
        <v>1</v>
      </c>
      <c r="O87" s="20" t="s">
        <v>26</v>
      </c>
      <c r="P87" s="23" t="s">
        <v>26</v>
      </c>
      <c r="Q87" s="20" t="s">
        <v>27</v>
      </c>
      <c r="R87" s="20" t="s">
        <v>53</v>
      </c>
    </row>
    <row r="88" spans="1:18" ht="30" hidden="1" customHeight="1">
      <c r="A88" s="18" t="s">
        <v>36</v>
      </c>
      <c r="B88" s="26">
        <v>224201</v>
      </c>
      <c r="C88" s="20" t="s">
        <v>19</v>
      </c>
      <c r="D88" s="21" t="s">
        <v>215</v>
      </c>
      <c r="E88" s="19" t="s">
        <v>92</v>
      </c>
      <c r="F88" s="19">
        <v>2</v>
      </c>
      <c r="G88" s="22">
        <v>44256</v>
      </c>
      <c r="H88" s="22">
        <v>44258</v>
      </c>
      <c r="I88" s="22">
        <v>44267</v>
      </c>
      <c r="J88" s="23"/>
      <c r="K88" s="20" t="s">
        <v>22</v>
      </c>
      <c r="L88" s="24" t="s">
        <v>41</v>
      </c>
      <c r="M88" s="20" t="s">
        <v>24</v>
      </c>
      <c r="N88" s="20">
        <v>1</v>
      </c>
      <c r="O88" s="20" t="s">
        <v>26</v>
      </c>
      <c r="P88" s="23" t="s">
        <v>26</v>
      </c>
      <c r="Q88" s="20" t="s">
        <v>27</v>
      </c>
      <c r="R88" s="20" t="s">
        <v>53</v>
      </c>
    </row>
    <row r="89" spans="1:18" ht="30" customHeight="1">
      <c r="A89" s="18" t="s">
        <v>67</v>
      </c>
      <c r="B89" s="26">
        <v>223817</v>
      </c>
      <c r="C89" s="20" t="s">
        <v>19</v>
      </c>
      <c r="D89" s="21" t="s">
        <v>218</v>
      </c>
      <c r="E89" s="19" t="s">
        <v>153</v>
      </c>
      <c r="F89" s="19">
        <v>2</v>
      </c>
      <c r="G89" s="22">
        <v>44253</v>
      </c>
      <c r="H89" s="22">
        <v>44257</v>
      </c>
      <c r="I89" s="22"/>
      <c r="J89" s="23"/>
      <c r="K89" s="20" t="s">
        <v>162</v>
      </c>
      <c r="L89" s="24" t="s">
        <v>33</v>
      </c>
      <c r="M89" s="20" t="s">
        <v>24</v>
      </c>
      <c r="N89" s="20"/>
      <c r="O89" s="20" t="s">
        <v>25</v>
      </c>
      <c r="P89" s="23"/>
      <c r="Q89" s="20" t="s">
        <v>27</v>
      </c>
      <c r="R89" s="20"/>
    </row>
    <row r="90" spans="1:18" ht="30" customHeight="1">
      <c r="A90" s="18" t="s">
        <v>67</v>
      </c>
      <c r="B90" s="26">
        <v>223817</v>
      </c>
      <c r="C90" s="20" t="s">
        <v>19</v>
      </c>
      <c r="D90" s="21" t="s">
        <v>218</v>
      </c>
      <c r="E90" s="19" t="s">
        <v>62</v>
      </c>
      <c r="F90" s="19">
        <v>2</v>
      </c>
      <c r="G90" s="22">
        <v>44253</v>
      </c>
      <c r="H90" s="22">
        <v>44257</v>
      </c>
      <c r="I90" s="22"/>
      <c r="J90" s="23"/>
      <c r="K90" s="20" t="s">
        <v>162</v>
      </c>
      <c r="L90" s="24" t="s">
        <v>33</v>
      </c>
      <c r="M90" s="20" t="s">
        <v>24</v>
      </c>
      <c r="N90" s="20"/>
      <c r="O90" s="20" t="s">
        <v>25</v>
      </c>
      <c r="P90" s="23"/>
      <c r="Q90" s="20" t="s">
        <v>27</v>
      </c>
      <c r="R90" s="20"/>
    </row>
    <row r="91" spans="1:18" ht="30" hidden="1" customHeight="1">
      <c r="A91" s="18" t="s">
        <v>29</v>
      </c>
      <c r="B91" s="26">
        <v>225001</v>
      </c>
      <c r="C91" s="20" t="s">
        <v>30</v>
      </c>
      <c r="D91" s="21" t="s">
        <v>363</v>
      </c>
      <c r="E91" s="19" t="s">
        <v>35</v>
      </c>
      <c r="F91" s="19">
        <v>4</v>
      </c>
      <c r="G91" s="22">
        <v>44258</v>
      </c>
      <c r="H91" s="22">
        <v>44263</v>
      </c>
      <c r="I91" s="22">
        <v>44263</v>
      </c>
      <c r="J91" s="23"/>
      <c r="K91" s="20" t="s">
        <v>22</v>
      </c>
      <c r="L91" s="24" t="s">
        <v>41</v>
      </c>
      <c r="M91" s="20" t="s">
        <v>24</v>
      </c>
      <c r="N91" s="20"/>
      <c r="O91" s="20"/>
      <c r="P91" s="23"/>
      <c r="Q91" s="20"/>
      <c r="R91" s="20"/>
    </row>
    <row r="92" spans="1:18" ht="30" hidden="1" customHeight="1">
      <c r="A92" s="18" t="s">
        <v>29</v>
      </c>
      <c r="B92" s="26">
        <v>225001</v>
      </c>
      <c r="C92" s="20" t="s">
        <v>30</v>
      </c>
      <c r="D92" s="21" t="s">
        <v>363</v>
      </c>
      <c r="E92" s="19" t="s">
        <v>48</v>
      </c>
      <c r="F92" s="19">
        <v>1</v>
      </c>
      <c r="G92" s="22">
        <v>44258</v>
      </c>
      <c r="H92" s="22">
        <v>44263</v>
      </c>
      <c r="I92" s="22">
        <v>44263</v>
      </c>
      <c r="J92" s="23"/>
      <c r="K92" s="20" t="s">
        <v>22</v>
      </c>
      <c r="L92" s="24" t="s">
        <v>41</v>
      </c>
      <c r="M92" s="20" t="s">
        <v>24</v>
      </c>
      <c r="N92" s="20"/>
      <c r="O92" s="20"/>
      <c r="P92" s="23"/>
      <c r="Q92" s="20"/>
      <c r="R92" s="20"/>
    </row>
    <row r="93" spans="1:18" ht="30" customHeight="1">
      <c r="A93" s="18" t="s">
        <v>39</v>
      </c>
      <c r="B93" s="26">
        <v>225198</v>
      </c>
      <c r="C93" s="20" t="s">
        <v>19</v>
      </c>
      <c r="D93" s="21" t="s">
        <v>159</v>
      </c>
      <c r="E93" s="19" t="s">
        <v>34</v>
      </c>
      <c r="F93" s="19">
        <v>1</v>
      </c>
      <c r="G93" s="22">
        <v>44259</v>
      </c>
      <c r="H93" s="22">
        <v>44259</v>
      </c>
      <c r="I93" s="22"/>
      <c r="J93" s="23"/>
      <c r="K93" s="20" t="s">
        <v>162</v>
      </c>
      <c r="L93" s="24" t="s">
        <v>33</v>
      </c>
      <c r="M93" s="20" t="s">
        <v>24</v>
      </c>
      <c r="N93" s="20"/>
      <c r="O93" s="20" t="s">
        <v>26</v>
      </c>
      <c r="P93" s="23"/>
      <c r="Q93" s="20" t="s">
        <v>28</v>
      </c>
      <c r="R93" s="20" t="s">
        <v>28</v>
      </c>
    </row>
    <row r="94" spans="1:18" ht="30" hidden="1" customHeight="1">
      <c r="A94" s="18" t="s">
        <v>29</v>
      </c>
      <c r="B94" s="26">
        <v>225001</v>
      </c>
      <c r="C94" s="20" t="s">
        <v>30</v>
      </c>
      <c r="D94" s="21" t="s">
        <v>363</v>
      </c>
      <c r="E94" s="19" t="s">
        <v>32</v>
      </c>
      <c r="F94" s="19">
        <v>1</v>
      </c>
      <c r="G94" s="22">
        <v>44258</v>
      </c>
      <c r="H94" s="22">
        <v>44263</v>
      </c>
      <c r="I94" s="22">
        <v>44263</v>
      </c>
      <c r="J94" s="23"/>
      <c r="K94" s="20" t="s">
        <v>22</v>
      </c>
      <c r="L94" s="24" t="s">
        <v>41</v>
      </c>
      <c r="M94" s="20" t="s">
        <v>24</v>
      </c>
      <c r="N94" s="20"/>
      <c r="O94" s="20" t="s">
        <v>26</v>
      </c>
      <c r="P94" s="23"/>
      <c r="Q94" s="20" t="s">
        <v>28</v>
      </c>
      <c r="R94" s="20"/>
    </row>
    <row r="95" spans="1:18" ht="30" hidden="1" customHeight="1">
      <c r="A95" s="18" t="s">
        <v>36</v>
      </c>
      <c r="B95" s="26">
        <v>224536</v>
      </c>
      <c r="C95" s="20" t="s">
        <v>19</v>
      </c>
      <c r="D95" s="21" t="s">
        <v>364</v>
      </c>
      <c r="E95" s="19" t="s">
        <v>21</v>
      </c>
      <c r="F95" s="19">
        <v>1</v>
      </c>
      <c r="G95" s="22">
        <v>44257</v>
      </c>
      <c r="H95" s="22">
        <v>44260</v>
      </c>
      <c r="I95" s="22">
        <v>44264</v>
      </c>
      <c r="J95" s="23"/>
      <c r="K95" s="20" t="s">
        <v>22</v>
      </c>
      <c r="L95" s="24" t="s">
        <v>33</v>
      </c>
      <c r="M95" s="20" t="s">
        <v>24</v>
      </c>
      <c r="N95" s="20">
        <v>1</v>
      </c>
      <c r="O95" s="20" t="s">
        <v>25</v>
      </c>
      <c r="P95" s="23" t="s">
        <v>25</v>
      </c>
      <c r="Q95" s="20" t="s">
        <v>28</v>
      </c>
      <c r="R95" s="20" t="s">
        <v>53</v>
      </c>
    </row>
    <row r="96" spans="1:18" ht="30" hidden="1" customHeight="1">
      <c r="A96" s="18" t="s">
        <v>46</v>
      </c>
      <c r="B96" s="26">
        <v>222723</v>
      </c>
      <c r="C96" s="20" t="s">
        <v>30</v>
      </c>
      <c r="D96" s="21" t="s">
        <v>155</v>
      </c>
      <c r="E96" s="19" t="s">
        <v>72</v>
      </c>
      <c r="F96" s="19">
        <v>1</v>
      </c>
      <c r="G96" s="22">
        <v>44250</v>
      </c>
      <c r="H96" s="22">
        <v>44263</v>
      </c>
      <c r="I96" s="22"/>
      <c r="J96" s="23"/>
      <c r="K96" s="20" t="s">
        <v>22</v>
      </c>
      <c r="L96" s="24" t="s">
        <v>57</v>
      </c>
      <c r="M96" s="20" t="s">
        <v>24</v>
      </c>
      <c r="N96" s="20"/>
      <c r="O96" s="20" t="s">
        <v>25</v>
      </c>
      <c r="P96" s="23"/>
      <c r="Q96" s="20" t="s">
        <v>27</v>
      </c>
      <c r="R96" s="20" t="s">
        <v>27</v>
      </c>
    </row>
    <row r="97" spans="1:18" ht="30" customHeight="1">
      <c r="A97" s="18" t="s">
        <v>46</v>
      </c>
      <c r="B97" s="26">
        <v>224892</v>
      </c>
      <c r="C97" s="20" t="s">
        <v>30</v>
      </c>
      <c r="D97" s="21" t="s">
        <v>365</v>
      </c>
      <c r="E97" s="19" t="s">
        <v>72</v>
      </c>
      <c r="F97" s="19">
        <v>1</v>
      </c>
      <c r="G97" s="22">
        <v>44260</v>
      </c>
      <c r="H97" s="22">
        <v>44264</v>
      </c>
      <c r="I97" s="22"/>
      <c r="J97" s="23"/>
      <c r="K97" s="20" t="s">
        <v>165</v>
      </c>
      <c r="L97" s="24" t="s">
        <v>33</v>
      </c>
      <c r="M97" s="20" t="s">
        <v>24</v>
      </c>
      <c r="N97" s="20"/>
      <c r="O97" s="20" t="s">
        <v>25</v>
      </c>
      <c r="P97" s="23"/>
      <c r="Q97" s="20" t="s">
        <v>28</v>
      </c>
      <c r="R97" s="20"/>
    </row>
    <row r="98" spans="1:18" ht="30" customHeight="1">
      <c r="A98" s="18" t="s">
        <v>251</v>
      </c>
      <c r="B98" s="26">
        <v>225692</v>
      </c>
      <c r="C98" s="20" t="s">
        <v>30</v>
      </c>
      <c r="D98" s="21" t="s">
        <v>366</v>
      </c>
      <c r="E98" s="19" t="s">
        <v>72</v>
      </c>
      <c r="F98" s="19">
        <v>1</v>
      </c>
      <c r="G98" s="22">
        <v>44260</v>
      </c>
      <c r="H98" s="22">
        <v>44266</v>
      </c>
      <c r="I98" s="22"/>
      <c r="J98" s="23"/>
      <c r="K98" s="20" t="s">
        <v>165</v>
      </c>
      <c r="L98" s="24" t="s">
        <v>41</v>
      </c>
      <c r="M98" s="20" t="s">
        <v>24</v>
      </c>
      <c r="N98" s="20"/>
      <c r="O98" s="20" t="s">
        <v>26</v>
      </c>
      <c r="P98" s="23"/>
      <c r="Q98" s="20" t="s">
        <v>28</v>
      </c>
      <c r="R98" s="20"/>
    </row>
    <row r="99" spans="1:18" ht="30" hidden="1" customHeight="1">
      <c r="A99" s="18" t="s">
        <v>29</v>
      </c>
      <c r="B99" s="26">
        <v>225795</v>
      </c>
      <c r="C99" s="20" t="s">
        <v>19</v>
      </c>
      <c r="D99" s="21" t="s">
        <v>367</v>
      </c>
      <c r="E99" s="19" t="s">
        <v>34</v>
      </c>
      <c r="F99" s="19">
        <v>2</v>
      </c>
      <c r="G99" s="22">
        <v>44263</v>
      </c>
      <c r="H99" s="22">
        <v>44265</v>
      </c>
      <c r="I99" s="22">
        <v>44265</v>
      </c>
      <c r="J99" s="23"/>
      <c r="K99" s="20" t="s">
        <v>22</v>
      </c>
      <c r="L99" s="24" t="s">
        <v>33</v>
      </c>
      <c r="M99" s="20" t="s">
        <v>24</v>
      </c>
      <c r="N99" s="20"/>
      <c r="O99" s="20" t="s">
        <v>25</v>
      </c>
      <c r="P99" s="23"/>
      <c r="Q99" s="20" t="s">
        <v>28</v>
      </c>
      <c r="R99" s="20" t="s">
        <v>53</v>
      </c>
    </row>
    <row r="100" spans="1:18" ht="30" hidden="1" customHeight="1">
      <c r="A100" s="18" t="s">
        <v>29</v>
      </c>
      <c r="B100" s="26">
        <v>225795</v>
      </c>
      <c r="C100" s="20" t="s">
        <v>19</v>
      </c>
      <c r="D100" s="21" t="s">
        <v>367</v>
      </c>
      <c r="E100" s="19" t="s">
        <v>42</v>
      </c>
      <c r="F100" s="19">
        <v>4</v>
      </c>
      <c r="G100" s="22">
        <v>44263</v>
      </c>
      <c r="H100" s="22">
        <v>44265</v>
      </c>
      <c r="I100" s="22">
        <v>44265</v>
      </c>
      <c r="J100" s="23"/>
      <c r="K100" s="20" t="s">
        <v>22</v>
      </c>
      <c r="L100" s="24" t="s">
        <v>33</v>
      </c>
      <c r="M100" s="20" t="s">
        <v>24</v>
      </c>
      <c r="N100" s="20"/>
      <c r="O100" s="20" t="s">
        <v>25</v>
      </c>
      <c r="P100" s="23"/>
      <c r="Q100" s="20" t="s">
        <v>28</v>
      </c>
      <c r="R100" s="20" t="s">
        <v>53</v>
      </c>
    </row>
    <row r="101" spans="1:18" ht="30" hidden="1" customHeight="1">
      <c r="A101" s="18" t="s">
        <v>29</v>
      </c>
      <c r="B101" s="26">
        <v>225795</v>
      </c>
      <c r="C101" s="20" t="s">
        <v>19</v>
      </c>
      <c r="D101" s="21" t="s">
        <v>367</v>
      </c>
      <c r="E101" s="19" t="s">
        <v>32</v>
      </c>
      <c r="F101" s="19">
        <v>4</v>
      </c>
      <c r="G101" s="22">
        <v>44263</v>
      </c>
      <c r="H101" s="22">
        <v>44265</v>
      </c>
      <c r="I101" s="22">
        <v>44265</v>
      </c>
      <c r="J101" s="23"/>
      <c r="K101" s="20" t="s">
        <v>22</v>
      </c>
      <c r="L101" s="24" t="s">
        <v>33</v>
      </c>
      <c r="M101" s="20" t="s">
        <v>24</v>
      </c>
      <c r="N101" s="20"/>
      <c r="O101" s="20" t="s">
        <v>25</v>
      </c>
      <c r="P101" s="23"/>
      <c r="Q101" s="20" t="s">
        <v>28</v>
      </c>
      <c r="R101" s="20" t="s">
        <v>53</v>
      </c>
    </row>
    <row r="102" spans="1:18" ht="30" hidden="1" customHeight="1">
      <c r="A102" s="18" t="s">
        <v>29</v>
      </c>
      <c r="B102" s="26">
        <v>225795</v>
      </c>
      <c r="C102" s="20" t="s">
        <v>19</v>
      </c>
      <c r="D102" s="21" t="s">
        <v>367</v>
      </c>
      <c r="E102" s="19" t="s">
        <v>44</v>
      </c>
      <c r="F102" s="19">
        <v>2</v>
      </c>
      <c r="G102" s="22">
        <v>44263</v>
      </c>
      <c r="H102" s="22">
        <v>44265</v>
      </c>
      <c r="I102" s="22">
        <v>44265</v>
      </c>
      <c r="J102" s="23"/>
      <c r="K102" s="20" t="s">
        <v>22</v>
      </c>
      <c r="L102" s="24" t="s">
        <v>33</v>
      </c>
      <c r="M102" s="20" t="s">
        <v>24</v>
      </c>
      <c r="N102" s="20"/>
      <c r="O102" s="20" t="s">
        <v>25</v>
      </c>
      <c r="P102" s="23"/>
      <c r="Q102" s="20" t="s">
        <v>28</v>
      </c>
      <c r="R102" s="20" t="s">
        <v>53</v>
      </c>
    </row>
    <row r="103" spans="1:18" ht="30" customHeight="1">
      <c r="A103" s="18" t="s">
        <v>39</v>
      </c>
      <c r="B103" s="26" t="s">
        <v>95</v>
      </c>
      <c r="C103" s="20" t="s">
        <v>30</v>
      </c>
      <c r="D103" s="21" t="s">
        <v>368</v>
      </c>
      <c r="E103" s="19" t="s">
        <v>263</v>
      </c>
      <c r="F103" s="19">
        <v>1</v>
      </c>
      <c r="G103" s="22">
        <v>44264</v>
      </c>
      <c r="H103" s="22">
        <v>44266</v>
      </c>
      <c r="I103" s="22"/>
      <c r="J103" s="23"/>
      <c r="K103" s="20" t="s">
        <v>165</v>
      </c>
      <c r="L103" s="24" t="s">
        <v>23</v>
      </c>
      <c r="M103" s="20" t="s">
        <v>24</v>
      </c>
      <c r="N103" s="20"/>
      <c r="O103" s="20" t="s">
        <v>25</v>
      </c>
      <c r="P103" s="23"/>
      <c r="Q103" s="20" t="s">
        <v>28</v>
      </c>
      <c r="R103" s="20"/>
    </row>
    <row r="104" spans="1:18" ht="30" customHeight="1">
      <c r="A104" s="18" t="s">
        <v>39</v>
      </c>
      <c r="B104" s="26">
        <v>226583</v>
      </c>
      <c r="C104" s="20" t="s">
        <v>19</v>
      </c>
      <c r="D104" s="21" t="s">
        <v>139</v>
      </c>
      <c r="E104" s="19" t="s">
        <v>34</v>
      </c>
      <c r="F104" s="19">
        <v>1</v>
      </c>
      <c r="G104" s="22">
        <v>44267</v>
      </c>
      <c r="H104" s="22">
        <v>44267</v>
      </c>
      <c r="I104" s="22"/>
      <c r="J104" s="23" t="s">
        <v>369</v>
      </c>
      <c r="K104" s="20" t="s">
        <v>162</v>
      </c>
      <c r="L104" s="24" t="s">
        <v>23</v>
      </c>
      <c r="M104" s="20" t="s">
        <v>24</v>
      </c>
      <c r="N104" s="20"/>
      <c r="O104" s="20" t="s">
        <v>25</v>
      </c>
      <c r="P104" s="23"/>
      <c r="Q104" s="20" t="s">
        <v>28</v>
      </c>
      <c r="R104" s="20"/>
    </row>
    <row r="105" spans="1:18" ht="30" customHeight="1">
      <c r="A105" s="18" t="s">
        <v>39</v>
      </c>
      <c r="B105" s="26">
        <v>226583</v>
      </c>
      <c r="C105" s="20" t="s">
        <v>19</v>
      </c>
      <c r="D105" s="21" t="s">
        <v>139</v>
      </c>
      <c r="E105" s="19" t="s">
        <v>34</v>
      </c>
      <c r="F105" s="19">
        <v>1</v>
      </c>
      <c r="G105" s="22">
        <v>44265</v>
      </c>
      <c r="H105" s="22">
        <v>44266</v>
      </c>
      <c r="I105" s="22"/>
      <c r="J105" s="23"/>
      <c r="K105" s="20" t="s">
        <v>162</v>
      </c>
      <c r="L105" s="24" t="s">
        <v>23</v>
      </c>
      <c r="M105" s="20" t="s">
        <v>24</v>
      </c>
      <c r="N105" s="20"/>
      <c r="O105" s="20" t="s">
        <v>25</v>
      </c>
      <c r="P105" s="23"/>
      <c r="Q105" s="20" t="s">
        <v>28</v>
      </c>
      <c r="R105" s="20"/>
    </row>
    <row r="106" spans="1:18" ht="30" hidden="1" customHeight="1">
      <c r="A106" s="18" t="s">
        <v>39</v>
      </c>
      <c r="B106" s="26" t="s">
        <v>95</v>
      </c>
      <c r="C106" s="20" t="s">
        <v>30</v>
      </c>
      <c r="D106" s="21" t="s">
        <v>370</v>
      </c>
      <c r="E106" s="19" t="s">
        <v>263</v>
      </c>
      <c r="F106" s="19">
        <v>1</v>
      </c>
      <c r="G106" s="22">
        <v>44477</v>
      </c>
      <c r="H106" s="22">
        <v>44265</v>
      </c>
      <c r="I106" s="22"/>
      <c r="J106" s="23"/>
      <c r="K106" s="20" t="s">
        <v>22</v>
      </c>
      <c r="L106" s="24" t="s">
        <v>33</v>
      </c>
      <c r="M106" s="20" t="s">
        <v>24</v>
      </c>
      <c r="N106" s="20"/>
      <c r="O106" s="20" t="s">
        <v>25</v>
      </c>
      <c r="P106" s="23"/>
      <c r="Q106" s="20" t="s">
        <v>53</v>
      </c>
      <c r="R106" s="20" t="s">
        <v>53</v>
      </c>
    </row>
    <row r="107" spans="1:18" ht="30" hidden="1" customHeight="1">
      <c r="A107" s="18" t="s">
        <v>39</v>
      </c>
      <c r="B107" s="26" t="s">
        <v>95</v>
      </c>
      <c r="C107" s="20" t="s">
        <v>30</v>
      </c>
      <c r="D107" s="21" t="s">
        <v>371</v>
      </c>
      <c r="E107" s="19" t="s">
        <v>263</v>
      </c>
      <c r="F107" s="19">
        <v>1</v>
      </c>
      <c r="G107" s="22">
        <v>44477</v>
      </c>
      <c r="H107" s="22">
        <v>44265</v>
      </c>
      <c r="I107" s="22"/>
      <c r="J107" s="23"/>
      <c r="K107" s="20" t="s">
        <v>22</v>
      </c>
      <c r="L107" s="24" t="s">
        <v>33</v>
      </c>
      <c r="M107" s="20" t="s">
        <v>24</v>
      </c>
      <c r="N107" s="20"/>
      <c r="O107" s="20" t="s">
        <v>25</v>
      </c>
      <c r="P107" s="23"/>
      <c r="Q107" s="20" t="s">
        <v>53</v>
      </c>
      <c r="R107" s="20" t="s">
        <v>53</v>
      </c>
    </row>
    <row r="108" spans="1:18" ht="30" customHeight="1">
      <c r="A108" s="18" t="s">
        <v>70</v>
      </c>
      <c r="B108" s="26">
        <v>223889</v>
      </c>
      <c r="C108" s="20" t="s">
        <v>30</v>
      </c>
      <c r="D108" s="21" t="s">
        <v>372</v>
      </c>
      <c r="E108" s="19" t="s">
        <v>43</v>
      </c>
      <c r="F108" s="19">
        <v>1</v>
      </c>
      <c r="G108" s="22">
        <v>44253</v>
      </c>
      <c r="H108" s="22">
        <v>44267</v>
      </c>
      <c r="I108" s="22"/>
      <c r="J108" s="23"/>
      <c r="K108" s="20" t="s">
        <v>165</v>
      </c>
      <c r="L108" s="24" t="s">
        <v>33</v>
      </c>
      <c r="M108" s="20" t="s">
        <v>24</v>
      </c>
      <c r="N108" s="20"/>
      <c r="O108" s="20" t="s">
        <v>25</v>
      </c>
      <c r="P108" s="23"/>
      <c r="Q108" s="20" t="s">
        <v>28</v>
      </c>
      <c r="R108" s="20"/>
    </row>
    <row r="109" spans="1:18" ht="30" customHeight="1">
      <c r="A109" s="18" t="s">
        <v>76</v>
      </c>
      <c r="B109" s="26">
        <v>226301</v>
      </c>
      <c r="C109" s="20" t="s">
        <v>19</v>
      </c>
      <c r="D109" s="21" t="s">
        <v>373</v>
      </c>
      <c r="E109" s="19" t="s">
        <v>72</v>
      </c>
      <c r="F109" s="19">
        <v>1</v>
      </c>
      <c r="G109" s="22">
        <v>44264</v>
      </c>
      <c r="H109" s="22">
        <v>44267</v>
      </c>
      <c r="I109" s="22"/>
      <c r="J109" s="23"/>
      <c r="K109" s="20" t="s">
        <v>165</v>
      </c>
      <c r="L109" s="24" t="s">
        <v>33</v>
      </c>
      <c r="M109" s="20" t="s">
        <v>24</v>
      </c>
      <c r="N109" s="20"/>
      <c r="O109" s="20"/>
      <c r="P109" s="23"/>
      <c r="Q109" s="20" t="s">
        <v>28</v>
      </c>
      <c r="R109" s="20"/>
    </row>
    <row r="110" spans="1:18" ht="30" customHeight="1">
      <c r="A110" s="18" t="s">
        <v>29</v>
      </c>
      <c r="B110" s="26">
        <v>226373</v>
      </c>
      <c r="C110" s="20" t="s">
        <v>19</v>
      </c>
      <c r="D110" s="21" t="s">
        <v>374</v>
      </c>
      <c r="E110" s="19" t="s">
        <v>72</v>
      </c>
      <c r="F110" s="19">
        <v>1</v>
      </c>
      <c r="G110" s="22">
        <v>44265</v>
      </c>
      <c r="H110" s="22">
        <v>44267</v>
      </c>
      <c r="I110" s="22"/>
      <c r="J110" s="23"/>
      <c r="K110" s="20" t="s">
        <v>162</v>
      </c>
      <c r="L110" s="24" t="s">
        <v>57</v>
      </c>
      <c r="M110" s="20" t="s">
        <v>24</v>
      </c>
      <c r="N110" s="20"/>
      <c r="O110" s="20" t="s">
        <v>25</v>
      </c>
      <c r="P110" s="23"/>
      <c r="Q110" s="20" t="s">
        <v>28</v>
      </c>
      <c r="R110" s="20" t="s">
        <v>53</v>
      </c>
    </row>
    <row r="111" spans="1:18" ht="30" customHeight="1">
      <c r="A111" s="18" t="s">
        <v>146</v>
      </c>
      <c r="B111" s="26">
        <v>226745</v>
      </c>
      <c r="C111" s="20" t="s">
        <v>19</v>
      </c>
      <c r="D111" s="21" t="s">
        <v>375</v>
      </c>
      <c r="E111" s="19" t="s">
        <v>72</v>
      </c>
      <c r="F111" s="19">
        <v>1</v>
      </c>
      <c r="G111" s="22">
        <v>44266</v>
      </c>
      <c r="H111" s="22">
        <v>44270</v>
      </c>
      <c r="I111" s="22"/>
      <c r="J111" s="23"/>
      <c r="K111" s="20" t="s">
        <v>165</v>
      </c>
      <c r="L111" s="24" t="s">
        <v>33</v>
      </c>
      <c r="M111" s="20" t="s">
        <v>24</v>
      </c>
      <c r="N111" s="20"/>
      <c r="O111" s="20"/>
      <c r="P111" s="23"/>
      <c r="Q111" s="20" t="s">
        <v>28</v>
      </c>
      <c r="R111" s="20"/>
    </row>
    <row r="112" spans="1:18" ht="30" customHeight="1">
      <c r="A112" s="18" t="s">
        <v>18</v>
      </c>
      <c r="B112" s="26">
        <v>226949</v>
      </c>
      <c r="C112" s="20" t="s">
        <v>19</v>
      </c>
      <c r="D112" s="21" t="s">
        <v>376</v>
      </c>
      <c r="E112" s="19" t="s">
        <v>34</v>
      </c>
      <c r="F112" s="19">
        <v>2</v>
      </c>
      <c r="G112" s="22">
        <v>44266</v>
      </c>
      <c r="H112" s="22">
        <v>44267</v>
      </c>
      <c r="I112" s="22"/>
      <c r="J112" s="23"/>
      <c r="K112" s="20" t="s">
        <v>162</v>
      </c>
      <c r="L112" s="24" t="s">
        <v>33</v>
      </c>
      <c r="M112" s="20" t="s">
        <v>24</v>
      </c>
      <c r="N112" s="20"/>
      <c r="O112" s="20" t="s">
        <v>25</v>
      </c>
      <c r="P112" s="23" t="s">
        <v>25</v>
      </c>
      <c r="Q112" s="20" t="s">
        <v>28</v>
      </c>
      <c r="R112" s="20"/>
    </row>
    <row r="113" spans="1:18" ht="30" customHeight="1">
      <c r="A113" s="18" t="s">
        <v>18</v>
      </c>
      <c r="B113" s="26">
        <v>226949</v>
      </c>
      <c r="C113" s="20" t="s">
        <v>19</v>
      </c>
      <c r="D113" s="21" t="s">
        <v>376</v>
      </c>
      <c r="E113" s="19" t="s">
        <v>35</v>
      </c>
      <c r="F113" s="19">
        <v>4</v>
      </c>
      <c r="G113" s="22">
        <v>44266</v>
      </c>
      <c r="H113" s="22">
        <v>44267</v>
      </c>
      <c r="I113" s="22"/>
      <c r="J113" s="23"/>
      <c r="K113" s="20" t="s">
        <v>162</v>
      </c>
      <c r="L113" s="24" t="s">
        <v>33</v>
      </c>
      <c r="M113" s="20" t="s">
        <v>24</v>
      </c>
      <c r="N113" s="20"/>
      <c r="O113" s="20" t="s">
        <v>25</v>
      </c>
      <c r="P113" s="23" t="s">
        <v>25</v>
      </c>
      <c r="Q113" s="20" t="s">
        <v>28</v>
      </c>
      <c r="R113" s="20"/>
    </row>
    <row r="114" spans="1:18" ht="30" customHeight="1">
      <c r="A114" s="18" t="s">
        <v>18</v>
      </c>
      <c r="B114" s="26">
        <v>226949</v>
      </c>
      <c r="C114" s="20" t="s">
        <v>19</v>
      </c>
      <c r="D114" s="21" t="s">
        <v>376</v>
      </c>
      <c r="E114" s="19" t="s">
        <v>32</v>
      </c>
      <c r="F114" s="19">
        <v>1</v>
      </c>
      <c r="G114" s="22">
        <v>44266</v>
      </c>
      <c r="H114" s="22">
        <v>44267</v>
      </c>
      <c r="I114" s="22"/>
      <c r="J114" s="23"/>
      <c r="K114" s="20" t="s">
        <v>162</v>
      </c>
      <c r="L114" s="24" t="s">
        <v>33</v>
      </c>
      <c r="M114" s="20" t="s">
        <v>24</v>
      </c>
      <c r="N114" s="20"/>
      <c r="O114" s="20" t="s">
        <v>25</v>
      </c>
      <c r="P114" s="23" t="s">
        <v>25</v>
      </c>
      <c r="Q114" s="20" t="s">
        <v>28</v>
      </c>
      <c r="R114" s="20"/>
    </row>
    <row r="115" spans="1:18" ht="30" customHeight="1">
      <c r="A115" s="18" t="s">
        <v>18</v>
      </c>
      <c r="B115" s="26">
        <v>226949</v>
      </c>
      <c r="C115" s="20" t="s">
        <v>19</v>
      </c>
      <c r="D115" s="21" t="s">
        <v>376</v>
      </c>
      <c r="E115" s="19" t="s">
        <v>93</v>
      </c>
      <c r="F115" s="19">
        <v>1</v>
      </c>
      <c r="G115" s="22">
        <v>44266</v>
      </c>
      <c r="H115" s="22">
        <v>44267</v>
      </c>
      <c r="I115" s="22"/>
      <c r="J115" s="23"/>
      <c r="K115" s="20" t="s">
        <v>162</v>
      </c>
      <c r="L115" s="24" t="s">
        <v>33</v>
      </c>
      <c r="M115" s="20" t="s">
        <v>24</v>
      </c>
      <c r="N115" s="20"/>
      <c r="O115" s="20" t="s">
        <v>25</v>
      </c>
      <c r="P115" s="23" t="s">
        <v>25</v>
      </c>
      <c r="Q115" s="20" t="s">
        <v>28</v>
      </c>
      <c r="R115" s="20"/>
    </row>
    <row r="116" spans="1:18" ht="30" customHeight="1">
      <c r="A116" s="18" t="s">
        <v>18</v>
      </c>
      <c r="B116" s="26">
        <v>226949</v>
      </c>
      <c r="C116" s="20" t="s">
        <v>19</v>
      </c>
      <c r="D116" s="21" t="s">
        <v>376</v>
      </c>
      <c r="E116" s="19" t="s">
        <v>48</v>
      </c>
      <c r="F116" s="19">
        <v>1</v>
      </c>
      <c r="G116" s="22">
        <v>44266</v>
      </c>
      <c r="H116" s="22">
        <v>44267</v>
      </c>
      <c r="I116" s="22"/>
      <c r="J116" s="23"/>
      <c r="K116" s="20" t="s">
        <v>162</v>
      </c>
      <c r="L116" s="24" t="s">
        <v>33</v>
      </c>
      <c r="M116" s="20" t="s">
        <v>24</v>
      </c>
      <c r="N116" s="20"/>
      <c r="O116" s="20" t="s">
        <v>25</v>
      </c>
      <c r="P116" s="23" t="s">
        <v>25</v>
      </c>
      <c r="Q116" s="20" t="s">
        <v>28</v>
      </c>
      <c r="R116" s="20"/>
    </row>
    <row r="117" spans="1:18" ht="30" customHeight="1">
      <c r="A117" s="18"/>
      <c r="B117" s="26"/>
      <c r="C117" s="20"/>
      <c r="D117" s="21"/>
      <c r="E117" s="19"/>
      <c r="F117" s="19"/>
      <c r="G117" s="22"/>
      <c r="H117" s="22"/>
      <c r="I117" s="22"/>
      <c r="J117" s="23"/>
      <c r="K117" s="20"/>
      <c r="L117" s="24"/>
      <c r="M117" s="20"/>
      <c r="N117" s="20"/>
      <c r="O117" s="20"/>
      <c r="P117" s="23"/>
      <c r="Q117" s="20"/>
      <c r="R117" s="20"/>
    </row>
    <row r="118" spans="1:18" ht="30" customHeight="1">
      <c r="A118" s="18"/>
      <c r="B118" s="26"/>
      <c r="C118" s="20"/>
      <c r="D118" s="21"/>
      <c r="E118" s="19"/>
      <c r="F118" s="19"/>
      <c r="G118" s="22"/>
      <c r="H118" s="22"/>
      <c r="I118" s="22"/>
      <c r="J118" s="23"/>
      <c r="K118" s="20"/>
      <c r="L118" s="24"/>
      <c r="M118" s="20"/>
      <c r="N118" s="20"/>
      <c r="O118" s="20"/>
      <c r="P118" s="23"/>
      <c r="Q118" s="20"/>
      <c r="R118" s="20"/>
    </row>
    <row r="119" spans="1:18" ht="30" customHeight="1">
      <c r="A119" s="18"/>
      <c r="B119" s="26"/>
      <c r="C119" s="20"/>
      <c r="D119" s="21"/>
      <c r="E119" s="19"/>
      <c r="F119" s="19"/>
      <c r="G119" s="22"/>
      <c r="H119" s="22"/>
      <c r="I119" s="22"/>
      <c r="J119" s="23"/>
      <c r="K119" s="20"/>
      <c r="L119" s="24"/>
      <c r="M119" s="20"/>
      <c r="N119" s="20"/>
      <c r="O119" s="20"/>
      <c r="P119" s="23"/>
      <c r="Q119" s="20"/>
      <c r="R119" s="20"/>
    </row>
    <row r="120" spans="1:18" ht="30" customHeight="1">
      <c r="A120" s="18"/>
      <c r="B120" s="26"/>
      <c r="C120" s="20"/>
      <c r="D120" s="21"/>
      <c r="E120" s="19"/>
      <c r="F120" s="19"/>
      <c r="G120" s="22"/>
      <c r="H120" s="22"/>
      <c r="I120" s="22"/>
      <c r="J120" s="23"/>
      <c r="K120" s="20"/>
      <c r="L120" s="24"/>
      <c r="M120" s="20"/>
      <c r="N120" s="20"/>
      <c r="O120" s="20"/>
      <c r="P120" s="23"/>
      <c r="Q120" s="20"/>
      <c r="R120" s="20"/>
    </row>
    <row r="121" spans="1:18" ht="30" customHeight="1">
      <c r="A121" s="18"/>
      <c r="B121" s="26"/>
      <c r="C121" s="20"/>
      <c r="D121" s="21"/>
      <c r="E121" s="19"/>
      <c r="F121" s="19"/>
      <c r="G121" s="22"/>
      <c r="H121" s="22"/>
      <c r="I121" s="22"/>
      <c r="J121" s="23"/>
      <c r="K121" s="20"/>
      <c r="L121" s="24"/>
      <c r="M121" s="20"/>
      <c r="N121" s="20"/>
      <c r="O121" s="20"/>
      <c r="P121" s="23"/>
      <c r="Q121" s="20"/>
      <c r="R121" s="20"/>
    </row>
    <row r="122" spans="1:18" ht="30" customHeight="1">
      <c r="A122" s="18"/>
      <c r="B122" s="26"/>
      <c r="C122" s="20"/>
      <c r="D122" s="21"/>
      <c r="E122" s="19"/>
      <c r="F122" s="19"/>
      <c r="G122" s="22"/>
      <c r="H122" s="22"/>
      <c r="I122" s="22"/>
      <c r="J122" s="23"/>
      <c r="K122" s="20"/>
      <c r="L122" s="24"/>
      <c r="M122" s="20"/>
      <c r="N122" s="20"/>
      <c r="O122" s="20"/>
      <c r="P122" s="23"/>
      <c r="Q122" s="20"/>
      <c r="R122" s="20"/>
    </row>
    <row r="123" spans="1:18" ht="30" customHeight="1">
      <c r="A123" s="27"/>
      <c r="B123" s="28"/>
      <c r="C123" s="29"/>
      <c r="D123" s="30"/>
      <c r="E123" s="31"/>
      <c r="F123" s="31"/>
      <c r="G123" s="32"/>
      <c r="H123" s="32"/>
      <c r="I123" s="32"/>
      <c r="J123" s="33"/>
      <c r="K123" s="29"/>
      <c r="L123" s="34"/>
      <c r="M123" s="29"/>
      <c r="N123" s="29"/>
      <c r="O123" s="29"/>
      <c r="P123" s="33"/>
      <c r="Q123" s="29"/>
      <c r="R123" s="29"/>
    </row>
    <row r="124" spans="1:18" ht="30" customHeight="1">
      <c r="A124" s="18"/>
      <c r="B124" s="26"/>
      <c r="C124" s="20"/>
      <c r="D124" s="21"/>
      <c r="E124" s="19"/>
      <c r="F124" s="19"/>
      <c r="G124" s="22"/>
      <c r="H124" s="22"/>
      <c r="I124" s="22"/>
      <c r="J124" s="23"/>
      <c r="K124" s="20"/>
      <c r="L124" s="24"/>
      <c r="M124" s="20"/>
      <c r="N124" s="20"/>
      <c r="O124" s="20"/>
      <c r="P124" s="23"/>
      <c r="Q124" s="20"/>
      <c r="R124" s="20"/>
    </row>
    <row r="125" spans="1:18" ht="30" customHeight="1">
      <c r="A125" s="18"/>
      <c r="B125" s="26"/>
      <c r="C125" s="20"/>
      <c r="D125" s="21"/>
      <c r="E125" s="19"/>
      <c r="F125" s="19"/>
      <c r="G125" s="22"/>
      <c r="H125" s="22"/>
      <c r="I125" s="22"/>
      <c r="J125" s="23"/>
      <c r="K125" s="20"/>
      <c r="L125" s="24"/>
      <c r="M125" s="20"/>
      <c r="N125" s="20"/>
      <c r="O125" s="20"/>
      <c r="P125" s="23"/>
      <c r="Q125" s="20"/>
      <c r="R125" s="20"/>
    </row>
    <row r="126" spans="1:18" ht="30" customHeight="1">
      <c r="A126" s="18"/>
      <c r="B126" s="26"/>
      <c r="C126" s="20"/>
      <c r="D126" s="21"/>
      <c r="E126" s="19"/>
      <c r="F126" s="19"/>
      <c r="G126" s="22"/>
      <c r="H126" s="22"/>
      <c r="I126" s="22"/>
      <c r="J126" s="23"/>
      <c r="K126" s="20"/>
      <c r="L126" s="24"/>
      <c r="M126" s="20"/>
      <c r="N126" s="20"/>
      <c r="O126" s="20"/>
      <c r="P126" s="23"/>
      <c r="Q126" s="20"/>
      <c r="R126" s="20"/>
    </row>
    <row r="127" spans="1:18" ht="30" customHeight="1">
      <c r="A127" s="18"/>
      <c r="B127" s="26"/>
      <c r="C127" s="20"/>
      <c r="D127" s="21"/>
      <c r="E127" s="19"/>
      <c r="F127" s="19"/>
      <c r="G127" s="22"/>
      <c r="H127" s="22"/>
      <c r="I127" s="22"/>
      <c r="J127" s="23"/>
      <c r="K127" s="20"/>
      <c r="L127" s="24"/>
      <c r="M127" s="20"/>
      <c r="N127" s="20"/>
      <c r="O127" s="20"/>
      <c r="P127" s="23"/>
      <c r="Q127" s="20"/>
      <c r="R127" s="20"/>
    </row>
    <row r="128" spans="1:18" ht="30" customHeight="1">
      <c r="A128" s="18"/>
      <c r="B128" s="26"/>
      <c r="C128" s="20"/>
      <c r="D128" s="21"/>
      <c r="E128" s="19"/>
      <c r="F128" s="19"/>
      <c r="G128" s="22"/>
      <c r="H128" s="22"/>
      <c r="I128" s="22"/>
      <c r="J128" s="23"/>
      <c r="K128" s="20"/>
      <c r="L128" s="24"/>
      <c r="M128" s="20"/>
      <c r="N128" s="20"/>
      <c r="O128" s="20"/>
      <c r="P128" s="23"/>
      <c r="Q128" s="20"/>
      <c r="R128" s="20"/>
    </row>
    <row r="129" spans="1:18" ht="30" customHeight="1">
      <c r="A129" s="18"/>
      <c r="B129" s="26"/>
      <c r="C129" s="20"/>
      <c r="D129" s="21"/>
      <c r="E129" s="19"/>
      <c r="F129" s="19"/>
      <c r="G129" s="22"/>
      <c r="H129" s="22"/>
      <c r="I129" s="22"/>
      <c r="J129" s="23"/>
      <c r="K129" s="20"/>
      <c r="L129" s="24"/>
      <c r="M129" s="20"/>
      <c r="N129" s="20"/>
      <c r="O129" s="20"/>
      <c r="P129" s="23"/>
      <c r="Q129" s="20"/>
      <c r="R129" s="20"/>
    </row>
    <row r="130" spans="1:18" ht="30" customHeight="1">
      <c r="A130" s="18"/>
      <c r="B130" s="26"/>
      <c r="C130" s="20"/>
      <c r="D130" s="21"/>
      <c r="E130" s="19"/>
      <c r="F130" s="19"/>
      <c r="G130" s="22"/>
      <c r="H130" s="22"/>
      <c r="I130" s="22"/>
      <c r="J130" s="23"/>
      <c r="K130" s="20"/>
      <c r="L130" s="24"/>
      <c r="M130" s="20"/>
      <c r="N130" s="20"/>
      <c r="O130" s="20"/>
      <c r="P130" s="23"/>
      <c r="Q130" s="20"/>
      <c r="R130" s="20"/>
    </row>
    <row r="131" spans="1:18" ht="30" customHeight="1">
      <c r="A131" s="18"/>
      <c r="B131" s="26"/>
      <c r="C131" s="20"/>
      <c r="D131" s="21"/>
      <c r="E131" s="19"/>
      <c r="F131" s="19"/>
      <c r="G131" s="22"/>
      <c r="H131" s="22"/>
      <c r="I131" s="22"/>
      <c r="J131" s="23"/>
      <c r="K131" s="20"/>
      <c r="L131" s="24"/>
      <c r="M131" s="20"/>
      <c r="N131" s="20"/>
      <c r="O131" s="20"/>
      <c r="P131" s="23"/>
      <c r="Q131" s="20"/>
      <c r="R131" s="20"/>
    </row>
    <row r="132" spans="1:18" ht="30" customHeight="1">
      <c r="A132" s="18"/>
      <c r="B132" s="26"/>
      <c r="C132" s="20"/>
      <c r="D132" s="21"/>
      <c r="E132" s="19"/>
      <c r="F132" s="19"/>
      <c r="G132" s="22"/>
      <c r="H132" s="22"/>
      <c r="I132" s="22"/>
      <c r="J132" s="23"/>
      <c r="K132" s="20"/>
      <c r="L132" s="24"/>
      <c r="M132" s="20"/>
      <c r="N132" s="20"/>
      <c r="O132" s="20"/>
      <c r="P132" s="23"/>
      <c r="Q132" s="20"/>
      <c r="R132" s="20"/>
    </row>
    <row r="133" spans="1:18" ht="30" customHeight="1">
      <c r="A133" s="18"/>
      <c r="B133" s="26"/>
      <c r="C133" s="20"/>
      <c r="D133" s="21"/>
      <c r="E133" s="19"/>
      <c r="F133" s="19"/>
      <c r="G133" s="22"/>
      <c r="H133" s="22"/>
      <c r="I133" s="22"/>
      <c r="J133" s="23"/>
      <c r="K133" s="20"/>
      <c r="L133" s="24"/>
      <c r="M133" s="20"/>
      <c r="N133" s="20"/>
      <c r="O133" s="20"/>
      <c r="P133" s="23"/>
      <c r="Q133" s="20"/>
      <c r="R133" s="20"/>
    </row>
    <row r="134" spans="1:18" ht="30" customHeight="1">
      <c r="A134" s="18"/>
      <c r="B134" s="26"/>
      <c r="C134" s="20"/>
      <c r="D134" s="21"/>
      <c r="E134" s="19"/>
      <c r="F134" s="19"/>
      <c r="G134" s="22"/>
      <c r="H134" s="22"/>
      <c r="I134" s="22"/>
      <c r="J134" s="23"/>
      <c r="K134" s="20"/>
      <c r="L134" s="24"/>
      <c r="M134" s="20"/>
      <c r="N134" s="20"/>
      <c r="O134" s="20"/>
      <c r="P134" s="23"/>
      <c r="Q134" s="20"/>
      <c r="R134" s="20"/>
    </row>
    <row r="135" spans="1:18" ht="30" customHeight="1">
      <c r="A135" s="18"/>
      <c r="B135" s="26"/>
      <c r="C135" s="20"/>
      <c r="D135" s="21"/>
      <c r="E135" s="19"/>
      <c r="F135" s="19"/>
      <c r="G135" s="22"/>
      <c r="H135" s="22"/>
      <c r="I135" s="22"/>
      <c r="J135" s="23"/>
      <c r="K135" s="20"/>
      <c r="L135" s="24"/>
      <c r="M135" s="20"/>
      <c r="N135" s="20"/>
      <c r="O135" s="20"/>
      <c r="P135" s="23"/>
      <c r="Q135" s="20"/>
      <c r="R135" s="20"/>
    </row>
    <row r="136" spans="1:18" ht="30" customHeight="1">
      <c r="A136" s="27"/>
      <c r="B136" s="28"/>
      <c r="C136" s="29"/>
      <c r="D136" s="30"/>
      <c r="E136" s="31"/>
      <c r="F136" s="31"/>
      <c r="G136" s="32"/>
      <c r="H136" s="32"/>
      <c r="I136" s="32"/>
      <c r="J136" s="33"/>
      <c r="K136" s="29"/>
      <c r="L136" s="34"/>
      <c r="M136" s="29"/>
      <c r="N136" s="29"/>
      <c r="O136" s="29"/>
      <c r="P136" s="33"/>
      <c r="Q136" s="29"/>
      <c r="R136" s="29"/>
    </row>
  </sheetData>
  <conditionalFormatting sqref="A2:R69 A83:R84 A71:R72 A79:R81 A92:R96 A98:R99 K100:K102 R100:R102 A89:R89 N85:R88 K85:L88 A103:R103 A105:R106 A104:I104 K104:R104">
    <cfRule type="expression" dxfId="117" priority="96">
      <formula>$K2="CANCELADO"</formula>
    </cfRule>
    <cfRule type="expression" dxfId="116" priority="97">
      <formula>$K2="STAND-BY"</formula>
    </cfRule>
    <cfRule type="expression" dxfId="115" priority="98">
      <formula>$K2="AGUARDANDO APROVAÇÃO"</formula>
    </cfRule>
    <cfRule type="expression" dxfId="114" priority="99">
      <formula>$K2="OK"</formula>
    </cfRule>
    <cfRule type="expression" dxfId="113" priority="100">
      <formula>AND((TODAY()-$H2)&gt;0,$H2&lt;&gt;"",$I2="")=TRUE</formula>
    </cfRule>
  </conditionalFormatting>
  <conditionalFormatting sqref="A90:R90">
    <cfRule type="expression" dxfId="112" priority="91">
      <formula>$K90="CANCELADO"</formula>
    </cfRule>
    <cfRule type="expression" dxfId="111" priority="92">
      <formula>$K90="STAND-BY"</formula>
    </cfRule>
    <cfRule type="expression" dxfId="110" priority="93">
      <formula>$K90="AGUARDANDO APROVAÇÃO"</formula>
    </cfRule>
    <cfRule type="expression" dxfId="109" priority="94">
      <formula>$K90="OK"</formula>
    </cfRule>
    <cfRule type="expression" dxfId="108" priority="95">
      <formula>AND((TODAY()-$H90)&gt;0,$H90&lt;&gt;"",$I90="")=TRUE</formula>
    </cfRule>
  </conditionalFormatting>
  <conditionalFormatting sqref="A82:R82">
    <cfRule type="expression" dxfId="107" priority="86">
      <formula>$K82="CANCELADO"</formula>
    </cfRule>
    <cfRule type="expression" dxfId="106" priority="87">
      <formula>$K82="STAND-BY"</formula>
    </cfRule>
    <cfRule type="expression" dxfId="105" priority="88">
      <formula>$K82="AGUARDANDO APROVAÇÃO"</formula>
    </cfRule>
    <cfRule type="expression" dxfId="104" priority="89">
      <formula>$K82="OK"</formula>
    </cfRule>
    <cfRule type="expression" dxfId="103" priority="90">
      <formula>AND((TODAY()-$H82)&gt;0,$H82&lt;&gt;"",$I82="")=TRUE</formula>
    </cfRule>
  </conditionalFormatting>
  <conditionalFormatting sqref="A70:R70">
    <cfRule type="expression" dxfId="102" priority="81">
      <formula>$K70="CANCELADO"</formula>
    </cfRule>
    <cfRule type="expression" dxfId="101" priority="82">
      <formula>$K70="STAND-BY"</formula>
    </cfRule>
    <cfRule type="expression" dxfId="100" priority="83">
      <formula>$K70="AGUARDANDO APROVAÇÃO"</formula>
    </cfRule>
    <cfRule type="expression" dxfId="99" priority="84">
      <formula>$K70="OK"</formula>
    </cfRule>
    <cfRule type="expression" dxfId="98" priority="85">
      <formula>AND((TODAY()-$H70)&gt;0,$H70&lt;&gt;"",$I70="")=TRUE</formula>
    </cfRule>
  </conditionalFormatting>
  <conditionalFormatting sqref="A91:R91">
    <cfRule type="expression" dxfId="97" priority="76">
      <formula>$K91="CANCELADO"</formula>
    </cfRule>
    <cfRule type="expression" dxfId="96" priority="77">
      <formula>$K91="STAND-BY"</formula>
    </cfRule>
    <cfRule type="expression" dxfId="95" priority="78">
      <formula>$K91="AGUARDANDO APROVAÇÃO"</formula>
    </cfRule>
    <cfRule type="expression" dxfId="94" priority="79">
      <formula>$K91="OK"</formula>
    </cfRule>
    <cfRule type="expression" dxfId="93" priority="80">
      <formula>AND((TODAY()-$H91)&gt;0,$H91&lt;&gt;"",$I91="")=TRUE</formula>
    </cfRule>
  </conditionalFormatting>
  <conditionalFormatting sqref="A77:R77">
    <cfRule type="expression" dxfId="92" priority="71">
      <formula>$K77="CANCELADO"</formula>
    </cfRule>
    <cfRule type="expression" dxfId="91" priority="72">
      <formula>$K77="STAND-BY"</formula>
    </cfRule>
    <cfRule type="expression" dxfId="90" priority="73">
      <formula>$K77="AGUARDANDO APROVAÇÃO"</formula>
    </cfRule>
    <cfRule type="expression" dxfId="89" priority="74">
      <formula>$K77="OK"</formula>
    </cfRule>
    <cfRule type="expression" dxfId="88" priority="75">
      <formula>AND((TODAY()-$H77)&gt;0,$H77&lt;&gt;"",$I77="")=TRUE</formula>
    </cfRule>
  </conditionalFormatting>
  <conditionalFormatting sqref="A78:R78">
    <cfRule type="expression" dxfId="87" priority="66">
      <formula>$K78="CANCELADO"</formula>
    </cfRule>
    <cfRule type="expression" dxfId="86" priority="67">
      <formula>$K78="STAND-BY"</formula>
    </cfRule>
    <cfRule type="expression" dxfId="85" priority="68">
      <formula>$K78="AGUARDANDO APROVAÇÃO"</formula>
    </cfRule>
    <cfRule type="expression" dxfId="84" priority="69">
      <formula>$K78="OK"</formula>
    </cfRule>
    <cfRule type="expression" dxfId="83" priority="70">
      <formula>AND((TODAY()-$H78)&gt;0,$H78&lt;&gt;"",$I78="")=TRUE</formula>
    </cfRule>
  </conditionalFormatting>
  <conditionalFormatting sqref="A76:R76">
    <cfRule type="expression" dxfId="82" priority="61">
      <formula>$K76="CANCELADO"</formula>
    </cfRule>
    <cfRule type="expression" dxfId="81" priority="62">
      <formula>$K76="STAND-BY"</formula>
    </cfRule>
    <cfRule type="expression" dxfId="80" priority="63">
      <formula>$K76="AGUARDANDO APROVAÇÃO"</formula>
    </cfRule>
    <cfRule type="expression" dxfId="79" priority="64">
      <formula>$K76="OK"</formula>
    </cfRule>
    <cfRule type="expression" dxfId="78" priority="65">
      <formula>AND((TODAY()-$H76)&gt;0,$H76&lt;&gt;"",$I76="")=TRUE</formula>
    </cfRule>
  </conditionalFormatting>
  <conditionalFormatting sqref="A75:R75">
    <cfRule type="expression" dxfId="77" priority="56">
      <formula>$K75="CANCELADO"</formula>
    </cfRule>
    <cfRule type="expression" dxfId="76" priority="57">
      <formula>$K75="STAND-BY"</formula>
    </cfRule>
    <cfRule type="expression" dxfId="75" priority="58">
      <formula>$K75="AGUARDANDO APROVAÇÃO"</formula>
    </cfRule>
    <cfRule type="expression" dxfId="74" priority="59">
      <formula>$K75="OK"</formula>
    </cfRule>
    <cfRule type="expression" dxfId="73" priority="60">
      <formula>AND((TODAY()-$H75)&gt;0,$H75&lt;&gt;"",$I75="")=TRUE</formula>
    </cfRule>
  </conditionalFormatting>
  <conditionalFormatting sqref="A74:R74">
    <cfRule type="expression" dxfId="72" priority="51">
      <formula>$K74="CANCELADO"</formula>
    </cfRule>
    <cfRule type="expression" dxfId="71" priority="52">
      <formula>$K74="STAND-BY"</formula>
    </cfRule>
    <cfRule type="expression" dxfId="70" priority="53">
      <formula>$K74="AGUARDANDO APROVAÇÃO"</formula>
    </cfRule>
    <cfRule type="expression" dxfId="69" priority="54">
      <formula>$K74="OK"</formula>
    </cfRule>
    <cfRule type="expression" dxfId="68" priority="55">
      <formula>AND((TODAY()-$H74)&gt;0,$H74&lt;&gt;"",$I74="")=TRUE</formula>
    </cfRule>
  </conditionalFormatting>
  <conditionalFormatting sqref="A73:R73">
    <cfRule type="expression" dxfId="67" priority="46">
      <formula>$K73="CANCELADO"</formula>
    </cfRule>
    <cfRule type="expression" dxfId="66" priority="47">
      <formula>$K73="STAND-BY"</formula>
    </cfRule>
    <cfRule type="expression" dxfId="65" priority="48">
      <formula>$K73="AGUARDANDO APROVAÇÃO"</formula>
    </cfRule>
    <cfRule type="expression" dxfId="64" priority="49">
      <formula>$K73="OK"</formula>
    </cfRule>
    <cfRule type="expression" dxfId="63" priority="50">
      <formula>AND((TODAY()-$H73)&gt;0,$H73&lt;&gt;"",$I73="")=TRUE</formula>
    </cfRule>
  </conditionalFormatting>
  <conditionalFormatting sqref="A100:J100 L100:Q100">
    <cfRule type="expression" dxfId="62" priority="36">
      <formula>$K100="CANCELADO"</formula>
    </cfRule>
    <cfRule type="expression" dxfId="61" priority="37">
      <formula>$K100="STAND-BY"</formula>
    </cfRule>
    <cfRule type="expression" dxfId="60" priority="38">
      <formula>$K100="AGUARDANDO APROVAÇÃO"</formula>
    </cfRule>
    <cfRule type="expression" dxfId="59" priority="39">
      <formula>$K100="OK"</formula>
    </cfRule>
    <cfRule type="expression" dxfId="58" priority="40">
      <formula>AND((TODAY()-$H100)&gt;0,$H100&lt;&gt;"",$I100="")=TRUE</formula>
    </cfRule>
  </conditionalFormatting>
  <conditionalFormatting sqref="A101:J101 L101:Q101">
    <cfRule type="expression" dxfId="57" priority="31">
      <formula>$K101="CANCELADO"</formula>
    </cfRule>
    <cfRule type="expression" dxfId="56" priority="32">
      <formula>$K101="STAND-BY"</formula>
    </cfRule>
    <cfRule type="expression" dxfId="55" priority="33">
      <formula>$K101="AGUARDANDO APROVAÇÃO"</formula>
    </cfRule>
    <cfRule type="expression" dxfId="54" priority="34">
      <formula>$K101="OK"</formula>
    </cfRule>
    <cfRule type="expression" dxfId="53" priority="35">
      <formula>AND((TODAY()-$H101)&gt;0,$H101&lt;&gt;"",$I101="")=TRUE</formula>
    </cfRule>
  </conditionalFormatting>
  <conditionalFormatting sqref="A102:J102 L102:Q102">
    <cfRule type="expression" dxfId="52" priority="26">
      <formula>$K102="CANCELADO"</formula>
    </cfRule>
    <cfRule type="expression" dxfId="51" priority="27">
      <formula>$K102="STAND-BY"</formula>
    </cfRule>
    <cfRule type="expression" dxfId="50" priority="28">
      <formula>$K102="AGUARDANDO APROVAÇÃO"</formula>
    </cfRule>
    <cfRule type="expression" dxfId="49" priority="29">
      <formula>$K102="OK"</formula>
    </cfRule>
    <cfRule type="expression" dxfId="48" priority="30">
      <formula>AND((TODAY()-$H102)&gt;0,$H102&lt;&gt;"",$I102="")=TRUE</formula>
    </cfRule>
  </conditionalFormatting>
  <conditionalFormatting sqref="A107:R107">
    <cfRule type="expression" dxfId="47" priority="21">
      <formula>$K107="CANCELADO"</formula>
    </cfRule>
    <cfRule type="expression" dxfId="46" priority="22">
      <formula>$K107="STAND-BY"</formula>
    </cfRule>
    <cfRule type="expression" dxfId="45" priority="23">
      <formula>$K107="AGUARDANDO APROVAÇÃO"</formula>
    </cfRule>
    <cfRule type="expression" dxfId="44" priority="24">
      <formula>$K107="OK"</formula>
    </cfRule>
    <cfRule type="expression" dxfId="43" priority="25">
      <formula>AND((TODAY()-$H107)&gt;0,$H107&lt;&gt;"",$I107="")=TRUE</formula>
    </cfRule>
  </conditionalFormatting>
  <conditionalFormatting sqref="A85:J85 M85">
    <cfRule type="expression" dxfId="42" priority="16">
      <formula>$K85="CANCELADO"</formula>
    </cfRule>
    <cfRule type="expression" dxfId="41" priority="17">
      <formula>$K85="STAND-BY"</formula>
    </cfRule>
    <cfRule type="expression" dxfId="40" priority="18">
      <formula>$K85="AGUARDANDO APROVAÇÃO"</formula>
    </cfRule>
    <cfRule type="expression" dxfId="39" priority="19">
      <formula>$K85="OK"</formula>
    </cfRule>
    <cfRule type="expression" dxfId="38" priority="20">
      <formula>AND((TODAY()-$H85)&gt;0,$H85&lt;&gt;"",$I85="")=TRUE</formula>
    </cfRule>
  </conditionalFormatting>
  <conditionalFormatting sqref="A86:J86 M86">
    <cfRule type="expression" dxfId="37" priority="11">
      <formula>$K86="CANCELADO"</formula>
    </cfRule>
    <cfRule type="expression" dxfId="36" priority="12">
      <formula>$K86="STAND-BY"</formula>
    </cfRule>
    <cfRule type="expression" dxfId="35" priority="13">
      <formula>$K86="AGUARDANDO APROVAÇÃO"</formula>
    </cfRule>
    <cfRule type="expression" dxfId="34" priority="14">
      <formula>$K86="OK"</formula>
    </cfRule>
    <cfRule type="expression" dxfId="33" priority="15">
      <formula>AND((TODAY()-$H86)&gt;0,$H86&lt;&gt;"",$I86="")=TRUE</formula>
    </cfRule>
  </conditionalFormatting>
  <conditionalFormatting sqref="A87:J87 M87">
    <cfRule type="expression" dxfId="32" priority="6">
      <formula>$K87="CANCELADO"</formula>
    </cfRule>
    <cfRule type="expression" dxfId="31" priority="7">
      <formula>$K87="STAND-BY"</formula>
    </cfRule>
    <cfRule type="expression" dxfId="30" priority="8">
      <formula>$K87="AGUARDANDO APROVAÇÃO"</formula>
    </cfRule>
    <cfRule type="expression" dxfId="29" priority="9">
      <formula>$K87="OK"</formula>
    </cfRule>
    <cfRule type="expression" dxfId="28" priority="10">
      <formula>AND((TODAY()-$H87)&gt;0,$H87&lt;&gt;"",$I87="")=TRUE</formula>
    </cfRule>
  </conditionalFormatting>
  <conditionalFormatting sqref="A88:J88 M88">
    <cfRule type="expression" dxfId="27" priority="1">
      <formula>$K88="CANCELADO"</formula>
    </cfRule>
    <cfRule type="expression" dxfId="26" priority="2">
      <formula>$K88="STAND-BY"</formula>
    </cfRule>
    <cfRule type="expression" dxfId="25" priority="3">
      <formula>$K88="AGUARDANDO APROVAÇÃO"</formula>
    </cfRule>
    <cfRule type="expression" dxfId="24" priority="4">
      <formula>$K88="OK"</formula>
    </cfRule>
    <cfRule type="expression" dxfId="23" priority="5">
      <formula>AND((TODAY()-$H88)&gt;0,$H88&lt;&gt;"",$I88="")=TRUE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57BF9D19-A903-48FD-A462-034B46247960}">
          <x14:formula1>
            <xm:f>'NÃO MEXER'!$B$2:$B$15</xm:f>
          </x14:formula1>
          <xm:sqref>C2:C136</xm:sqref>
        </x14:dataValidation>
        <x14:dataValidation type="list" allowBlank="1" showInputMessage="1" showErrorMessage="1" xr:uid="{FFD93A3C-6ADD-4994-8DC7-849DE6F13D2A}">
          <x14:formula1>
            <xm:f>'NÃO MEXER'!$A$2:$A$25</xm:f>
          </x14:formula1>
          <xm:sqref>A2:A136</xm:sqref>
        </x14:dataValidation>
        <x14:dataValidation type="list" allowBlank="1" showInputMessage="1" showErrorMessage="1" xr:uid="{677ACAC1-A5C5-478D-B7BA-2945B736FA49}">
          <x14:formula1>
            <xm:f>'NÃO MEXER'!$C$2:$C$84</xm:f>
          </x14:formula1>
          <xm:sqref>E2:E136</xm:sqref>
        </x14:dataValidation>
        <x14:dataValidation type="list" allowBlank="1" showInputMessage="1" showErrorMessage="1" xr:uid="{4379F31D-9C94-4836-9636-7BADE9AF4B27}">
          <x14:formula1>
            <xm:f>'NÃO MEXER'!$E$2:$E$6</xm:f>
          </x14:formula1>
          <xm:sqref>K2:K136</xm:sqref>
        </x14:dataValidation>
        <x14:dataValidation type="list" allowBlank="1" showInputMessage="1" showErrorMessage="1" xr:uid="{0C015EE6-2B77-4A8C-A99C-64324461D2DA}">
          <x14:formula1>
            <xm:f>'NÃO MEXER'!$F$2:$F$6</xm:f>
          </x14:formula1>
          <xm:sqref>L2:L136</xm:sqref>
        </x14:dataValidation>
        <x14:dataValidation type="list" allowBlank="1" showInputMessage="1" showErrorMessage="1" xr:uid="{E5DBDC3A-4C25-411C-A619-D1C60B7CF6D4}">
          <x14:formula1>
            <xm:f>'NÃO MEXER'!$G$2:$G$7</xm:f>
          </x14:formula1>
          <xm:sqref>M2:M136</xm:sqref>
        </x14:dataValidation>
        <x14:dataValidation type="list" allowBlank="1" showInputMessage="1" showErrorMessage="1" xr:uid="{065B7474-1690-4557-96D5-B47E4008E9F0}">
          <x14:formula1>
            <xm:f>'NÃO MEXER'!$H$2:$H$3</xm:f>
          </x14:formula1>
          <xm:sqref>O2:P136</xm:sqref>
        </x14:dataValidation>
        <x14:dataValidation type="list" allowBlank="1" showInputMessage="1" showErrorMessage="1" xr:uid="{943DCCF1-5BCF-4702-9A85-2B60482D0D66}">
          <x14:formula1>
            <xm:f>'NÃO MEXER'!$I$2:$I$6</xm:f>
          </x14:formula1>
          <xm:sqref>Q2:Q136</xm:sqref>
        </x14:dataValidation>
        <x14:dataValidation type="list" allowBlank="1" showInputMessage="1" showErrorMessage="1" xr:uid="{D2DE1E51-25F5-43C3-AB19-E4A6BBDB4A26}">
          <x14:formula1>
            <xm:f>'NÃO MEXER'!$J$2:$J$6</xm:f>
          </x14:formula1>
          <xm:sqref>R2:R136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4CA796698DAA2448207C9CEA3B1010B" ma:contentTypeVersion="5" ma:contentTypeDescription="Create a new document." ma:contentTypeScope="" ma:versionID="903c025d859f5b189a3c190897d8fa3d">
  <xsd:schema xmlns:xsd="http://www.w3.org/2001/XMLSchema" xmlns:xs="http://www.w3.org/2001/XMLSchema" xmlns:p="http://schemas.microsoft.com/office/2006/metadata/properties" xmlns:ns3="2c78dd36-a75f-4cb4-b8a4-6c60d1d3aa33" xmlns:ns4="76fe4193-23bc-4fe5-ba4a-1058cc46bc58" targetNamespace="http://schemas.microsoft.com/office/2006/metadata/properties" ma:root="true" ma:fieldsID="88a7ce678fe91589c220c31941d8d6b6" ns3:_="" ns4:_="">
    <xsd:import namespace="2c78dd36-a75f-4cb4-b8a4-6c60d1d3aa33"/>
    <xsd:import namespace="76fe4193-23bc-4fe5-ba4a-1058cc46bc5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c78dd36-a75f-4cb4-b8a4-6c60d1d3aa3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fe4193-23bc-4fe5-ba4a-1058cc46bc5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367E01F-A8CA-47F6-A7AE-9BDD65867125}"/>
</file>

<file path=customXml/itemProps2.xml><?xml version="1.0" encoding="utf-8"?>
<ds:datastoreItem xmlns:ds="http://schemas.openxmlformats.org/officeDocument/2006/customXml" ds:itemID="{00DF45ED-FD45-4DEE-987D-D3F55A0D0FCF}"/>
</file>

<file path=customXml/itemProps3.xml><?xml version="1.0" encoding="utf-8"?>
<ds:datastoreItem xmlns:ds="http://schemas.openxmlformats.org/officeDocument/2006/customXml" ds:itemID="{24222CAA-2CF5-40D1-B847-DBDEB8F5405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Arley Rodrigues Gomes - 2015</cp:lastModifiedBy>
  <cp:revision/>
  <dcterms:created xsi:type="dcterms:W3CDTF">2015-06-05T18:19:34Z</dcterms:created>
  <dcterms:modified xsi:type="dcterms:W3CDTF">2021-03-12T20:17:57Z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0x01010024CA796698DAA2448207C9CEA3B1010B</vt:lpwstr>
  </property>
</Properties>
</file>